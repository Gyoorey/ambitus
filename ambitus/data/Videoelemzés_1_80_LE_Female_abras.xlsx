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MBITUS\"/>
    </mc:Choice>
  </mc:AlternateContent>
  <bookViews>
    <workbookView xWindow="-120" yWindow="-120" windowWidth="20736" windowHeight="11160"/>
  </bookViews>
  <sheets>
    <sheet name="LE_17_1_80_DATE" sheetId="1" r:id="rId1"/>
    <sheet name="transpose" sheetId="6" r:id="rId2"/>
    <sheet name="Ábrák" sheetId="7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1" i="1" l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KJR49" i="1"/>
  <c r="KJQ49" i="1"/>
  <c r="KJP49" i="1"/>
  <c r="KJO49" i="1"/>
  <c r="KJN49" i="1"/>
  <c r="KJM49" i="1"/>
  <c r="KJL49" i="1"/>
  <c r="KJK49" i="1"/>
  <c r="KJJ49" i="1"/>
  <c r="KJI49" i="1"/>
  <c r="KJH49" i="1"/>
  <c r="KJG49" i="1"/>
  <c r="KJF49" i="1"/>
  <c r="KJE49" i="1"/>
  <c r="KJD49" i="1"/>
  <c r="KJC49" i="1"/>
  <c r="KJB49" i="1"/>
  <c r="KJA49" i="1"/>
  <c r="KIZ49" i="1"/>
  <c r="KIY49" i="1"/>
  <c r="KIX49" i="1"/>
  <c r="KIW49" i="1"/>
  <c r="KIV49" i="1"/>
  <c r="KIU49" i="1"/>
  <c r="KIT49" i="1"/>
  <c r="KIS49" i="1"/>
  <c r="KIR49" i="1"/>
  <c r="KIQ49" i="1"/>
  <c r="KIP49" i="1"/>
  <c r="KIO49" i="1"/>
  <c r="KIN49" i="1"/>
  <c r="KIM49" i="1"/>
  <c r="KIL49" i="1"/>
  <c r="KIK49" i="1"/>
  <c r="KIJ49" i="1"/>
  <c r="KII49" i="1"/>
  <c r="KIH49" i="1"/>
  <c r="KIG49" i="1"/>
  <c r="KIF49" i="1"/>
  <c r="KIE49" i="1"/>
  <c r="KID49" i="1"/>
  <c r="KIC49" i="1"/>
  <c r="KIB49" i="1"/>
  <c r="KIA49" i="1"/>
  <c r="KHZ49" i="1"/>
  <c r="KHY49" i="1"/>
  <c r="KHX49" i="1"/>
  <c r="KHW49" i="1"/>
  <c r="KHV49" i="1"/>
  <c r="KHU49" i="1"/>
  <c r="KHT49" i="1"/>
  <c r="KHS49" i="1"/>
  <c r="KHR49" i="1"/>
  <c r="KHQ49" i="1"/>
  <c r="KHP49" i="1"/>
  <c r="KHO49" i="1"/>
  <c r="KHN49" i="1"/>
  <c r="KHM49" i="1"/>
  <c r="KHL49" i="1"/>
  <c r="KHK49" i="1"/>
  <c r="KHJ49" i="1"/>
  <c r="KHI49" i="1"/>
  <c r="KHH49" i="1"/>
  <c r="KHG49" i="1"/>
  <c r="KHF49" i="1"/>
  <c r="KHE49" i="1"/>
  <c r="KHD49" i="1"/>
  <c r="KHC49" i="1"/>
  <c r="KHB49" i="1"/>
  <c r="KHA49" i="1"/>
  <c r="KGZ49" i="1"/>
  <c r="KGY49" i="1"/>
  <c r="KGX49" i="1"/>
  <c r="KGW49" i="1"/>
  <c r="KGV49" i="1"/>
  <c r="KGU49" i="1"/>
  <c r="KGT49" i="1"/>
  <c r="KGS49" i="1"/>
  <c r="KGR49" i="1"/>
  <c r="KGQ49" i="1"/>
  <c r="KGP49" i="1"/>
  <c r="KGO49" i="1"/>
  <c r="KGN49" i="1"/>
  <c r="KGM49" i="1"/>
  <c r="KGL49" i="1"/>
  <c r="KGK49" i="1"/>
  <c r="KGJ49" i="1"/>
  <c r="KGI49" i="1"/>
  <c r="KGH49" i="1"/>
  <c r="KGG49" i="1"/>
  <c r="KGF49" i="1"/>
  <c r="KGE49" i="1"/>
  <c r="KGD49" i="1"/>
  <c r="KGC49" i="1"/>
  <c r="KGB49" i="1"/>
  <c r="KGA49" i="1"/>
  <c r="KFZ49" i="1"/>
  <c r="KFY49" i="1"/>
  <c r="KFX49" i="1"/>
  <c r="KFW49" i="1"/>
  <c r="KJR48" i="1"/>
  <c r="KJQ48" i="1"/>
  <c r="KJP48" i="1"/>
  <c r="KJO48" i="1"/>
  <c r="KJN48" i="1"/>
  <c r="KJM48" i="1"/>
  <c r="KJL48" i="1"/>
  <c r="KJK48" i="1"/>
  <c r="KJJ48" i="1"/>
  <c r="KJI48" i="1"/>
  <c r="KJH48" i="1"/>
  <c r="KJG48" i="1"/>
  <c r="KJF48" i="1"/>
  <c r="KJE48" i="1"/>
  <c r="KJD48" i="1"/>
  <c r="KJC48" i="1"/>
  <c r="KJB48" i="1"/>
  <c r="KJA48" i="1"/>
  <c r="KIZ48" i="1"/>
  <c r="KIY48" i="1"/>
  <c r="KIX48" i="1"/>
  <c r="KIW48" i="1"/>
  <c r="KIV48" i="1"/>
  <c r="KIU48" i="1"/>
  <c r="KIT48" i="1"/>
  <c r="KIS48" i="1"/>
  <c r="KIR48" i="1"/>
  <c r="KIQ48" i="1"/>
  <c r="KIP48" i="1"/>
  <c r="KIO48" i="1"/>
  <c r="KIN48" i="1"/>
  <c r="KIM48" i="1"/>
  <c r="KIL48" i="1"/>
  <c r="KIK48" i="1"/>
  <c r="KIJ48" i="1"/>
  <c r="KII48" i="1"/>
  <c r="KIH48" i="1"/>
  <c r="KIG48" i="1"/>
  <c r="KIF48" i="1"/>
  <c r="KIE48" i="1"/>
  <c r="KID48" i="1"/>
  <c r="KIC48" i="1"/>
  <c r="KIB48" i="1"/>
  <c r="KIA48" i="1"/>
  <c r="KHZ48" i="1"/>
  <c r="KHY48" i="1"/>
  <c r="KHX48" i="1"/>
  <c r="KHW48" i="1"/>
  <c r="KHV48" i="1"/>
  <c r="KHU48" i="1"/>
  <c r="KHT48" i="1"/>
  <c r="KHS48" i="1"/>
  <c r="KHR48" i="1"/>
  <c r="KHQ48" i="1"/>
  <c r="KHP48" i="1"/>
  <c r="KHO48" i="1"/>
  <c r="KHN48" i="1"/>
  <c r="KHM48" i="1"/>
  <c r="KHL48" i="1"/>
  <c r="KHK48" i="1"/>
  <c r="KHJ48" i="1"/>
  <c r="KHI48" i="1"/>
  <c r="KHH48" i="1"/>
  <c r="KHG48" i="1"/>
  <c r="KHF48" i="1"/>
  <c r="KHE48" i="1"/>
  <c r="KHD48" i="1"/>
  <c r="KHC48" i="1"/>
  <c r="KHB48" i="1"/>
  <c r="KHA48" i="1"/>
  <c r="KGZ48" i="1"/>
  <c r="KGY48" i="1"/>
  <c r="KGX48" i="1"/>
  <c r="KGW48" i="1"/>
  <c r="KGV48" i="1"/>
  <c r="KGU48" i="1"/>
  <c r="KGT48" i="1"/>
  <c r="KGS48" i="1"/>
  <c r="KGR48" i="1"/>
  <c r="KGQ48" i="1"/>
  <c r="KGP48" i="1"/>
  <c r="KGO48" i="1"/>
  <c r="KGN48" i="1"/>
  <c r="KGM48" i="1"/>
  <c r="KGL48" i="1"/>
  <c r="KGK48" i="1"/>
  <c r="KGJ48" i="1"/>
  <c r="KGI48" i="1"/>
  <c r="KGH48" i="1"/>
  <c r="KGG48" i="1"/>
  <c r="KGF48" i="1"/>
  <c r="KGE48" i="1"/>
  <c r="KGD48" i="1"/>
  <c r="KGC48" i="1"/>
  <c r="KGB48" i="1"/>
  <c r="KGA48" i="1"/>
  <c r="KFZ48" i="1"/>
  <c r="KFY48" i="1"/>
  <c r="KFX48" i="1"/>
  <c r="KFW48" i="1"/>
  <c r="KJR47" i="1"/>
  <c r="KJQ47" i="1"/>
  <c r="KJP47" i="1"/>
  <c r="KJO47" i="1"/>
  <c r="KJN47" i="1"/>
  <c r="KJM47" i="1"/>
  <c r="KJL47" i="1"/>
  <c r="KJK47" i="1"/>
  <c r="KJJ47" i="1"/>
  <c r="KJI47" i="1"/>
  <c r="KJH47" i="1"/>
  <c r="KJG47" i="1"/>
  <c r="KJF47" i="1"/>
  <c r="KJE47" i="1"/>
  <c r="KJD47" i="1"/>
  <c r="KJC47" i="1"/>
  <c r="KJB47" i="1"/>
  <c r="KJA47" i="1"/>
  <c r="KIZ47" i="1"/>
  <c r="KIY47" i="1"/>
  <c r="KIX47" i="1"/>
  <c r="KIW47" i="1"/>
  <c r="KIV47" i="1"/>
  <c r="KIU47" i="1"/>
  <c r="KIT47" i="1"/>
  <c r="KIS47" i="1"/>
  <c r="KIR47" i="1"/>
  <c r="KIQ47" i="1"/>
  <c r="KIP47" i="1"/>
  <c r="KIO47" i="1"/>
  <c r="KIN47" i="1"/>
  <c r="KIM47" i="1"/>
  <c r="KIL47" i="1"/>
  <c r="KIK47" i="1"/>
  <c r="KIJ47" i="1"/>
  <c r="KII47" i="1"/>
  <c r="KIH47" i="1"/>
  <c r="KIG47" i="1"/>
  <c r="KIF47" i="1"/>
  <c r="KIE47" i="1"/>
  <c r="KID47" i="1"/>
  <c r="KIC47" i="1"/>
  <c r="KIB47" i="1"/>
  <c r="KIA47" i="1"/>
  <c r="KHZ47" i="1"/>
  <c r="KHY47" i="1"/>
  <c r="KHX47" i="1"/>
  <c r="KHW47" i="1"/>
  <c r="KHV47" i="1"/>
  <c r="KHU47" i="1"/>
  <c r="KHT47" i="1"/>
  <c r="KHS47" i="1"/>
  <c r="KHR47" i="1"/>
  <c r="KHQ47" i="1"/>
  <c r="KHP47" i="1"/>
  <c r="KHO47" i="1"/>
  <c r="KHN47" i="1"/>
  <c r="KHM47" i="1"/>
  <c r="KHL47" i="1"/>
  <c r="KHK47" i="1"/>
  <c r="KHJ47" i="1"/>
  <c r="KHI47" i="1"/>
  <c r="KHH47" i="1"/>
  <c r="KHG47" i="1"/>
  <c r="KHF47" i="1"/>
  <c r="KHE47" i="1"/>
  <c r="KHD47" i="1"/>
  <c r="KHC47" i="1"/>
  <c r="KHB47" i="1"/>
  <c r="KHA47" i="1"/>
  <c r="KGZ47" i="1"/>
  <c r="KGY47" i="1"/>
  <c r="KGX47" i="1"/>
  <c r="KGW47" i="1"/>
  <c r="KGV47" i="1"/>
  <c r="KGU47" i="1"/>
  <c r="KGT47" i="1"/>
  <c r="KGS47" i="1"/>
  <c r="KGR47" i="1"/>
  <c r="KGQ47" i="1"/>
  <c r="KGP47" i="1"/>
  <c r="KGO47" i="1"/>
  <c r="KGN47" i="1"/>
  <c r="KGM47" i="1"/>
  <c r="KGL47" i="1"/>
  <c r="KGK47" i="1"/>
  <c r="KGJ47" i="1"/>
  <c r="KGI47" i="1"/>
  <c r="KGH47" i="1"/>
  <c r="KGG47" i="1"/>
  <c r="KGF47" i="1"/>
  <c r="KGE47" i="1"/>
  <c r="KGD47" i="1"/>
  <c r="KGC47" i="1"/>
  <c r="KGB47" i="1"/>
  <c r="KGA47" i="1"/>
  <c r="KFZ47" i="1"/>
  <c r="KFY47" i="1"/>
  <c r="KFX47" i="1"/>
  <c r="KFW47" i="1"/>
  <c r="KJR46" i="1"/>
  <c r="KJQ46" i="1"/>
  <c r="KJP46" i="1"/>
  <c r="KJO46" i="1"/>
  <c r="KJN46" i="1"/>
  <c r="KJM46" i="1"/>
  <c r="KJL46" i="1"/>
  <c r="KJK46" i="1"/>
  <c r="KJJ46" i="1"/>
  <c r="KJI46" i="1"/>
  <c r="KJH46" i="1"/>
  <c r="KJG46" i="1"/>
  <c r="KJF46" i="1"/>
  <c r="KJE46" i="1"/>
  <c r="KJD46" i="1"/>
  <c r="KJC46" i="1"/>
  <c r="KJB46" i="1"/>
  <c r="KJA46" i="1"/>
  <c r="KIZ46" i="1"/>
  <c r="KIY46" i="1"/>
  <c r="KIX46" i="1"/>
  <c r="KIW46" i="1"/>
  <c r="KIV46" i="1"/>
  <c r="KIU46" i="1"/>
  <c r="KIT46" i="1"/>
  <c r="KIS46" i="1"/>
  <c r="KIR46" i="1"/>
  <c r="KIQ46" i="1"/>
  <c r="KIP46" i="1"/>
  <c r="KIO46" i="1"/>
  <c r="KIN46" i="1"/>
  <c r="KIM46" i="1"/>
  <c r="KIL46" i="1"/>
  <c r="KIK46" i="1"/>
  <c r="KIJ46" i="1"/>
  <c r="KII46" i="1"/>
  <c r="KIH46" i="1"/>
  <c r="KIG46" i="1"/>
  <c r="KIF46" i="1"/>
  <c r="KIE46" i="1"/>
  <c r="KID46" i="1"/>
  <c r="KIC46" i="1"/>
  <c r="KIB46" i="1"/>
  <c r="KIA46" i="1"/>
  <c r="KHZ46" i="1"/>
  <c r="KHY46" i="1"/>
  <c r="KHX46" i="1"/>
  <c r="KHW46" i="1"/>
  <c r="KHV46" i="1"/>
  <c r="KHU46" i="1"/>
  <c r="KHT46" i="1"/>
  <c r="KHS46" i="1"/>
  <c r="KHR46" i="1"/>
  <c r="KHQ46" i="1"/>
  <c r="KHP46" i="1"/>
  <c r="KHO46" i="1"/>
  <c r="KHN46" i="1"/>
  <c r="KHM46" i="1"/>
  <c r="KHL46" i="1"/>
  <c r="KHK46" i="1"/>
  <c r="KHJ46" i="1"/>
  <c r="KHI46" i="1"/>
  <c r="KHH46" i="1"/>
  <c r="KHG46" i="1"/>
  <c r="KHF46" i="1"/>
  <c r="KHE46" i="1"/>
  <c r="KHD46" i="1"/>
  <c r="KHC46" i="1"/>
  <c r="KHB46" i="1"/>
  <c r="KHA46" i="1"/>
  <c r="KGZ46" i="1"/>
  <c r="KGY46" i="1"/>
  <c r="KGX46" i="1"/>
  <c r="KGW46" i="1"/>
  <c r="KGV46" i="1"/>
  <c r="KGU46" i="1"/>
  <c r="KGT46" i="1"/>
  <c r="KGS46" i="1"/>
  <c r="KGR46" i="1"/>
  <c r="KGQ46" i="1"/>
  <c r="KGP46" i="1"/>
  <c r="KGO46" i="1"/>
  <c r="KGN46" i="1"/>
  <c r="KGM46" i="1"/>
  <c r="KGL46" i="1"/>
  <c r="KGK46" i="1"/>
  <c r="KGJ46" i="1"/>
  <c r="KGI46" i="1"/>
  <c r="KGH46" i="1"/>
  <c r="KGG46" i="1"/>
  <c r="KGF46" i="1"/>
  <c r="KGE46" i="1"/>
  <c r="KGD46" i="1"/>
  <c r="KGC46" i="1"/>
  <c r="KGB46" i="1"/>
  <c r="KGA46" i="1"/>
  <c r="KFZ46" i="1"/>
  <c r="KFY46" i="1"/>
  <c r="KFX46" i="1"/>
  <c r="KFW46" i="1"/>
  <c r="KJR45" i="1"/>
  <c r="KJQ45" i="1"/>
  <c r="KJP45" i="1"/>
  <c r="KJO45" i="1"/>
  <c r="KJN45" i="1"/>
  <c r="KJM45" i="1"/>
  <c r="KJL45" i="1"/>
  <c r="KJK45" i="1"/>
  <c r="KJJ45" i="1"/>
  <c r="KJI45" i="1"/>
  <c r="KJH45" i="1"/>
  <c r="KJG45" i="1"/>
  <c r="KJF45" i="1"/>
  <c r="KJE45" i="1"/>
  <c r="KJD45" i="1"/>
  <c r="KJC45" i="1"/>
  <c r="KJB45" i="1"/>
  <c r="KJA45" i="1"/>
  <c r="KIZ45" i="1"/>
  <c r="KIY45" i="1"/>
  <c r="KIX45" i="1"/>
  <c r="KIW45" i="1"/>
  <c r="KIV45" i="1"/>
  <c r="KIU45" i="1"/>
  <c r="KIT45" i="1"/>
  <c r="KIS45" i="1"/>
  <c r="KIR45" i="1"/>
  <c r="KIQ45" i="1"/>
  <c r="KIP45" i="1"/>
  <c r="KIO45" i="1"/>
  <c r="KIN45" i="1"/>
  <c r="KIM45" i="1"/>
  <c r="KIL45" i="1"/>
  <c r="KIK45" i="1"/>
  <c r="KIJ45" i="1"/>
  <c r="KII45" i="1"/>
  <c r="KIH45" i="1"/>
  <c r="KIG45" i="1"/>
  <c r="KIF45" i="1"/>
  <c r="KIE45" i="1"/>
  <c r="KID45" i="1"/>
  <c r="KIC45" i="1"/>
  <c r="KIB45" i="1"/>
  <c r="KIA45" i="1"/>
  <c r="KHZ45" i="1"/>
  <c r="KHY45" i="1"/>
  <c r="KHX45" i="1"/>
  <c r="KHW45" i="1"/>
  <c r="KHV45" i="1"/>
  <c r="KHU45" i="1"/>
  <c r="KHT45" i="1"/>
  <c r="KHS45" i="1"/>
  <c r="KHR45" i="1"/>
  <c r="KHQ45" i="1"/>
  <c r="KHP45" i="1"/>
  <c r="KHO45" i="1"/>
  <c r="KHN45" i="1"/>
  <c r="KHM45" i="1"/>
  <c r="KHL45" i="1"/>
  <c r="KHK45" i="1"/>
  <c r="KHJ45" i="1"/>
  <c r="KHI45" i="1"/>
  <c r="KHH45" i="1"/>
  <c r="KHG45" i="1"/>
  <c r="KHF45" i="1"/>
  <c r="KHE45" i="1"/>
  <c r="KHD45" i="1"/>
  <c r="KHC45" i="1"/>
  <c r="KHB45" i="1"/>
  <c r="KHA45" i="1"/>
  <c r="KGZ45" i="1"/>
  <c r="KGY45" i="1"/>
  <c r="KGX45" i="1"/>
  <c r="KGW45" i="1"/>
  <c r="KGV45" i="1"/>
  <c r="KGU45" i="1"/>
  <c r="KGT45" i="1"/>
  <c r="KGS45" i="1"/>
  <c r="KGR45" i="1"/>
  <c r="KGQ45" i="1"/>
  <c r="KGP45" i="1"/>
  <c r="KGO45" i="1"/>
  <c r="KGN45" i="1"/>
  <c r="KGM45" i="1"/>
  <c r="KGL45" i="1"/>
  <c r="KGK45" i="1"/>
  <c r="KGJ45" i="1"/>
  <c r="KGI45" i="1"/>
  <c r="KGH45" i="1"/>
  <c r="KGG45" i="1"/>
  <c r="KGF45" i="1"/>
  <c r="KGE45" i="1"/>
  <c r="KGD45" i="1"/>
  <c r="KGC45" i="1"/>
  <c r="KGB45" i="1"/>
  <c r="KGA45" i="1"/>
  <c r="KFZ45" i="1"/>
  <c r="KFY45" i="1"/>
  <c r="KFX45" i="1"/>
  <c r="KFW45" i="1"/>
  <c r="KJR44" i="1"/>
  <c r="KJQ44" i="1"/>
  <c r="KJP44" i="1"/>
  <c r="KJO44" i="1"/>
  <c r="KJN44" i="1"/>
  <c r="KJM44" i="1"/>
  <c r="KJL44" i="1"/>
  <c r="KJK44" i="1"/>
  <c r="KJJ44" i="1"/>
  <c r="KJI44" i="1"/>
  <c r="KJH44" i="1"/>
  <c r="KJG44" i="1"/>
  <c r="KJF44" i="1"/>
  <c r="KJE44" i="1"/>
  <c r="KJD44" i="1"/>
  <c r="KJC44" i="1"/>
  <c r="KJB44" i="1"/>
  <c r="KJA44" i="1"/>
  <c r="KIZ44" i="1"/>
  <c r="KIY44" i="1"/>
  <c r="KIX44" i="1"/>
  <c r="KIW44" i="1"/>
  <c r="KIV44" i="1"/>
  <c r="KIU44" i="1"/>
  <c r="KIT44" i="1"/>
  <c r="KIS44" i="1"/>
  <c r="KIR44" i="1"/>
  <c r="KIQ44" i="1"/>
  <c r="KIP44" i="1"/>
  <c r="KIO44" i="1"/>
  <c r="KIN44" i="1"/>
  <c r="KIM44" i="1"/>
  <c r="KIL44" i="1"/>
  <c r="KIK44" i="1"/>
  <c r="KIJ44" i="1"/>
  <c r="KII44" i="1"/>
  <c r="KIH44" i="1"/>
  <c r="KIG44" i="1"/>
  <c r="KIF44" i="1"/>
  <c r="KIE44" i="1"/>
  <c r="KID44" i="1"/>
  <c r="KIC44" i="1"/>
  <c r="KIB44" i="1"/>
  <c r="KIA44" i="1"/>
  <c r="KHZ44" i="1"/>
  <c r="KHY44" i="1"/>
  <c r="KHX44" i="1"/>
  <c r="KHW44" i="1"/>
  <c r="KHV44" i="1"/>
  <c r="KHU44" i="1"/>
  <c r="KHT44" i="1"/>
  <c r="KHS44" i="1"/>
  <c r="KHR44" i="1"/>
  <c r="KHQ44" i="1"/>
  <c r="KHP44" i="1"/>
  <c r="KHO44" i="1"/>
  <c r="KHN44" i="1"/>
  <c r="KHM44" i="1"/>
  <c r="KHL44" i="1"/>
  <c r="KHK44" i="1"/>
  <c r="KHJ44" i="1"/>
  <c r="KHI44" i="1"/>
  <c r="KHH44" i="1"/>
  <c r="KHG44" i="1"/>
  <c r="KHF44" i="1"/>
  <c r="KHE44" i="1"/>
  <c r="KHD44" i="1"/>
  <c r="KHC44" i="1"/>
  <c r="KHB44" i="1"/>
  <c r="KHA44" i="1"/>
  <c r="KGZ44" i="1"/>
  <c r="KGY44" i="1"/>
  <c r="KGX44" i="1"/>
  <c r="KGW44" i="1"/>
  <c r="KGV44" i="1"/>
  <c r="KGU44" i="1"/>
  <c r="KGT44" i="1"/>
  <c r="KGS44" i="1"/>
  <c r="KGR44" i="1"/>
  <c r="KGQ44" i="1"/>
  <c r="KGP44" i="1"/>
  <c r="KGO44" i="1"/>
  <c r="KGN44" i="1"/>
  <c r="KGM44" i="1"/>
  <c r="KGL44" i="1"/>
  <c r="KGK44" i="1"/>
  <c r="KGJ44" i="1"/>
  <c r="KGI44" i="1"/>
  <c r="KGH44" i="1"/>
  <c r="KGG44" i="1"/>
  <c r="KGF44" i="1"/>
  <c r="KGE44" i="1"/>
  <c r="KGD44" i="1"/>
  <c r="KGC44" i="1"/>
  <c r="KGB44" i="1"/>
  <c r="KGA44" i="1"/>
  <c r="KFZ44" i="1"/>
  <c r="KFY44" i="1"/>
  <c r="KFX44" i="1"/>
  <c r="KFW44" i="1"/>
  <c r="KJR43" i="1"/>
  <c r="KJQ43" i="1"/>
  <c r="KJP43" i="1"/>
  <c r="KJO43" i="1"/>
  <c r="KJN43" i="1"/>
  <c r="KJM43" i="1"/>
  <c r="KJL43" i="1"/>
  <c r="KJK43" i="1"/>
  <c r="KJJ43" i="1"/>
  <c r="KJI43" i="1"/>
  <c r="KJH43" i="1"/>
  <c r="KJG43" i="1"/>
  <c r="KJF43" i="1"/>
  <c r="KJE43" i="1"/>
  <c r="KJD43" i="1"/>
  <c r="KJC43" i="1"/>
  <c r="KJB43" i="1"/>
  <c r="KJA43" i="1"/>
  <c r="KIZ43" i="1"/>
  <c r="KIY43" i="1"/>
  <c r="KIX43" i="1"/>
  <c r="KIW43" i="1"/>
  <c r="KIV43" i="1"/>
  <c r="KIU43" i="1"/>
  <c r="KIT43" i="1"/>
  <c r="KIS43" i="1"/>
  <c r="KIR43" i="1"/>
  <c r="KIQ43" i="1"/>
  <c r="KIP43" i="1"/>
  <c r="KIO43" i="1"/>
  <c r="KIN43" i="1"/>
  <c r="KIM43" i="1"/>
  <c r="KIL43" i="1"/>
  <c r="KIK43" i="1"/>
  <c r="KIJ43" i="1"/>
  <c r="KII43" i="1"/>
  <c r="KIH43" i="1"/>
  <c r="KIG43" i="1"/>
  <c r="KIF43" i="1"/>
  <c r="KIE43" i="1"/>
  <c r="KID43" i="1"/>
  <c r="KIC43" i="1"/>
  <c r="KIB43" i="1"/>
  <c r="KIA43" i="1"/>
  <c r="KHZ43" i="1"/>
  <c r="KHY43" i="1"/>
  <c r="KHX43" i="1"/>
  <c r="KHW43" i="1"/>
  <c r="KHV43" i="1"/>
  <c r="KHU43" i="1"/>
  <c r="KHT43" i="1"/>
  <c r="KHS43" i="1"/>
  <c r="KHR43" i="1"/>
  <c r="KHQ43" i="1"/>
  <c r="KHP43" i="1"/>
  <c r="KHO43" i="1"/>
  <c r="KHN43" i="1"/>
  <c r="KHM43" i="1"/>
  <c r="KHL43" i="1"/>
  <c r="KHK43" i="1"/>
  <c r="KHJ43" i="1"/>
  <c r="KHI43" i="1"/>
  <c r="KHH43" i="1"/>
  <c r="KHG43" i="1"/>
  <c r="KHF43" i="1"/>
  <c r="KHE43" i="1"/>
  <c r="KHD43" i="1"/>
  <c r="KHC43" i="1"/>
  <c r="KHB43" i="1"/>
  <c r="KHA43" i="1"/>
  <c r="KGZ43" i="1"/>
  <c r="KGY43" i="1"/>
  <c r="KGX43" i="1"/>
  <c r="KGW43" i="1"/>
  <c r="KGV43" i="1"/>
  <c r="KGU43" i="1"/>
  <c r="KGT43" i="1"/>
  <c r="KGS43" i="1"/>
  <c r="KGR43" i="1"/>
  <c r="KGQ43" i="1"/>
  <c r="KGP43" i="1"/>
  <c r="KGO43" i="1"/>
  <c r="KGN43" i="1"/>
  <c r="KGM43" i="1"/>
  <c r="KGL43" i="1"/>
  <c r="KGK43" i="1"/>
  <c r="KGJ43" i="1"/>
  <c r="KGI43" i="1"/>
  <c r="KGH43" i="1"/>
  <c r="KGG43" i="1"/>
  <c r="KGF43" i="1"/>
  <c r="KGE43" i="1"/>
  <c r="KGD43" i="1"/>
  <c r="KGC43" i="1"/>
  <c r="KGB43" i="1"/>
  <c r="KGA43" i="1"/>
  <c r="KFZ43" i="1"/>
  <c r="KFY43" i="1"/>
  <c r="KFX43" i="1"/>
  <c r="KFW43" i="1"/>
  <c r="KJR42" i="1"/>
  <c r="KJQ42" i="1"/>
  <c r="KJP42" i="1"/>
  <c r="KJO42" i="1"/>
  <c r="KJN42" i="1"/>
  <c r="KJM42" i="1"/>
  <c r="KJL42" i="1"/>
  <c r="KJK42" i="1"/>
  <c r="KJJ42" i="1"/>
  <c r="KJI42" i="1"/>
  <c r="KJH42" i="1"/>
  <c r="KJG42" i="1"/>
  <c r="KJF42" i="1"/>
  <c r="KJE42" i="1"/>
  <c r="KJD42" i="1"/>
  <c r="KJC42" i="1"/>
  <c r="KJB42" i="1"/>
  <c r="KJA42" i="1"/>
  <c r="KIZ42" i="1"/>
  <c r="KIY42" i="1"/>
  <c r="KIX42" i="1"/>
  <c r="KIW42" i="1"/>
  <c r="KIV42" i="1"/>
  <c r="KIU42" i="1"/>
  <c r="KIT42" i="1"/>
  <c r="KIS42" i="1"/>
  <c r="KIR42" i="1"/>
  <c r="KIQ42" i="1"/>
  <c r="KIP42" i="1"/>
  <c r="KIO42" i="1"/>
  <c r="KIN42" i="1"/>
  <c r="KIM42" i="1"/>
  <c r="KIL42" i="1"/>
  <c r="KIK42" i="1"/>
  <c r="KIJ42" i="1"/>
  <c r="KII42" i="1"/>
  <c r="KIH42" i="1"/>
  <c r="KIG42" i="1"/>
  <c r="KIF42" i="1"/>
  <c r="KIE42" i="1"/>
  <c r="KID42" i="1"/>
  <c r="KIC42" i="1"/>
  <c r="KIB42" i="1"/>
  <c r="KIA42" i="1"/>
  <c r="KHZ42" i="1"/>
  <c r="KHY42" i="1"/>
  <c r="KHX42" i="1"/>
  <c r="KHW42" i="1"/>
  <c r="KHV42" i="1"/>
  <c r="KHU42" i="1"/>
  <c r="KHT42" i="1"/>
  <c r="KHS42" i="1"/>
  <c r="KHR42" i="1"/>
  <c r="KHQ42" i="1"/>
  <c r="KHP42" i="1"/>
  <c r="KHO42" i="1"/>
  <c r="KHN42" i="1"/>
  <c r="KHM42" i="1"/>
  <c r="KHL42" i="1"/>
  <c r="KHK42" i="1"/>
  <c r="KHJ42" i="1"/>
  <c r="KHI42" i="1"/>
  <c r="KHH42" i="1"/>
  <c r="KHG42" i="1"/>
  <c r="KHF42" i="1"/>
  <c r="KHE42" i="1"/>
  <c r="KHD42" i="1"/>
  <c r="KHC42" i="1"/>
  <c r="KHB42" i="1"/>
  <c r="KHA42" i="1"/>
  <c r="KGZ42" i="1"/>
  <c r="KGY42" i="1"/>
  <c r="KGX42" i="1"/>
  <c r="KGW42" i="1"/>
  <c r="KGV42" i="1"/>
  <c r="KGU42" i="1"/>
  <c r="KGT42" i="1"/>
  <c r="KGS42" i="1"/>
  <c r="KGR42" i="1"/>
  <c r="KGQ42" i="1"/>
  <c r="KGP42" i="1"/>
  <c r="KGO42" i="1"/>
  <c r="KGN42" i="1"/>
  <c r="KGM42" i="1"/>
  <c r="KGL42" i="1"/>
  <c r="KGK42" i="1"/>
  <c r="KGJ42" i="1"/>
  <c r="KGI42" i="1"/>
  <c r="KGH42" i="1"/>
  <c r="KGG42" i="1"/>
  <c r="KGF42" i="1"/>
  <c r="KGE42" i="1"/>
  <c r="KGD42" i="1"/>
  <c r="KGC42" i="1"/>
  <c r="KGB42" i="1"/>
  <c r="KGA42" i="1"/>
  <c r="KFZ42" i="1"/>
  <c r="KFY42" i="1"/>
  <c r="KFX42" i="1"/>
  <c r="KFW42" i="1"/>
  <c r="KJR41" i="1"/>
  <c r="KJQ41" i="1"/>
  <c r="KJP41" i="1"/>
  <c r="KJO41" i="1"/>
  <c r="KJN41" i="1"/>
  <c r="KJM41" i="1"/>
  <c r="KJL41" i="1"/>
  <c r="KJK41" i="1"/>
  <c r="KJJ41" i="1"/>
  <c r="KJI41" i="1"/>
  <c r="KJH41" i="1"/>
  <c r="KJG41" i="1"/>
  <c r="KJF41" i="1"/>
  <c r="KJE41" i="1"/>
  <c r="KJD41" i="1"/>
  <c r="KJC41" i="1"/>
  <c r="KJB41" i="1"/>
  <c r="KJA41" i="1"/>
  <c r="KIZ41" i="1"/>
  <c r="KIY41" i="1"/>
  <c r="KIX41" i="1"/>
  <c r="KIW41" i="1"/>
  <c r="KIV41" i="1"/>
  <c r="KIU41" i="1"/>
  <c r="KIT41" i="1"/>
  <c r="KIS41" i="1"/>
  <c r="KIR41" i="1"/>
  <c r="KIQ41" i="1"/>
  <c r="KIP41" i="1"/>
  <c r="KIO41" i="1"/>
  <c r="KIN41" i="1"/>
  <c r="KIM41" i="1"/>
  <c r="KIL41" i="1"/>
  <c r="KIK41" i="1"/>
  <c r="KIJ41" i="1"/>
  <c r="KII41" i="1"/>
  <c r="KIH41" i="1"/>
  <c r="KIG41" i="1"/>
  <c r="KIF41" i="1"/>
  <c r="KIE41" i="1"/>
  <c r="KID41" i="1"/>
  <c r="KIC41" i="1"/>
  <c r="KIB41" i="1"/>
  <c r="KIA41" i="1"/>
  <c r="KHZ41" i="1"/>
  <c r="KHY41" i="1"/>
  <c r="KHX41" i="1"/>
  <c r="KHW41" i="1"/>
  <c r="KHV41" i="1"/>
  <c r="KHU41" i="1"/>
  <c r="KHT41" i="1"/>
  <c r="KHS41" i="1"/>
  <c r="KHR41" i="1"/>
  <c r="KHQ41" i="1"/>
  <c r="KHP41" i="1"/>
  <c r="KHO41" i="1"/>
  <c r="KHN41" i="1"/>
  <c r="KHM41" i="1"/>
  <c r="KHL41" i="1"/>
  <c r="KHK41" i="1"/>
  <c r="KHJ41" i="1"/>
  <c r="KHI41" i="1"/>
  <c r="KHH41" i="1"/>
  <c r="KHG41" i="1"/>
  <c r="KHF41" i="1"/>
  <c r="KHE41" i="1"/>
  <c r="KHD41" i="1"/>
  <c r="KHC41" i="1"/>
  <c r="KHB41" i="1"/>
  <c r="KHA41" i="1"/>
  <c r="KGZ41" i="1"/>
  <c r="KGY41" i="1"/>
  <c r="KGX41" i="1"/>
  <c r="KGW41" i="1"/>
  <c r="KGV41" i="1"/>
  <c r="KGU41" i="1"/>
  <c r="KGT41" i="1"/>
  <c r="KGS41" i="1"/>
  <c r="KGR41" i="1"/>
  <c r="KGQ41" i="1"/>
  <c r="KGP41" i="1"/>
  <c r="KGO41" i="1"/>
  <c r="KGN41" i="1"/>
  <c r="KGM41" i="1"/>
  <c r="KGL41" i="1"/>
  <c r="KGK41" i="1"/>
  <c r="KGJ41" i="1"/>
  <c r="KGI41" i="1"/>
  <c r="KGH41" i="1"/>
  <c r="KGG41" i="1"/>
  <c r="KGF41" i="1"/>
  <c r="KGE41" i="1"/>
  <c r="KGD41" i="1"/>
  <c r="KGC41" i="1"/>
  <c r="KGB41" i="1"/>
  <c r="KGA41" i="1"/>
  <c r="KFZ41" i="1"/>
  <c r="KFY41" i="1"/>
  <c r="KFX41" i="1"/>
  <c r="KFW41" i="1"/>
  <c r="KJR40" i="1"/>
  <c r="KJQ40" i="1"/>
  <c r="KJP40" i="1"/>
  <c r="KJO40" i="1"/>
  <c r="KJN40" i="1"/>
  <c r="KJM40" i="1"/>
  <c r="KJL40" i="1"/>
  <c r="KJK40" i="1"/>
  <c r="KJJ40" i="1"/>
  <c r="KJI40" i="1"/>
  <c r="KJH40" i="1"/>
  <c r="KJG40" i="1"/>
  <c r="KJF40" i="1"/>
  <c r="KJE40" i="1"/>
  <c r="KJD40" i="1"/>
  <c r="KJC40" i="1"/>
  <c r="KJB40" i="1"/>
  <c r="KJA40" i="1"/>
  <c r="KIZ40" i="1"/>
  <c r="KIY40" i="1"/>
  <c r="KIX40" i="1"/>
  <c r="KIW40" i="1"/>
  <c r="KIV40" i="1"/>
  <c r="KIU40" i="1"/>
  <c r="KIT40" i="1"/>
  <c r="KIS40" i="1"/>
  <c r="KIR40" i="1"/>
  <c r="KIQ40" i="1"/>
  <c r="KIP40" i="1"/>
  <c r="KIO40" i="1"/>
  <c r="KIN40" i="1"/>
  <c r="KIM40" i="1"/>
  <c r="KIL40" i="1"/>
  <c r="KIK40" i="1"/>
  <c r="KIJ40" i="1"/>
  <c r="KII40" i="1"/>
  <c r="KIH40" i="1"/>
  <c r="KIG40" i="1"/>
  <c r="KIF40" i="1"/>
  <c r="KIE40" i="1"/>
  <c r="KID40" i="1"/>
  <c r="KIC40" i="1"/>
  <c r="KIB40" i="1"/>
  <c r="KIA40" i="1"/>
  <c r="KHZ40" i="1"/>
  <c r="KHY40" i="1"/>
  <c r="KHX40" i="1"/>
  <c r="KHW40" i="1"/>
  <c r="KHV40" i="1"/>
  <c r="KHU40" i="1"/>
  <c r="KHT40" i="1"/>
  <c r="KHS40" i="1"/>
  <c r="KHR40" i="1"/>
  <c r="KHQ40" i="1"/>
  <c r="KHP40" i="1"/>
  <c r="KHO40" i="1"/>
  <c r="KHN40" i="1"/>
  <c r="KHM40" i="1"/>
  <c r="KHL40" i="1"/>
  <c r="KHK40" i="1"/>
  <c r="KHJ40" i="1"/>
  <c r="KHI40" i="1"/>
  <c r="KHH40" i="1"/>
  <c r="KHG40" i="1"/>
  <c r="KHF40" i="1"/>
  <c r="KHE40" i="1"/>
  <c r="KHD40" i="1"/>
  <c r="KHC40" i="1"/>
  <c r="KHB40" i="1"/>
  <c r="KHA40" i="1"/>
  <c r="KGZ40" i="1"/>
  <c r="KGY40" i="1"/>
  <c r="KGX40" i="1"/>
  <c r="KGW40" i="1"/>
  <c r="KGV40" i="1"/>
  <c r="KGU40" i="1"/>
  <c r="KGT40" i="1"/>
  <c r="KGS40" i="1"/>
  <c r="KGR40" i="1"/>
  <c r="KGQ40" i="1"/>
  <c r="KGP40" i="1"/>
  <c r="KGO40" i="1"/>
  <c r="KGN40" i="1"/>
  <c r="KGM40" i="1"/>
  <c r="KGL40" i="1"/>
  <c r="KGK40" i="1"/>
  <c r="KGJ40" i="1"/>
  <c r="KGI40" i="1"/>
  <c r="KGH40" i="1"/>
  <c r="KGG40" i="1"/>
  <c r="KGF40" i="1"/>
  <c r="KGE40" i="1"/>
  <c r="KGD40" i="1"/>
  <c r="KGC40" i="1"/>
  <c r="KGB40" i="1"/>
  <c r="KGA40" i="1"/>
  <c r="KFZ40" i="1"/>
  <c r="KFY40" i="1"/>
  <c r="KFX40" i="1"/>
  <c r="KFW40" i="1"/>
  <c r="KJR39" i="1"/>
  <c r="KJQ39" i="1"/>
  <c r="KJP39" i="1"/>
  <c r="KJO39" i="1"/>
  <c r="KJN39" i="1"/>
  <c r="KJM39" i="1"/>
  <c r="KJL39" i="1"/>
  <c r="KJK39" i="1"/>
  <c r="KJJ39" i="1"/>
  <c r="KJI39" i="1"/>
  <c r="KJH39" i="1"/>
  <c r="KJG39" i="1"/>
  <c r="KJF39" i="1"/>
  <c r="KJE39" i="1"/>
  <c r="KJD39" i="1"/>
  <c r="KJC39" i="1"/>
  <c r="KJB39" i="1"/>
  <c r="KJA39" i="1"/>
  <c r="KIZ39" i="1"/>
  <c r="KIY39" i="1"/>
  <c r="KIX39" i="1"/>
  <c r="KIW39" i="1"/>
  <c r="KIV39" i="1"/>
  <c r="KIU39" i="1"/>
  <c r="KIT39" i="1"/>
  <c r="KIS39" i="1"/>
  <c r="KIR39" i="1"/>
  <c r="KIQ39" i="1"/>
  <c r="KIP39" i="1"/>
  <c r="KIO39" i="1"/>
  <c r="KIN39" i="1"/>
  <c r="KIM39" i="1"/>
  <c r="KIL39" i="1"/>
  <c r="KIK39" i="1"/>
  <c r="KIJ39" i="1"/>
  <c r="KII39" i="1"/>
  <c r="KIH39" i="1"/>
  <c r="KIG39" i="1"/>
  <c r="KIF39" i="1"/>
  <c r="KIE39" i="1"/>
  <c r="KID39" i="1"/>
  <c r="KIC39" i="1"/>
  <c r="KIB39" i="1"/>
  <c r="KIA39" i="1"/>
  <c r="KHZ39" i="1"/>
  <c r="KHY39" i="1"/>
  <c r="KHX39" i="1"/>
  <c r="KHW39" i="1"/>
  <c r="KHV39" i="1"/>
  <c r="KHU39" i="1"/>
  <c r="KHT39" i="1"/>
  <c r="KHS39" i="1"/>
  <c r="KHR39" i="1"/>
  <c r="KHQ39" i="1"/>
  <c r="KHP39" i="1"/>
  <c r="KHO39" i="1"/>
  <c r="KHN39" i="1"/>
  <c r="KHM39" i="1"/>
  <c r="KHL39" i="1"/>
  <c r="KHK39" i="1"/>
  <c r="KHJ39" i="1"/>
  <c r="KHI39" i="1"/>
  <c r="KHH39" i="1"/>
  <c r="KHG39" i="1"/>
  <c r="KHF39" i="1"/>
  <c r="KHE39" i="1"/>
  <c r="KHD39" i="1"/>
  <c r="KHC39" i="1"/>
  <c r="KHB39" i="1"/>
  <c r="KHA39" i="1"/>
  <c r="KGZ39" i="1"/>
  <c r="KGY39" i="1"/>
  <c r="KGX39" i="1"/>
  <c r="KGW39" i="1"/>
  <c r="KGV39" i="1"/>
  <c r="KGU39" i="1"/>
  <c r="KGT39" i="1"/>
  <c r="KGS39" i="1"/>
  <c r="KGR39" i="1"/>
  <c r="KGQ39" i="1"/>
  <c r="KGP39" i="1"/>
  <c r="KGO39" i="1"/>
  <c r="KGN39" i="1"/>
  <c r="KGM39" i="1"/>
  <c r="KGL39" i="1"/>
  <c r="KGK39" i="1"/>
  <c r="KGJ39" i="1"/>
  <c r="KGI39" i="1"/>
  <c r="KGH39" i="1"/>
  <c r="KGG39" i="1"/>
  <c r="KGF39" i="1"/>
  <c r="KGE39" i="1"/>
  <c r="KGD39" i="1"/>
  <c r="KGC39" i="1"/>
  <c r="KGB39" i="1"/>
  <c r="KGA39" i="1"/>
  <c r="KFZ39" i="1"/>
  <c r="KFY39" i="1"/>
  <c r="KFX39" i="1"/>
  <c r="KFW39" i="1"/>
  <c r="KJR38" i="1"/>
  <c r="KJQ38" i="1"/>
  <c r="KJP38" i="1"/>
  <c r="KJO38" i="1"/>
  <c r="KJN38" i="1"/>
  <c r="KJM38" i="1"/>
  <c r="KJL38" i="1"/>
  <c r="KJK38" i="1"/>
  <c r="KJJ38" i="1"/>
  <c r="KJI38" i="1"/>
  <c r="KJH38" i="1"/>
  <c r="KJG38" i="1"/>
  <c r="KJF38" i="1"/>
  <c r="KJE38" i="1"/>
  <c r="KJD38" i="1"/>
  <c r="KJC38" i="1"/>
  <c r="KJB38" i="1"/>
  <c r="KJA38" i="1"/>
  <c r="KIZ38" i="1"/>
  <c r="KIY38" i="1"/>
  <c r="KIX38" i="1"/>
  <c r="KIW38" i="1"/>
  <c r="KIV38" i="1"/>
  <c r="KIU38" i="1"/>
  <c r="KIT38" i="1"/>
  <c r="KIS38" i="1"/>
  <c r="KIR38" i="1"/>
  <c r="KIQ38" i="1"/>
  <c r="KIP38" i="1"/>
  <c r="KIO38" i="1"/>
  <c r="KIN38" i="1"/>
  <c r="KIM38" i="1"/>
  <c r="KIL38" i="1"/>
  <c r="KIK38" i="1"/>
  <c r="KIJ38" i="1"/>
  <c r="KII38" i="1"/>
  <c r="KIH38" i="1"/>
  <c r="KIG38" i="1"/>
  <c r="KIF38" i="1"/>
  <c r="KIE38" i="1"/>
  <c r="KID38" i="1"/>
  <c r="KIC38" i="1"/>
  <c r="KIB38" i="1"/>
  <c r="KIA38" i="1"/>
  <c r="KHZ38" i="1"/>
  <c r="KHY38" i="1"/>
  <c r="KHX38" i="1"/>
  <c r="KHW38" i="1"/>
  <c r="KHV38" i="1"/>
  <c r="KHU38" i="1"/>
  <c r="KHT38" i="1"/>
  <c r="KHS38" i="1"/>
  <c r="KHR38" i="1"/>
  <c r="KHQ38" i="1"/>
  <c r="KHP38" i="1"/>
  <c r="KHO38" i="1"/>
  <c r="KHN38" i="1"/>
  <c r="KHM38" i="1"/>
  <c r="KHL38" i="1"/>
  <c r="KHK38" i="1"/>
  <c r="KHJ38" i="1"/>
  <c r="KHI38" i="1"/>
  <c r="KHH38" i="1"/>
  <c r="KHG38" i="1"/>
  <c r="KHF38" i="1"/>
  <c r="KHE38" i="1"/>
  <c r="KHD38" i="1"/>
  <c r="KHC38" i="1"/>
  <c r="KHB38" i="1"/>
  <c r="KHA38" i="1"/>
  <c r="KGZ38" i="1"/>
  <c r="KGY38" i="1"/>
  <c r="KGX38" i="1"/>
  <c r="KGW38" i="1"/>
  <c r="KGV38" i="1"/>
  <c r="KGU38" i="1"/>
  <c r="KGT38" i="1"/>
  <c r="KGS38" i="1"/>
  <c r="KGR38" i="1"/>
  <c r="KGQ38" i="1"/>
  <c r="KGP38" i="1"/>
  <c r="KGO38" i="1"/>
  <c r="KGN38" i="1"/>
  <c r="KGM38" i="1"/>
  <c r="KGL38" i="1"/>
  <c r="KGK38" i="1"/>
  <c r="KGJ38" i="1"/>
  <c r="KGI38" i="1"/>
  <c r="KGH38" i="1"/>
  <c r="KGG38" i="1"/>
  <c r="KGF38" i="1"/>
  <c r="KGE38" i="1"/>
  <c r="KGD38" i="1"/>
  <c r="KGC38" i="1"/>
  <c r="KGB38" i="1"/>
  <c r="KGA38" i="1"/>
  <c r="KFZ38" i="1"/>
  <c r="KFY38" i="1"/>
  <c r="KFX38" i="1"/>
  <c r="KFW38" i="1"/>
  <c r="KJR37" i="1"/>
  <c r="KJQ37" i="1"/>
  <c r="KJP37" i="1"/>
  <c r="KJO37" i="1"/>
  <c r="KJN37" i="1"/>
  <c r="KJM37" i="1"/>
  <c r="KJL37" i="1"/>
  <c r="KJK37" i="1"/>
  <c r="KJJ37" i="1"/>
  <c r="KJI37" i="1"/>
  <c r="KJH37" i="1"/>
  <c r="KJG37" i="1"/>
  <c r="KJF37" i="1"/>
  <c r="KJE37" i="1"/>
  <c r="KJD37" i="1"/>
  <c r="KJC37" i="1"/>
  <c r="KJB37" i="1"/>
  <c r="KJA37" i="1"/>
  <c r="KIZ37" i="1"/>
  <c r="KIY37" i="1"/>
  <c r="KIX37" i="1"/>
  <c r="KIW37" i="1"/>
  <c r="KIV37" i="1"/>
  <c r="KIU37" i="1"/>
  <c r="KIT37" i="1"/>
  <c r="KIS37" i="1"/>
  <c r="KIR37" i="1"/>
  <c r="KIQ37" i="1"/>
  <c r="KIP37" i="1"/>
  <c r="KIO37" i="1"/>
  <c r="KIN37" i="1"/>
  <c r="KIM37" i="1"/>
  <c r="KIL37" i="1"/>
  <c r="KIK37" i="1"/>
  <c r="KIJ37" i="1"/>
  <c r="KII37" i="1"/>
  <c r="KIH37" i="1"/>
  <c r="KIG37" i="1"/>
  <c r="KIF37" i="1"/>
  <c r="KIE37" i="1"/>
  <c r="KID37" i="1"/>
  <c r="KIC37" i="1"/>
  <c r="KIB37" i="1"/>
  <c r="KIA37" i="1"/>
  <c r="KHZ37" i="1"/>
  <c r="KHY37" i="1"/>
  <c r="KHX37" i="1"/>
  <c r="KHW37" i="1"/>
  <c r="KHV37" i="1"/>
  <c r="KHU37" i="1"/>
  <c r="KHT37" i="1"/>
  <c r="KHS37" i="1"/>
  <c r="KHR37" i="1"/>
  <c r="KHQ37" i="1"/>
  <c r="KHP37" i="1"/>
  <c r="KHO37" i="1"/>
  <c r="KHN37" i="1"/>
  <c r="KHM37" i="1"/>
  <c r="KHL37" i="1"/>
  <c r="KHK37" i="1"/>
  <c r="KHJ37" i="1"/>
  <c r="KHI37" i="1"/>
  <c r="KHH37" i="1"/>
  <c r="KHG37" i="1"/>
  <c r="KHF37" i="1"/>
  <c r="KHE37" i="1"/>
  <c r="KHD37" i="1"/>
  <c r="KHC37" i="1"/>
  <c r="KHB37" i="1"/>
  <c r="KHA37" i="1"/>
  <c r="KGZ37" i="1"/>
  <c r="KGY37" i="1"/>
  <c r="KGX37" i="1"/>
  <c r="KGW37" i="1"/>
  <c r="KGV37" i="1"/>
  <c r="KGU37" i="1"/>
  <c r="KGT37" i="1"/>
  <c r="KGS37" i="1"/>
  <c r="KGR37" i="1"/>
  <c r="KGQ37" i="1"/>
  <c r="KGP37" i="1"/>
  <c r="KGO37" i="1"/>
  <c r="KGN37" i="1"/>
  <c r="KGM37" i="1"/>
  <c r="KGL37" i="1"/>
  <c r="KGK37" i="1"/>
  <c r="KGJ37" i="1"/>
  <c r="KGI37" i="1"/>
  <c r="KGH37" i="1"/>
  <c r="KGG37" i="1"/>
  <c r="KGF37" i="1"/>
  <c r="KGE37" i="1"/>
  <c r="KGD37" i="1"/>
  <c r="KGC37" i="1"/>
  <c r="KGB37" i="1"/>
  <c r="KGA37" i="1"/>
  <c r="KFZ37" i="1"/>
  <c r="KFY37" i="1"/>
  <c r="KFX37" i="1"/>
  <c r="KFW37" i="1"/>
  <c r="KJR36" i="1"/>
  <c r="KJQ36" i="1"/>
  <c r="KJP36" i="1"/>
  <c r="KJO36" i="1"/>
  <c r="KJN36" i="1"/>
  <c r="KJM36" i="1"/>
  <c r="KJL36" i="1"/>
  <c r="KJK36" i="1"/>
  <c r="KJJ36" i="1"/>
  <c r="KJI36" i="1"/>
  <c r="KJH36" i="1"/>
  <c r="KJG36" i="1"/>
  <c r="KJF36" i="1"/>
  <c r="KJE36" i="1"/>
  <c r="KJD36" i="1"/>
  <c r="KJC36" i="1"/>
  <c r="KJB36" i="1"/>
  <c r="KJA36" i="1"/>
  <c r="KIZ36" i="1"/>
  <c r="KIY36" i="1"/>
  <c r="KIX36" i="1"/>
  <c r="KIW36" i="1"/>
  <c r="KIV36" i="1"/>
  <c r="KIU36" i="1"/>
  <c r="KIT36" i="1"/>
  <c r="KIS36" i="1"/>
  <c r="KIR36" i="1"/>
  <c r="KIQ36" i="1"/>
  <c r="KIP36" i="1"/>
  <c r="KIO36" i="1"/>
  <c r="KIN36" i="1"/>
  <c r="KIM36" i="1"/>
  <c r="KIL36" i="1"/>
  <c r="KIK36" i="1"/>
  <c r="KIJ36" i="1"/>
  <c r="KII36" i="1"/>
  <c r="KIH36" i="1"/>
  <c r="KIG36" i="1"/>
  <c r="KIF36" i="1"/>
  <c r="KIE36" i="1"/>
  <c r="KID36" i="1"/>
  <c r="KIC36" i="1"/>
  <c r="KIB36" i="1"/>
  <c r="KIA36" i="1"/>
  <c r="KHZ36" i="1"/>
  <c r="KHY36" i="1"/>
  <c r="KHX36" i="1"/>
  <c r="KHW36" i="1"/>
  <c r="KHV36" i="1"/>
  <c r="KHU36" i="1"/>
  <c r="KHT36" i="1"/>
  <c r="KHS36" i="1"/>
  <c r="KHR36" i="1"/>
  <c r="KHQ36" i="1"/>
  <c r="KHP36" i="1"/>
  <c r="KHO36" i="1"/>
  <c r="KHN36" i="1"/>
  <c r="KHM36" i="1"/>
  <c r="KHL36" i="1"/>
  <c r="KHK36" i="1"/>
  <c r="KHJ36" i="1"/>
  <c r="KHI36" i="1"/>
  <c r="KHH36" i="1"/>
  <c r="KHG36" i="1"/>
  <c r="KHF36" i="1"/>
  <c r="KHE36" i="1"/>
  <c r="KHD36" i="1"/>
  <c r="KHC36" i="1"/>
  <c r="KHB36" i="1"/>
  <c r="KHA36" i="1"/>
  <c r="KGZ36" i="1"/>
  <c r="KGY36" i="1"/>
  <c r="KGX36" i="1"/>
  <c r="KGW36" i="1"/>
  <c r="KGV36" i="1"/>
  <c r="KGU36" i="1"/>
  <c r="KGT36" i="1"/>
  <c r="KGS36" i="1"/>
  <c r="KGR36" i="1"/>
  <c r="KGQ36" i="1"/>
  <c r="KGP36" i="1"/>
  <c r="KGO36" i="1"/>
  <c r="KGN36" i="1"/>
  <c r="KGM36" i="1"/>
  <c r="KGL36" i="1"/>
  <c r="KGK36" i="1"/>
  <c r="KGJ36" i="1"/>
  <c r="KGI36" i="1"/>
  <c r="KGH36" i="1"/>
  <c r="KGG36" i="1"/>
  <c r="KGF36" i="1"/>
  <c r="KGE36" i="1"/>
  <c r="KGD36" i="1"/>
  <c r="KGC36" i="1"/>
  <c r="KGB36" i="1"/>
  <c r="KGA36" i="1"/>
  <c r="KFZ36" i="1"/>
  <c r="KFY36" i="1"/>
  <c r="KFX36" i="1"/>
  <c r="KFW36" i="1"/>
  <c r="KJR35" i="1"/>
  <c r="KJQ35" i="1"/>
  <c r="KJP35" i="1"/>
  <c r="KJO35" i="1"/>
  <c r="KJN35" i="1"/>
  <c r="KJM35" i="1"/>
  <c r="KJL35" i="1"/>
  <c r="KJK35" i="1"/>
  <c r="KJJ35" i="1"/>
  <c r="KJI35" i="1"/>
  <c r="KJH35" i="1"/>
  <c r="KJG35" i="1"/>
  <c r="KJF35" i="1"/>
  <c r="KJE35" i="1"/>
  <c r="KJD35" i="1"/>
  <c r="KJC35" i="1"/>
  <c r="KJB35" i="1"/>
  <c r="KJA35" i="1"/>
  <c r="KIZ35" i="1"/>
  <c r="KIY35" i="1"/>
  <c r="KIX35" i="1"/>
  <c r="KIW35" i="1"/>
  <c r="KIV35" i="1"/>
  <c r="KIU35" i="1"/>
  <c r="KIT35" i="1"/>
  <c r="KIS35" i="1"/>
  <c r="KIR35" i="1"/>
  <c r="KIQ35" i="1"/>
  <c r="KIP35" i="1"/>
  <c r="KIO35" i="1"/>
  <c r="KIN35" i="1"/>
  <c r="KIM35" i="1"/>
  <c r="KIL35" i="1"/>
  <c r="KIK35" i="1"/>
  <c r="KIJ35" i="1"/>
  <c r="KII35" i="1"/>
  <c r="KIH35" i="1"/>
  <c r="KIG35" i="1"/>
  <c r="KIF35" i="1"/>
  <c r="KIE35" i="1"/>
  <c r="KID35" i="1"/>
  <c r="KIC35" i="1"/>
  <c r="KIB35" i="1"/>
  <c r="KIA35" i="1"/>
  <c r="KHZ35" i="1"/>
  <c r="KHY35" i="1"/>
  <c r="KHX35" i="1"/>
  <c r="KHW35" i="1"/>
  <c r="KHV35" i="1"/>
  <c r="KHU35" i="1"/>
  <c r="KHT35" i="1"/>
  <c r="KHS35" i="1"/>
  <c r="KHR35" i="1"/>
  <c r="KHQ35" i="1"/>
  <c r="KHP35" i="1"/>
  <c r="KHO35" i="1"/>
  <c r="KHN35" i="1"/>
  <c r="KHM35" i="1"/>
  <c r="KHL35" i="1"/>
  <c r="KHK35" i="1"/>
  <c r="KHJ35" i="1"/>
  <c r="KHI35" i="1"/>
  <c r="KHH35" i="1"/>
  <c r="KHG35" i="1"/>
  <c r="KHF35" i="1"/>
  <c r="KHE35" i="1"/>
  <c r="KHD35" i="1"/>
  <c r="KHC35" i="1"/>
  <c r="KHB35" i="1"/>
  <c r="KHA35" i="1"/>
  <c r="KGZ35" i="1"/>
  <c r="KGY35" i="1"/>
  <c r="KGX35" i="1"/>
  <c r="KGW35" i="1"/>
  <c r="KGV35" i="1"/>
  <c r="KGU35" i="1"/>
  <c r="KGT35" i="1"/>
  <c r="KGS35" i="1"/>
  <c r="KGR35" i="1"/>
  <c r="KGQ35" i="1"/>
  <c r="KGP35" i="1"/>
  <c r="KGO35" i="1"/>
  <c r="KGN35" i="1"/>
  <c r="KGM35" i="1"/>
  <c r="KGL35" i="1"/>
  <c r="KGK35" i="1"/>
  <c r="KGJ35" i="1"/>
  <c r="KGI35" i="1"/>
  <c r="KGH35" i="1"/>
  <c r="KGG35" i="1"/>
  <c r="KGF35" i="1"/>
  <c r="KGE35" i="1"/>
  <c r="KGD35" i="1"/>
  <c r="KGC35" i="1"/>
  <c r="KGB35" i="1"/>
  <c r="KGA35" i="1"/>
  <c r="KFZ35" i="1"/>
  <c r="KFY35" i="1"/>
  <c r="KFX35" i="1"/>
  <c r="KFW35" i="1"/>
  <c r="KJR34" i="1"/>
  <c r="KJQ34" i="1"/>
  <c r="KJP34" i="1"/>
  <c r="KJO34" i="1"/>
  <c r="KJN34" i="1"/>
  <c r="KJM34" i="1"/>
  <c r="KJL34" i="1"/>
  <c r="KJK34" i="1"/>
  <c r="KJJ34" i="1"/>
  <c r="KJI34" i="1"/>
  <c r="KJH34" i="1"/>
  <c r="KJG34" i="1"/>
  <c r="KJF34" i="1"/>
  <c r="KJE34" i="1"/>
  <c r="KJD34" i="1"/>
  <c r="KJC34" i="1"/>
  <c r="KJB34" i="1"/>
  <c r="KJA34" i="1"/>
  <c r="KIZ34" i="1"/>
  <c r="KIY34" i="1"/>
  <c r="KIX34" i="1"/>
  <c r="KIW34" i="1"/>
  <c r="KIV34" i="1"/>
  <c r="KIU34" i="1"/>
  <c r="KIT34" i="1"/>
  <c r="KIS34" i="1"/>
  <c r="KIR34" i="1"/>
  <c r="KIQ34" i="1"/>
  <c r="KIP34" i="1"/>
  <c r="KIO34" i="1"/>
  <c r="KIN34" i="1"/>
  <c r="KIM34" i="1"/>
  <c r="KIL34" i="1"/>
  <c r="KIK34" i="1"/>
  <c r="KIJ34" i="1"/>
  <c r="KII34" i="1"/>
  <c r="KIH34" i="1"/>
  <c r="KIG34" i="1"/>
  <c r="KIF34" i="1"/>
  <c r="KIE34" i="1"/>
  <c r="KID34" i="1"/>
  <c r="KIC34" i="1"/>
  <c r="KIB34" i="1"/>
  <c r="KIA34" i="1"/>
  <c r="KHZ34" i="1"/>
  <c r="KHY34" i="1"/>
  <c r="KHX34" i="1"/>
  <c r="KHW34" i="1"/>
  <c r="KHV34" i="1"/>
  <c r="KHU34" i="1"/>
  <c r="KHT34" i="1"/>
  <c r="KHS34" i="1"/>
  <c r="KHR34" i="1"/>
  <c r="KHQ34" i="1"/>
  <c r="KHP34" i="1"/>
  <c r="KHO34" i="1"/>
  <c r="KHN34" i="1"/>
  <c r="KHM34" i="1"/>
  <c r="KHL34" i="1"/>
  <c r="KHK34" i="1"/>
  <c r="KHJ34" i="1"/>
  <c r="KHI34" i="1"/>
  <c r="KHH34" i="1"/>
  <c r="KHG34" i="1"/>
  <c r="KHF34" i="1"/>
  <c r="KHE34" i="1"/>
  <c r="KHD34" i="1"/>
  <c r="KHC34" i="1"/>
  <c r="KHB34" i="1"/>
  <c r="KHA34" i="1"/>
  <c r="KGZ34" i="1"/>
  <c r="KGY34" i="1"/>
  <c r="KGX34" i="1"/>
  <c r="KGW34" i="1"/>
  <c r="KGV34" i="1"/>
  <c r="KGU34" i="1"/>
  <c r="KGT34" i="1"/>
  <c r="KGS34" i="1"/>
  <c r="KGR34" i="1"/>
  <c r="KGQ34" i="1"/>
  <c r="KGP34" i="1"/>
  <c r="KGO34" i="1"/>
  <c r="KGN34" i="1"/>
  <c r="KGM34" i="1"/>
  <c r="KGL34" i="1"/>
  <c r="KGK34" i="1"/>
  <c r="KGJ34" i="1"/>
  <c r="KGI34" i="1"/>
  <c r="KGH34" i="1"/>
  <c r="KGG34" i="1"/>
  <c r="KGF34" i="1"/>
  <c r="KGE34" i="1"/>
  <c r="KGD34" i="1"/>
  <c r="KGC34" i="1"/>
  <c r="KGB34" i="1"/>
  <c r="KGA34" i="1"/>
  <c r="KFZ34" i="1"/>
  <c r="KFY34" i="1"/>
  <c r="KFX34" i="1"/>
  <c r="KFW34" i="1"/>
  <c r="KJR33" i="1"/>
  <c r="KJQ33" i="1"/>
  <c r="KJP33" i="1"/>
  <c r="KJO33" i="1"/>
  <c r="KJN33" i="1"/>
  <c r="KJM33" i="1"/>
  <c r="KJL33" i="1"/>
  <c r="KJK33" i="1"/>
  <c r="KJJ33" i="1"/>
  <c r="KJI33" i="1"/>
  <c r="KJH33" i="1"/>
  <c r="KJG33" i="1"/>
  <c r="KJF33" i="1"/>
  <c r="KJE33" i="1"/>
  <c r="KJD33" i="1"/>
  <c r="KJC33" i="1"/>
  <c r="KJB33" i="1"/>
  <c r="KJA33" i="1"/>
  <c r="KIZ33" i="1"/>
  <c r="KIY33" i="1"/>
  <c r="KIX33" i="1"/>
  <c r="KIW33" i="1"/>
  <c r="KIV33" i="1"/>
  <c r="KIU33" i="1"/>
  <c r="KIT33" i="1"/>
  <c r="KIS33" i="1"/>
  <c r="KIR33" i="1"/>
  <c r="KIQ33" i="1"/>
  <c r="KIP33" i="1"/>
  <c r="KIO33" i="1"/>
  <c r="KIN33" i="1"/>
  <c r="KIM33" i="1"/>
  <c r="KIL33" i="1"/>
  <c r="KIK33" i="1"/>
  <c r="KIJ33" i="1"/>
  <c r="KII33" i="1"/>
  <c r="KIH33" i="1"/>
  <c r="KIG33" i="1"/>
  <c r="KIF33" i="1"/>
  <c r="KIE33" i="1"/>
  <c r="KID33" i="1"/>
  <c r="KIC33" i="1"/>
  <c r="KIB33" i="1"/>
  <c r="KIA33" i="1"/>
  <c r="KHZ33" i="1"/>
  <c r="KHY33" i="1"/>
  <c r="KHX33" i="1"/>
  <c r="KHW33" i="1"/>
  <c r="KHV33" i="1"/>
  <c r="KHU33" i="1"/>
  <c r="KHT33" i="1"/>
  <c r="KHS33" i="1"/>
  <c r="KHR33" i="1"/>
  <c r="KHQ33" i="1"/>
  <c r="KHP33" i="1"/>
  <c r="KHO33" i="1"/>
  <c r="KHN33" i="1"/>
  <c r="KHM33" i="1"/>
  <c r="KHL33" i="1"/>
  <c r="KHK33" i="1"/>
  <c r="KHJ33" i="1"/>
  <c r="KHI33" i="1"/>
  <c r="KHH33" i="1"/>
  <c r="KHG33" i="1"/>
  <c r="KHF33" i="1"/>
  <c r="KHE33" i="1"/>
  <c r="KHD33" i="1"/>
  <c r="KHC33" i="1"/>
  <c r="KHB33" i="1"/>
  <c r="KHA33" i="1"/>
  <c r="KGZ33" i="1"/>
  <c r="KGY33" i="1"/>
  <c r="KGX33" i="1"/>
  <c r="KGW33" i="1"/>
  <c r="KGV33" i="1"/>
  <c r="KGU33" i="1"/>
  <c r="KGT33" i="1"/>
  <c r="KGS33" i="1"/>
  <c r="KGR33" i="1"/>
  <c r="KGQ33" i="1"/>
  <c r="KGP33" i="1"/>
  <c r="KGO33" i="1"/>
  <c r="KGN33" i="1"/>
  <c r="KGM33" i="1"/>
  <c r="KGL33" i="1"/>
  <c r="KGK33" i="1"/>
  <c r="KGJ33" i="1"/>
  <c r="KGI33" i="1"/>
  <c r="KGH33" i="1"/>
  <c r="KGG33" i="1"/>
  <c r="KGF33" i="1"/>
  <c r="KGE33" i="1"/>
  <c r="KGD33" i="1"/>
  <c r="KGC33" i="1"/>
  <c r="KGB33" i="1"/>
  <c r="KGA33" i="1"/>
  <c r="KFZ33" i="1"/>
  <c r="KFY33" i="1"/>
  <c r="KFX33" i="1"/>
  <c r="KFW33" i="1"/>
  <c r="KJR32" i="1"/>
  <c r="KJQ32" i="1"/>
  <c r="KJP32" i="1"/>
  <c r="KJO32" i="1"/>
  <c r="KJN32" i="1"/>
  <c r="KJM32" i="1"/>
  <c r="KJL32" i="1"/>
  <c r="KJK32" i="1"/>
  <c r="KJJ32" i="1"/>
  <c r="KJI32" i="1"/>
  <c r="KJH32" i="1"/>
  <c r="KJG32" i="1"/>
  <c r="KJF32" i="1"/>
  <c r="KJE32" i="1"/>
  <c r="KJD32" i="1"/>
  <c r="KJC32" i="1"/>
  <c r="KJB32" i="1"/>
  <c r="KJA32" i="1"/>
  <c r="KIZ32" i="1"/>
  <c r="KIY32" i="1"/>
  <c r="KIX32" i="1"/>
  <c r="KIW32" i="1"/>
  <c r="KIV32" i="1"/>
  <c r="KIU32" i="1"/>
  <c r="KIT32" i="1"/>
  <c r="KIS32" i="1"/>
  <c r="KIR32" i="1"/>
  <c r="KIQ32" i="1"/>
  <c r="KIP32" i="1"/>
  <c r="KIO32" i="1"/>
  <c r="KIN32" i="1"/>
  <c r="KIM32" i="1"/>
  <c r="KIL32" i="1"/>
  <c r="KIK32" i="1"/>
  <c r="KIJ32" i="1"/>
  <c r="KII32" i="1"/>
  <c r="KIH32" i="1"/>
  <c r="KIG32" i="1"/>
  <c r="KIF32" i="1"/>
  <c r="KIE32" i="1"/>
  <c r="KID32" i="1"/>
  <c r="KIC32" i="1"/>
  <c r="KIB32" i="1"/>
  <c r="KIA32" i="1"/>
  <c r="KHZ32" i="1"/>
  <c r="KHY32" i="1"/>
  <c r="KHX32" i="1"/>
  <c r="KHW32" i="1"/>
  <c r="KHV32" i="1"/>
  <c r="KHU32" i="1"/>
  <c r="KHT32" i="1"/>
  <c r="KHS32" i="1"/>
  <c r="KHR32" i="1"/>
  <c r="KHQ32" i="1"/>
  <c r="KHP32" i="1"/>
  <c r="KHO32" i="1"/>
  <c r="KHN32" i="1"/>
  <c r="KHM32" i="1"/>
  <c r="KHL32" i="1"/>
  <c r="KHK32" i="1"/>
  <c r="KHJ32" i="1"/>
  <c r="KHI32" i="1"/>
  <c r="KHH32" i="1"/>
  <c r="KHG32" i="1"/>
  <c r="KHF32" i="1"/>
  <c r="KHE32" i="1"/>
  <c r="KHD32" i="1"/>
  <c r="KHC32" i="1"/>
  <c r="KHB32" i="1"/>
  <c r="KHA32" i="1"/>
  <c r="KGZ32" i="1"/>
  <c r="KGY32" i="1"/>
  <c r="KGX32" i="1"/>
  <c r="KGW32" i="1"/>
  <c r="KGV32" i="1"/>
  <c r="KGU32" i="1"/>
  <c r="KGT32" i="1"/>
  <c r="KGS32" i="1"/>
  <c r="KGR32" i="1"/>
  <c r="KGQ32" i="1"/>
  <c r="KGP32" i="1"/>
  <c r="KGO32" i="1"/>
  <c r="KGN32" i="1"/>
  <c r="KGM32" i="1"/>
  <c r="KGL32" i="1"/>
  <c r="KGK32" i="1"/>
  <c r="KGJ32" i="1"/>
  <c r="KGI32" i="1"/>
  <c r="KGH32" i="1"/>
  <c r="KGG32" i="1"/>
  <c r="KGF32" i="1"/>
  <c r="KGE32" i="1"/>
  <c r="KGD32" i="1"/>
  <c r="KGC32" i="1"/>
  <c r="KGB32" i="1"/>
  <c r="KGA32" i="1"/>
  <c r="KFZ32" i="1"/>
  <c r="KFY32" i="1"/>
  <c r="KFX32" i="1"/>
  <c r="KFW32" i="1"/>
  <c r="KJR31" i="1"/>
  <c r="KJQ31" i="1"/>
  <c r="KJP31" i="1"/>
  <c r="KJO31" i="1"/>
  <c r="KJN31" i="1"/>
  <c r="KJM31" i="1"/>
  <c r="KJL31" i="1"/>
  <c r="KJK31" i="1"/>
  <c r="KJJ31" i="1"/>
  <c r="KJI31" i="1"/>
  <c r="KJH31" i="1"/>
  <c r="KJG31" i="1"/>
  <c r="KJF31" i="1"/>
  <c r="KJE31" i="1"/>
  <c r="KJD31" i="1"/>
  <c r="KJC31" i="1"/>
  <c r="KJB31" i="1"/>
  <c r="KJA31" i="1"/>
  <c r="KIZ31" i="1"/>
  <c r="KIY31" i="1"/>
  <c r="KIX31" i="1"/>
  <c r="KIW31" i="1"/>
  <c r="KIV31" i="1"/>
  <c r="KIU31" i="1"/>
  <c r="KIT31" i="1"/>
  <c r="KIS31" i="1"/>
  <c r="KIR31" i="1"/>
  <c r="KIQ31" i="1"/>
  <c r="KIP31" i="1"/>
  <c r="KIO31" i="1"/>
  <c r="KIN31" i="1"/>
  <c r="KIM31" i="1"/>
  <c r="KIL31" i="1"/>
  <c r="KIK31" i="1"/>
  <c r="KIJ31" i="1"/>
  <c r="KII31" i="1"/>
  <c r="KIH31" i="1"/>
  <c r="KIG31" i="1"/>
  <c r="KIF31" i="1"/>
  <c r="KIE31" i="1"/>
  <c r="KID31" i="1"/>
  <c r="KIC31" i="1"/>
  <c r="KIB31" i="1"/>
  <c r="KIA31" i="1"/>
  <c r="KHZ31" i="1"/>
  <c r="KHY31" i="1"/>
  <c r="KHX31" i="1"/>
  <c r="KHW31" i="1"/>
  <c r="KHV31" i="1"/>
  <c r="KHU31" i="1"/>
  <c r="KHT31" i="1"/>
  <c r="KHS31" i="1"/>
  <c r="KHR31" i="1"/>
  <c r="KHQ31" i="1"/>
  <c r="KHP31" i="1"/>
  <c r="KHO31" i="1"/>
  <c r="KHN31" i="1"/>
  <c r="KHM31" i="1"/>
  <c r="KHL31" i="1"/>
  <c r="KHK31" i="1"/>
  <c r="KHJ31" i="1"/>
  <c r="KHI31" i="1"/>
  <c r="KHH31" i="1"/>
  <c r="KHG31" i="1"/>
  <c r="KHF31" i="1"/>
  <c r="KHE31" i="1"/>
  <c r="KHD31" i="1"/>
  <c r="KHC31" i="1"/>
  <c r="KHB31" i="1"/>
  <c r="KHA31" i="1"/>
  <c r="KGZ31" i="1"/>
  <c r="KGY31" i="1"/>
  <c r="KGX31" i="1"/>
  <c r="KGW31" i="1"/>
  <c r="KGV31" i="1"/>
  <c r="KGU31" i="1"/>
  <c r="KGT31" i="1"/>
  <c r="KGS31" i="1"/>
  <c r="KGR31" i="1"/>
  <c r="KGQ31" i="1"/>
  <c r="KGP31" i="1"/>
  <c r="KGO31" i="1"/>
  <c r="KGN31" i="1"/>
  <c r="KGM31" i="1"/>
  <c r="KGL31" i="1"/>
  <c r="KGK31" i="1"/>
  <c r="KGJ31" i="1"/>
  <c r="KGI31" i="1"/>
  <c r="KGH31" i="1"/>
  <c r="KGG31" i="1"/>
  <c r="KGF31" i="1"/>
  <c r="KGE31" i="1"/>
  <c r="KGD31" i="1"/>
  <c r="KGC31" i="1"/>
  <c r="KGB31" i="1"/>
  <c r="KGA31" i="1"/>
  <c r="KFZ31" i="1"/>
  <c r="KFY31" i="1"/>
  <c r="KFX31" i="1"/>
  <c r="KFW31" i="1"/>
  <c r="KJR30" i="1"/>
  <c r="KJQ30" i="1"/>
  <c r="KJP30" i="1"/>
  <c r="KJO30" i="1"/>
  <c r="KJN30" i="1"/>
  <c r="KJM30" i="1"/>
  <c r="KJL30" i="1"/>
  <c r="KJK30" i="1"/>
  <c r="KJJ30" i="1"/>
  <c r="KJI30" i="1"/>
  <c r="KJH30" i="1"/>
  <c r="KJG30" i="1"/>
  <c r="KJF30" i="1"/>
  <c r="KJE30" i="1"/>
  <c r="KJD30" i="1"/>
  <c r="KJC30" i="1"/>
  <c r="KJB30" i="1"/>
  <c r="KJA30" i="1"/>
  <c r="KIZ30" i="1"/>
  <c r="KIY30" i="1"/>
  <c r="KIX30" i="1"/>
  <c r="KIW30" i="1"/>
  <c r="KIV30" i="1"/>
  <c r="KIU30" i="1"/>
  <c r="KIT30" i="1"/>
  <c r="KIS30" i="1"/>
  <c r="KIR30" i="1"/>
  <c r="KIQ30" i="1"/>
  <c r="KIP30" i="1"/>
  <c r="KIO30" i="1"/>
  <c r="KIN30" i="1"/>
  <c r="KIM30" i="1"/>
  <c r="KIL30" i="1"/>
  <c r="KIK30" i="1"/>
  <c r="KIJ30" i="1"/>
  <c r="KII30" i="1"/>
  <c r="KIH30" i="1"/>
  <c r="KIG30" i="1"/>
  <c r="KIF30" i="1"/>
  <c r="KIE30" i="1"/>
  <c r="KID30" i="1"/>
  <c r="KIC30" i="1"/>
  <c r="KIB30" i="1"/>
  <c r="KIA30" i="1"/>
  <c r="KHZ30" i="1"/>
  <c r="KHY30" i="1"/>
  <c r="KHX30" i="1"/>
  <c r="KHW30" i="1"/>
  <c r="KHV30" i="1"/>
  <c r="KHU30" i="1"/>
  <c r="KHT30" i="1"/>
  <c r="KHS30" i="1"/>
  <c r="KHR30" i="1"/>
  <c r="KHQ30" i="1"/>
  <c r="KHP30" i="1"/>
  <c r="KHO30" i="1"/>
  <c r="KHN30" i="1"/>
  <c r="KHM30" i="1"/>
  <c r="KHL30" i="1"/>
  <c r="KHK30" i="1"/>
  <c r="KHJ30" i="1"/>
  <c r="KHI30" i="1"/>
  <c r="KHH30" i="1"/>
  <c r="KHG30" i="1"/>
  <c r="KHF30" i="1"/>
  <c r="KHE30" i="1"/>
  <c r="KHD30" i="1"/>
  <c r="KHC30" i="1"/>
  <c r="KHB30" i="1"/>
  <c r="KHA30" i="1"/>
  <c r="KGZ30" i="1"/>
  <c r="KGY30" i="1"/>
  <c r="KGX30" i="1"/>
  <c r="KGW30" i="1"/>
  <c r="KGV30" i="1"/>
  <c r="KGU30" i="1"/>
  <c r="KGT30" i="1"/>
  <c r="KGS30" i="1"/>
  <c r="KGR30" i="1"/>
  <c r="KGQ30" i="1"/>
  <c r="KGP30" i="1"/>
  <c r="KGO30" i="1"/>
  <c r="KGN30" i="1"/>
  <c r="KGM30" i="1"/>
  <c r="KGL30" i="1"/>
  <c r="KGK30" i="1"/>
  <c r="KGJ30" i="1"/>
  <c r="KGI30" i="1"/>
  <c r="KGH30" i="1"/>
  <c r="KGG30" i="1"/>
  <c r="KGF30" i="1"/>
  <c r="KGE30" i="1"/>
  <c r="KGD30" i="1"/>
  <c r="KGC30" i="1"/>
  <c r="KGB30" i="1"/>
  <c r="KGA30" i="1"/>
  <c r="KFZ30" i="1"/>
  <c r="KFY30" i="1"/>
  <c r="KFX30" i="1"/>
  <c r="KFW30" i="1"/>
  <c r="KJR29" i="1"/>
  <c r="KJQ29" i="1"/>
  <c r="KJP29" i="1"/>
  <c r="KJO29" i="1"/>
  <c r="KJN29" i="1"/>
  <c r="KJM29" i="1"/>
  <c r="KJL29" i="1"/>
  <c r="KJK29" i="1"/>
  <c r="KJJ29" i="1"/>
  <c r="KJI29" i="1"/>
  <c r="KJH29" i="1"/>
  <c r="KJG29" i="1"/>
  <c r="KJF29" i="1"/>
  <c r="KJE29" i="1"/>
  <c r="KJD29" i="1"/>
  <c r="KJC29" i="1"/>
  <c r="KJB29" i="1"/>
  <c r="KJA29" i="1"/>
  <c r="KIZ29" i="1"/>
  <c r="KIY29" i="1"/>
  <c r="KIX29" i="1"/>
  <c r="KIW29" i="1"/>
  <c r="KIV29" i="1"/>
  <c r="KIU29" i="1"/>
  <c r="KIT29" i="1"/>
  <c r="KIS29" i="1"/>
  <c r="KIR29" i="1"/>
  <c r="KIQ29" i="1"/>
  <c r="KIP29" i="1"/>
  <c r="KIO29" i="1"/>
  <c r="KIN29" i="1"/>
  <c r="KIM29" i="1"/>
  <c r="KIL29" i="1"/>
  <c r="KIK29" i="1"/>
  <c r="KIJ29" i="1"/>
  <c r="KII29" i="1"/>
  <c r="KIH29" i="1"/>
  <c r="KIG29" i="1"/>
  <c r="KIF29" i="1"/>
  <c r="KIE29" i="1"/>
  <c r="KID29" i="1"/>
  <c r="KIC29" i="1"/>
  <c r="KIB29" i="1"/>
  <c r="KIA29" i="1"/>
  <c r="KHZ29" i="1"/>
  <c r="KHY29" i="1"/>
  <c r="KHX29" i="1"/>
  <c r="KHW29" i="1"/>
  <c r="KHV29" i="1"/>
  <c r="KHU29" i="1"/>
  <c r="KHT29" i="1"/>
  <c r="KHS29" i="1"/>
  <c r="KHR29" i="1"/>
  <c r="KHQ29" i="1"/>
  <c r="KHP29" i="1"/>
  <c r="KHO29" i="1"/>
  <c r="KHN29" i="1"/>
  <c r="KHM29" i="1"/>
  <c r="KHL29" i="1"/>
  <c r="KHK29" i="1"/>
  <c r="KHJ29" i="1"/>
  <c r="KHI29" i="1"/>
  <c r="KHH29" i="1"/>
  <c r="KHG29" i="1"/>
  <c r="KHF29" i="1"/>
  <c r="KHE29" i="1"/>
  <c r="KHD29" i="1"/>
  <c r="KHC29" i="1"/>
  <c r="KHB29" i="1"/>
  <c r="KHA29" i="1"/>
  <c r="KGZ29" i="1"/>
  <c r="KGY29" i="1"/>
  <c r="KGX29" i="1"/>
  <c r="KGW29" i="1"/>
  <c r="KGV29" i="1"/>
  <c r="KGU29" i="1"/>
  <c r="KGT29" i="1"/>
  <c r="KGS29" i="1"/>
  <c r="KGR29" i="1"/>
  <c r="KGQ29" i="1"/>
  <c r="KGP29" i="1"/>
  <c r="KGO29" i="1"/>
  <c r="KGN29" i="1"/>
  <c r="KGM29" i="1"/>
  <c r="KGL29" i="1"/>
  <c r="KGK29" i="1"/>
  <c r="KGJ29" i="1"/>
  <c r="KGI29" i="1"/>
  <c r="KGH29" i="1"/>
  <c r="KGG29" i="1"/>
  <c r="KGF29" i="1"/>
  <c r="KGE29" i="1"/>
  <c r="KGD29" i="1"/>
  <c r="KGC29" i="1"/>
  <c r="KGB29" i="1"/>
  <c r="KGA29" i="1"/>
  <c r="KFZ29" i="1"/>
  <c r="KFY29" i="1"/>
  <c r="KFX29" i="1"/>
  <c r="KFW29" i="1"/>
  <c r="KJR28" i="1"/>
  <c r="KJQ28" i="1"/>
  <c r="KJP28" i="1"/>
  <c r="KJO28" i="1"/>
  <c r="KJN28" i="1"/>
  <c r="KJM28" i="1"/>
  <c r="KJL28" i="1"/>
  <c r="KJK28" i="1"/>
  <c r="KJJ28" i="1"/>
  <c r="KJI28" i="1"/>
  <c r="KJH28" i="1"/>
  <c r="KJG28" i="1"/>
  <c r="KJF28" i="1"/>
  <c r="KJE28" i="1"/>
  <c r="KJD28" i="1"/>
  <c r="KJC28" i="1"/>
  <c r="KJB28" i="1"/>
  <c r="KJA28" i="1"/>
  <c r="KIZ28" i="1"/>
  <c r="KIY28" i="1"/>
  <c r="KIX28" i="1"/>
  <c r="KIW28" i="1"/>
  <c r="KIV28" i="1"/>
  <c r="KIU28" i="1"/>
  <c r="KIT28" i="1"/>
  <c r="KIS28" i="1"/>
  <c r="KIR28" i="1"/>
  <c r="KIQ28" i="1"/>
  <c r="KIP28" i="1"/>
  <c r="KIO28" i="1"/>
  <c r="KIN28" i="1"/>
  <c r="KIM28" i="1"/>
  <c r="KIL28" i="1"/>
  <c r="KIK28" i="1"/>
  <c r="KIJ28" i="1"/>
  <c r="KII28" i="1"/>
  <c r="KIH28" i="1"/>
  <c r="KIG28" i="1"/>
  <c r="KIF28" i="1"/>
  <c r="KIE28" i="1"/>
  <c r="KID28" i="1"/>
  <c r="KIC28" i="1"/>
  <c r="KIB28" i="1"/>
  <c r="KIA28" i="1"/>
  <c r="KHZ28" i="1"/>
  <c r="KHY28" i="1"/>
  <c r="KHX28" i="1"/>
  <c r="KHW28" i="1"/>
  <c r="KHV28" i="1"/>
  <c r="KHU28" i="1"/>
  <c r="KHT28" i="1"/>
  <c r="KHS28" i="1"/>
  <c r="KHR28" i="1"/>
  <c r="KHQ28" i="1"/>
  <c r="KHP28" i="1"/>
  <c r="KHO28" i="1"/>
  <c r="KHN28" i="1"/>
  <c r="KHM28" i="1"/>
  <c r="KHL28" i="1"/>
  <c r="KHK28" i="1"/>
  <c r="KHJ28" i="1"/>
  <c r="KHI28" i="1"/>
  <c r="KHH28" i="1"/>
  <c r="KHG28" i="1"/>
  <c r="KHF28" i="1"/>
  <c r="KHE28" i="1"/>
  <c r="KHD28" i="1"/>
  <c r="KHC28" i="1"/>
  <c r="KHB28" i="1"/>
  <c r="KHA28" i="1"/>
  <c r="KGZ28" i="1"/>
  <c r="KGY28" i="1"/>
  <c r="KGX28" i="1"/>
  <c r="KGW28" i="1"/>
  <c r="KGV28" i="1"/>
  <c r="KGU28" i="1"/>
  <c r="KGT28" i="1"/>
  <c r="KGS28" i="1"/>
  <c r="KGR28" i="1"/>
  <c r="KGQ28" i="1"/>
  <c r="KGP28" i="1"/>
  <c r="KGO28" i="1"/>
  <c r="KGN28" i="1"/>
  <c r="KGM28" i="1"/>
  <c r="KGL28" i="1"/>
  <c r="KGK28" i="1"/>
  <c r="KGJ28" i="1"/>
  <c r="KGI28" i="1"/>
  <c r="KGH28" i="1"/>
  <c r="KGG28" i="1"/>
  <c r="KGF28" i="1"/>
  <c r="KGE28" i="1"/>
  <c r="KGD28" i="1"/>
  <c r="KGC28" i="1"/>
  <c r="KGB28" i="1"/>
  <c r="KGA28" i="1"/>
  <c r="KFZ28" i="1"/>
  <c r="KFY28" i="1"/>
  <c r="KFX28" i="1"/>
  <c r="KFW28" i="1"/>
  <c r="KJR27" i="1"/>
  <c r="KJQ27" i="1"/>
  <c r="KJP27" i="1"/>
  <c r="KJO27" i="1"/>
  <c r="KJN27" i="1"/>
  <c r="KJM27" i="1"/>
  <c r="KJL27" i="1"/>
  <c r="KJK27" i="1"/>
  <c r="KJJ27" i="1"/>
  <c r="KJI27" i="1"/>
  <c r="KJH27" i="1"/>
  <c r="KJG27" i="1"/>
  <c r="KJF27" i="1"/>
  <c r="KJE27" i="1"/>
  <c r="KJD27" i="1"/>
  <c r="KJC27" i="1"/>
  <c r="KJB27" i="1"/>
  <c r="KJA27" i="1"/>
  <c r="KIZ27" i="1"/>
  <c r="KIY27" i="1"/>
  <c r="KIX27" i="1"/>
  <c r="KIW27" i="1"/>
  <c r="KIV27" i="1"/>
  <c r="KIU27" i="1"/>
  <c r="KIT27" i="1"/>
  <c r="KIS27" i="1"/>
  <c r="KIR27" i="1"/>
  <c r="KIQ27" i="1"/>
  <c r="KIP27" i="1"/>
  <c r="KIO27" i="1"/>
  <c r="KIN27" i="1"/>
  <c r="KIM27" i="1"/>
  <c r="KIL27" i="1"/>
  <c r="KIK27" i="1"/>
  <c r="KIJ27" i="1"/>
  <c r="KII27" i="1"/>
  <c r="KIH27" i="1"/>
  <c r="KIG27" i="1"/>
  <c r="KIF27" i="1"/>
  <c r="KIE27" i="1"/>
  <c r="KID27" i="1"/>
  <c r="KIC27" i="1"/>
  <c r="KIB27" i="1"/>
  <c r="KIA27" i="1"/>
  <c r="KHZ27" i="1"/>
  <c r="KHY27" i="1"/>
  <c r="KHX27" i="1"/>
  <c r="KHW27" i="1"/>
  <c r="KHV27" i="1"/>
  <c r="KHU27" i="1"/>
  <c r="KHT27" i="1"/>
  <c r="KHS27" i="1"/>
  <c r="KHR27" i="1"/>
  <c r="KHQ27" i="1"/>
  <c r="KHP27" i="1"/>
  <c r="KHO27" i="1"/>
  <c r="KHN27" i="1"/>
  <c r="KHM27" i="1"/>
  <c r="KHL27" i="1"/>
  <c r="KHK27" i="1"/>
  <c r="KHJ27" i="1"/>
  <c r="KHI27" i="1"/>
  <c r="KHH27" i="1"/>
  <c r="KHG27" i="1"/>
  <c r="KHF27" i="1"/>
  <c r="KHE27" i="1"/>
  <c r="KHD27" i="1"/>
  <c r="KHC27" i="1"/>
  <c r="KHB27" i="1"/>
  <c r="KHA27" i="1"/>
  <c r="KGZ27" i="1"/>
  <c r="KGY27" i="1"/>
  <c r="KGX27" i="1"/>
  <c r="KGW27" i="1"/>
  <c r="KGV27" i="1"/>
  <c r="KGU27" i="1"/>
  <c r="KGT27" i="1"/>
  <c r="KGS27" i="1"/>
  <c r="KGR27" i="1"/>
  <c r="KGQ27" i="1"/>
  <c r="KGP27" i="1"/>
  <c r="KGO27" i="1"/>
  <c r="KGN27" i="1"/>
  <c r="KGM27" i="1"/>
  <c r="KGL27" i="1"/>
  <c r="KGK27" i="1"/>
  <c r="KGJ27" i="1"/>
  <c r="KGI27" i="1"/>
  <c r="KGH27" i="1"/>
  <c r="KGG27" i="1"/>
  <c r="KGF27" i="1"/>
  <c r="KGE27" i="1"/>
  <c r="KGD27" i="1"/>
  <c r="KGC27" i="1"/>
  <c r="KGB27" i="1"/>
  <c r="KGA27" i="1"/>
  <c r="KFZ27" i="1"/>
  <c r="KFY27" i="1"/>
  <c r="KFX27" i="1"/>
  <c r="KFW27" i="1"/>
  <c r="KJR26" i="1"/>
  <c r="KJQ26" i="1"/>
  <c r="KJP26" i="1"/>
  <c r="KJO26" i="1"/>
  <c r="KJN26" i="1"/>
  <c r="KJM26" i="1"/>
  <c r="KJL26" i="1"/>
  <c r="KJK26" i="1"/>
  <c r="KJJ26" i="1"/>
  <c r="KJI26" i="1"/>
  <c r="KJH26" i="1"/>
  <c r="KJG26" i="1"/>
  <c r="KJF26" i="1"/>
  <c r="KJE26" i="1"/>
  <c r="KJD26" i="1"/>
  <c r="KJC26" i="1"/>
  <c r="KJB26" i="1"/>
  <c r="KJA26" i="1"/>
  <c r="KIZ26" i="1"/>
  <c r="KIY26" i="1"/>
  <c r="KIX26" i="1"/>
  <c r="KIW26" i="1"/>
  <c r="KIV26" i="1"/>
  <c r="KIU26" i="1"/>
  <c r="KIT26" i="1"/>
  <c r="KIS26" i="1"/>
  <c r="KIR26" i="1"/>
  <c r="KIQ26" i="1"/>
  <c r="KIP26" i="1"/>
  <c r="KIO26" i="1"/>
  <c r="KIN26" i="1"/>
  <c r="KIM26" i="1"/>
  <c r="KIL26" i="1"/>
  <c r="KIK26" i="1"/>
  <c r="KIJ26" i="1"/>
  <c r="KII26" i="1"/>
  <c r="KIH26" i="1"/>
  <c r="KIG26" i="1"/>
  <c r="KIF26" i="1"/>
  <c r="KIE26" i="1"/>
  <c r="KID26" i="1"/>
  <c r="KIC26" i="1"/>
  <c r="KIB26" i="1"/>
  <c r="KIA26" i="1"/>
  <c r="KHZ26" i="1"/>
  <c r="KHY26" i="1"/>
  <c r="KHX26" i="1"/>
  <c r="KHW26" i="1"/>
  <c r="KHV26" i="1"/>
  <c r="KHU26" i="1"/>
  <c r="KHT26" i="1"/>
  <c r="KHS26" i="1"/>
  <c r="KHR26" i="1"/>
  <c r="KHQ26" i="1"/>
  <c r="KHP26" i="1"/>
  <c r="KHO26" i="1"/>
  <c r="KHN26" i="1"/>
  <c r="KHM26" i="1"/>
  <c r="KHL26" i="1"/>
  <c r="KHK26" i="1"/>
  <c r="KHJ26" i="1"/>
  <c r="KHI26" i="1"/>
  <c r="KHH26" i="1"/>
  <c r="KHG26" i="1"/>
  <c r="KHF26" i="1"/>
  <c r="KHE26" i="1"/>
  <c r="KHD26" i="1"/>
  <c r="KHC26" i="1"/>
  <c r="KHB26" i="1"/>
  <c r="KHA26" i="1"/>
  <c r="KGZ26" i="1"/>
  <c r="KGY26" i="1"/>
  <c r="KGX26" i="1"/>
  <c r="KGW26" i="1"/>
  <c r="KGV26" i="1"/>
  <c r="KGU26" i="1"/>
  <c r="KGT26" i="1"/>
  <c r="KGS26" i="1"/>
  <c r="KGR26" i="1"/>
  <c r="KGQ26" i="1"/>
  <c r="KGP26" i="1"/>
  <c r="KGO26" i="1"/>
  <c r="KGN26" i="1"/>
  <c r="KGM26" i="1"/>
  <c r="KGL26" i="1"/>
  <c r="KGK26" i="1"/>
  <c r="KGJ26" i="1"/>
  <c r="KGI26" i="1"/>
  <c r="KGH26" i="1"/>
  <c r="KGG26" i="1"/>
  <c r="KGF26" i="1"/>
  <c r="KGE26" i="1"/>
  <c r="KGD26" i="1"/>
  <c r="KGC26" i="1"/>
  <c r="KGB26" i="1"/>
  <c r="KGA26" i="1"/>
  <c r="KFZ26" i="1"/>
  <c r="KFY26" i="1"/>
  <c r="KFX26" i="1"/>
  <c r="KFW26" i="1"/>
  <c r="KJR25" i="1"/>
  <c r="KJQ25" i="1"/>
  <c r="KJP25" i="1"/>
  <c r="KJO25" i="1"/>
  <c r="KJN25" i="1"/>
  <c r="KJM25" i="1"/>
  <c r="KJL25" i="1"/>
  <c r="KJK25" i="1"/>
  <c r="KJJ25" i="1"/>
  <c r="KJI25" i="1"/>
  <c r="KJH25" i="1"/>
  <c r="KJG25" i="1"/>
  <c r="KJF25" i="1"/>
  <c r="KJE25" i="1"/>
  <c r="KJD25" i="1"/>
  <c r="KJC25" i="1"/>
  <c r="KJB25" i="1"/>
  <c r="KJA25" i="1"/>
  <c r="KIZ25" i="1"/>
  <c r="KIY25" i="1"/>
  <c r="KIX25" i="1"/>
  <c r="KIW25" i="1"/>
  <c r="KIV25" i="1"/>
  <c r="KIU25" i="1"/>
  <c r="KIT25" i="1"/>
  <c r="KIS25" i="1"/>
  <c r="KIR25" i="1"/>
  <c r="KIQ25" i="1"/>
  <c r="KIP25" i="1"/>
  <c r="KIO25" i="1"/>
  <c r="KIN25" i="1"/>
  <c r="KIM25" i="1"/>
  <c r="KIL25" i="1"/>
  <c r="KIK25" i="1"/>
  <c r="KIJ25" i="1"/>
  <c r="KII25" i="1"/>
  <c r="KIH25" i="1"/>
  <c r="KIG25" i="1"/>
  <c r="KIF25" i="1"/>
  <c r="KIE25" i="1"/>
  <c r="KID25" i="1"/>
  <c r="KIC25" i="1"/>
  <c r="KIB25" i="1"/>
  <c r="KIA25" i="1"/>
  <c r="KHZ25" i="1"/>
  <c r="KHY25" i="1"/>
  <c r="KHX25" i="1"/>
  <c r="KHW25" i="1"/>
  <c r="KHV25" i="1"/>
  <c r="KHU25" i="1"/>
  <c r="KHT25" i="1"/>
  <c r="KHS25" i="1"/>
  <c r="KHR25" i="1"/>
  <c r="KHQ25" i="1"/>
  <c r="KHP25" i="1"/>
  <c r="KHO25" i="1"/>
  <c r="KHN25" i="1"/>
  <c r="KHM25" i="1"/>
  <c r="KHL25" i="1"/>
  <c r="KHK25" i="1"/>
  <c r="KHJ25" i="1"/>
  <c r="KHI25" i="1"/>
  <c r="KHH25" i="1"/>
  <c r="KHG25" i="1"/>
  <c r="KHF25" i="1"/>
  <c r="KHE25" i="1"/>
  <c r="KHD25" i="1"/>
  <c r="KHC25" i="1"/>
  <c r="KHB25" i="1"/>
  <c r="KHA25" i="1"/>
  <c r="KGZ25" i="1"/>
  <c r="KGY25" i="1"/>
  <c r="KGX25" i="1"/>
  <c r="KGW25" i="1"/>
  <c r="KGV25" i="1"/>
  <c r="KGU25" i="1"/>
  <c r="KGT25" i="1"/>
  <c r="KGS25" i="1"/>
  <c r="KGR25" i="1"/>
  <c r="KGQ25" i="1"/>
  <c r="KGP25" i="1"/>
  <c r="KGO25" i="1"/>
  <c r="KGN25" i="1"/>
  <c r="KGM25" i="1"/>
  <c r="KGL25" i="1"/>
  <c r="KGK25" i="1"/>
  <c r="KGJ25" i="1"/>
  <c r="KGI25" i="1"/>
  <c r="KGH25" i="1"/>
  <c r="KGG25" i="1"/>
  <c r="KGF25" i="1"/>
  <c r="KGE25" i="1"/>
  <c r="KGD25" i="1"/>
  <c r="KGC25" i="1"/>
  <c r="KGB25" i="1"/>
  <c r="KGA25" i="1"/>
  <c r="KFZ25" i="1"/>
  <c r="KFY25" i="1"/>
  <c r="KFX25" i="1"/>
  <c r="KFW25" i="1"/>
  <c r="KJR24" i="1"/>
  <c r="KJQ24" i="1"/>
  <c r="KJP24" i="1"/>
  <c r="KJO24" i="1"/>
  <c r="KJN24" i="1"/>
  <c r="KJM24" i="1"/>
  <c r="KJL24" i="1"/>
  <c r="KJK24" i="1"/>
  <c r="KJJ24" i="1"/>
  <c r="KJI24" i="1"/>
  <c r="KJH24" i="1"/>
  <c r="KJG24" i="1"/>
  <c r="KJF24" i="1"/>
  <c r="KJE24" i="1"/>
  <c r="KJD24" i="1"/>
  <c r="KJC24" i="1"/>
  <c r="KJB24" i="1"/>
  <c r="KJA24" i="1"/>
  <c r="KIZ24" i="1"/>
  <c r="KIY24" i="1"/>
  <c r="KIX24" i="1"/>
  <c r="KIW24" i="1"/>
  <c r="KIV24" i="1"/>
  <c r="KIU24" i="1"/>
  <c r="KIT24" i="1"/>
  <c r="KIS24" i="1"/>
  <c r="KIR24" i="1"/>
  <c r="KIQ24" i="1"/>
  <c r="KIP24" i="1"/>
  <c r="KIO24" i="1"/>
  <c r="KIN24" i="1"/>
  <c r="KIM24" i="1"/>
  <c r="KIL24" i="1"/>
  <c r="KIK24" i="1"/>
  <c r="KIJ24" i="1"/>
  <c r="KII24" i="1"/>
  <c r="KIH24" i="1"/>
  <c r="KIG24" i="1"/>
  <c r="KIF24" i="1"/>
  <c r="KIE24" i="1"/>
  <c r="KID24" i="1"/>
  <c r="KIC24" i="1"/>
  <c r="KIB24" i="1"/>
  <c r="KIA24" i="1"/>
  <c r="KHZ24" i="1"/>
  <c r="KHY24" i="1"/>
  <c r="KHX24" i="1"/>
  <c r="KHW24" i="1"/>
  <c r="KHV24" i="1"/>
  <c r="KHU24" i="1"/>
  <c r="KHT24" i="1"/>
  <c r="KHS24" i="1"/>
  <c r="KHR24" i="1"/>
  <c r="KHQ24" i="1"/>
  <c r="KHP24" i="1"/>
  <c r="KHO24" i="1"/>
  <c r="KHN24" i="1"/>
  <c r="KHM24" i="1"/>
  <c r="KHL24" i="1"/>
  <c r="KHK24" i="1"/>
  <c r="KHJ24" i="1"/>
  <c r="KHI24" i="1"/>
  <c r="KHH24" i="1"/>
  <c r="KHG24" i="1"/>
  <c r="KHF24" i="1"/>
  <c r="KHE24" i="1"/>
  <c r="KHD24" i="1"/>
  <c r="KHC24" i="1"/>
  <c r="KHB24" i="1"/>
  <c r="KHA24" i="1"/>
  <c r="KGZ24" i="1"/>
  <c r="KGY24" i="1"/>
  <c r="KGX24" i="1"/>
  <c r="KGW24" i="1"/>
  <c r="KGV24" i="1"/>
  <c r="KGU24" i="1"/>
  <c r="KGT24" i="1"/>
  <c r="KGS24" i="1"/>
  <c r="KGR24" i="1"/>
  <c r="KGQ24" i="1"/>
  <c r="KGP24" i="1"/>
  <c r="KGO24" i="1"/>
  <c r="KGN24" i="1"/>
  <c r="KGM24" i="1"/>
  <c r="KGL24" i="1"/>
  <c r="KGK24" i="1"/>
  <c r="KGJ24" i="1"/>
  <c r="KGI24" i="1"/>
  <c r="KGH24" i="1"/>
  <c r="KGG24" i="1"/>
  <c r="KGF24" i="1"/>
  <c r="KGE24" i="1"/>
  <c r="KGD24" i="1"/>
  <c r="KGC24" i="1"/>
  <c r="KGB24" i="1"/>
  <c r="KGA24" i="1"/>
  <c r="KFZ24" i="1"/>
  <c r="KFY24" i="1"/>
  <c r="KFX24" i="1"/>
  <c r="KFW24" i="1"/>
  <c r="KJR23" i="1"/>
  <c r="KJQ23" i="1"/>
  <c r="KJP23" i="1"/>
  <c r="KJO23" i="1"/>
  <c r="KJN23" i="1"/>
  <c r="KJM23" i="1"/>
  <c r="KJL23" i="1"/>
  <c r="KJK23" i="1"/>
  <c r="KJJ23" i="1"/>
  <c r="KJI23" i="1"/>
  <c r="KJH23" i="1"/>
  <c r="KJG23" i="1"/>
  <c r="KJF23" i="1"/>
  <c r="KJE23" i="1"/>
  <c r="KJD23" i="1"/>
  <c r="KJC23" i="1"/>
  <c r="KJB23" i="1"/>
  <c r="KJA23" i="1"/>
  <c r="KIZ23" i="1"/>
  <c r="KIY23" i="1"/>
  <c r="KIX23" i="1"/>
  <c r="KIW23" i="1"/>
  <c r="KIV23" i="1"/>
  <c r="KIU23" i="1"/>
  <c r="KIT23" i="1"/>
  <c r="KIS23" i="1"/>
  <c r="KIR23" i="1"/>
  <c r="KIQ23" i="1"/>
  <c r="KIP23" i="1"/>
  <c r="KIO23" i="1"/>
  <c r="KIN23" i="1"/>
  <c r="KIM23" i="1"/>
  <c r="KIL23" i="1"/>
  <c r="KIK23" i="1"/>
  <c r="KIJ23" i="1"/>
  <c r="KII23" i="1"/>
  <c r="KIH23" i="1"/>
  <c r="KIG23" i="1"/>
  <c r="KIF23" i="1"/>
  <c r="KIE23" i="1"/>
  <c r="KID23" i="1"/>
  <c r="KIC23" i="1"/>
  <c r="KIB23" i="1"/>
  <c r="KIA23" i="1"/>
  <c r="KHZ23" i="1"/>
  <c r="KHY23" i="1"/>
  <c r="KHX23" i="1"/>
  <c r="KHW23" i="1"/>
  <c r="KHV23" i="1"/>
  <c r="KHU23" i="1"/>
  <c r="KHT23" i="1"/>
  <c r="KHS23" i="1"/>
  <c r="KHR23" i="1"/>
  <c r="KHQ23" i="1"/>
  <c r="KHP23" i="1"/>
  <c r="KHO23" i="1"/>
  <c r="KHN23" i="1"/>
  <c r="KHM23" i="1"/>
  <c r="KHL23" i="1"/>
  <c r="KHK23" i="1"/>
  <c r="KHJ23" i="1"/>
  <c r="KHI23" i="1"/>
  <c r="KHH23" i="1"/>
  <c r="KHG23" i="1"/>
  <c r="KHF23" i="1"/>
  <c r="KHE23" i="1"/>
  <c r="KHD23" i="1"/>
  <c r="KHC23" i="1"/>
  <c r="KHB23" i="1"/>
  <c r="KHA23" i="1"/>
  <c r="KGZ23" i="1"/>
  <c r="KGY23" i="1"/>
  <c r="KGX23" i="1"/>
  <c r="KGW23" i="1"/>
  <c r="KGV23" i="1"/>
  <c r="KGU23" i="1"/>
  <c r="KGT23" i="1"/>
  <c r="KGS23" i="1"/>
  <c r="KGR23" i="1"/>
  <c r="KGQ23" i="1"/>
  <c r="KGP23" i="1"/>
  <c r="KGO23" i="1"/>
  <c r="KGN23" i="1"/>
  <c r="KGM23" i="1"/>
  <c r="KGL23" i="1"/>
  <c r="KGK23" i="1"/>
  <c r="KGJ23" i="1"/>
  <c r="KGI23" i="1"/>
  <c r="KGH23" i="1"/>
  <c r="KGG23" i="1"/>
  <c r="KGF23" i="1"/>
  <c r="KGE23" i="1"/>
  <c r="KGD23" i="1"/>
  <c r="KGC23" i="1"/>
  <c r="KGB23" i="1"/>
  <c r="KGA23" i="1"/>
  <c r="KFZ23" i="1"/>
  <c r="KFY23" i="1"/>
  <c r="KFX23" i="1"/>
  <c r="KFW23" i="1"/>
  <c r="KJR22" i="1"/>
  <c r="KJQ22" i="1"/>
  <c r="KJP22" i="1"/>
  <c r="KJO22" i="1"/>
  <c r="KJN22" i="1"/>
  <c r="KJM22" i="1"/>
  <c r="KJL22" i="1"/>
  <c r="KJK22" i="1"/>
  <c r="KJJ22" i="1"/>
  <c r="KJI22" i="1"/>
  <c r="KJH22" i="1"/>
  <c r="KJG22" i="1"/>
  <c r="KJF22" i="1"/>
  <c r="KJE22" i="1"/>
  <c r="KJD22" i="1"/>
  <c r="KJC22" i="1"/>
  <c r="KJB22" i="1"/>
  <c r="KJA22" i="1"/>
  <c r="KIZ22" i="1"/>
  <c r="KIY22" i="1"/>
  <c r="KIX22" i="1"/>
  <c r="KIW22" i="1"/>
  <c r="KIV22" i="1"/>
  <c r="KIU22" i="1"/>
  <c r="KIT22" i="1"/>
  <c r="KIS22" i="1"/>
  <c r="KIR22" i="1"/>
  <c r="KIQ22" i="1"/>
  <c r="KIP22" i="1"/>
  <c r="KIO22" i="1"/>
  <c r="KIN22" i="1"/>
  <c r="KIM22" i="1"/>
  <c r="KIL22" i="1"/>
  <c r="KIK22" i="1"/>
  <c r="KIJ22" i="1"/>
  <c r="KII22" i="1"/>
  <c r="KIH22" i="1"/>
  <c r="KIG22" i="1"/>
  <c r="KIF22" i="1"/>
  <c r="KIE22" i="1"/>
  <c r="KID22" i="1"/>
  <c r="KIC22" i="1"/>
  <c r="KIB22" i="1"/>
  <c r="KIA22" i="1"/>
  <c r="KHZ22" i="1"/>
  <c r="KHY22" i="1"/>
  <c r="KHX22" i="1"/>
  <c r="KHW22" i="1"/>
  <c r="KHV22" i="1"/>
  <c r="KHU22" i="1"/>
  <c r="KHT22" i="1"/>
  <c r="KHS22" i="1"/>
  <c r="KHR22" i="1"/>
  <c r="KHQ22" i="1"/>
  <c r="KHP22" i="1"/>
  <c r="KHO22" i="1"/>
  <c r="KHN22" i="1"/>
  <c r="KHM22" i="1"/>
  <c r="KHL22" i="1"/>
  <c r="KHK22" i="1"/>
  <c r="KHJ22" i="1"/>
  <c r="KHI22" i="1"/>
  <c r="KHH22" i="1"/>
  <c r="KHG22" i="1"/>
  <c r="KHF22" i="1"/>
  <c r="KHE22" i="1"/>
  <c r="KHD22" i="1"/>
  <c r="KHC22" i="1"/>
  <c r="KHB22" i="1"/>
  <c r="KHA22" i="1"/>
  <c r="KGZ22" i="1"/>
  <c r="KGY22" i="1"/>
  <c r="KGX22" i="1"/>
  <c r="KGW22" i="1"/>
  <c r="KGV22" i="1"/>
  <c r="KGU22" i="1"/>
  <c r="KGT22" i="1"/>
  <c r="KGS22" i="1"/>
  <c r="KGR22" i="1"/>
  <c r="KGQ22" i="1"/>
  <c r="KGP22" i="1"/>
  <c r="KGO22" i="1"/>
  <c r="KGN22" i="1"/>
  <c r="KGM22" i="1"/>
  <c r="KGL22" i="1"/>
  <c r="KGK22" i="1"/>
  <c r="KGJ22" i="1"/>
  <c r="KGI22" i="1"/>
  <c r="KGH22" i="1"/>
  <c r="KGG22" i="1"/>
  <c r="KGF22" i="1"/>
  <c r="KGE22" i="1"/>
  <c r="KGD22" i="1"/>
  <c r="KGC22" i="1"/>
  <c r="KGB22" i="1"/>
  <c r="KGA22" i="1"/>
  <c r="KFZ22" i="1"/>
  <c r="KFY22" i="1"/>
  <c r="KFX22" i="1"/>
  <c r="KFW22" i="1"/>
  <c r="KJR21" i="1"/>
  <c r="KJQ21" i="1"/>
  <c r="KJP21" i="1"/>
  <c r="KJO21" i="1"/>
  <c r="KJN21" i="1"/>
  <c r="KJM21" i="1"/>
  <c r="KJL21" i="1"/>
  <c r="KJK21" i="1"/>
  <c r="KJJ21" i="1"/>
  <c r="KJI21" i="1"/>
  <c r="KJH21" i="1"/>
  <c r="KJG21" i="1"/>
  <c r="KJF21" i="1"/>
  <c r="KJE21" i="1"/>
  <c r="KJD21" i="1"/>
  <c r="KJC21" i="1"/>
  <c r="KJB21" i="1"/>
  <c r="KJA21" i="1"/>
  <c r="KIZ21" i="1"/>
  <c r="KIY21" i="1"/>
  <c r="KIX21" i="1"/>
  <c r="KIW21" i="1"/>
  <c r="KIV21" i="1"/>
  <c r="KIU21" i="1"/>
  <c r="KIT21" i="1"/>
  <c r="KIS21" i="1"/>
  <c r="KIR21" i="1"/>
  <c r="KIQ21" i="1"/>
  <c r="KIP21" i="1"/>
  <c r="KIO21" i="1"/>
  <c r="KIN21" i="1"/>
  <c r="KIM21" i="1"/>
  <c r="KIL21" i="1"/>
  <c r="KIK21" i="1"/>
  <c r="KIJ21" i="1"/>
  <c r="KII21" i="1"/>
  <c r="KIH21" i="1"/>
  <c r="KIG21" i="1"/>
  <c r="KIF21" i="1"/>
  <c r="KIE21" i="1"/>
  <c r="KID21" i="1"/>
  <c r="KIC21" i="1"/>
  <c r="KIB21" i="1"/>
  <c r="KIA21" i="1"/>
  <c r="KHZ21" i="1"/>
  <c r="KHY21" i="1"/>
  <c r="KHX21" i="1"/>
  <c r="KHW21" i="1"/>
  <c r="KHV21" i="1"/>
  <c r="KHU21" i="1"/>
  <c r="KHT21" i="1"/>
  <c r="KHS21" i="1"/>
  <c r="KHR21" i="1"/>
  <c r="KHQ21" i="1"/>
  <c r="KHP21" i="1"/>
  <c r="KHO21" i="1"/>
  <c r="KHN21" i="1"/>
  <c r="KHM21" i="1"/>
  <c r="KHL21" i="1"/>
  <c r="KHK21" i="1"/>
  <c r="KHJ21" i="1"/>
  <c r="KHI21" i="1"/>
  <c r="KHH21" i="1"/>
  <c r="KHG21" i="1"/>
  <c r="KHF21" i="1"/>
  <c r="KHE21" i="1"/>
  <c r="KHD21" i="1"/>
  <c r="KHC21" i="1"/>
  <c r="KHB21" i="1"/>
  <c r="KHA21" i="1"/>
  <c r="KGZ21" i="1"/>
  <c r="KGY21" i="1"/>
  <c r="KGX21" i="1"/>
  <c r="KGW21" i="1"/>
  <c r="KGV21" i="1"/>
  <c r="KGU21" i="1"/>
  <c r="KGT21" i="1"/>
  <c r="KGS21" i="1"/>
  <c r="KGR21" i="1"/>
  <c r="KGQ21" i="1"/>
  <c r="KGP21" i="1"/>
  <c r="KGO21" i="1"/>
  <c r="KGN21" i="1"/>
  <c r="KGM21" i="1"/>
  <c r="KGL21" i="1"/>
  <c r="KGK21" i="1"/>
  <c r="KGJ21" i="1"/>
  <c r="KGI21" i="1"/>
  <c r="KGH21" i="1"/>
  <c r="KGG21" i="1"/>
  <c r="KGF21" i="1"/>
  <c r="KGE21" i="1"/>
  <c r="KGD21" i="1"/>
  <c r="KGC21" i="1"/>
  <c r="KGB21" i="1"/>
  <c r="KGA21" i="1"/>
  <c r="KFZ21" i="1"/>
  <c r="KFY21" i="1"/>
  <c r="KFX21" i="1"/>
  <c r="KFW21" i="1"/>
  <c r="KJR20" i="1"/>
  <c r="KJQ20" i="1"/>
  <c r="KJP20" i="1"/>
  <c r="KJO20" i="1"/>
  <c r="KJN20" i="1"/>
  <c r="KJM20" i="1"/>
  <c r="KJL20" i="1"/>
  <c r="KJK20" i="1"/>
  <c r="KJJ20" i="1"/>
  <c r="KJI20" i="1"/>
  <c r="KJH20" i="1"/>
  <c r="KJG20" i="1"/>
  <c r="KJF20" i="1"/>
  <c r="KJE20" i="1"/>
  <c r="KJD20" i="1"/>
  <c r="KJC20" i="1"/>
  <c r="KJB20" i="1"/>
  <c r="KJA20" i="1"/>
  <c r="KIZ20" i="1"/>
  <c r="KIY20" i="1"/>
  <c r="KIX20" i="1"/>
  <c r="KIW20" i="1"/>
  <c r="KIV20" i="1"/>
  <c r="KIU20" i="1"/>
  <c r="KIT20" i="1"/>
  <c r="KIS20" i="1"/>
  <c r="KIR20" i="1"/>
  <c r="KIQ20" i="1"/>
  <c r="KIP20" i="1"/>
  <c r="KIO20" i="1"/>
  <c r="KIN20" i="1"/>
  <c r="KIM20" i="1"/>
  <c r="KIL20" i="1"/>
  <c r="KIK20" i="1"/>
  <c r="KIJ20" i="1"/>
  <c r="KII20" i="1"/>
  <c r="KIH20" i="1"/>
  <c r="KIG20" i="1"/>
  <c r="KIF20" i="1"/>
  <c r="KIE20" i="1"/>
  <c r="KID20" i="1"/>
  <c r="KIC20" i="1"/>
  <c r="KIB20" i="1"/>
  <c r="KIA20" i="1"/>
  <c r="KHZ20" i="1"/>
  <c r="KHY20" i="1"/>
  <c r="KHX20" i="1"/>
  <c r="KHW20" i="1"/>
  <c r="KHV20" i="1"/>
  <c r="KHU20" i="1"/>
  <c r="KHT20" i="1"/>
  <c r="KHS20" i="1"/>
  <c r="KHR20" i="1"/>
  <c r="KHQ20" i="1"/>
  <c r="KHP20" i="1"/>
  <c r="KHO20" i="1"/>
  <c r="KHN20" i="1"/>
  <c r="KHM20" i="1"/>
  <c r="KHL20" i="1"/>
  <c r="KHK20" i="1"/>
  <c r="KHJ20" i="1"/>
  <c r="KHI20" i="1"/>
  <c r="KHH20" i="1"/>
  <c r="KHG20" i="1"/>
  <c r="KHF20" i="1"/>
  <c r="KHE20" i="1"/>
  <c r="KHD20" i="1"/>
  <c r="KHC20" i="1"/>
  <c r="KHB20" i="1"/>
  <c r="KHA20" i="1"/>
  <c r="KGZ20" i="1"/>
  <c r="KGY20" i="1"/>
  <c r="KGX20" i="1"/>
  <c r="KGW20" i="1"/>
  <c r="KGV20" i="1"/>
  <c r="KGU20" i="1"/>
  <c r="KGT20" i="1"/>
  <c r="KGS20" i="1"/>
  <c r="KGR20" i="1"/>
  <c r="KGQ20" i="1"/>
  <c r="KGP20" i="1"/>
  <c r="KGO20" i="1"/>
  <c r="KGN20" i="1"/>
  <c r="KGM20" i="1"/>
  <c r="KGL20" i="1"/>
  <c r="KGK20" i="1"/>
  <c r="KGJ20" i="1"/>
  <c r="KGI20" i="1"/>
  <c r="KGH20" i="1"/>
  <c r="KGG20" i="1"/>
  <c r="KGF20" i="1"/>
  <c r="KGE20" i="1"/>
  <c r="KGD20" i="1"/>
  <c r="KGC20" i="1"/>
  <c r="KGB20" i="1"/>
  <c r="KGA20" i="1"/>
  <c r="KFZ20" i="1"/>
  <c r="KFY20" i="1"/>
  <c r="KFX20" i="1"/>
  <c r="KFW20" i="1"/>
  <c r="KJR19" i="1"/>
  <c r="KJQ19" i="1"/>
  <c r="KJP19" i="1"/>
  <c r="KJO19" i="1"/>
  <c r="KJN19" i="1"/>
  <c r="KJM19" i="1"/>
  <c r="KJL19" i="1"/>
  <c r="KJK19" i="1"/>
  <c r="KJJ19" i="1"/>
  <c r="KJI19" i="1"/>
  <c r="KJH19" i="1"/>
  <c r="KJG19" i="1"/>
  <c r="KJF19" i="1"/>
  <c r="KJE19" i="1"/>
  <c r="KJD19" i="1"/>
  <c r="KJC19" i="1"/>
  <c r="KJB19" i="1"/>
  <c r="KJA19" i="1"/>
  <c r="KIZ19" i="1"/>
  <c r="KIY19" i="1"/>
  <c r="KIX19" i="1"/>
  <c r="KIW19" i="1"/>
  <c r="KIV19" i="1"/>
  <c r="KIU19" i="1"/>
  <c r="KIT19" i="1"/>
  <c r="KIS19" i="1"/>
  <c r="KIR19" i="1"/>
  <c r="KIQ19" i="1"/>
  <c r="KIP19" i="1"/>
  <c r="KIO19" i="1"/>
  <c r="KIN19" i="1"/>
  <c r="KIM19" i="1"/>
  <c r="KIL19" i="1"/>
  <c r="KIK19" i="1"/>
  <c r="KIJ19" i="1"/>
  <c r="KII19" i="1"/>
  <c r="KIH19" i="1"/>
  <c r="KIG19" i="1"/>
  <c r="KIF19" i="1"/>
  <c r="KIE19" i="1"/>
  <c r="KID19" i="1"/>
  <c r="KIC19" i="1"/>
  <c r="KIB19" i="1"/>
  <c r="KIA19" i="1"/>
  <c r="KHZ19" i="1"/>
  <c r="KHY19" i="1"/>
  <c r="KHX19" i="1"/>
  <c r="KHW19" i="1"/>
  <c r="KHV19" i="1"/>
  <c r="KHU19" i="1"/>
  <c r="KHT19" i="1"/>
  <c r="KHS19" i="1"/>
  <c r="KHR19" i="1"/>
  <c r="KHQ19" i="1"/>
  <c r="KHP19" i="1"/>
  <c r="KHO19" i="1"/>
  <c r="KHN19" i="1"/>
  <c r="KHM19" i="1"/>
  <c r="KHL19" i="1"/>
  <c r="KHK19" i="1"/>
  <c r="KHJ19" i="1"/>
  <c r="KHI19" i="1"/>
  <c r="KHH19" i="1"/>
  <c r="KHG19" i="1"/>
  <c r="KHF19" i="1"/>
  <c r="KHE19" i="1"/>
  <c r="KHD19" i="1"/>
  <c r="KHC19" i="1"/>
  <c r="KHB19" i="1"/>
  <c r="KHA19" i="1"/>
  <c r="KGZ19" i="1"/>
  <c r="KGY19" i="1"/>
  <c r="KGX19" i="1"/>
  <c r="KGW19" i="1"/>
  <c r="KGV19" i="1"/>
  <c r="KGU19" i="1"/>
  <c r="KGT19" i="1"/>
  <c r="KGS19" i="1"/>
  <c r="KGR19" i="1"/>
  <c r="KGQ19" i="1"/>
  <c r="KGP19" i="1"/>
  <c r="KGO19" i="1"/>
  <c r="KGN19" i="1"/>
  <c r="KGM19" i="1"/>
  <c r="KGL19" i="1"/>
  <c r="KGK19" i="1"/>
  <c r="KGJ19" i="1"/>
  <c r="KGI19" i="1"/>
  <c r="KGH19" i="1"/>
  <c r="KGG19" i="1"/>
  <c r="KGF19" i="1"/>
  <c r="KGE19" i="1"/>
  <c r="KGD19" i="1"/>
  <c r="KGC19" i="1"/>
  <c r="KGB19" i="1"/>
  <c r="KGA19" i="1"/>
  <c r="KFZ19" i="1"/>
  <c r="KFY19" i="1"/>
  <c r="KFX19" i="1"/>
  <c r="KFW19" i="1"/>
  <c r="KJR18" i="1"/>
  <c r="KJQ18" i="1"/>
  <c r="KJP18" i="1"/>
  <c r="KJO18" i="1"/>
  <c r="KJN18" i="1"/>
  <c r="KJM18" i="1"/>
  <c r="KJL18" i="1"/>
  <c r="KJK18" i="1"/>
  <c r="KJJ18" i="1"/>
  <c r="KJI18" i="1"/>
  <c r="KJH18" i="1"/>
  <c r="KJG18" i="1"/>
  <c r="KJF18" i="1"/>
  <c r="KJE18" i="1"/>
  <c r="KJD18" i="1"/>
  <c r="KJC18" i="1"/>
  <c r="KJB18" i="1"/>
  <c r="KJA18" i="1"/>
  <c r="KIZ18" i="1"/>
  <c r="KIY18" i="1"/>
  <c r="KIX18" i="1"/>
  <c r="KIW18" i="1"/>
  <c r="KIV18" i="1"/>
  <c r="KIU18" i="1"/>
  <c r="KIT18" i="1"/>
  <c r="KIS18" i="1"/>
  <c r="KIR18" i="1"/>
  <c r="KIQ18" i="1"/>
  <c r="KIP18" i="1"/>
  <c r="KIO18" i="1"/>
  <c r="KIN18" i="1"/>
  <c r="KIM18" i="1"/>
  <c r="KIL18" i="1"/>
  <c r="KIK18" i="1"/>
  <c r="KIJ18" i="1"/>
  <c r="KII18" i="1"/>
  <c r="KIH18" i="1"/>
  <c r="KIG18" i="1"/>
  <c r="KIF18" i="1"/>
  <c r="KIE18" i="1"/>
  <c r="KID18" i="1"/>
  <c r="KIC18" i="1"/>
  <c r="KIB18" i="1"/>
  <c r="KIA18" i="1"/>
  <c r="KHZ18" i="1"/>
  <c r="KHY18" i="1"/>
  <c r="KHX18" i="1"/>
  <c r="KHW18" i="1"/>
  <c r="KHV18" i="1"/>
  <c r="KHU18" i="1"/>
  <c r="KHT18" i="1"/>
  <c r="KHS18" i="1"/>
  <c r="KHR18" i="1"/>
  <c r="KHQ18" i="1"/>
  <c r="KHP18" i="1"/>
  <c r="KHO18" i="1"/>
  <c r="KHN18" i="1"/>
  <c r="KHM18" i="1"/>
  <c r="KHL18" i="1"/>
  <c r="KHK18" i="1"/>
  <c r="KHJ18" i="1"/>
  <c r="KHI18" i="1"/>
  <c r="KHH18" i="1"/>
  <c r="KHG18" i="1"/>
  <c r="KHF18" i="1"/>
  <c r="KHE18" i="1"/>
  <c r="KHD18" i="1"/>
  <c r="KHC18" i="1"/>
  <c r="KHB18" i="1"/>
  <c r="KHA18" i="1"/>
  <c r="KGZ18" i="1"/>
  <c r="KGY18" i="1"/>
  <c r="KGX18" i="1"/>
  <c r="KGW18" i="1"/>
  <c r="KGV18" i="1"/>
  <c r="KGU18" i="1"/>
  <c r="KGT18" i="1"/>
  <c r="KGS18" i="1"/>
  <c r="KGR18" i="1"/>
  <c r="KGQ18" i="1"/>
  <c r="KGP18" i="1"/>
  <c r="KGO18" i="1"/>
  <c r="KGN18" i="1"/>
  <c r="KGM18" i="1"/>
  <c r="KGL18" i="1"/>
  <c r="KGK18" i="1"/>
  <c r="KGJ18" i="1"/>
  <c r="KGI18" i="1"/>
  <c r="KGH18" i="1"/>
  <c r="KGG18" i="1"/>
  <c r="KGF18" i="1"/>
  <c r="KGE18" i="1"/>
  <c r="KGD18" i="1"/>
  <c r="KGC18" i="1"/>
  <c r="KGB18" i="1"/>
  <c r="KGA18" i="1"/>
  <c r="KFZ18" i="1"/>
  <c r="KFY18" i="1"/>
  <c r="KFX18" i="1"/>
  <c r="KFW18" i="1"/>
  <c r="KJR17" i="1"/>
  <c r="KJQ17" i="1"/>
  <c r="KJP17" i="1"/>
  <c r="KJO17" i="1"/>
  <c r="KJN17" i="1"/>
  <c r="KJM17" i="1"/>
  <c r="KJL17" i="1"/>
  <c r="KJK17" i="1"/>
  <c r="KJJ17" i="1"/>
  <c r="KJI17" i="1"/>
  <c r="KJH17" i="1"/>
  <c r="KJG17" i="1"/>
  <c r="KJF17" i="1"/>
  <c r="KJE17" i="1"/>
  <c r="KJD17" i="1"/>
  <c r="KJC17" i="1"/>
  <c r="KJB17" i="1"/>
  <c r="KJA17" i="1"/>
  <c r="KIZ17" i="1"/>
  <c r="KIY17" i="1"/>
  <c r="KIX17" i="1"/>
  <c r="KIW17" i="1"/>
  <c r="KIV17" i="1"/>
  <c r="KIU17" i="1"/>
  <c r="KIT17" i="1"/>
  <c r="KIS17" i="1"/>
  <c r="KIR17" i="1"/>
  <c r="KIQ17" i="1"/>
  <c r="KIP17" i="1"/>
  <c r="KIO17" i="1"/>
  <c r="KIN17" i="1"/>
  <c r="KIM17" i="1"/>
  <c r="KIL17" i="1"/>
  <c r="KIK17" i="1"/>
  <c r="KIJ17" i="1"/>
  <c r="KII17" i="1"/>
  <c r="KIH17" i="1"/>
  <c r="KIG17" i="1"/>
  <c r="KIF17" i="1"/>
  <c r="KIE17" i="1"/>
  <c r="KID17" i="1"/>
  <c r="KIC17" i="1"/>
  <c r="KIB17" i="1"/>
  <c r="KIA17" i="1"/>
  <c r="KHZ17" i="1"/>
  <c r="KHY17" i="1"/>
  <c r="KHX17" i="1"/>
  <c r="KHW17" i="1"/>
  <c r="KHV17" i="1"/>
  <c r="KHU17" i="1"/>
  <c r="KHT17" i="1"/>
  <c r="KHS17" i="1"/>
  <c r="KHR17" i="1"/>
  <c r="KHQ17" i="1"/>
  <c r="KHP17" i="1"/>
  <c r="KHO17" i="1"/>
  <c r="KHN17" i="1"/>
  <c r="KHM17" i="1"/>
  <c r="KHL17" i="1"/>
  <c r="KHK17" i="1"/>
  <c r="KHJ17" i="1"/>
  <c r="KHI17" i="1"/>
  <c r="KHH17" i="1"/>
  <c r="KHG17" i="1"/>
  <c r="KHF17" i="1"/>
  <c r="KHE17" i="1"/>
  <c r="KHD17" i="1"/>
  <c r="KHC17" i="1"/>
  <c r="KHB17" i="1"/>
  <c r="KHA17" i="1"/>
  <c r="KGZ17" i="1"/>
  <c r="KGY17" i="1"/>
  <c r="KGX17" i="1"/>
  <c r="KGW17" i="1"/>
  <c r="KGV17" i="1"/>
  <c r="KGU17" i="1"/>
  <c r="KGT17" i="1"/>
  <c r="KGS17" i="1"/>
  <c r="KGR17" i="1"/>
  <c r="KGQ17" i="1"/>
  <c r="KGP17" i="1"/>
  <c r="KGO17" i="1"/>
  <c r="KGN17" i="1"/>
  <c r="KGM17" i="1"/>
  <c r="KGL17" i="1"/>
  <c r="KGK17" i="1"/>
  <c r="KGJ17" i="1"/>
  <c r="KGI17" i="1"/>
  <c r="KGH17" i="1"/>
  <c r="KGG17" i="1"/>
  <c r="KGF17" i="1"/>
  <c r="KGE17" i="1"/>
  <c r="KGD17" i="1"/>
  <c r="KGC17" i="1"/>
  <c r="KGB17" i="1"/>
  <c r="KGA17" i="1"/>
  <c r="KFZ17" i="1"/>
  <c r="KFY17" i="1"/>
  <c r="KFX17" i="1"/>
  <c r="KFW17" i="1"/>
  <c r="KJR16" i="1"/>
  <c r="KJQ16" i="1"/>
  <c r="KJP16" i="1"/>
  <c r="KJO16" i="1"/>
  <c r="KJN16" i="1"/>
  <c r="KJM16" i="1"/>
  <c r="KJL16" i="1"/>
  <c r="KJK16" i="1"/>
  <c r="KJJ16" i="1"/>
  <c r="KJI16" i="1"/>
  <c r="KJH16" i="1"/>
  <c r="KJG16" i="1"/>
  <c r="KJF16" i="1"/>
  <c r="KJE16" i="1"/>
  <c r="KJD16" i="1"/>
  <c r="KJC16" i="1"/>
  <c r="KJB16" i="1"/>
  <c r="KJA16" i="1"/>
  <c r="KIZ16" i="1"/>
  <c r="KIY16" i="1"/>
  <c r="KIX16" i="1"/>
  <c r="KIW16" i="1"/>
  <c r="KIV16" i="1"/>
  <c r="KIU16" i="1"/>
  <c r="KIT16" i="1"/>
  <c r="KIS16" i="1"/>
  <c r="KIR16" i="1"/>
  <c r="KIQ16" i="1"/>
  <c r="KIP16" i="1"/>
  <c r="KIO16" i="1"/>
  <c r="KIN16" i="1"/>
  <c r="KIM16" i="1"/>
  <c r="KIL16" i="1"/>
  <c r="KIK16" i="1"/>
  <c r="KIJ16" i="1"/>
  <c r="KII16" i="1"/>
  <c r="KIH16" i="1"/>
  <c r="KIG16" i="1"/>
  <c r="KIF16" i="1"/>
  <c r="KIE16" i="1"/>
  <c r="KID16" i="1"/>
  <c r="KIC16" i="1"/>
  <c r="KIB16" i="1"/>
  <c r="KIA16" i="1"/>
  <c r="KHZ16" i="1"/>
  <c r="KHY16" i="1"/>
  <c r="KHX16" i="1"/>
  <c r="KHW16" i="1"/>
  <c r="KHV16" i="1"/>
  <c r="KHU16" i="1"/>
  <c r="KHT16" i="1"/>
  <c r="KHS16" i="1"/>
  <c r="KHR16" i="1"/>
  <c r="KHQ16" i="1"/>
  <c r="KHP16" i="1"/>
  <c r="KHO16" i="1"/>
  <c r="KHN16" i="1"/>
  <c r="KHM16" i="1"/>
  <c r="KHL16" i="1"/>
  <c r="KHK16" i="1"/>
  <c r="KHJ16" i="1"/>
  <c r="KHI16" i="1"/>
  <c r="KHH16" i="1"/>
  <c r="KHG16" i="1"/>
  <c r="KHF16" i="1"/>
  <c r="KHE16" i="1"/>
  <c r="KHD16" i="1"/>
  <c r="KHC16" i="1"/>
  <c r="KHB16" i="1"/>
  <c r="KHA16" i="1"/>
  <c r="KGZ16" i="1"/>
  <c r="KGY16" i="1"/>
  <c r="KGX16" i="1"/>
  <c r="KGW16" i="1"/>
  <c r="KGV16" i="1"/>
  <c r="KGU16" i="1"/>
  <c r="KGT16" i="1"/>
  <c r="KGS16" i="1"/>
  <c r="KGR16" i="1"/>
  <c r="KGQ16" i="1"/>
  <c r="KGP16" i="1"/>
  <c r="KGO16" i="1"/>
  <c r="KGN16" i="1"/>
  <c r="KGM16" i="1"/>
  <c r="KGL16" i="1"/>
  <c r="KGK16" i="1"/>
  <c r="KGJ16" i="1"/>
  <c r="KGI16" i="1"/>
  <c r="KGH16" i="1"/>
  <c r="KGG16" i="1"/>
  <c r="KGF16" i="1"/>
  <c r="KGE16" i="1"/>
  <c r="KGD16" i="1"/>
  <c r="KGC16" i="1"/>
  <c r="KGB16" i="1"/>
  <c r="KGA16" i="1"/>
  <c r="KFZ16" i="1"/>
  <c r="KFY16" i="1"/>
  <c r="KFX16" i="1"/>
  <c r="KFW16" i="1"/>
  <c r="KJR15" i="1"/>
  <c r="KJQ15" i="1"/>
  <c r="KJP15" i="1"/>
  <c r="KJO15" i="1"/>
  <c r="KJN15" i="1"/>
  <c r="KJM15" i="1"/>
  <c r="KJL15" i="1"/>
  <c r="KJK15" i="1"/>
  <c r="KJJ15" i="1"/>
  <c r="KJI15" i="1"/>
  <c r="KJH15" i="1"/>
  <c r="KJG15" i="1"/>
  <c r="KJF15" i="1"/>
  <c r="KJE15" i="1"/>
  <c r="KJD15" i="1"/>
  <c r="KJC15" i="1"/>
  <c r="KJB15" i="1"/>
  <c r="KJA15" i="1"/>
  <c r="KIZ15" i="1"/>
  <c r="KIY15" i="1"/>
  <c r="KIX15" i="1"/>
  <c r="KIW15" i="1"/>
  <c r="KIV15" i="1"/>
  <c r="KIU15" i="1"/>
  <c r="KIT15" i="1"/>
  <c r="KIS15" i="1"/>
  <c r="KIR15" i="1"/>
  <c r="KIQ15" i="1"/>
  <c r="KIP15" i="1"/>
  <c r="KIO15" i="1"/>
  <c r="KIN15" i="1"/>
  <c r="KIM15" i="1"/>
  <c r="KIL15" i="1"/>
  <c r="KIK15" i="1"/>
  <c r="KIJ15" i="1"/>
  <c r="KII15" i="1"/>
  <c r="KIH15" i="1"/>
  <c r="KIG15" i="1"/>
  <c r="KIF15" i="1"/>
  <c r="KIE15" i="1"/>
  <c r="KID15" i="1"/>
  <c r="KIC15" i="1"/>
  <c r="KIB15" i="1"/>
  <c r="KIA15" i="1"/>
  <c r="KHZ15" i="1"/>
  <c r="KHY15" i="1"/>
  <c r="KHX15" i="1"/>
  <c r="KHW15" i="1"/>
  <c r="KHV15" i="1"/>
  <c r="KHU15" i="1"/>
  <c r="KHT15" i="1"/>
  <c r="KHS15" i="1"/>
  <c r="KHR15" i="1"/>
  <c r="KHQ15" i="1"/>
  <c r="KHP15" i="1"/>
  <c r="KHO15" i="1"/>
  <c r="KHN15" i="1"/>
  <c r="KHM15" i="1"/>
  <c r="KHL15" i="1"/>
  <c r="KHK15" i="1"/>
  <c r="KHJ15" i="1"/>
  <c r="KHI15" i="1"/>
  <c r="KHH15" i="1"/>
  <c r="KHG15" i="1"/>
  <c r="KHF15" i="1"/>
  <c r="KHE15" i="1"/>
  <c r="KHD15" i="1"/>
  <c r="KHC15" i="1"/>
  <c r="KHB15" i="1"/>
  <c r="KHA15" i="1"/>
  <c r="KGZ15" i="1"/>
  <c r="KGY15" i="1"/>
  <c r="KGX15" i="1"/>
  <c r="KGW15" i="1"/>
  <c r="KGV15" i="1"/>
  <c r="KGU15" i="1"/>
  <c r="KGT15" i="1"/>
  <c r="KGS15" i="1"/>
  <c r="KGR15" i="1"/>
  <c r="KGQ15" i="1"/>
  <c r="KGP15" i="1"/>
  <c r="KGO15" i="1"/>
  <c r="KGN15" i="1"/>
  <c r="KGM15" i="1"/>
  <c r="KGL15" i="1"/>
  <c r="KGK15" i="1"/>
  <c r="KGJ15" i="1"/>
  <c r="KGI15" i="1"/>
  <c r="KGH15" i="1"/>
  <c r="KGG15" i="1"/>
  <c r="KGF15" i="1"/>
  <c r="KGE15" i="1"/>
  <c r="KGD15" i="1"/>
  <c r="KGC15" i="1"/>
  <c r="KGB15" i="1"/>
  <c r="KGA15" i="1"/>
  <c r="KFZ15" i="1"/>
  <c r="KFY15" i="1"/>
  <c r="KFX15" i="1"/>
  <c r="KFW15" i="1"/>
  <c r="KJR14" i="1"/>
  <c r="KJQ14" i="1"/>
  <c r="KJP14" i="1"/>
  <c r="KJO14" i="1"/>
  <c r="KJN14" i="1"/>
  <c r="KJM14" i="1"/>
  <c r="KJL14" i="1"/>
  <c r="KJK14" i="1"/>
  <c r="KJJ14" i="1"/>
  <c r="KJI14" i="1"/>
  <c r="KJH14" i="1"/>
  <c r="KJG14" i="1"/>
  <c r="KJF14" i="1"/>
  <c r="KJE14" i="1"/>
  <c r="KJD14" i="1"/>
  <c r="KJC14" i="1"/>
  <c r="KJB14" i="1"/>
  <c r="KJA14" i="1"/>
  <c r="KIZ14" i="1"/>
  <c r="KIY14" i="1"/>
  <c r="KIX14" i="1"/>
  <c r="KIW14" i="1"/>
  <c r="KIV14" i="1"/>
  <c r="KIU14" i="1"/>
  <c r="KIT14" i="1"/>
  <c r="KIS14" i="1"/>
  <c r="KIR14" i="1"/>
  <c r="KIQ14" i="1"/>
  <c r="KIP14" i="1"/>
  <c r="KIO14" i="1"/>
  <c r="KIN14" i="1"/>
  <c r="KIM14" i="1"/>
  <c r="KIL14" i="1"/>
  <c r="KIK14" i="1"/>
  <c r="KIJ14" i="1"/>
  <c r="KII14" i="1"/>
  <c r="KIH14" i="1"/>
  <c r="KIG14" i="1"/>
  <c r="KIF14" i="1"/>
  <c r="KIE14" i="1"/>
  <c r="KID14" i="1"/>
  <c r="KIC14" i="1"/>
  <c r="KIB14" i="1"/>
  <c r="KIA14" i="1"/>
  <c r="KHZ14" i="1"/>
  <c r="KHY14" i="1"/>
  <c r="KHX14" i="1"/>
  <c r="KHW14" i="1"/>
  <c r="KHV14" i="1"/>
  <c r="KHU14" i="1"/>
  <c r="KHT14" i="1"/>
  <c r="KHS14" i="1"/>
  <c r="KHR14" i="1"/>
  <c r="KHQ14" i="1"/>
  <c r="KHP14" i="1"/>
  <c r="KHO14" i="1"/>
  <c r="KHN14" i="1"/>
  <c r="KHM14" i="1"/>
  <c r="KHL14" i="1"/>
  <c r="KHK14" i="1"/>
  <c r="KHJ14" i="1"/>
  <c r="KHI14" i="1"/>
  <c r="KHH14" i="1"/>
  <c r="KHG14" i="1"/>
  <c r="KHF14" i="1"/>
  <c r="KHE14" i="1"/>
  <c r="KHD14" i="1"/>
  <c r="KHC14" i="1"/>
  <c r="KHB14" i="1"/>
  <c r="KHA14" i="1"/>
  <c r="KGZ14" i="1"/>
  <c r="KGY14" i="1"/>
  <c r="KGX14" i="1"/>
  <c r="KGW14" i="1"/>
  <c r="KGV14" i="1"/>
  <c r="KGU14" i="1"/>
  <c r="KGT14" i="1"/>
  <c r="KGS14" i="1"/>
  <c r="KGR14" i="1"/>
  <c r="KGQ14" i="1"/>
  <c r="KGP14" i="1"/>
  <c r="KGO14" i="1"/>
  <c r="KGN14" i="1"/>
  <c r="KGM14" i="1"/>
  <c r="KGL14" i="1"/>
  <c r="KGK14" i="1"/>
  <c r="KGJ14" i="1"/>
  <c r="KGI14" i="1"/>
  <c r="KGH14" i="1"/>
  <c r="KGG14" i="1"/>
  <c r="KGF14" i="1"/>
  <c r="KGE14" i="1"/>
  <c r="KGD14" i="1"/>
  <c r="KGC14" i="1"/>
  <c r="KGB14" i="1"/>
  <c r="KGA14" i="1"/>
  <c r="KFZ14" i="1"/>
  <c r="KFY14" i="1"/>
  <c r="KFX14" i="1"/>
  <c r="KFW14" i="1"/>
  <c r="KJR13" i="1"/>
  <c r="KJQ13" i="1"/>
  <c r="KJP13" i="1"/>
  <c r="KJO13" i="1"/>
  <c r="KJN13" i="1"/>
  <c r="KJM13" i="1"/>
  <c r="KJL13" i="1"/>
  <c r="KJK13" i="1"/>
  <c r="KJJ13" i="1"/>
  <c r="KJI13" i="1"/>
  <c r="KJH13" i="1"/>
  <c r="KJG13" i="1"/>
  <c r="KJF13" i="1"/>
  <c r="KJE13" i="1"/>
  <c r="KJD13" i="1"/>
  <c r="KJC13" i="1"/>
  <c r="KJB13" i="1"/>
  <c r="KJA13" i="1"/>
  <c r="KIZ13" i="1"/>
  <c r="KIY13" i="1"/>
  <c r="KIX13" i="1"/>
  <c r="KIW13" i="1"/>
  <c r="KIV13" i="1"/>
  <c r="KIU13" i="1"/>
  <c r="KIT13" i="1"/>
  <c r="KIS13" i="1"/>
  <c r="KIR13" i="1"/>
  <c r="KIQ13" i="1"/>
  <c r="KIP13" i="1"/>
  <c r="KIO13" i="1"/>
  <c r="KIN13" i="1"/>
  <c r="KIM13" i="1"/>
  <c r="KIL13" i="1"/>
  <c r="KIK13" i="1"/>
  <c r="KIJ13" i="1"/>
  <c r="KII13" i="1"/>
  <c r="KIH13" i="1"/>
  <c r="KIG13" i="1"/>
  <c r="KIF13" i="1"/>
  <c r="KIE13" i="1"/>
  <c r="KID13" i="1"/>
  <c r="KIC13" i="1"/>
  <c r="KIB13" i="1"/>
  <c r="KIA13" i="1"/>
  <c r="KHZ13" i="1"/>
  <c r="KHY13" i="1"/>
  <c r="KHX13" i="1"/>
  <c r="KHW13" i="1"/>
  <c r="KHV13" i="1"/>
  <c r="KHU13" i="1"/>
  <c r="KHT13" i="1"/>
  <c r="KHS13" i="1"/>
  <c r="KHR13" i="1"/>
  <c r="KHQ13" i="1"/>
  <c r="KHP13" i="1"/>
  <c r="KHO13" i="1"/>
  <c r="KHN13" i="1"/>
  <c r="KHM13" i="1"/>
  <c r="KHL13" i="1"/>
  <c r="KHK13" i="1"/>
  <c r="KHJ13" i="1"/>
  <c r="KHI13" i="1"/>
  <c r="KHH13" i="1"/>
  <c r="KHG13" i="1"/>
  <c r="KHF13" i="1"/>
  <c r="KHE13" i="1"/>
  <c r="KHD13" i="1"/>
  <c r="KHC13" i="1"/>
  <c r="KHB13" i="1"/>
  <c r="KHA13" i="1"/>
  <c r="KGZ13" i="1"/>
  <c r="KGY13" i="1"/>
  <c r="KGX13" i="1"/>
  <c r="KGW13" i="1"/>
  <c r="KGV13" i="1"/>
  <c r="KGU13" i="1"/>
  <c r="KGT13" i="1"/>
  <c r="KGS13" i="1"/>
  <c r="KGR13" i="1"/>
  <c r="KGQ13" i="1"/>
  <c r="KGP13" i="1"/>
  <c r="KGO13" i="1"/>
  <c r="KGN13" i="1"/>
  <c r="KGM13" i="1"/>
  <c r="KGL13" i="1"/>
  <c r="KGK13" i="1"/>
  <c r="KGJ13" i="1"/>
  <c r="KGI13" i="1"/>
  <c r="KGH13" i="1"/>
  <c r="KGG13" i="1"/>
  <c r="KGF13" i="1"/>
  <c r="KGE13" i="1"/>
  <c r="KGD13" i="1"/>
  <c r="KGC13" i="1"/>
  <c r="KGB13" i="1"/>
  <c r="KGA13" i="1"/>
  <c r="KFZ13" i="1"/>
  <c r="KFY13" i="1"/>
  <c r="KFX13" i="1"/>
  <c r="KFW13" i="1"/>
  <c r="KJR12" i="1"/>
  <c r="KJQ12" i="1"/>
  <c r="KJP12" i="1"/>
  <c r="KJO12" i="1"/>
  <c r="KJN12" i="1"/>
  <c r="KJM12" i="1"/>
  <c r="KJL12" i="1"/>
  <c r="KJK12" i="1"/>
  <c r="KJJ12" i="1"/>
  <c r="KJI12" i="1"/>
  <c r="KJH12" i="1"/>
  <c r="KJG12" i="1"/>
  <c r="KJF12" i="1"/>
  <c r="KJE12" i="1"/>
  <c r="KJD12" i="1"/>
  <c r="KJC12" i="1"/>
  <c r="KJB12" i="1"/>
  <c r="KJA12" i="1"/>
  <c r="KIZ12" i="1"/>
  <c r="KIY12" i="1"/>
  <c r="KIX12" i="1"/>
  <c r="KIW12" i="1"/>
  <c r="KIV12" i="1"/>
  <c r="KIU12" i="1"/>
  <c r="KIT12" i="1"/>
  <c r="KIS12" i="1"/>
  <c r="KIR12" i="1"/>
  <c r="KIQ12" i="1"/>
  <c r="KIP12" i="1"/>
  <c r="KIO12" i="1"/>
  <c r="KIN12" i="1"/>
  <c r="KIM12" i="1"/>
  <c r="KIL12" i="1"/>
  <c r="KIK12" i="1"/>
  <c r="KIJ12" i="1"/>
  <c r="KII12" i="1"/>
  <c r="KIH12" i="1"/>
  <c r="KIG12" i="1"/>
  <c r="KIF12" i="1"/>
  <c r="KIE12" i="1"/>
  <c r="KID12" i="1"/>
  <c r="KIC12" i="1"/>
  <c r="KIB12" i="1"/>
  <c r="KIA12" i="1"/>
  <c r="KHZ12" i="1"/>
  <c r="KHY12" i="1"/>
  <c r="KHX12" i="1"/>
  <c r="KHW12" i="1"/>
  <c r="KHV12" i="1"/>
  <c r="KHU12" i="1"/>
  <c r="KHT12" i="1"/>
  <c r="KHS12" i="1"/>
  <c r="KHR12" i="1"/>
  <c r="KHQ12" i="1"/>
  <c r="KHP12" i="1"/>
  <c r="KHO12" i="1"/>
  <c r="KHN12" i="1"/>
  <c r="KHM12" i="1"/>
  <c r="KHL12" i="1"/>
  <c r="KHK12" i="1"/>
  <c r="KHJ12" i="1"/>
  <c r="KHI12" i="1"/>
  <c r="KHH12" i="1"/>
  <c r="KHG12" i="1"/>
  <c r="KHF12" i="1"/>
  <c r="KHE12" i="1"/>
  <c r="KHD12" i="1"/>
  <c r="KHC12" i="1"/>
  <c r="KHB12" i="1"/>
  <c r="KHA12" i="1"/>
  <c r="KGZ12" i="1"/>
  <c r="KGY12" i="1"/>
  <c r="KGX12" i="1"/>
  <c r="KGW12" i="1"/>
  <c r="KGV12" i="1"/>
  <c r="KGU12" i="1"/>
  <c r="KGT12" i="1"/>
  <c r="KGS12" i="1"/>
  <c r="KGR12" i="1"/>
  <c r="KGQ12" i="1"/>
  <c r="KGP12" i="1"/>
  <c r="KGO12" i="1"/>
  <c r="KGN12" i="1"/>
  <c r="KGM12" i="1"/>
  <c r="KGL12" i="1"/>
  <c r="KGK12" i="1"/>
  <c r="KGJ12" i="1"/>
  <c r="KGI12" i="1"/>
  <c r="KGH12" i="1"/>
  <c r="KGG12" i="1"/>
  <c r="KGF12" i="1"/>
  <c r="KGE12" i="1"/>
  <c r="KGD12" i="1"/>
  <c r="KGC12" i="1"/>
  <c r="KGB12" i="1"/>
  <c r="KGA12" i="1"/>
  <c r="KFZ12" i="1"/>
  <c r="KFY12" i="1"/>
  <c r="KFX12" i="1"/>
  <c r="KFW12" i="1"/>
  <c r="KJR11" i="1"/>
  <c r="KJQ11" i="1"/>
  <c r="KJP11" i="1"/>
  <c r="KJO11" i="1"/>
  <c r="KJN11" i="1"/>
  <c r="KJM11" i="1"/>
  <c r="KJL11" i="1"/>
  <c r="KJK11" i="1"/>
  <c r="KJJ11" i="1"/>
  <c r="KJI11" i="1"/>
  <c r="KJH11" i="1"/>
  <c r="KJG11" i="1"/>
  <c r="KJF11" i="1"/>
  <c r="KJE11" i="1"/>
  <c r="KJD11" i="1"/>
  <c r="KJC11" i="1"/>
  <c r="KJB11" i="1"/>
  <c r="KJA11" i="1"/>
  <c r="KIZ11" i="1"/>
  <c r="KIY11" i="1"/>
  <c r="KIX11" i="1"/>
  <c r="KIW11" i="1"/>
  <c r="KIV11" i="1"/>
  <c r="KIU11" i="1"/>
  <c r="KIT11" i="1"/>
  <c r="KIS11" i="1"/>
  <c r="KIR11" i="1"/>
  <c r="KIQ11" i="1"/>
  <c r="KIP11" i="1"/>
  <c r="KIO11" i="1"/>
  <c r="KIN11" i="1"/>
  <c r="KIM11" i="1"/>
  <c r="KIL11" i="1"/>
  <c r="KIK11" i="1"/>
  <c r="KIJ11" i="1"/>
  <c r="KII11" i="1"/>
  <c r="KIH11" i="1"/>
  <c r="KIG11" i="1"/>
  <c r="KIF11" i="1"/>
  <c r="KIE11" i="1"/>
  <c r="KID11" i="1"/>
  <c r="KIC11" i="1"/>
  <c r="KIB11" i="1"/>
  <c r="KIA11" i="1"/>
  <c r="KHZ11" i="1"/>
  <c r="KHY11" i="1"/>
  <c r="KHX11" i="1"/>
  <c r="KHW11" i="1"/>
  <c r="KHV11" i="1"/>
  <c r="KHU11" i="1"/>
  <c r="KHT11" i="1"/>
  <c r="KHS11" i="1"/>
  <c r="KHR11" i="1"/>
  <c r="KHQ11" i="1"/>
  <c r="KHP11" i="1"/>
  <c r="KHO11" i="1"/>
  <c r="KHN11" i="1"/>
  <c r="KHM11" i="1"/>
  <c r="KHL11" i="1"/>
  <c r="KHK11" i="1"/>
  <c r="KHJ11" i="1"/>
  <c r="KHI11" i="1"/>
  <c r="KHH11" i="1"/>
  <c r="KHG11" i="1"/>
  <c r="KHF11" i="1"/>
  <c r="KHE11" i="1"/>
  <c r="KHD11" i="1"/>
  <c r="KHC11" i="1"/>
  <c r="KHB11" i="1"/>
  <c r="KHA11" i="1"/>
  <c r="KGZ11" i="1"/>
  <c r="KGY11" i="1"/>
  <c r="KGX11" i="1"/>
  <c r="KGW11" i="1"/>
  <c r="KGV11" i="1"/>
  <c r="KGU11" i="1"/>
  <c r="KGT11" i="1"/>
  <c r="KGS11" i="1"/>
  <c r="KGR11" i="1"/>
  <c r="KGQ11" i="1"/>
  <c r="KGP11" i="1"/>
  <c r="KGO11" i="1"/>
  <c r="KGN11" i="1"/>
  <c r="KGM11" i="1"/>
  <c r="KGL11" i="1"/>
  <c r="KGK11" i="1"/>
  <c r="KGJ11" i="1"/>
  <c r="KGI11" i="1"/>
  <c r="KGH11" i="1"/>
  <c r="KGG11" i="1"/>
  <c r="KGF11" i="1"/>
  <c r="KGE11" i="1"/>
  <c r="KGD11" i="1"/>
  <c r="KGC11" i="1"/>
  <c r="KGB11" i="1"/>
  <c r="KGA11" i="1"/>
  <c r="KFZ11" i="1"/>
  <c r="KFY11" i="1"/>
  <c r="KFX11" i="1"/>
  <c r="KFW11" i="1"/>
  <c r="KJR10" i="1"/>
  <c r="KJQ10" i="1"/>
  <c r="KJP10" i="1"/>
  <c r="KJO10" i="1"/>
  <c r="KJN10" i="1"/>
  <c r="KJM10" i="1"/>
  <c r="KJL10" i="1"/>
  <c r="KJK10" i="1"/>
  <c r="KJJ10" i="1"/>
  <c r="KJI10" i="1"/>
  <c r="KJH10" i="1"/>
  <c r="KJG10" i="1"/>
  <c r="KJF10" i="1"/>
  <c r="KJE10" i="1"/>
  <c r="KJD10" i="1"/>
  <c r="KJC10" i="1"/>
  <c r="KJB10" i="1"/>
  <c r="KJA10" i="1"/>
  <c r="KIZ10" i="1"/>
  <c r="KIY10" i="1"/>
  <c r="KIX10" i="1"/>
  <c r="KIW10" i="1"/>
  <c r="KIV10" i="1"/>
  <c r="KIU10" i="1"/>
  <c r="KIT10" i="1"/>
  <c r="KIS10" i="1"/>
  <c r="KIR10" i="1"/>
  <c r="KIQ10" i="1"/>
  <c r="KIP10" i="1"/>
  <c r="KIO10" i="1"/>
  <c r="KIN10" i="1"/>
  <c r="KIM10" i="1"/>
  <c r="KIL10" i="1"/>
  <c r="KIK10" i="1"/>
  <c r="KIJ10" i="1"/>
  <c r="KII10" i="1"/>
  <c r="KIH10" i="1"/>
  <c r="KIG10" i="1"/>
  <c r="KIF10" i="1"/>
  <c r="KIE10" i="1"/>
  <c r="KID10" i="1"/>
  <c r="KIC10" i="1"/>
  <c r="KIB10" i="1"/>
  <c r="KIA10" i="1"/>
  <c r="KHZ10" i="1"/>
  <c r="KHY10" i="1"/>
  <c r="KHX10" i="1"/>
  <c r="KHW10" i="1"/>
  <c r="KHV10" i="1"/>
  <c r="KHU10" i="1"/>
  <c r="KHT10" i="1"/>
  <c r="KHS10" i="1"/>
  <c r="KHR10" i="1"/>
  <c r="KHQ10" i="1"/>
  <c r="KHP10" i="1"/>
  <c r="KHO10" i="1"/>
  <c r="KHN10" i="1"/>
  <c r="KHM10" i="1"/>
  <c r="KHL10" i="1"/>
  <c r="KHK10" i="1"/>
  <c r="KHJ10" i="1"/>
  <c r="KHI10" i="1"/>
  <c r="KHH10" i="1"/>
  <c r="KHG10" i="1"/>
  <c r="KHF10" i="1"/>
  <c r="KHE10" i="1"/>
  <c r="KHD10" i="1"/>
  <c r="KHC10" i="1"/>
  <c r="KHB10" i="1"/>
  <c r="KHA10" i="1"/>
  <c r="KGZ10" i="1"/>
  <c r="KGY10" i="1"/>
  <c r="KGX10" i="1"/>
  <c r="KGW10" i="1"/>
  <c r="KGV10" i="1"/>
  <c r="KGU10" i="1"/>
  <c r="KGT10" i="1"/>
  <c r="KGS10" i="1"/>
  <c r="KGR10" i="1"/>
  <c r="KGQ10" i="1"/>
  <c r="KGP10" i="1"/>
  <c r="KGO10" i="1"/>
  <c r="KGN10" i="1"/>
  <c r="KGM10" i="1"/>
  <c r="KGL10" i="1"/>
  <c r="KGK10" i="1"/>
  <c r="KGJ10" i="1"/>
  <c r="KGI10" i="1"/>
  <c r="KGH10" i="1"/>
  <c r="KGG10" i="1"/>
  <c r="KGF10" i="1"/>
  <c r="KGE10" i="1"/>
  <c r="KGD10" i="1"/>
  <c r="KGC10" i="1"/>
  <c r="KGB10" i="1"/>
  <c r="KGA10" i="1"/>
  <c r="KFZ10" i="1"/>
  <c r="KFY10" i="1"/>
  <c r="KFX10" i="1"/>
  <c r="KFW10" i="1"/>
  <c r="KJR9" i="1"/>
  <c r="KJQ9" i="1"/>
  <c r="KJP9" i="1"/>
  <c r="KJO9" i="1"/>
  <c r="KJN9" i="1"/>
  <c r="KJM9" i="1"/>
  <c r="KJL9" i="1"/>
  <c r="KJK9" i="1"/>
  <c r="KJJ9" i="1"/>
  <c r="KJI9" i="1"/>
  <c r="KJH9" i="1"/>
  <c r="KJG9" i="1"/>
  <c r="KJF9" i="1"/>
  <c r="KJE9" i="1"/>
  <c r="KJD9" i="1"/>
  <c r="KJC9" i="1"/>
  <c r="KJB9" i="1"/>
  <c r="KJA9" i="1"/>
  <c r="KIZ9" i="1"/>
  <c r="KIY9" i="1"/>
  <c r="KIX9" i="1"/>
  <c r="KIW9" i="1"/>
  <c r="KIV9" i="1"/>
  <c r="KIU9" i="1"/>
  <c r="KIT9" i="1"/>
  <c r="KIS9" i="1"/>
  <c r="KIR9" i="1"/>
  <c r="KIQ9" i="1"/>
  <c r="KIP9" i="1"/>
  <c r="KIO9" i="1"/>
  <c r="KIN9" i="1"/>
  <c r="KIM9" i="1"/>
  <c r="KIL9" i="1"/>
  <c r="KIK9" i="1"/>
  <c r="KIJ9" i="1"/>
  <c r="KII9" i="1"/>
  <c r="KIH9" i="1"/>
  <c r="KIG9" i="1"/>
  <c r="KIF9" i="1"/>
  <c r="KIE9" i="1"/>
  <c r="KID9" i="1"/>
  <c r="KIC9" i="1"/>
  <c r="KIB9" i="1"/>
  <c r="KIA9" i="1"/>
  <c r="KHZ9" i="1"/>
  <c r="KHY9" i="1"/>
  <c r="KHX9" i="1"/>
  <c r="KHW9" i="1"/>
  <c r="KHV9" i="1"/>
  <c r="KHU9" i="1"/>
  <c r="KHT9" i="1"/>
  <c r="KHS9" i="1"/>
  <c r="KHR9" i="1"/>
  <c r="KHQ9" i="1"/>
  <c r="KHP9" i="1"/>
  <c r="KHO9" i="1"/>
  <c r="KHN9" i="1"/>
  <c r="KHM9" i="1"/>
  <c r="KHL9" i="1"/>
  <c r="KHK9" i="1"/>
  <c r="KHJ9" i="1"/>
  <c r="KHI9" i="1"/>
  <c r="KHH9" i="1"/>
  <c r="KHG9" i="1"/>
  <c r="KHF9" i="1"/>
  <c r="KHE9" i="1"/>
  <c r="KHD9" i="1"/>
  <c r="KHC9" i="1"/>
  <c r="KHB9" i="1"/>
  <c r="KHA9" i="1"/>
  <c r="KGZ9" i="1"/>
  <c r="KGY9" i="1"/>
  <c r="KGX9" i="1"/>
  <c r="KGW9" i="1"/>
  <c r="KGV9" i="1"/>
  <c r="KGU9" i="1"/>
  <c r="KGT9" i="1"/>
  <c r="KGS9" i="1"/>
  <c r="KGR9" i="1"/>
  <c r="KGQ9" i="1"/>
  <c r="KGP9" i="1"/>
  <c r="KGO9" i="1"/>
  <c r="KGN9" i="1"/>
  <c r="KGM9" i="1"/>
  <c r="KGL9" i="1"/>
  <c r="KGK9" i="1"/>
  <c r="KGJ9" i="1"/>
  <c r="KGI9" i="1"/>
  <c r="KGH9" i="1"/>
  <c r="KGG9" i="1"/>
  <c r="KGF9" i="1"/>
  <c r="KGE9" i="1"/>
  <c r="KGD9" i="1"/>
  <c r="KGC9" i="1"/>
  <c r="KGB9" i="1"/>
  <c r="KGA9" i="1"/>
  <c r="KFZ9" i="1"/>
  <c r="KFY9" i="1"/>
  <c r="KFX9" i="1"/>
  <c r="KFW9" i="1"/>
  <c r="KJR8" i="1"/>
  <c r="KJQ8" i="1"/>
  <c r="KJP8" i="1"/>
  <c r="KJO8" i="1"/>
  <c r="KJN8" i="1"/>
  <c r="KJM8" i="1"/>
  <c r="KJL8" i="1"/>
  <c r="KJK8" i="1"/>
  <c r="KJJ8" i="1"/>
  <c r="KJI8" i="1"/>
  <c r="KJH8" i="1"/>
  <c r="KJG8" i="1"/>
  <c r="KJF8" i="1"/>
  <c r="KJE8" i="1"/>
  <c r="KJD8" i="1"/>
  <c r="KJC8" i="1"/>
  <c r="KJB8" i="1"/>
  <c r="KJA8" i="1"/>
  <c r="KIZ8" i="1"/>
  <c r="KIY8" i="1"/>
  <c r="KIX8" i="1"/>
  <c r="KIW8" i="1"/>
  <c r="KIV8" i="1"/>
  <c r="KIU8" i="1"/>
  <c r="KIT8" i="1"/>
  <c r="KIS8" i="1"/>
  <c r="KIR8" i="1"/>
  <c r="KIQ8" i="1"/>
  <c r="KIP8" i="1"/>
  <c r="KIO8" i="1"/>
  <c r="KIN8" i="1"/>
  <c r="KIM8" i="1"/>
  <c r="KIL8" i="1"/>
  <c r="KIK8" i="1"/>
  <c r="KIJ8" i="1"/>
  <c r="KII8" i="1"/>
  <c r="KIH8" i="1"/>
  <c r="KIG8" i="1"/>
  <c r="KIF8" i="1"/>
  <c r="KIE8" i="1"/>
  <c r="KID8" i="1"/>
  <c r="KIC8" i="1"/>
  <c r="KIB8" i="1"/>
  <c r="KIA8" i="1"/>
  <c r="KHZ8" i="1"/>
  <c r="KHY8" i="1"/>
  <c r="KHX8" i="1"/>
  <c r="KHW8" i="1"/>
  <c r="KHV8" i="1"/>
  <c r="KHU8" i="1"/>
  <c r="KHT8" i="1"/>
  <c r="KHS8" i="1"/>
  <c r="KHR8" i="1"/>
  <c r="KHQ8" i="1"/>
  <c r="KHP8" i="1"/>
  <c r="KHO8" i="1"/>
  <c r="KHN8" i="1"/>
  <c r="KHM8" i="1"/>
  <c r="KHL8" i="1"/>
  <c r="KHK8" i="1"/>
  <c r="KHJ8" i="1"/>
  <c r="KHI8" i="1"/>
  <c r="KHH8" i="1"/>
  <c r="KHG8" i="1"/>
  <c r="KHF8" i="1"/>
  <c r="KHE8" i="1"/>
  <c r="KHD8" i="1"/>
  <c r="KHC8" i="1"/>
  <c r="KHB8" i="1"/>
  <c r="KHA8" i="1"/>
  <c r="KGZ8" i="1"/>
  <c r="KGY8" i="1"/>
  <c r="KGX8" i="1"/>
  <c r="KGW8" i="1"/>
  <c r="KGV8" i="1"/>
  <c r="KGU8" i="1"/>
  <c r="KGT8" i="1"/>
  <c r="KGS8" i="1"/>
  <c r="KGR8" i="1"/>
  <c r="KGQ8" i="1"/>
  <c r="KGP8" i="1"/>
  <c r="KGO8" i="1"/>
  <c r="KGN8" i="1"/>
  <c r="KGM8" i="1"/>
  <c r="KGL8" i="1"/>
  <c r="KGK8" i="1"/>
  <c r="KGJ8" i="1"/>
  <c r="KGI8" i="1"/>
  <c r="KGH8" i="1"/>
  <c r="KGG8" i="1"/>
  <c r="KGF8" i="1"/>
  <c r="KGE8" i="1"/>
  <c r="KGD8" i="1"/>
  <c r="KGC8" i="1"/>
  <c r="KGB8" i="1"/>
  <c r="KGA8" i="1"/>
  <c r="KFZ8" i="1"/>
  <c r="KFY8" i="1"/>
  <c r="KFX8" i="1"/>
  <c r="KFW8" i="1"/>
  <c r="KJR7" i="1"/>
  <c r="KJQ7" i="1"/>
  <c r="KJP7" i="1"/>
  <c r="KJO7" i="1"/>
  <c r="KJN7" i="1"/>
  <c r="KJM7" i="1"/>
  <c r="KJL7" i="1"/>
  <c r="KJK7" i="1"/>
  <c r="KJJ7" i="1"/>
  <c r="KJI7" i="1"/>
  <c r="KJH7" i="1"/>
  <c r="KJG7" i="1"/>
  <c r="KJF7" i="1"/>
  <c r="KJE7" i="1"/>
  <c r="KJD7" i="1"/>
  <c r="KJC7" i="1"/>
  <c r="KJB7" i="1"/>
  <c r="KJA7" i="1"/>
  <c r="KIZ7" i="1"/>
  <c r="KIY7" i="1"/>
  <c r="KIX7" i="1"/>
  <c r="KIW7" i="1"/>
  <c r="KIV7" i="1"/>
  <c r="KIU7" i="1"/>
  <c r="KIT7" i="1"/>
  <c r="KIS7" i="1"/>
  <c r="KIR7" i="1"/>
  <c r="KIQ7" i="1"/>
  <c r="KIP7" i="1"/>
  <c r="KIO7" i="1"/>
  <c r="KIN7" i="1"/>
  <c r="KIM7" i="1"/>
  <c r="KIL7" i="1"/>
  <c r="KIK7" i="1"/>
  <c r="KIJ7" i="1"/>
  <c r="KII7" i="1"/>
  <c r="KIH7" i="1"/>
  <c r="KIG7" i="1"/>
  <c r="KIF7" i="1"/>
  <c r="KIE7" i="1"/>
  <c r="KID7" i="1"/>
  <c r="KIC7" i="1"/>
  <c r="KIB7" i="1"/>
  <c r="KIA7" i="1"/>
  <c r="KHZ7" i="1"/>
  <c r="KHY7" i="1"/>
  <c r="KHX7" i="1"/>
  <c r="KHW7" i="1"/>
  <c r="KHV7" i="1"/>
  <c r="KHU7" i="1"/>
  <c r="KHT7" i="1"/>
  <c r="KHS7" i="1"/>
  <c r="KHR7" i="1"/>
  <c r="KHQ7" i="1"/>
  <c r="KHP7" i="1"/>
  <c r="KHO7" i="1"/>
  <c r="KHN7" i="1"/>
  <c r="KHM7" i="1"/>
  <c r="KHL7" i="1"/>
  <c r="KHK7" i="1"/>
  <c r="KHJ7" i="1"/>
  <c r="KHI7" i="1"/>
  <c r="KHH7" i="1"/>
  <c r="KHG7" i="1"/>
  <c r="KHF7" i="1"/>
  <c r="KHE7" i="1"/>
  <c r="KHD7" i="1"/>
  <c r="KHC7" i="1"/>
  <c r="KHB7" i="1"/>
  <c r="KHA7" i="1"/>
  <c r="KGZ7" i="1"/>
  <c r="KGY7" i="1"/>
  <c r="KGX7" i="1"/>
  <c r="KGW7" i="1"/>
  <c r="KGV7" i="1"/>
  <c r="KGU7" i="1"/>
  <c r="KGT7" i="1"/>
  <c r="KGS7" i="1"/>
  <c r="KGR7" i="1"/>
  <c r="KGQ7" i="1"/>
  <c r="KGP7" i="1"/>
  <c r="KGO7" i="1"/>
  <c r="KGN7" i="1"/>
  <c r="KGM7" i="1"/>
  <c r="KGL7" i="1"/>
  <c r="KGK7" i="1"/>
  <c r="KGJ7" i="1"/>
  <c r="KGI7" i="1"/>
  <c r="KGH7" i="1"/>
  <c r="KGG7" i="1"/>
  <c r="KGF7" i="1"/>
  <c r="KGE7" i="1"/>
  <c r="KGD7" i="1"/>
  <c r="KGC7" i="1"/>
  <c r="KGB7" i="1"/>
  <c r="KGA7" i="1"/>
  <c r="KFZ7" i="1"/>
  <c r="KFY7" i="1"/>
  <c r="KFX7" i="1"/>
  <c r="KFW7" i="1"/>
  <c r="KJR6" i="1"/>
  <c r="KJQ6" i="1"/>
  <c r="KJP6" i="1"/>
  <c r="KJO6" i="1"/>
  <c r="KJN6" i="1"/>
  <c r="KJM6" i="1"/>
  <c r="KJL6" i="1"/>
  <c r="KJK6" i="1"/>
  <c r="KJJ6" i="1"/>
  <c r="KJI6" i="1"/>
  <c r="KJH6" i="1"/>
  <c r="KJG6" i="1"/>
  <c r="KJF6" i="1"/>
  <c r="KJE6" i="1"/>
  <c r="KJD6" i="1"/>
  <c r="KJC6" i="1"/>
  <c r="KJB6" i="1"/>
  <c r="KJA6" i="1"/>
  <c r="KIZ6" i="1"/>
  <c r="KIY6" i="1"/>
  <c r="KIX6" i="1"/>
  <c r="KIW6" i="1"/>
  <c r="KIV6" i="1"/>
  <c r="KIU6" i="1"/>
  <c r="KIT6" i="1"/>
  <c r="KIS6" i="1"/>
  <c r="KIR6" i="1"/>
  <c r="KIQ6" i="1"/>
  <c r="KIP6" i="1"/>
  <c r="KIO6" i="1"/>
  <c r="KIN6" i="1"/>
  <c r="KIM6" i="1"/>
  <c r="KIL6" i="1"/>
  <c r="KIK6" i="1"/>
  <c r="KIJ6" i="1"/>
  <c r="KII6" i="1"/>
  <c r="KIH6" i="1"/>
  <c r="KIG6" i="1"/>
  <c r="KIF6" i="1"/>
  <c r="KIE6" i="1"/>
  <c r="KID6" i="1"/>
  <c r="KIC6" i="1"/>
  <c r="KIB6" i="1"/>
  <c r="KIA6" i="1"/>
  <c r="KHZ6" i="1"/>
  <c r="KHY6" i="1"/>
  <c r="KHX6" i="1"/>
  <c r="KHW6" i="1"/>
  <c r="KHV6" i="1"/>
  <c r="KHU6" i="1"/>
  <c r="KHT6" i="1"/>
  <c r="KHS6" i="1"/>
  <c r="KHR6" i="1"/>
  <c r="KHQ6" i="1"/>
  <c r="KHP6" i="1"/>
  <c r="KHO6" i="1"/>
  <c r="KHN6" i="1"/>
  <c r="KHM6" i="1"/>
  <c r="KHL6" i="1"/>
  <c r="KHK6" i="1"/>
  <c r="KHJ6" i="1"/>
  <c r="KHI6" i="1"/>
  <c r="KHH6" i="1"/>
  <c r="KHG6" i="1"/>
  <c r="KHF6" i="1"/>
  <c r="KHE6" i="1"/>
  <c r="KHD6" i="1"/>
  <c r="KHC6" i="1"/>
  <c r="KHB6" i="1"/>
  <c r="KHA6" i="1"/>
  <c r="KGZ6" i="1"/>
  <c r="KGY6" i="1"/>
  <c r="KGX6" i="1"/>
  <c r="KGW6" i="1"/>
  <c r="KGV6" i="1"/>
  <c r="KGU6" i="1"/>
  <c r="KGT6" i="1"/>
  <c r="KGS6" i="1"/>
  <c r="KGR6" i="1"/>
  <c r="KGQ6" i="1"/>
  <c r="KGP6" i="1"/>
  <c r="KGO6" i="1"/>
  <c r="KGN6" i="1"/>
  <c r="KGM6" i="1"/>
  <c r="KGL6" i="1"/>
  <c r="KGK6" i="1"/>
  <c r="KGJ6" i="1"/>
  <c r="KGI6" i="1"/>
  <c r="KGH6" i="1"/>
  <c r="KGG6" i="1"/>
  <c r="KGF6" i="1"/>
  <c r="KGE6" i="1"/>
  <c r="KGD6" i="1"/>
  <c r="KGC6" i="1"/>
  <c r="KGB6" i="1"/>
  <c r="KGA6" i="1"/>
  <c r="KFZ6" i="1"/>
  <c r="KFY6" i="1"/>
  <c r="KFX6" i="1"/>
  <c r="KFW6" i="1"/>
  <c r="KJR5" i="1"/>
  <c r="KJQ5" i="1"/>
  <c r="KJP5" i="1"/>
  <c r="KJO5" i="1"/>
  <c r="KJN5" i="1"/>
  <c r="KJM5" i="1"/>
  <c r="KJL5" i="1"/>
  <c r="KJK5" i="1"/>
  <c r="KJJ5" i="1"/>
  <c r="KJI5" i="1"/>
  <c r="KJH5" i="1"/>
  <c r="KJG5" i="1"/>
  <c r="KJF5" i="1"/>
  <c r="KJE5" i="1"/>
  <c r="KJD5" i="1"/>
  <c r="KJC5" i="1"/>
  <c r="KJB5" i="1"/>
  <c r="KJA5" i="1"/>
  <c r="KIZ5" i="1"/>
  <c r="KIY5" i="1"/>
  <c r="KIX5" i="1"/>
  <c r="KIW5" i="1"/>
  <c r="KIV5" i="1"/>
  <c r="KIU5" i="1"/>
  <c r="KIT5" i="1"/>
  <c r="KIS5" i="1"/>
  <c r="KIR5" i="1"/>
  <c r="KIQ5" i="1"/>
  <c r="KIP5" i="1"/>
  <c r="KIO5" i="1"/>
  <c r="KIN5" i="1"/>
  <c r="KIM5" i="1"/>
  <c r="KIL5" i="1"/>
  <c r="KIK5" i="1"/>
  <c r="KIJ5" i="1"/>
  <c r="KII5" i="1"/>
  <c r="KIH5" i="1"/>
  <c r="KIG5" i="1"/>
  <c r="KIF5" i="1"/>
  <c r="KIE5" i="1"/>
  <c r="KID5" i="1"/>
  <c r="KIC5" i="1"/>
  <c r="KIB5" i="1"/>
  <c r="KIA5" i="1"/>
  <c r="KHZ5" i="1"/>
  <c r="KHY5" i="1"/>
  <c r="KHX5" i="1"/>
  <c r="KHW5" i="1"/>
  <c r="KHV5" i="1"/>
  <c r="KHU5" i="1"/>
  <c r="KHT5" i="1"/>
  <c r="KHS5" i="1"/>
  <c r="KHR5" i="1"/>
  <c r="KHQ5" i="1"/>
  <c r="KHP5" i="1"/>
  <c r="KHO5" i="1"/>
  <c r="KHN5" i="1"/>
  <c r="KHM5" i="1"/>
  <c r="KHL5" i="1"/>
  <c r="KHK5" i="1"/>
  <c r="KHJ5" i="1"/>
  <c r="KHI5" i="1"/>
  <c r="KHH5" i="1"/>
  <c r="KHG5" i="1"/>
  <c r="KHF5" i="1"/>
  <c r="KHE5" i="1"/>
  <c r="KHD5" i="1"/>
  <c r="KHC5" i="1"/>
  <c r="KHB5" i="1"/>
  <c r="KHA5" i="1"/>
  <c r="KGZ5" i="1"/>
  <c r="KGY5" i="1"/>
  <c r="KGX5" i="1"/>
  <c r="KGW5" i="1"/>
  <c r="KGV5" i="1"/>
  <c r="KGU5" i="1"/>
  <c r="KGT5" i="1"/>
  <c r="KGS5" i="1"/>
  <c r="KGR5" i="1"/>
  <c r="KGQ5" i="1"/>
  <c r="KGP5" i="1"/>
  <c r="KGO5" i="1"/>
  <c r="KGN5" i="1"/>
  <c r="KGM5" i="1"/>
  <c r="KGL5" i="1"/>
  <c r="KGK5" i="1"/>
  <c r="KGJ5" i="1"/>
  <c r="KGI5" i="1"/>
  <c r="KGH5" i="1"/>
  <c r="KGG5" i="1"/>
  <c r="KGF5" i="1"/>
  <c r="KGE5" i="1"/>
  <c r="KGD5" i="1"/>
  <c r="KGC5" i="1"/>
  <c r="KGB5" i="1"/>
  <c r="KGA5" i="1"/>
  <c r="KFZ5" i="1"/>
  <c r="KFY5" i="1"/>
  <c r="KFX5" i="1"/>
  <c r="KFW5" i="1"/>
  <c r="KJR4" i="1"/>
  <c r="KJQ4" i="1"/>
  <c r="KJP4" i="1"/>
  <c r="KJO4" i="1"/>
  <c r="KJN4" i="1"/>
  <c r="KJM4" i="1"/>
  <c r="KJL4" i="1"/>
  <c r="KJK4" i="1"/>
  <c r="KJJ4" i="1"/>
  <c r="KJI4" i="1"/>
  <c r="KJH4" i="1"/>
  <c r="KJG4" i="1"/>
  <c r="KJF4" i="1"/>
  <c r="KJE4" i="1"/>
  <c r="KJD4" i="1"/>
  <c r="KJC4" i="1"/>
  <c r="KJB4" i="1"/>
  <c r="KJA4" i="1"/>
  <c r="KIZ4" i="1"/>
  <c r="KIY4" i="1"/>
  <c r="KIX4" i="1"/>
  <c r="KIW4" i="1"/>
  <c r="KIV4" i="1"/>
  <c r="KIU4" i="1"/>
  <c r="KIT4" i="1"/>
  <c r="KIS4" i="1"/>
  <c r="KIR4" i="1"/>
  <c r="KIQ4" i="1"/>
  <c r="KIP4" i="1"/>
  <c r="KIO4" i="1"/>
  <c r="KIN4" i="1"/>
  <c r="KIM4" i="1"/>
  <c r="KIL4" i="1"/>
  <c r="KIK4" i="1"/>
  <c r="KIJ4" i="1"/>
  <c r="KII4" i="1"/>
  <c r="KIH4" i="1"/>
  <c r="KIG4" i="1"/>
  <c r="KIF4" i="1"/>
  <c r="KIE4" i="1"/>
  <c r="KID4" i="1"/>
  <c r="KIC4" i="1"/>
  <c r="KIB4" i="1"/>
  <c r="KIA4" i="1"/>
  <c r="KHZ4" i="1"/>
  <c r="KHY4" i="1"/>
  <c r="KHX4" i="1"/>
  <c r="KHW4" i="1"/>
  <c r="KHV4" i="1"/>
  <c r="KHU4" i="1"/>
  <c r="KHT4" i="1"/>
  <c r="KHS4" i="1"/>
  <c r="KHR4" i="1"/>
  <c r="KHQ4" i="1"/>
  <c r="KHP4" i="1"/>
  <c r="KHO4" i="1"/>
  <c r="KHN4" i="1"/>
  <c r="KHM4" i="1"/>
  <c r="KHL4" i="1"/>
  <c r="KHK4" i="1"/>
  <c r="KHJ4" i="1"/>
  <c r="KHI4" i="1"/>
  <c r="KHH4" i="1"/>
  <c r="KHG4" i="1"/>
  <c r="KHF4" i="1"/>
  <c r="KHE4" i="1"/>
  <c r="KHD4" i="1"/>
  <c r="KHC4" i="1"/>
  <c r="KHB4" i="1"/>
  <c r="KHA4" i="1"/>
  <c r="KGZ4" i="1"/>
  <c r="KGY4" i="1"/>
  <c r="KGX4" i="1"/>
  <c r="KGW4" i="1"/>
  <c r="KGV4" i="1"/>
  <c r="KGU4" i="1"/>
  <c r="KGT4" i="1"/>
  <c r="KGS4" i="1"/>
  <c r="KGR4" i="1"/>
  <c r="KGQ4" i="1"/>
  <c r="KGP4" i="1"/>
  <c r="KGO4" i="1"/>
  <c r="KGN4" i="1"/>
  <c r="KGM4" i="1"/>
  <c r="KGL4" i="1"/>
  <c r="KGK4" i="1"/>
  <c r="KGJ4" i="1"/>
  <c r="KGI4" i="1"/>
  <c r="KGH4" i="1"/>
  <c r="KGG4" i="1"/>
  <c r="KGF4" i="1"/>
  <c r="KGE4" i="1"/>
  <c r="KGD4" i="1"/>
  <c r="KGC4" i="1"/>
  <c r="KGB4" i="1"/>
  <c r="KGA4" i="1"/>
  <c r="KFZ4" i="1"/>
  <c r="KFY4" i="1"/>
  <c r="KFX4" i="1"/>
  <c r="KFW4" i="1"/>
  <c r="KJR3" i="1"/>
  <c r="KJQ3" i="1"/>
  <c r="KJP3" i="1"/>
  <c r="KJO3" i="1"/>
  <c r="KJN3" i="1"/>
  <c r="KJM3" i="1"/>
  <c r="KJL3" i="1"/>
  <c r="KJK3" i="1"/>
  <c r="KJJ3" i="1"/>
  <c r="KJI3" i="1"/>
  <c r="KJH3" i="1"/>
  <c r="KJG3" i="1"/>
  <c r="KJF3" i="1"/>
  <c r="KJE3" i="1"/>
  <c r="KJD3" i="1"/>
  <c r="KJC3" i="1"/>
  <c r="KJB3" i="1"/>
  <c r="KJA3" i="1"/>
  <c r="KIZ3" i="1"/>
  <c r="KIY3" i="1"/>
  <c r="KIX3" i="1"/>
  <c r="KIW3" i="1"/>
  <c r="KIV3" i="1"/>
  <c r="KIU3" i="1"/>
  <c r="KIT3" i="1"/>
  <c r="KIS3" i="1"/>
  <c r="KIR3" i="1"/>
  <c r="KIQ3" i="1"/>
  <c r="KIP3" i="1"/>
  <c r="KIO3" i="1"/>
  <c r="KIN3" i="1"/>
  <c r="KIM3" i="1"/>
  <c r="KIL3" i="1"/>
  <c r="KIK3" i="1"/>
  <c r="KIJ3" i="1"/>
  <c r="KII3" i="1"/>
  <c r="KIH3" i="1"/>
  <c r="KIG3" i="1"/>
  <c r="KIF3" i="1"/>
  <c r="KIE3" i="1"/>
  <c r="KID3" i="1"/>
  <c r="KIC3" i="1"/>
  <c r="KIB3" i="1"/>
  <c r="KIA3" i="1"/>
  <c r="KHZ3" i="1"/>
  <c r="KHY3" i="1"/>
  <c r="KHX3" i="1"/>
  <c r="KHW3" i="1"/>
  <c r="KHV3" i="1"/>
  <c r="KHU3" i="1"/>
  <c r="KHT3" i="1"/>
  <c r="KHS3" i="1"/>
  <c r="KHR3" i="1"/>
  <c r="KHQ3" i="1"/>
  <c r="KHP3" i="1"/>
  <c r="KHO3" i="1"/>
  <c r="KHN3" i="1"/>
  <c r="KHM3" i="1"/>
  <c r="KHL3" i="1"/>
  <c r="KHK3" i="1"/>
  <c r="KHJ3" i="1"/>
  <c r="KHI3" i="1"/>
  <c r="KHH3" i="1"/>
  <c r="KHG3" i="1"/>
  <c r="KHF3" i="1"/>
  <c r="KHE3" i="1"/>
  <c r="KHD3" i="1"/>
  <c r="KHC3" i="1"/>
  <c r="KHB3" i="1"/>
  <c r="KHA3" i="1"/>
  <c r="KGZ3" i="1"/>
  <c r="KGY3" i="1"/>
  <c r="KGX3" i="1"/>
  <c r="KGW3" i="1"/>
  <c r="KGV3" i="1"/>
  <c r="KGU3" i="1"/>
  <c r="KGT3" i="1"/>
  <c r="KGS3" i="1"/>
  <c r="KGR3" i="1"/>
  <c r="KGQ3" i="1"/>
  <c r="KGP3" i="1"/>
  <c r="KGO3" i="1"/>
  <c r="KGN3" i="1"/>
  <c r="KGM3" i="1"/>
  <c r="KGL3" i="1"/>
  <c r="KGK3" i="1"/>
  <c r="KGJ3" i="1"/>
  <c r="KGI3" i="1"/>
  <c r="KGH3" i="1"/>
  <c r="KGG3" i="1"/>
  <c r="KGF3" i="1"/>
  <c r="KGE3" i="1"/>
  <c r="KGD3" i="1"/>
  <c r="KGC3" i="1"/>
  <c r="KGB3" i="1"/>
  <c r="KGA3" i="1"/>
  <c r="KFZ3" i="1"/>
  <c r="KFY3" i="1"/>
  <c r="KFX3" i="1"/>
  <c r="KFW3" i="1"/>
  <c r="KJR2" i="1"/>
  <c r="KJQ2" i="1"/>
  <c r="KJP2" i="1"/>
  <c r="KJO2" i="1"/>
  <c r="KJN2" i="1"/>
  <c r="KJM2" i="1"/>
  <c r="KJL2" i="1"/>
  <c r="KJK2" i="1"/>
  <c r="KJJ2" i="1"/>
  <c r="KJI2" i="1"/>
  <c r="KJH2" i="1"/>
  <c r="KJG2" i="1"/>
  <c r="KJF2" i="1"/>
  <c r="KJE2" i="1"/>
  <c r="KJD2" i="1"/>
  <c r="KJC2" i="1"/>
  <c r="KJB2" i="1"/>
  <c r="KJA2" i="1"/>
  <c r="KIZ2" i="1"/>
  <c r="KIY2" i="1"/>
  <c r="KIX2" i="1"/>
  <c r="KIW2" i="1"/>
  <c r="KIV2" i="1"/>
  <c r="KIU2" i="1"/>
  <c r="KIT2" i="1"/>
  <c r="KIS2" i="1"/>
  <c r="KIR2" i="1"/>
  <c r="KIQ2" i="1"/>
  <c r="KIP2" i="1"/>
  <c r="KIO2" i="1"/>
  <c r="KIN2" i="1"/>
  <c r="KIM2" i="1"/>
  <c r="KIL2" i="1"/>
  <c r="KIK2" i="1"/>
  <c r="KIJ2" i="1"/>
  <c r="KII2" i="1"/>
  <c r="KIH2" i="1"/>
  <c r="KIG2" i="1"/>
  <c r="KIF2" i="1"/>
  <c r="KIE2" i="1"/>
  <c r="KID2" i="1"/>
  <c r="KIC2" i="1"/>
  <c r="KIB2" i="1"/>
  <c r="KIA2" i="1"/>
  <c r="KHZ2" i="1"/>
  <c r="KHY2" i="1"/>
  <c r="KHX2" i="1"/>
  <c r="KHW2" i="1"/>
  <c r="KHV2" i="1"/>
  <c r="KHU2" i="1"/>
  <c r="KHT2" i="1"/>
  <c r="KHS2" i="1"/>
  <c r="KHR2" i="1"/>
  <c r="KHQ2" i="1"/>
  <c r="KHP2" i="1"/>
  <c r="KHO2" i="1"/>
  <c r="KHN2" i="1"/>
  <c r="KHM2" i="1"/>
  <c r="KHL2" i="1"/>
  <c r="KHK2" i="1"/>
  <c r="KHJ2" i="1"/>
  <c r="KHI2" i="1"/>
  <c r="KHH2" i="1"/>
  <c r="KHG2" i="1"/>
  <c r="KHF2" i="1"/>
  <c r="KHE2" i="1"/>
  <c r="KHD2" i="1"/>
  <c r="KHC2" i="1"/>
  <c r="KHB2" i="1"/>
  <c r="KHA2" i="1"/>
  <c r="KGZ2" i="1"/>
  <c r="KGY2" i="1"/>
  <c r="KGX2" i="1"/>
  <c r="KGW2" i="1"/>
  <c r="KGV2" i="1"/>
  <c r="KGU2" i="1"/>
  <c r="KGT2" i="1"/>
  <c r="KGS2" i="1"/>
  <c r="KGR2" i="1"/>
  <c r="KGQ2" i="1"/>
  <c r="KGP2" i="1"/>
  <c r="KGO2" i="1"/>
  <c r="KGN2" i="1"/>
  <c r="KGM2" i="1"/>
  <c r="KGL2" i="1"/>
  <c r="KGK2" i="1"/>
  <c r="KGJ2" i="1"/>
  <c r="KGI2" i="1"/>
  <c r="KGH2" i="1"/>
  <c r="KGG2" i="1"/>
  <c r="KGF2" i="1"/>
  <c r="KGE2" i="1"/>
  <c r="KGD2" i="1"/>
  <c r="KGC2" i="1"/>
  <c r="KGB2" i="1"/>
  <c r="KGA2" i="1"/>
  <c r="KFZ2" i="1"/>
  <c r="KFY2" i="1"/>
  <c r="KFX2" i="1"/>
  <c r="KFW2" i="1"/>
  <c r="KFV52" i="1" l="1"/>
  <c r="KFU52" i="1"/>
  <c r="KFT52" i="1"/>
  <c r="KFS52" i="1"/>
  <c r="KFR52" i="1"/>
  <c r="KFQ52" i="1"/>
  <c r="KFP52" i="1"/>
  <c r="KFO52" i="1"/>
  <c r="KFN52" i="1"/>
  <c r="KFM52" i="1"/>
  <c r="KFL52" i="1"/>
  <c r="KFK52" i="1"/>
  <c r="KFJ52" i="1"/>
  <c r="KFI52" i="1"/>
  <c r="KFH52" i="1"/>
  <c r="KFG52" i="1"/>
  <c r="KFF52" i="1"/>
  <c r="KFE52" i="1"/>
  <c r="KFD52" i="1"/>
  <c r="KFC52" i="1"/>
  <c r="KFB52" i="1"/>
  <c r="KFA52" i="1"/>
  <c r="KEZ52" i="1"/>
  <c r="KEY52" i="1"/>
  <c r="KEX52" i="1"/>
  <c r="KEW52" i="1"/>
  <c r="KEV52" i="1"/>
  <c r="KEU52" i="1"/>
  <c r="KET52" i="1"/>
  <c r="KES52" i="1"/>
  <c r="KER52" i="1"/>
  <c r="KEQ52" i="1"/>
  <c r="KEP52" i="1"/>
  <c r="KEO52" i="1"/>
  <c r="KEN52" i="1"/>
  <c r="KEM52" i="1"/>
  <c r="KEL52" i="1"/>
  <c r="KEK52" i="1"/>
  <c r="KEJ52" i="1"/>
  <c r="KEI52" i="1"/>
  <c r="KEH52" i="1"/>
  <c r="KEG52" i="1"/>
  <c r="KEF52" i="1"/>
  <c r="KEE52" i="1"/>
  <c r="KED52" i="1"/>
  <c r="KEC52" i="1"/>
  <c r="KEB52" i="1"/>
  <c r="KEA52" i="1"/>
  <c r="KDZ52" i="1"/>
  <c r="KDY52" i="1"/>
  <c r="KDX52" i="1"/>
  <c r="KDW52" i="1"/>
  <c r="KDV52" i="1"/>
  <c r="KDU52" i="1"/>
  <c r="KDT52" i="1"/>
  <c r="KDS52" i="1"/>
  <c r="KDR52" i="1"/>
  <c r="KDQ52" i="1"/>
  <c r="KDP52" i="1"/>
  <c r="KDO52" i="1"/>
  <c r="KDN52" i="1"/>
  <c r="KDM52" i="1"/>
  <c r="KDL52" i="1"/>
  <c r="KDK52" i="1"/>
  <c r="KDJ52" i="1"/>
  <c r="KDI52" i="1"/>
  <c r="KDH52" i="1"/>
  <c r="KDG52" i="1"/>
  <c r="KDF52" i="1"/>
  <c r="KDE52" i="1"/>
  <c r="KDD52" i="1"/>
  <c r="KDC52" i="1"/>
  <c r="KDB52" i="1"/>
  <c r="KDA52" i="1"/>
  <c r="KCZ52" i="1"/>
  <c r="KCY52" i="1"/>
  <c r="KCX52" i="1"/>
  <c r="KCW52" i="1"/>
  <c r="KCV52" i="1"/>
  <c r="KCU52" i="1"/>
  <c r="KCT52" i="1"/>
  <c r="KCS52" i="1"/>
  <c r="KCR52" i="1"/>
  <c r="KCQ52" i="1"/>
  <c r="KCP52" i="1"/>
  <c r="KCO52" i="1"/>
  <c r="KCN52" i="1"/>
  <c r="KCM52" i="1"/>
  <c r="KCL52" i="1"/>
  <c r="KCK52" i="1"/>
  <c r="KCJ52" i="1"/>
  <c r="KCI52" i="1"/>
  <c r="KCH52" i="1"/>
  <c r="KCG52" i="1"/>
  <c r="KCF52" i="1"/>
  <c r="KCE52" i="1"/>
  <c r="KCD52" i="1"/>
  <c r="KCC52" i="1"/>
  <c r="KCB52" i="1"/>
  <c r="KCA52" i="1"/>
  <c r="KBZ52" i="1"/>
  <c r="KBY52" i="1"/>
  <c r="KBX52" i="1"/>
  <c r="KBW52" i="1"/>
  <c r="KBV52" i="1"/>
  <c r="KBU52" i="1"/>
  <c r="KBT52" i="1"/>
  <c r="KBS52" i="1"/>
  <c r="KBR52" i="1"/>
  <c r="KBQ52" i="1"/>
  <c r="KBP52" i="1"/>
  <c r="KBO52" i="1"/>
  <c r="KBN52" i="1"/>
  <c r="KBM52" i="1"/>
  <c r="KBL52" i="1"/>
  <c r="KBK52" i="1"/>
  <c r="KBJ52" i="1"/>
  <c r="KBI52" i="1"/>
  <c r="KBH52" i="1"/>
  <c r="KBG52" i="1"/>
  <c r="KBF52" i="1"/>
  <c r="KBE52" i="1"/>
  <c r="KBD52" i="1"/>
  <c r="KBC52" i="1"/>
  <c r="KBB52" i="1"/>
  <c r="KBA52" i="1"/>
  <c r="KAZ52" i="1"/>
  <c r="KAY52" i="1"/>
  <c r="KAX52" i="1"/>
  <c r="KAW52" i="1"/>
  <c r="KAV52" i="1"/>
  <c r="KAU52" i="1"/>
  <c r="KAT52" i="1"/>
  <c r="KAS52" i="1"/>
  <c r="KAR52" i="1"/>
  <c r="KAQ52" i="1"/>
  <c r="KAP52" i="1"/>
  <c r="KAO52" i="1"/>
  <c r="KAN52" i="1"/>
  <c r="KAM52" i="1"/>
  <c r="KAL52" i="1"/>
  <c r="KAK52" i="1"/>
  <c r="KAJ52" i="1"/>
  <c r="KAI52" i="1"/>
  <c r="KAH52" i="1"/>
  <c r="KAG52" i="1"/>
  <c r="KAF52" i="1"/>
  <c r="KAE52" i="1"/>
  <c r="KAD52" i="1"/>
  <c r="KAC52" i="1"/>
  <c r="KAB52" i="1"/>
  <c r="KAA52" i="1"/>
  <c r="JZZ52" i="1"/>
  <c r="JZY52" i="1"/>
  <c r="JZX52" i="1"/>
  <c r="JZW52" i="1"/>
  <c r="JZV52" i="1"/>
  <c r="JZU52" i="1"/>
  <c r="JZT52" i="1"/>
  <c r="JZS52" i="1"/>
  <c r="JZR52" i="1"/>
  <c r="JZQ52" i="1"/>
  <c r="JZP52" i="1"/>
  <c r="JZO52" i="1"/>
  <c r="JZN52" i="1"/>
  <c r="JZM52" i="1"/>
  <c r="JZL52" i="1"/>
  <c r="JZK52" i="1"/>
  <c r="JZJ52" i="1"/>
  <c r="JZI52" i="1"/>
  <c r="JZH52" i="1"/>
  <c r="JZG52" i="1"/>
  <c r="JZF52" i="1"/>
  <c r="JZE52" i="1"/>
  <c r="JZD52" i="1"/>
  <c r="JZC52" i="1"/>
  <c r="JZB52" i="1"/>
  <c r="JZA52" i="1"/>
  <c r="JYZ52" i="1"/>
  <c r="JYY52" i="1"/>
  <c r="JYX52" i="1"/>
  <c r="JYW52" i="1"/>
  <c r="JYV52" i="1"/>
  <c r="JYU52" i="1"/>
  <c r="JYT52" i="1"/>
  <c r="JYS52" i="1"/>
  <c r="JYR52" i="1"/>
  <c r="JYQ52" i="1"/>
  <c r="JYP52" i="1"/>
  <c r="JYO52" i="1"/>
  <c r="JYN52" i="1"/>
  <c r="JYM52" i="1"/>
  <c r="JYL52" i="1"/>
  <c r="JYK52" i="1"/>
  <c r="JYJ52" i="1"/>
  <c r="JYI52" i="1"/>
  <c r="JYH52" i="1"/>
  <c r="JYG52" i="1"/>
  <c r="JYF52" i="1"/>
  <c r="JYE52" i="1"/>
  <c r="JYD52" i="1"/>
  <c r="JYC52" i="1"/>
  <c r="JYB52" i="1"/>
  <c r="JYA52" i="1"/>
  <c r="JXZ52" i="1"/>
  <c r="JXY52" i="1"/>
  <c r="JXX52" i="1"/>
  <c r="JXW52" i="1"/>
  <c r="JXV52" i="1"/>
  <c r="JXU52" i="1"/>
  <c r="JXT52" i="1"/>
  <c r="JXS52" i="1"/>
  <c r="JXR52" i="1"/>
  <c r="JXQ52" i="1"/>
  <c r="JXP52" i="1"/>
  <c r="JXO52" i="1"/>
  <c r="JXN52" i="1"/>
  <c r="JXM52" i="1"/>
  <c r="JXL52" i="1"/>
  <c r="JXK52" i="1"/>
  <c r="JXJ52" i="1"/>
  <c r="JXI52" i="1"/>
  <c r="JXH52" i="1"/>
  <c r="JXG52" i="1"/>
  <c r="JXF52" i="1"/>
  <c r="JXE52" i="1"/>
  <c r="JXD52" i="1"/>
  <c r="JXC52" i="1"/>
  <c r="JXB52" i="1"/>
  <c r="JXA52" i="1"/>
  <c r="JWZ52" i="1"/>
  <c r="JWY52" i="1"/>
  <c r="JWX52" i="1"/>
  <c r="JWW52" i="1"/>
  <c r="JWV52" i="1"/>
  <c r="JWU52" i="1"/>
  <c r="JWT52" i="1"/>
  <c r="JWS52" i="1"/>
  <c r="JWR52" i="1"/>
  <c r="JWQ52" i="1"/>
  <c r="JWP52" i="1"/>
  <c r="JWO52" i="1"/>
  <c r="JWN52" i="1"/>
  <c r="JWM52" i="1"/>
  <c r="JWL52" i="1"/>
  <c r="JWK52" i="1"/>
  <c r="JWJ52" i="1"/>
  <c r="JWI52" i="1"/>
  <c r="JWH52" i="1"/>
  <c r="JWG52" i="1"/>
  <c r="JWF52" i="1"/>
  <c r="JWE52" i="1"/>
  <c r="JWD52" i="1"/>
  <c r="JWC52" i="1"/>
  <c r="JWB52" i="1"/>
  <c r="JWA52" i="1"/>
  <c r="JVZ52" i="1"/>
  <c r="JVY52" i="1"/>
  <c r="JVX52" i="1"/>
  <c r="JVW52" i="1"/>
  <c r="JVV52" i="1"/>
  <c r="JVU52" i="1"/>
  <c r="JVT52" i="1"/>
  <c r="JVS52" i="1"/>
  <c r="JVR52" i="1"/>
  <c r="JVQ52" i="1"/>
  <c r="JVP52" i="1"/>
  <c r="JVO52" i="1"/>
  <c r="JVN52" i="1"/>
  <c r="JVM52" i="1"/>
  <c r="JVL52" i="1"/>
  <c r="JVK52" i="1"/>
  <c r="JVJ52" i="1"/>
  <c r="JVI52" i="1"/>
  <c r="JVH52" i="1"/>
  <c r="JVG52" i="1"/>
  <c r="JVF52" i="1"/>
  <c r="JVE52" i="1"/>
  <c r="JVD52" i="1"/>
  <c r="JVC52" i="1"/>
  <c r="JVB52" i="1"/>
  <c r="JVA52" i="1"/>
  <c r="JUZ52" i="1"/>
  <c r="JUY52" i="1"/>
  <c r="JUX52" i="1"/>
  <c r="JUW52" i="1"/>
  <c r="JUV52" i="1"/>
  <c r="JUU52" i="1"/>
  <c r="JUT52" i="1"/>
  <c r="JUS52" i="1"/>
  <c r="JUR52" i="1"/>
  <c r="JUQ52" i="1"/>
  <c r="JUP52" i="1"/>
  <c r="JUO52" i="1"/>
  <c r="JUN52" i="1"/>
  <c r="JUM52" i="1"/>
  <c r="JUL52" i="1"/>
  <c r="JUK52" i="1"/>
  <c r="JUJ52" i="1"/>
  <c r="JUI52" i="1"/>
  <c r="JUH52" i="1"/>
  <c r="JUG52" i="1"/>
  <c r="JUF52" i="1"/>
  <c r="JUE52" i="1"/>
  <c r="JUD52" i="1"/>
  <c r="JUC52" i="1"/>
  <c r="JUB52" i="1"/>
  <c r="JUA52" i="1"/>
  <c r="JTZ52" i="1"/>
  <c r="JTY52" i="1"/>
  <c r="JTX52" i="1"/>
  <c r="JTW52" i="1"/>
  <c r="JTV52" i="1"/>
  <c r="JTU52" i="1"/>
  <c r="JTT52" i="1"/>
  <c r="JTS52" i="1"/>
  <c r="JTR52" i="1"/>
  <c r="JTQ52" i="1"/>
  <c r="JTP52" i="1"/>
  <c r="JTO52" i="1"/>
  <c r="JTN52" i="1"/>
  <c r="JTM52" i="1"/>
  <c r="JTL52" i="1"/>
  <c r="JTK52" i="1"/>
  <c r="JTJ52" i="1"/>
  <c r="JTI52" i="1"/>
  <c r="JTH52" i="1"/>
  <c r="JTG52" i="1"/>
  <c r="JTF52" i="1"/>
  <c r="JTE52" i="1"/>
  <c r="JTD52" i="1"/>
  <c r="JTC52" i="1"/>
  <c r="JTB52" i="1"/>
  <c r="JTA52" i="1"/>
  <c r="JSZ52" i="1"/>
  <c r="JSY52" i="1"/>
  <c r="JSX52" i="1"/>
  <c r="JSW52" i="1"/>
  <c r="JSV52" i="1"/>
  <c r="JSU52" i="1"/>
  <c r="JST52" i="1"/>
  <c r="JSS52" i="1"/>
  <c r="JSR52" i="1"/>
  <c r="JSQ52" i="1"/>
  <c r="JSP52" i="1"/>
  <c r="JSO52" i="1"/>
  <c r="JSN52" i="1"/>
  <c r="JSM52" i="1"/>
  <c r="JSL52" i="1"/>
  <c r="JSK52" i="1"/>
  <c r="JSJ52" i="1"/>
  <c r="JSI52" i="1"/>
  <c r="JSH52" i="1"/>
  <c r="JSG52" i="1"/>
  <c r="JSF52" i="1"/>
  <c r="JSE52" i="1"/>
  <c r="JSD52" i="1"/>
  <c r="JSC52" i="1"/>
  <c r="JSB52" i="1"/>
  <c r="JSA52" i="1"/>
  <c r="JRZ52" i="1"/>
  <c r="JRY52" i="1"/>
  <c r="JRX52" i="1"/>
  <c r="JRW52" i="1"/>
  <c r="JRV52" i="1"/>
  <c r="JRU52" i="1"/>
  <c r="JRT52" i="1"/>
  <c r="JRS52" i="1"/>
  <c r="JRR52" i="1"/>
  <c r="JRQ52" i="1"/>
  <c r="JRP52" i="1"/>
  <c r="JRO52" i="1"/>
  <c r="JRN52" i="1"/>
  <c r="JRM52" i="1"/>
  <c r="JRL52" i="1"/>
  <c r="JRK52" i="1"/>
  <c r="JRJ52" i="1"/>
  <c r="JRI52" i="1"/>
  <c r="JRH52" i="1"/>
  <c r="JRG52" i="1"/>
  <c r="JRF52" i="1"/>
  <c r="JRE52" i="1"/>
  <c r="JRD52" i="1"/>
  <c r="JRC52" i="1"/>
  <c r="JRB52" i="1"/>
  <c r="JRA52" i="1"/>
  <c r="JQZ52" i="1"/>
  <c r="JQY52" i="1"/>
  <c r="JQX52" i="1"/>
  <c r="JQW52" i="1"/>
  <c r="JQV52" i="1"/>
  <c r="JQU52" i="1"/>
  <c r="JQT52" i="1"/>
  <c r="JQS52" i="1"/>
  <c r="JQR52" i="1"/>
  <c r="JQQ52" i="1"/>
  <c r="JQP52" i="1"/>
  <c r="JQO52" i="1"/>
  <c r="JQN52" i="1"/>
  <c r="JQM52" i="1"/>
  <c r="JQL52" i="1"/>
  <c r="JQK52" i="1"/>
  <c r="JQJ52" i="1"/>
  <c r="JQI52" i="1"/>
  <c r="JQH52" i="1"/>
  <c r="JQG52" i="1"/>
  <c r="JQF52" i="1"/>
  <c r="JQE52" i="1"/>
  <c r="JQD52" i="1"/>
  <c r="JQC52" i="1"/>
  <c r="JQB52" i="1"/>
  <c r="JQA52" i="1"/>
  <c r="JPZ52" i="1"/>
  <c r="JPY52" i="1"/>
  <c r="JPX52" i="1"/>
  <c r="JPW52" i="1"/>
  <c r="JPV52" i="1"/>
  <c r="JPU52" i="1"/>
  <c r="JPT52" i="1"/>
  <c r="JPS52" i="1"/>
  <c r="JPR52" i="1"/>
  <c r="JPQ52" i="1"/>
  <c r="JPP52" i="1"/>
  <c r="JPO52" i="1"/>
  <c r="JPN52" i="1"/>
  <c r="JPM52" i="1"/>
  <c r="JPL52" i="1"/>
  <c r="JPK52" i="1"/>
  <c r="JPJ52" i="1"/>
  <c r="JPI52" i="1"/>
  <c r="JPH52" i="1"/>
  <c r="JPG52" i="1"/>
  <c r="JPF52" i="1"/>
  <c r="JPE52" i="1"/>
  <c r="JPD52" i="1"/>
  <c r="JPC52" i="1"/>
  <c r="JPB52" i="1"/>
  <c r="JPA52" i="1"/>
  <c r="JOZ52" i="1"/>
  <c r="JOY52" i="1"/>
  <c r="JOX52" i="1"/>
  <c r="JOW52" i="1"/>
  <c r="JOV52" i="1"/>
  <c r="JOU52" i="1"/>
  <c r="JOT52" i="1"/>
  <c r="JOS52" i="1"/>
  <c r="JOR52" i="1"/>
  <c r="JOQ52" i="1"/>
  <c r="JOP52" i="1"/>
  <c r="JOO52" i="1"/>
  <c r="JON52" i="1"/>
  <c r="JOM52" i="1"/>
  <c r="JOL52" i="1"/>
  <c r="JOK52" i="1"/>
  <c r="JOJ52" i="1"/>
  <c r="JOI52" i="1"/>
  <c r="JOH52" i="1"/>
  <c r="JOG52" i="1"/>
  <c r="JOF52" i="1"/>
  <c r="JOE52" i="1"/>
  <c r="JOD52" i="1"/>
  <c r="JOC52" i="1"/>
  <c r="JOB52" i="1"/>
  <c r="JOA52" i="1"/>
  <c r="JNZ52" i="1"/>
  <c r="JNY52" i="1"/>
  <c r="JNX52" i="1"/>
  <c r="JNW52" i="1"/>
  <c r="JNV52" i="1"/>
  <c r="JNU52" i="1"/>
  <c r="JNT52" i="1"/>
  <c r="JNS52" i="1"/>
  <c r="JNR52" i="1"/>
  <c r="JNQ52" i="1"/>
  <c r="JNP52" i="1"/>
  <c r="JNO52" i="1"/>
  <c r="JNN52" i="1"/>
  <c r="JNM52" i="1"/>
  <c r="JNL52" i="1"/>
  <c r="JNK52" i="1"/>
  <c r="JNJ52" i="1"/>
  <c r="JNI52" i="1"/>
  <c r="JNH52" i="1"/>
  <c r="JNG52" i="1"/>
  <c r="JNF52" i="1"/>
  <c r="JNE52" i="1"/>
  <c r="JND52" i="1"/>
  <c r="JNC52" i="1"/>
  <c r="JNB52" i="1"/>
  <c r="JNA52" i="1"/>
  <c r="JMZ52" i="1"/>
  <c r="JMY52" i="1"/>
  <c r="JMX52" i="1"/>
  <c r="JMW52" i="1"/>
  <c r="JMV52" i="1"/>
  <c r="JMU52" i="1"/>
  <c r="JMT52" i="1"/>
  <c r="JMS52" i="1"/>
  <c r="JMR52" i="1"/>
  <c r="JMQ52" i="1"/>
  <c r="JMP52" i="1"/>
  <c r="JMO52" i="1"/>
  <c r="JMN52" i="1"/>
  <c r="JMM52" i="1"/>
  <c r="JML52" i="1"/>
  <c r="JMK52" i="1"/>
  <c r="JMJ52" i="1"/>
  <c r="JMI52" i="1"/>
  <c r="JMH52" i="1"/>
  <c r="JMG52" i="1"/>
  <c r="JMF52" i="1"/>
  <c r="JME52" i="1"/>
  <c r="JMD52" i="1"/>
  <c r="JMC52" i="1"/>
  <c r="JMB52" i="1"/>
  <c r="JMA52" i="1"/>
  <c r="JLZ52" i="1"/>
  <c r="JLY52" i="1"/>
  <c r="JLX52" i="1"/>
  <c r="JLW52" i="1"/>
  <c r="JLV52" i="1"/>
  <c r="JLU52" i="1"/>
  <c r="JLT52" i="1"/>
  <c r="JLS52" i="1"/>
  <c r="JLR52" i="1"/>
  <c r="JLQ52" i="1"/>
  <c r="JLP52" i="1"/>
  <c r="JLO52" i="1"/>
  <c r="JLN52" i="1"/>
  <c r="JLM52" i="1"/>
  <c r="JLL52" i="1"/>
  <c r="JLK52" i="1"/>
  <c r="JLJ52" i="1"/>
  <c r="JLI52" i="1"/>
  <c r="JLH52" i="1"/>
  <c r="JLG52" i="1"/>
  <c r="JLF52" i="1"/>
  <c r="JLE52" i="1"/>
  <c r="JLD52" i="1"/>
  <c r="JLC52" i="1"/>
  <c r="JLB52" i="1"/>
  <c r="JLA52" i="1"/>
  <c r="JKZ52" i="1"/>
  <c r="JKY52" i="1"/>
  <c r="JKX52" i="1"/>
  <c r="JKW52" i="1"/>
  <c r="JKV52" i="1"/>
  <c r="JKU52" i="1"/>
  <c r="JKT52" i="1"/>
  <c r="JKS52" i="1"/>
  <c r="JKR52" i="1"/>
  <c r="JKQ52" i="1"/>
  <c r="JKP52" i="1"/>
  <c r="JKO52" i="1"/>
  <c r="JKN52" i="1"/>
  <c r="JKM52" i="1"/>
  <c r="JKL52" i="1"/>
  <c r="JKK52" i="1"/>
  <c r="JKJ52" i="1"/>
  <c r="JKI52" i="1"/>
  <c r="JKH52" i="1"/>
  <c r="JKG52" i="1"/>
  <c r="JKF52" i="1"/>
  <c r="JKE52" i="1"/>
  <c r="JKD52" i="1"/>
  <c r="JKC52" i="1"/>
  <c r="JKB52" i="1"/>
  <c r="JKA52" i="1"/>
  <c r="JJZ52" i="1"/>
  <c r="JJY52" i="1"/>
  <c r="JJX52" i="1"/>
  <c r="JJW52" i="1"/>
  <c r="JJV52" i="1"/>
  <c r="JJU52" i="1"/>
  <c r="JJT52" i="1"/>
  <c r="JJS52" i="1"/>
  <c r="JJR52" i="1"/>
  <c r="JJQ52" i="1"/>
  <c r="JJP52" i="1"/>
  <c r="JJO52" i="1"/>
  <c r="JJN52" i="1"/>
  <c r="JJM52" i="1"/>
  <c r="JJL52" i="1"/>
  <c r="JJK52" i="1"/>
  <c r="JJJ52" i="1"/>
  <c r="JJI52" i="1"/>
  <c r="JJH52" i="1"/>
  <c r="JJG52" i="1"/>
  <c r="JJF52" i="1"/>
  <c r="JJE52" i="1"/>
  <c r="JJD52" i="1"/>
  <c r="JJC52" i="1"/>
  <c r="JJB52" i="1"/>
  <c r="JJA52" i="1"/>
  <c r="JIZ52" i="1"/>
  <c r="JIY52" i="1"/>
  <c r="JIX52" i="1"/>
  <c r="JIW52" i="1"/>
  <c r="JIV52" i="1"/>
  <c r="JIU52" i="1"/>
  <c r="JIT52" i="1"/>
  <c r="JIS52" i="1"/>
  <c r="JIR52" i="1"/>
  <c r="JIQ52" i="1"/>
  <c r="JIP52" i="1"/>
  <c r="JIO52" i="1"/>
  <c r="JIN52" i="1"/>
  <c r="JIM52" i="1"/>
  <c r="JIL52" i="1"/>
  <c r="JIK52" i="1"/>
  <c r="JIJ52" i="1"/>
  <c r="JII52" i="1"/>
  <c r="JIH52" i="1"/>
  <c r="JIG52" i="1"/>
  <c r="JIF52" i="1"/>
  <c r="JIE52" i="1"/>
  <c r="JID52" i="1"/>
  <c r="JIC52" i="1"/>
  <c r="JIB52" i="1"/>
  <c r="JIA52" i="1"/>
  <c r="JHZ52" i="1"/>
  <c r="JHY52" i="1"/>
  <c r="JHX52" i="1"/>
  <c r="JHW52" i="1"/>
  <c r="JHV52" i="1"/>
  <c r="JHU52" i="1"/>
  <c r="JHT52" i="1"/>
  <c r="JHS52" i="1"/>
  <c r="JHR52" i="1"/>
  <c r="JHQ52" i="1"/>
  <c r="JHP52" i="1"/>
  <c r="JHO52" i="1"/>
  <c r="JHN52" i="1"/>
  <c r="JHM52" i="1"/>
  <c r="JHL52" i="1"/>
  <c r="JHK52" i="1"/>
  <c r="JHJ52" i="1"/>
  <c r="JHI52" i="1"/>
  <c r="JHH52" i="1"/>
  <c r="JHG52" i="1"/>
  <c r="JHF52" i="1"/>
  <c r="JHE52" i="1"/>
  <c r="JHD52" i="1"/>
  <c r="JHC52" i="1"/>
  <c r="JHB52" i="1"/>
  <c r="JHA52" i="1"/>
  <c r="JGZ52" i="1"/>
  <c r="JGY52" i="1"/>
  <c r="JGX52" i="1"/>
  <c r="JGW52" i="1"/>
  <c r="JGV52" i="1"/>
  <c r="JGU52" i="1"/>
  <c r="JGT52" i="1"/>
  <c r="JGS52" i="1"/>
  <c r="JGR52" i="1"/>
  <c r="JGQ52" i="1"/>
  <c r="JGP52" i="1"/>
  <c r="JGO52" i="1"/>
  <c r="JGN52" i="1"/>
  <c r="JGM52" i="1"/>
  <c r="JGL52" i="1"/>
  <c r="JGK52" i="1"/>
  <c r="JGJ52" i="1"/>
  <c r="JGI52" i="1"/>
  <c r="JGH52" i="1"/>
  <c r="JGG52" i="1"/>
  <c r="JGF52" i="1"/>
  <c r="JGE52" i="1"/>
  <c r="JGD52" i="1"/>
  <c r="JGC52" i="1"/>
  <c r="JGB52" i="1"/>
  <c r="JGA52" i="1"/>
  <c r="JFZ52" i="1"/>
  <c r="JFY52" i="1"/>
  <c r="JFX52" i="1"/>
  <c r="JFW52" i="1"/>
  <c r="JFV52" i="1"/>
  <c r="JFU52" i="1"/>
  <c r="JFT52" i="1"/>
  <c r="JFS52" i="1"/>
  <c r="JFR52" i="1"/>
  <c r="JFQ52" i="1"/>
  <c r="JFP52" i="1"/>
  <c r="JFO52" i="1"/>
  <c r="JFN52" i="1"/>
  <c r="JFM52" i="1"/>
  <c r="JFL52" i="1"/>
  <c r="JFK52" i="1"/>
  <c r="JFJ52" i="1"/>
  <c r="JFI52" i="1"/>
  <c r="JFH52" i="1"/>
  <c r="JFG52" i="1"/>
  <c r="JFF52" i="1"/>
  <c r="JFE52" i="1"/>
  <c r="JFD52" i="1"/>
  <c r="JFC52" i="1"/>
  <c r="JFB52" i="1"/>
  <c r="JFA52" i="1"/>
  <c r="JEZ52" i="1"/>
  <c r="JEY52" i="1"/>
  <c r="JEX52" i="1"/>
  <c r="JEW52" i="1"/>
  <c r="JEV52" i="1"/>
  <c r="JEU52" i="1"/>
  <c r="JET52" i="1"/>
  <c r="JES52" i="1"/>
  <c r="JER52" i="1"/>
  <c r="JEQ52" i="1"/>
  <c r="JEP52" i="1"/>
  <c r="JEO52" i="1"/>
  <c r="JEN52" i="1"/>
  <c r="JEM52" i="1"/>
  <c r="JEL52" i="1"/>
  <c r="JEK52" i="1"/>
  <c r="JEJ52" i="1"/>
  <c r="JEI52" i="1"/>
  <c r="JEH52" i="1"/>
  <c r="JEG52" i="1"/>
  <c r="JEF52" i="1"/>
  <c r="JEE52" i="1"/>
  <c r="JED52" i="1"/>
  <c r="JEC52" i="1"/>
  <c r="JEB52" i="1"/>
  <c r="JEA52" i="1"/>
  <c r="JDZ52" i="1"/>
  <c r="JDY52" i="1"/>
  <c r="JDX52" i="1"/>
  <c r="JDW52" i="1"/>
  <c r="JDV52" i="1"/>
  <c r="JDU52" i="1"/>
  <c r="JDT52" i="1"/>
  <c r="JDS52" i="1"/>
  <c r="JDR52" i="1"/>
  <c r="JDQ52" i="1"/>
  <c r="JDP52" i="1"/>
  <c r="JDO52" i="1"/>
  <c r="JDN52" i="1"/>
  <c r="JDM52" i="1"/>
  <c r="JDL52" i="1"/>
  <c r="JDK52" i="1"/>
  <c r="JDJ52" i="1"/>
  <c r="JDI52" i="1"/>
  <c r="JDH52" i="1"/>
  <c r="JDG52" i="1"/>
  <c r="JDF52" i="1"/>
  <c r="JDE52" i="1"/>
  <c r="JDD52" i="1"/>
  <c r="JDC52" i="1"/>
  <c r="JDB52" i="1"/>
  <c r="JDA52" i="1"/>
  <c r="JCZ52" i="1"/>
  <c r="JCY52" i="1"/>
  <c r="JCX52" i="1"/>
  <c r="JCW52" i="1"/>
  <c r="JCV52" i="1"/>
  <c r="JCU52" i="1"/>
  <c r="JCT52" i="1"/>
  <c r="JCS52" i="1"/>
  <c r="JCR52" i="1"/>
  <c r="JCQ52" i="1"/>
  <c r="JCP52" i="1"/>
  <c r="JCO52" i="1"/>
  <c r="JCN52" i="1"/>
  <c r="JCM52" i="1"/>
  <c r="JCL52" i="1"/>
  <c r="JCK52" i="1"/>
  <c r="JCJ52" i="1"/>
  <c r="JCI52" i="1"/>
  <c r="JCH52" i="1"/>
  <c r="JCG52" i="1"/>
  <c r="JCF52" i="1"/>
  <c r="JCE52" i="1"/>
  <c r="JCD52" i="1"/>
  <c r="JCC52" i="1"/>
  <c r="JCB52" i="1"/>
  <c r="JCA52" i="1"/>
  <c r="JBZ52" i="1"/>
  <c r="JBY52" i="1"/>
  <c r="JBX52" i="1"/>
  <c r="JBW52" i="1"/>
  <c r="JBV52" i="1"/>
  <c r="JBU52" i="1"/>
  <c r="JBT52" i="1"/>
  <c r="JBS52" i="1"/>
  <c r="JBR52" i="1"/>
  <c r="JBQ52" i="1"/>
  <c r="JBP52" i="1"/>
  <c r="JBO52" i="1"/>
  <c r="JBN52" i="1"/>
  <c r="JBM52" i="1"/>
  <c r="JBL52" i="1"/>
  <c r="JBK52" i="1"/>
  <c r="JBJ52" i="1"/>
  <c r="JBI52" i="1"/>
  <c r="JBH52" i="1"/>
  <c r="JBG52" i="1"/>
  <c r="JBF52" i="1"/>
  <c r="JBE52" i="1"/>
  <c r="JBD52" i="1"/>
  <c r="JBC52" i="1"/>
  <c r="JBB52" i="1"/>
  <c r="JBA52" i="1"/>
  <c r="JAZ52" i="1"/>
  <c r="JAY52" i="1"/>
  <c r="JAX52" i="1"/>
  <c r="JAW52" i="1"/>
  <c r="JAV52" i="1"/>
  <c r="JAU52" i="1"/>
  <c r="JAT52" i="1"/>
  <c r="JAS52" i="1"/>
  <c r="JAR52" i="1"/>
  <c r="JAQ52" i="1"/>
  <c r="JAP52" i="1"/>
  <c r="JAO52" i="1"/>
  <c r="JAN52" i="1"/>
  <c r="JAM52" i="1"/>
  <c r="JAL52" i="1"/>
  <c r="JAK52" i="1"/>
  <c r="JAJ52" i="1"/>
  <c r="JAI52" i="1"/>
  <c r="JAH52" i="1"/>
  <c r="JAG52" i="1"/>
  <c r="JAF52" i="1"/>
  <c r="JAE52" i="1"/>
  <c r="JAD52" i="1"/>
  <c r="JAC52" i="1"/>
  <c r="JAB52" i="1"/>
  <c r="JAA52" i="1"/>
  <c r="IZZ52" i="1"/>
  <c r="IZY52" i="1"/>
  <c r="IZX52" i="1"/>
  <c r="IZW52" i="1"/>
  <c r="IZV52" i="1"/>
  <c r="IZU52" i="1"/>
  <c r="IZT52" i="1"/>
  <c r="IZS52" i="1"/>
  <c r="IZR52" i="1"/>
  <c r="IZQ52" i="1"/>
  <c r="IZP52" i="1"/>
  <c r="IZO52" i="1"/>
  <c r="IZN52" i="1"/>
  <c r="IZM52" i="1"/>
  <c r="IZL52" i="1"/>
  <c r="IZK52" i="1"/>
  <c r="IZJ52" i="1"/>
  <c r="IZI52" i="1"/>
  <c r="IZH52" i="1"/>
  <c r="IZG52" i="1"/>
  <c r="IZF52" i="1"/>
  <c r="IZE52" i="1"/>
  <c r="IZD52" i="1"/>
  <c r="IZC52" i="1"/>
  <c r="IZB52" i="1"/>
  <c r="IZA52" i="1"/>
  <c r="IYZ52" i="1"/>
  <c r="IYY52" i="1"/>
  <c r="IYX52" i="1"/>
  <c r="IYW52" i="1"/>
  <c r="IYV52" i="1"/>
  <c r="IYU52" i="1"/>
  <c r="IYT52" i="1"/>
  <c r="IYS52" i="1"/>
  <c r="IYR52" i="1"/>
  <c r="IYQ52" i="1"/>
  <c r="IYP52" i="1"/>
  <c r="IYO52" i="1"/>
  <c r="IYN52" i="1"/>
  <c r="IYM52" i="1"/>
  <c r="IYL52" i="1"/>
  <c r="IYK52" i="1"/>
  <c r="IYJ52" i="1"/>
  <c r="IYI52" i="1"/>
  <c r="IYH52" i="1"/>
  <c r="IYG52" i="1"/>
  <c r="IYF52" i="1"/>
  <c r="IYE52" i="1"/>
  <c r="IYD52" i="1"/>
  <c r="IYC52" i="1"/>
  <c r="IYB52" i="1"/>
  <c r="IYA52" i="1"/>
  <c r="IXZ52" i="1"/>
  <c r="IXY52" i="1"/>
  <c r="IXX52" i="1"/>
  <c r="IXW52" i="1"/>
  <c r="IXV52" i="1"/>
  <c r="IXU52" i="1"/>
  <c r="IXT52" i="1"/>
  <c r="IXS52" i="1"/>
  <c r="IXR52" i="1"/>
  <c r="IXQ52" i="1"/>
  <c r="IXP52" i="1"/>
  <c r="IXO52" i="1"/>
  <c r="IXN52" i="1"/>
  <c r="IXM52" i="1"/>
  <c r="IXL52" i="1"/>
  <c r="IXK52" i="1"/>
  <c r="IXJ52" i="1"/>
  <c r="IXI52" i="1"/>
  <c r="IXH52" i="1"/>
  <c r="IXG52" i="1"/>
  <c r="IXF52" i="1"/>
  <c r="IXE52" i="1"/>
  <c r="IXD52" i="1"/>
  <c r="IXC52" i="1"/>
  <c r="IXB52" i="1"/>
  <c r="IXA52" i="1"/>
  <c r="IWZ52" i="1"/>
  <c r="IWY52" i="1"/>
  <c r="IWX52" i="1"/>
  <c r="IWW52" i="1"/>
  <c r="IWV52" i="1"/>
  <c r="IWU52" i="1"/>
  <c r="IWT52" i="1"/>
  <c r="IWS52" i="1"/>
  <c r="IWR52" i="1"/>
  <c r="IWQ52" i="1"/>
  <c r="IWP52" i="1"/>
  <c r="IWO52" i="1"/>
  <c r="IWN52" i="1"/>
  <c r="IWM52" i="1"/>
  <c r="IWL52" i="1"/>
  <c r="IWK52" i="1"/>
  <c r="IWJ52" i="1"/>
  <c r="IWI52" i="1"/>
  <c r="IWH52" i="1"/>
  <c r="IWG52" i="1"/>
  <c r="IWF52" i="1"/>
  <c r="IWE52" i="1"/>
  <c r="IWD52" i="1"/>
  <c r="IWC52" i="1"/>
  <c r="IWB52" i="1"/>
  <c r="IWA52" i="1"/>
  <c r="IVZ52" i="1"/>
  <c r="IVY52" i="1"/>
  <c r="IVX52" i="1"/>
  <c r="IVW52" i="1"/>
  <c r="IVV52" i="1"/>
  <c r="IVU52" i="1"/>
  <c r="IVT52" i="1"/>
  <c r="IVS52" i="1"/>
  <c r="IVR52" i="1"/>
  <c r="IVQ52" i="1"/>
  <c r="IVP52" i="1"/>
  <c r="IVO52" i="1"/>
  <c r="IVN52" i="1"/>
  <c r="IVM52" i="1"/>
  <c r="IVL52" i="1"/>
  <c r="IVK52" i="1"/>
  <c r="IVJ52" i="1"/>
  <c r="IVI52" i="1"/>
  <c r="IVH52" i="1"/>
  <c r="IVG52" i="1"/>
  <c r="IVF52" i="1"/>
  <c r="IVE52" i="1"/>
  <c r="IVD52" i="1"/>
  <c r="IVC52" i="1"/>
  <c r="IVB52" i="1"/>
  <c r="IVA52" i="1"/>
  <c r="IUZ52" i="1"/>
  <c r="IUY52" i="1"/>
  <c r="IUX52" i="1"/>
  <c r="IUW52" i="1"/>
  <c r="IUV52" i="1"/>
  <c r="IUU52" i="1"/>
  <c r="IUT52" i="1"/>
  <c r="IUS52" i="1"/>
  <c r="IUR52" i="1"/>
  <c r="IUQ52" i="1"/>
  <c r="IUP52" i="1"/>
  <c r="IUO52" i="1"/>
  <c r="IUN52" i="1"/>
  <c r="IUM52" i="1"/>
  <c r="IUL52" i="1"/>
  <c r="IUK52" i="1"/>
  <c r="IUJ52" i="1"/>
  <c r="IUI52" i="1"/>
  <c r="IUH52" i="1"/>
  <c r="IUG52" i="1"/>
  <c r="IUF52" i="1"/>
  <c r="IUE52" i="1"/>
  <c r="IUD52" i="1"/>
  <c r="IUC52" i="1"/>
  <c r="IUB52" i="1"/>
  <c r="IUA52" i="1"/>
  <c r="ITZ52" i="1"/>
  <c r="ITY52" i="1"/>
  <c r="ITX52" i="1"/>
  <c r="ITW52" i="1"/>
  <c r="ITV52" i="1"/>
  <c r="ITU52" i="1"/>
  <c r="ITT52" i="1"/>
  <c r="ITS52" i="1"/>
  <c r="ITR52" i="1"/>
  <c r="ITQ52" i="1"/>
  <c r="ITP52" i="1"/>
  <c r="ITO52" i="1"/>
  <c r="ITN52" i="1"/>
  <c r="ITM52" i="1"/>
  <c r="ITL52" i="1"/>
  <c r="ITK52" i="1"/>
  <c r="ITJ52" i="1"/>
  <c r="ITI52" i="1"/>
  <c r="ITH52" i="1"/>
  <c r="ITG52" i="1"/>
  <c r="ITF52" i="1"/>
  <c r="ITE52" i="1"/>
  <c r="ITD52" i="1"/>
  <c r="ITC52" i="1"/>
  <c r="ITB52" i="1"/>
  <c r="ITA52" i="1"/>
  <c r="ISZ52" i="1"/>
  <c r="ISY52" i="1"/>
  <c r="ISX52" i="1"/>
  <c r="ISW52" i="1"/>
  <c r="ISV52" i="1"/>
  <c r="ISU52" i="1"/>
  <c r="IST52" i="1"/>
  <c r="ISS52" i="1"/>
  <c r="ISR52" i="1"/>
  <c r="ISQ52" i="1"/>
  <c r="ISP52" i="1"/>
  <c r="ISO52" i="1"/>
  <c r="ISN52" i="1"/>
  <c r="ISM52" i="1"/>
  <c r="ISL52" i="1"/>
  <c r="ISK52" i="1"/>
  <c r="ISJ52" i="1"/>
  <c r="ISI52" i="1"/>
  <c r="ISH52" i="1"/>
  <c r="ISG52" i="1"/>
  <c r="ISF52" i="1"/>
  <c r="ISE52" i="1"/>
  <c r="ISD52" i="1"/>
  <c r="ISC52" i="1"/>
  <c r="ISB52" i="1"/>
  <c r="ISA52" i="1"/>
  <c r="IRZ52" i="1"/>
  <c r="IRY52" i="1"/>
  <c r="IRX52" i="1"/>
  <c r="IRW52" i="1"/>
  <c r="IRV52" i="1"/>
  <c r="IRU52" i="1"/>
  <c r="IRT52" i="1"/>
  <c r="IRS52" i="1"/>
  <c r="IRR52" i="1"/>
  <c r="IRQ52" i="1"/>
  <c r="IRP52" i="1"/>
  <c r="IRO52" i="1"/>
  <c r="IRN52" i="1"/>
  <c r="IRM52" i="1"/>
  <c r="IRL52" i="1"/>
  <c r="IRK52" i="1"/>
  <c r="IRJ52" i="1"/>
  <c r="IRI52" i="1"/>
  <c r="IRH52" i="1"/>
  <c r="IRG52" i="1"/>
  <c r="IRF52" i="1"/>
  <c r="IRE52" i="1"/>
  <c r="IRD52" i="1"/>
  <c r="IRC52" i="1"/>
  <c r="IRB52" i="1"/>
  <c r="IRA52" i="1"/>
  <c r="IQZ52" i="1"/>
  <c r="IQY52" i="1"/>
  <c r="IQX52" i="1"/>
  <c r="IQW52" i="1"/>
  <c r="IQV52" i="1"/>
  <c r="IQU52" i="1"/>
  <c r="IQT52" i="1"/>
  <c r="IQS52" i="1"/>
  <c r="IQR52" i="1"/>
  <c r="IQQ52" i="1"/>
  <c r="IQP52" i="1"/>
  <c r="IQO52" i="1"/>
  <c r="IQN52" i="1"/>
  <c r="IQM52" i="1"/>
  <c r="IQL52" i="1"/>
  <c r="IQK52" i="1"/>
  <c r="IQJ52" i="1"/>
  <c r="IQI52" i="1"/>
  <c r="IQH52" i="1"/>
  <c r="IQG52" i="1"/>
  <c r="IQF52" i="1"/>
  <c r="IQE52" i="1"/>
  <c r="IQD52" i="1"/>
  <c r="IQC52" i="1"/>
  <c r="IQB52" i="1"/>
  <c r="IQA52" i="1"/>
  <c r="IPZ52" i="1"/>
  <c r="IPY52" i="1"/>
  <c r="IPX52" i="1"/>
  <c r="IPW52" i="1"/>
  <c r="IPV52" i="1"/>
  <c r="IPU52" i="1"/>
  <c r="IPT52" i="1"/>
  <c r="IPS52" i="1"/>
  <c r="IPR52" i="1"/>
  <c r="IPQ52" i="1"/>
  <c r="IPP52" i="1"/>
  <c r="IPO52" i="1"/>
  <c r="IPN52" i="1"/>
  <c r="IPM52" i="1"/>
  <c r="IPL52" i="1"/>
  <c r="IPK52" i="1"/>
  <c r="IPJ52" i="1"/>
  <c r="IPI52" i="1"/>
  <c r="IPH52" i="1"/>
  <c r="IPG52" i="1"/>
  <c r="IPF52" i="1"/>
  <c r="IPE52" i="1"/>
  <c r="IPD52" i="1"/>
  <c r="IPC52" i="1"/>
  <c r="IPB52" i="1"/>
  <c r="IPA52" i="1"/>
  <c r="IOZ52" i="1"/>
  <c r="IOY52" i="1"/>
  <c r="IOX52" i="1"/>
  <c r="IOW52" i="1"/>
  <c r="IOV52" i="1"/>
  <c r="IOU52" i="1"/>
  <c r="IOT52" i="1"/>
  <c r="IOS52" i="1"/>
  <c r="IOR52" i="1"/>
  <c r="IOQ52" i="1"/>
  <c r="IOP52" i="1"/>
  <c r="IOO52" i="1"/>
  <c r="ION52" i="1"/>
  <c r="IOM52" i="1"/>
  <c r="IOL52" i="1"/>
  <c r="IOK52" i="1"/>
  <c r="IOJ52" i="1"/>
  <c r="IOI52" i="1"/>
  <c r="IOH52" i="1"/>
  <c r="IOG52" i="1"/>
  <c r="IOF52" i="1"/>
  <c r="IOE52" i="1"/>
  <c r="IOD52" i="1"/>
  <c r="IOC52" i="1"/>
  <c r="IOB52" i="1"/>
  <c r="IOA52" i="1"/>
  <c r="INZ52" i="1"/>
  <c r="INY52" i="1"/>
  <c r="INX52" i="1"/>
  <c r="INW52" i="1"/>
  <c r="INV52" i="1"/>
  <c r="INU52" i="1"/>
  <c r="INT52" i="1"/>
  <c r="INS52" i="1"/>
  <c r="INR52" i="1"/>
  <c r="INQ52" i="1"/>
  <c r="INP52" i="1"/>
  <c r="INO52" i="1"/>
  <c r="INN52" i="1"/>
  <c r="INM52" i="1"/>
  <c r="INL52" i="1"/>
  <c r="INK52" i="1"/>
  <c r="INJ52" i="1"/>
  <c r="INI52" i="1"/>
  <c r="INH52" i="1"/>
  <c r="ING52" i="1"/>
  <c r="INF52" i="1"/>
  <c r="INE52" i="1"/>
  <c r="IND52" i="1"/>
  <c r="INC52" i="1"/>
  <c r="INB52" i="1"/>
  <c r="INA52" i="1"/>
  <c r="IMZ52" i="1"/>
  <c r="IMY52" i="1"/>
  <c r="IMX52" i="1"/>
  <c r="IMW52" i="1"/>
  <c r="IMV52" i="1"/>
  <c r="IMU52" i="1"/>
  <c r="IMT52" i="1"/>
  <c r="IMS52" i="1"/>
  <c r="IMR52" i="1"/>
  <c r="IMQ52" i="1"/>
  <c r="IMP52" i="1"/>
  <c r="IMO52" i="1"/>
  <c r="IMN52" i="1"/>
  <c r="IMM52" i="1"/>
  <c r="IML52" i="1"/>
  <c r="IMK52" i="1"/>
  <c r="IMJ52" i="1"/>
  <c r="IMI52" i="1"/>
  <c r="IMH52" i="1"/>
  <c r="IMG52" i="1"/>
  <c r="IMF52" i="1"/>
  <c r="IME52" i="1"/>
  <c r="IMD52" i="1"/>
  <c r="IMC52" i="1"/>
  <c r="IMB52" i="1"/>
  <c r="IMA52" i="1"/>
  <c r="ILZ52" i="1"/>
  <c r="ILY52" i="1"/>
  <c r="ILX52" i="1"/>
  <c r="ILW52" i="1"/>
  <c r="ILV52" i="1"/>
  <c r="ILU52" i="1"/>
  <c r="ILT52" i="1"/>
  <c r="ILS52" i="1"/>
  <c r="ILR52" i="1"/>
  <c r="ILQ52" i="1"/>
  <c r="ILP52" i="1"/>
  <c r="ILO52" i="1"/>
  <c r="ILN52" i="1"/>
  <c r="ILM52" i="1"/>
  <c r="ILL52" i="1"/>
  <c r="ILK52" i="1"/>
  <c r="ILJ52" i="1"/>
  <c r="ILI52" i="1"/>
  <c r="ILH52" i="1"/>
  <c r="ILG52" i="1"/>
  <c r="ILF52" i="1"/>
  <c r="ILE52" i="1"/>
  <c r="ILD52" i="1"/>
  <c r="ILC52" i="1"/>
  <c r="ILB52" i="1"/>
  <c r="ILA52" i="1"/>
  <c r="IKZ52" i="1"/>
  <c r="IKY52" i="1"/>
  <c r="IKX52" i="1"/>
  <c r="IKW52" i="1"/>
  <c r="IKV52" i="1"/>
  <c r="IKU52" i="1"/>
  <c r="IKT52" i="1"/>
  <c r="IKS52" i="1"/>
  <c r="IKR52" i="1"/>
  <c r="IKQ52" i="1"/>
  <c r="IKP52" i="1"/>
  <c r="IKO52" i="1"/>
  <c r="IKN52" i="1"/>
  <c r="IKM52" i="1"/>
  <c r="IKL52" i="1"/>
  <c r="IKK52" i="1"/>
  <c r="IKJ52" i="1"/>
  <c r="IKI52" i="1"/>
  <c r="IKH52" i="1"/>
  <c r="IKG52" i="1"/>
  <c r="IKF52" i="1"/>
  <c r="IKE52" i="1"/>
  <c r="IKD52" i="1"/>
  <c r="IKC52" i="1"/>
  <c r="IKB52" i="1"/>
  <c r="IKA52" i="1"/>
  <c r="IJZ52" i="1"/>
  <c r="IJY52" i="1"/>
  <c r="IJX52" i="1"/>
  <c r="IJW52" i="1"/>
  <c r="IJV52" i="1"/>
  <c r="IJU52" i="1"/>
  <c r="IJT52" i="1"/>
  <c r="IJS52" i="1"/>
  <c r="IJR52" i="1"/>
  <c r="IJQ52" i="1"/>
  <c r="IJP52" i="1"/>
  <c r="IJO52" i="1"/>
  <c r="IJN52" i="1"/>
  <c r="IJM52" i="1"/>
  <c r="IJL52" i="1"/>
  <c r="IJK52" i="1"/>
  <c r="IJJ52" i="1"/>
  <c r="IJI52" i="1"/>
  <c r="IJH52" i="1"/>
  <c r="IJG52" i="1"/>
  <c r="IJF52" i="1"/>
  <c r="IJE52" i="1"/>
  <c r="IJD52" i="1"/>
  <c r="IJC52" i="1"/>
  <c r="IJB52" i="1"/>
  <c r="IJA52" i="1"/>
  <c r="IIZ52" i="1"/>
  <c r="IIY52" i="1"/>
  <c r="IIX52" i="1"/>
  <c r="IIW52" i="1"/>
  <c r="IIV52" i="1"/>
  <c r="IIU52" i="1"/>
  <c r="IIT52" i="1"/>
  <c r="IIS52" i="1"/>
  <c r="IIR52" i="1"/>
  <c r="IIQ52" i="1"/>
  <c r="IIP52" i="1"/>
  <c r="IIO52" i="1"/>
  <c r="IIN52" i="1"/>
  <c r="IIM52" i="1"/>
  <c r="IIL52" i="1"/>
  <c r="IIK52" i="1"/>
  <c r="IIJ52" i="1"/>
  <c r="III52" i="1"/>
  <c r="IIH52" i="1"/>
  <c r="IIG52" i="1"/>
  <c r="IIF52" i="1"/>
  <c r="IIE52" i="1"/>
  <c r="IID52" i="1"/>
  <c r="IIC52" i="1"/>
  <c r="IIB52" i="1"/>
  <c r="IIA52" i="1"/>
  <c r="IHZ52" i="1"/>
  <c r="IHY52" i="1"/>
  <c r="IHX52" i="1"/>
  <c r="IHW52" i="1"/>
  <c r="IHV52" i="1"/>
  <c r="IHU52" i="1"/>
  <c r="IHT52" i="1"/>
  <c r="IHS52" i="1"/>
  <c r="IHR52" i="1"/>
  <c r="IHQ52" i="1"/>
  <c r="IHP52" i="1"/>
  <c r="IHO52" i="1"/>
  <c r="IHN52" i="1"/>
  <c r="IHM52" i="1"/>
  <c r="IHL52" i="1"/>
  <c r="IHK52" i="1"/>
  <c r="IHJ52" i="1"/>
  <c r="IHI52" i="1"/>
  <c r="IHH52" i="1"/>
  <c r="IHG52" i="1"/>
  <c r="IHF52" i="1"/>
  <c r="IHE52" i="1"/>
  <c r="IHD52" i="1"/>
  <c r="IHC52" i="1"/>
  <c r="IHB52" i="1"/>
  <c r="IHA52" i="1"/>
  <c r="IGZ52" i="1"/>
  <c r="IGY52" i="1"/>
  <c r="IGX52" i="1"/>
  <c r="IGW52" i="1"/>
  <c r="IGV52" i="1"/>
  <c r="IGU52" i="1"/>
  <c r="IGT52" i="1"/>
  <c r="IGS52" i="1"/>
  <c r="IGR52" i="1"/>
  <c r="IGQ52" i="1"/>
  <c r="IGP52" i="1"/>
  <c r="IGO52" i="1"/>
  <c r="IGN52" i="1"/>
  <c r="IGM52" i="1"/>
  <c r="IGL52" i="1"/>
  <c r="IGK52" i="1"/>
  <c r="IGJ52" i="1"/>
  <c r="IGI52" i="1"/>
  <c r="IGH52" i="1"/>
  <c r="IGG52" i="1"/>
  <c r="IGF52" i="1"/>
  <c r="IGE52" i="1"/>
  <c r="IGD52" i="1"/>
  <c r="IGC52" i="1"/>
  <c r="IGB52" i="1"/>
  <c r="IGA52" i="1"/>
  <c r="IFZ52" i="1"/>
  <c r="IFY52" i="1"/>
  <c r="IFX52" i="1"/>
  <c r="IFW52" i="1"/>
  <c r="IFV52" i="1"/>
  <c r="IFU52" i="1"/>
  <c r="IFT52" i="1"/>
  <c r="IFS52" i="1"/>
  <c r="IFR52" i="1"/>
  <c r="IFQ52" i="1"/>
  <c r="IFP52" i="1"/>
  <c r="IFO52" i="1"/>
  <c r="IFN52" i="1"/>
  <c r="IFM52" i="1"/>
  <c r="IFL52" i="1"/>
  <c r="IFK52" i="1"/>
  <c r="IFJ52" i="1"/>
  <c r="IFI52" i="1"/>
  <c r="IFH52" i="1"/>
  <c r="IFG52" i="1"/>
  <c r="IFF52" i="1"/>
  <c r="IFE52" i="1"/>
  <c r="IFD52" i="1"/>
  <c r="IFC52" i="1"/>
  <c r="IFB52" i="1"/>
  <c r="IFA52" i="1"/>
  <c r="IEZ52" i="1"/>
  <c r="IEY52" i="1"/>
  <c r="IEX52" i="1"/>
  <c r="IEW52" i="1"/>
  <c r="IEV52" i="1"/>
  <c r="IEU52" i="1"/>
  <c r="IET52" i="1"/>
  <c r="IES52" i="1"/>
  <c r="IER52" i="1"/>
  <c r="IEQ52" i="1"/>
  <c r="IEP52" i="1"/>
  <c r="IEO52" i="1"/>
  <c r="IEN52" i="1"/>
  <c r="IEM52" i="1"/>
  <c r="IEL52" i="1"/>
  <c r="IEK52" i="1"/>
  <c r="IEJ52" i="1"/>
  <c r="IEI52" i="1"/>
  <c r="IEH52" i="1"/>
  <c r="IEG52" i="1"/>
  <c r="IEF52" i="1"/>
  <c r="IEE52" i="1"/>
  <c r="IED52" i="1"/>
  <c r="IEC52" i="1"/>
  <c r="IEB52" i="1"/>
  <c r="IEA52" i="1"/>
  <c r="IDZ52" i="1"/>
  <c r="IDY52" i="1"/>
  <c r="IDX52" i="1"/>
  <c r="IDW52" i="1"/>
  <c r="IDV52" i="1"/>
  <c r="IDU52" i="1"/>
  <c r="IDT52" i="1"/>
  <c r="IDS52" i="1"/>
  <c r="IDR52" i="1"/>
  <c r="IDQ52" i="1"/>
  <c r="IDP52" i="1"/>
  <c r="IDO52" i="1"/>
  <c r="IDN52" i="1"/>
  <c r="IDM52" i="1"/>
  <c r="IDL52" i="1"/>
  <c r="IDK52" i="1"/>
  <c r="IDJ52" i="1"/>
  <c r="IDI52" i="1"/>
  <c r="IDH52" i="1"/>
  <c r="IDG52" i="1"/>
  <c r="IDF52" i="1"/>
  <c r="IDE52" i="1"/>
  <c r="IDD52" i="1"/>
  <c r="IDC52" i="1"/>
  <c r="IDB52" i="1"/>
  <c r="IDA52" i="1"/>
  <c r="ICZ52" i="1"/>
  <c r="ICY52" i="1"/>
  <c r="ICX52" i="1"/>
  <c r="ICW52" i="1"/>
  <c r="ICV52" i="1"/>
  <c r="ICU52" i="1"/>
  <c r="ICT52" i="1"/>
  <c r="ICS52" i="1"/>
  <c r="ICR52" i="1"/>
  <c r="ICQ52" i="1"/>
  <c r="ICP52" i="1"/>
  <c r="ICO52" i="1"/>
  <c r="ICN52" i="1"/>
  <c r="ICM52" i="1"/>
  <c r="ICL52" i="1"/>
  <c r="ICK52" i="1"/>
  <c r="ICJ52" i="1"/>
  <c r="ICI52" i="1"/>
  <c r="ICH52" i="1"/>
  <c r="ICG52" i="1"/>
  <c r="ICF52" i="1"/>
  <c r="ICE52" i="1"/>
  <c r="ICD52" i="1"/>
  <c r="ICC52" i="1"/>
  <c r="ICB52" i="1"/>
  <c r="ICA52" i="1"/>
  <c r="IBZ52" i="1"/>
  <c r="IBY52" i="1"/>
  <c r="IBX52" i="1"/>
  <c r="IBW52" i="1"/>
  <c r="IBV52" i="1"/>
  <c r="IBU52" i="1"/>
  <c r="IBT52" i="1"/>
  <c r="IBS52" i="1"/>
  <c r="IBR52" i="1"/>
  <c r="IBQ52" i="1"/>
  <c r="IBP52" i="1"/>
  <c r="IBO52" i="1"/>
  <c r="IBN52" i="1"/>
  <c r="IBM52" i="1"/>
  <c r="IBL52" i="1"/>
  <c r="IBK52" i="1"/>
  <c r="IBJ52" i="1"/>
  <c r="IBI52" i="1"/>
  <c r="IBH52" i="1"/>
  <c r="IBG52" i="1"/>
  <c r="IBF52" i="1"/>
  <c r="IBE52" i="1"/>
  <c r="IBD52" i="1"/>
  <c r="IBC52" i="1"/>
  <c r="IBB52" i="1"/>
  <c r="IBA52" i="1"/>
  <c r="IAZ52" i="1"/>
  <c r="IAY52" i="1"/>
  <c r="IAX52" i="1"/>
  <c r="IAW52" i="1"/>
  <c r="IAV52" i="1"/>
  <c r="IAU52" i="1"/>
  <c r="IAT52" i="1"/>
  <c r="IAS52" i="1"/>
  <c r="IAR52" i="1"/>
  <c r="IAQ52" i="1"/>
  <c r="IAP52" i="1"/>
  <c r="IAO52" i="1"/>
  <c r="IAN52" i="1"/>
  <c r="IAM52" i="1"/>
  <c r="IAL52" i="1"/>
  <c r="IAK52" i="1"/>
  <c r="IAJ52" i="1"/>
  <c r="IAI52" i="1"/>
  <c r="IAH52" i="1"/>
  <c r="IAG52" i="1"/>
  <c r="IAF52" i="1"/>
  <c r="IAE52" i="1"/>
  <c r="IAD52" i="1"/>
  <c r="IAC52" i="1"/>
  <c r="IAB52" i="1"/>
  <c r="IAA52" i="1"/>
  <c r="HZZ52" i="1"/>
  <c r="HZY52" i="1"/>
  <c r="HZX52" i="1"/>
  <c r="HZW52" i="1"/>
  <c r="HZV52" i="1"/>
  <c r="HZU52" i="1"/>
  <c r="HZT52" i="1"/>
  <c r="HZS52" i="1"/>
  <c r="HZR52" i="1"/>
  <c r="HZQ52" i="1"/>
  <c r="HZP52" i="1"/>
  <c r="HZO52" i="1"/>
  <c r="HZN52" i="1"/>
  <c r="HZM52" i="1"/>
  <c r="HZL52" i="1"/>
  <c r="HZK52" i="1"/>
  <c r="HZJ52" i="1"/>
  <c r="HZI52" i="1"/>
  <c r="HZH52" i="1"/>
  <c r="HZG52" i="1"/>
  <c r="HZF52" i="1"/>
  <c r="HZE52" i="1"/>
  <c r="HZD52" i="1"/>
  <c r="HZC52" i="1"/>
  <c r="HZB52" i="1"/>
  <c r="HZA52" i="1"/>
  <c r="HYZ52" i="1"/>
  <c r="HYY52" i="1"/>
  <c r="HYX52" i="1"/>
  <c r="HYW52" i="1"/>
  <c r="HYV52" i="1"/>
  <c r="HYU52" i="1"/>
  <c r="HYT52" i="1"/>
  <c r="HYS52" i="1"/>
  <c r="HYR52" i="1"/>
  <c r="HYQ52" i="1"/>
  <c r="HYP52" i="1"/>
  <c r="HYO52" i="1"/>
  <c r="HYN52" i="1"/>
  <c r="HYM52" i="1"/>
  <c r="HYL52" i="1"/>
  <c r="HYK52" i="1"/>
  <c r="HYJ52" i="1"/>
  <c r="HYI52" i="1"/>
  <c r="HYH52" i="1"/>
  <c r="HYG52" i="1"/>
  <c r="HYF52" i="1"/>
  <c r="HYE52" i="1"/>
  <c r="HYD52" i="1"/>
  <c r="HYC52" i="1"/>
  <c r="HYB52" i="1"/>
  <c r="HYA52" i="1"/>
  <c r="HXZ52" i="1"/>
  <c r="HXY52" i="1"/>
  <c r="HXX52" i="1"/>
  <c r="HXW52" i="1"/>
  <c r="HXV52" i="1"/>
  <c r="HXU52" i="1"/>
  <c r="HXT52" i="1"/>
  <c r="HXS52" i="1"/>
  <c r="HXR52" i="1"/>
  <c r="HXQ52" i="1"/>
  <c r="HXP52" i="1"/>
  <c r="HXO52" i="1"/>
  <c r="HXN52" i="1"/>
  <c r="HXM52" i="1"/>
  <c r="HXL52" i="1"/>
  <c r="HXK52" i="1"/>
  <c r="HXJ52" i="1"/>
  <c r="HXI52" i="1"/>
  <c r="HXH52" i="1"/>
  <c r="HXG52" i="1"/>
  <c r="HXF52" i="1"/>
  <c r="HXE52" i="1"/>
  <c r="HXD52" i="1"/>
  <c r="HXC52" i="1"/>
  <c r="HXB52" i="1"/>
  <c r="HXA52" i="1"/>
  <c r="HWZ52" i="1"/>
  <c r="HWY52" i="1"/>
  <c r="HWX52" i="1"/>
  <c r="HWW52" i="1"/>
  <c r="HWV52" i="1"/>
  <c r="HWU52" i="1"/>
  <c r="HWT52" i="1"/>
  <c r="HWS52" i="1"/>
  <c r="HWR52" i="1"/>
  <c r="HWQ52" i="1"/>
  <c r="HWP52" i="1"/>
  <c r="HWO52" i="1"/>
  <c r="HWN52" i="1"/>
  <c r="HWM52" i="1"/>
  <c r="HWL52" i="1"/>
  <c r="HWK52" i="1"/>
  <c r="HWJ52" i="1"/>
  <c r="HWI52" i="1"/>
  <c r="HWH52" i="1"/>
  <c r="HWG52" i="1"/>
  <c r="HWF52" i="1"/>
  <c r="HWE52" i="1"/>
  <c r="HWD52" i="1"/>
  <c r="HWC52" i="1"/>
  <c r="HWB52" i="1"/>
  <c r="HWA52" i="1"/>
  <c r="HVZ52" i="1"/>
  <c r="HVY52" i="1"/>
  <c r="HVX52" i="1"/>
  <c r="HVW52" i="1"/>
  <c r="HVV52" i="1"/>
  <c r="HVU52" i="1"/>
  <c r="HVT52" i="1"/>
  <c r="HVS52" i="1"/>
  <c r="HVR52" i="1"/>
  <c r="HVQ52" i="1"/>
  <c r="HVP52" i="1"/>
  <c r="HVO52" i="1"/>
  <c r="HVN52" i="1"/>
  <c r="HVM52" i="1"/>
  <c r="HVL52" i="1"/>
  <c r="HVK52" i="1"/>
  <c r="HVJ52" i="1"/>
  <c r="HVI52" i="1"/>
  <c r="HVH52" i="1"/>
  <c r="HVG52" i="1"/>
  <c r="HVF52" i="1"/>
  <c r="HVE52" i="1"/>
  <c r="HVD52" i="1"/>
  <c r="HVC52" i="1"/>
  <c r="HVB52" i="1"/>
  <c r="HVA52" i="1"/>
  <c r="HUZ52" i="1"/>
  <c r="HUY52" i="1"/>
  <c r="HUX52" i="1"/>
  <c r="HUW52" i="1"/>
  <c r="HUV52" i="1"/>
  <c r="HUU52" i="1"/>
  <c r="HUT52" i="1"/>
  <c r="HUS52" i="1"/>
  <c r="HUR52" i="1"/>
  <c r="HUQ52" i="1"/>
  <c r="HUP52" i="1"/>
  <c r="HUO52" i="1"/>
  <c r="HUN52" i="1"/>
  <c r="HUM52" i="1"/>
  <c r="HUL52" i="1"/>
  <c r="HUK52" i="1"/>
  <c r="HUJ52" i="1"/>
  <c r="HUI52" i="1"/>
  <c r="HUH52" i="1"/>
  <c r="HUG52" i="1"/>
  <c r="HUF52" i="1"/>
  <c r="HUE52" i="1"/>
  <c r="HUD52" i="1"/>
  <c r="HUC52" i="1"/>
  <c r="HUB52" i="1"/>
  <c r="HUA52" i="1"/>
  <c r="HTZ52" i="1"/>
  <c r="HTY52" i="1"/>
  <c r="HTX52" i="1"/>
  <c r="HTW52" i="1"/>
  <c r="HTV52" i="1"/>
  <c r="HTU52" i="1"/>
  <c r="HTT52" i="1"/>
  <c r="HTS52" i="1"/>
  <c r="HTR52" i="1"/>
  <c r="HTQ52" i="1"/>
  <c r="HTP52" i="1"/>
  <c r="HTO52" i="1"/>
  <c r="HTN52" i="1"/>
  <c r="HTM52" i="1"/>
  <c r="HTL52" i="1"/>
  <c r="HTK52" i="1"/>
  <c r="HTJ52" i="1"/>
  <c r="HTI52" i="1"/>
  <c r="HTH52" i="1"/>
  <c r="HTG52" i="1"/>
  <c r="HTF52" i="1"/>
  <c r="HTE52" i="1"/>
  <c r="HTD52" i="1"/>
  <c r="HTC52" i="1"/>
  <c r="HTB52" i="1"/>
  <c r="HTA52" i="1"/>
  <c r="HSZ52" i="1"/>
  <c r="HSY52" i="1"/>
  <c r="HSX52" i="1"/>
  <c r="HSW52" i="1"/>
  <c r="HSV52" i="1"/>
  <c r="HSU52" i="1"/>
  <c r="HST52" i="1"/>
  <c r="HSS52" i="1"/>
  <c r="HSR52" i="1"/>
  <c r="HSQ52" i="1"/>
  <c r="HSP52" i="1"/>
  <c r="HSO52" i="1"/>
  <c r="HSN52" i="1"/>
  <c r="HSM52" i="1"/>
  <c r="HSL52" i="1"/>
  <c r="HSK52" i="1"/>
  <c r="HSJ52" i="1"/>
  <c r="HSI52" i="1"/>
  <c r="HSH52" i="1"/>
  <c r="HSG52" i="1"/>
  <c r="HSF52" i="1"/>
  <c r="HSE52" i="1"/>
  <c r="HSD52" i="1"/>
  <c r="HSC52" i="1"/>
  <c r="HSB52" i="1"/>
  <c r="HSA52" i="1"/>
  <c r="HRZ52" i="1"/>
  <c r="HRY52" i="1"/>
  <c r="HRX52" i="1"/>
  <c r="HRW52" i="1"/>
  <c r="HRV52" i="1"/>
  <c r="HRU52" i="1"/>
  <c r="HRT52" i="1"/>
  <c r="HRS52" i="1"/>
  <c r="HRR52" i="1"/>
  <c r="HRQ52" i="1"/>
  <c r="HRP52" i="1"/>
  <c r="HRO52" i="1"/>
  <c r="HRN52" i="1"/>
  <c r="HRM52" i="1"/>
  <c r="HRL52" i="1"/>
  <c r="HRK52" i="1"/>
  <c r="HRJ52" i="1"/>
  <c r="HRI52" i="1"/>
  <c r="HRH52" i="1"/>
  <c r="HRG52" i="1"/>
  <c r="HRF52" i="1"/>
  <c r="HRE52" i="1"/>
  <c r="HRD52" i="1"/>
  <c r="HRC52" i="1"/>
  <c r="HRB52" i="1"/>
  <c r="HRA52" i="1"/>
  <c r="HQZ52" i="1"/>
  <c r="HQY52" i="1"/>
  <c r="HQX52" i="1"/>
  <c r="HQW52" i="1"/>
  <c r="HQV52" i="1"/>
  <c r="HQU52" i="1"/>
  <c r="HQT52" i="1"/>
  <c r="HQS52" i="1"/>
  <c r="HQR52" i="1"/>
  <c r="HQQ52" i="1"/>
  <c r="HQP52" i="1"/>
  <c r="HQO52" i="1"/>
  <c r="HQN52" i="1"/>
  <c r="HQM52" i="1"/>
  <c r="HQL52" i="1"/>
  <c r="HQK52" i="1"/>
  <c r="HQJ52" i="1"/>
  <c r="HQI52" i="1"/>
  <c r="HQH52" i="1"/>
  <c r="HQG52" i="1"/>
  <c r="HQF52" i="1"/>
  <c r="HQE52" i="1"/>
  <c r="HQD52" i="1"/>
  <c r="HQC52" i="1"/>
  <c r="HQB52" i="1"/>
  <c r="HQA52" i="1"/>
  <c r="HPZ52" i="1"/>
  <c r="HPY52" i="1"/>
  <c r="HPX52" i="1"/>
  <c r="HPW52" i="1"/>
  <c r="HPV52" i="1"/>
  <c r="HPU52" i="1"/>
  <c r="HPT52" i="1"/>
  <c r="HPS52" i="1"/>
  <c r="HPR52" i="1"/>
  <c r="HPQ52" i="1"/>
  <c r="HPP52" i="1"/>
  <c r="HPO52" i="1"/>
  <c r="HPN52" i="1"/>
  <c r="HPM52" i="1"/>
  <c r="HPL52" i="1"/>
  <c r="HPK52" i="1"/>
  <c r="HPJ52" i="1"/>
  <c r="HPI52" i="1"/>
  <c r="HPH52" i="1"/>
  <c r="HPG52" i="1"/>
  <c r="HPF52" i="1"/>
  <c r="HPE52" i="1"/>
  <c r="HPD52" i="1"/>
  <c r="HPC52" i="1"/>
  <c r="HPB52" i="1"/>
  <c r="HPA52" i="1"/>
  <c r="HOZ52" i="1"/>
  <c r="HOY52" i="1"/>
  <c r="HOX52" i="1"/>
  <c r="HOW52" i="1"/>
  <c r="HOV52" i="1"/>
  <c r="HOU52" i="1"/>
  <c r="HOT52" i="1"/>
  <c r="HOS52" i="1"/>
  <c r="HOR52" i="1"/>
  <c r="HOQ52" i="1"/>
  <c r="HOP52" i="1"/>
  <c r="HOO52" i="1"/>
  <c r="HON52" i="1"/>
  <c r="HOM52" i="1"/>
  <c r="HOL52" i="1"/>
  <c r="HOK52" i="1"/>
  <c r="HOJ52" i="1"/>
  <c r="HOI52" i="1"/>
  <c r="HOH52" i="1"/>
  <c r="HOG52" i="1"/>
  <c r="HOF52" i="1"/>
  <c r="HOE52" i="1"/>
  <c r="HOD52" i="1"/>
  <c r="HOC52" i="1"/>
  <c r="HOB52" i="1"/>
  <c r="HOA52" i="1"/>
  <c r="HNZ52" i="1"/>
  <c r="HNY52" i="1"/>
  <c r="HNX52" i="1"/>
  <c r="HNW52" i="1"/>
  <c r="HNV52" i="1"/>
  <c r="HNU52" i="1"/>
  <c r="HNT52" i="1"/>
  <c r="HNS52" i="1"/>
  <c r="HNR52" i="1"/>
  <c r="HNQ52" i="1"/>
  <c r="HNP52" i="1"/>
  <c r="HNO52" i="1"/>
  <c r="HNN52" i="1"/>
  <c r="HNM52" i="1"/>
  <c r="HNL52" i="1"/>
  <c r="HNK52" i="1"/>
  <c r="HNJ52" i="1"/>
  <c r="HNI52" i="1"/>
  <c r="HNH52" i="1"/>
  <c r="HNG52" i="1"/>
  <c r="HNF52" i="1"/>
  <c r="HNE52" i="1"/>
  <c r="HND52" i="1"/>
  <c r="HNC52" i="1"/>
  <c r="HNB52" i="1"/>
  <c r="HNA52" i="1"/>
  <c r="HMZ52" i="1"/>
  <c r="HMY52" i="1"/>
  <c r="HMX52" i="1"/>
  <c r="HMW52" i="1"/>
  <c r="HMV52" i="1"/>
  <c r="HMU52" i="1"/>
  <c r="HMT52" i="1"/>
  <c r="HMS52" i="1"/>
  <c r="HMR52" i="1"/>
  <c r="HMQ52" i="1"/>
  <c r="HMP52" i="1"/>
  <c r="HMO52" i="1"/>
  <c r="HMN52" i="1"/>
  <c r="HMM52" i="1"/>
  <c r="HML52" i="1"/>
  <c r="HMK52" i="1"/>
  <c r="HMJ52" i="1"/>
  <c r="HMI52" i="1"/>
  <c r="HMH52" i="1"/>
  <c r="HMG52" i="1"/>
  <c r="HMF52" i="1"/>
  <c r="HME52" i="1"/>
  <c r="HMD52" i="1"/>
  <c r="HMC52" i="1"/>
  <c r="HMB52" i="1"/>
  <c r="HMA52" i="1"/>
  <c r="HLZ52" i="1"/>
  <c r="HLY52" i="1"/>
  <c r="HLX52" i="1"/>
  <c r="HLW52" i="1"/>
  <c r="HLV52" i="1"/>
  <c r="HLU52" i="1"/>
  <c r="HLT52" i="1"/>
  <c r="HLS52" i="1"/>
  <c r="HLR52" i="1"/>
  <c r="HLQ52" i="1"/>
  <c r="HLP52" i="1"/>
  <c r="HLO52" i="1"/>
  <c r="HLN52" i="1"/>
  <c r="HLM52" i="1"/>
  <c r="HLL52" i="1"/>
  <c r="HLK52" i="1"/>
  <c r="HLJ52" i="1"/>
  <c r="HLI52" i="1"/>
  <c r="HLH52" i="1"/>
  <c r="HLG52" i="1"/>
  <c r="HLF52" i="1"/>
  <c r="HLE52" i="1"/>
  <c r="HLD52" i="1"/>
  <c r="HLC52" i="1"/>
  <c r="HLB52" i="1"/>
  <c r="HLA52" i="1"/>
  <c r="HKZ52" i="1"/>
  <c r="HKY52" i="1"/>
  <c r="HKX52" i="1"/>
  <c r="HKW52" i="1"/>
  <c r="HKV52" i="1"/>
  <c r="HKU52" i="1"/>
  <c r="HKT52" i="1"/>
  <c r="HKS52" i="1"/>
  <c r="HKR52" i="1"/>
  <c r="HKQ52" i="1"/>
  <c r="HKP52" i="1"/>
  <c r="HKO52" i="1"/>
  <c r="HKN52" i="1"/>
  <c r="HKM52" i="1"/>
  <c r="HKL52" i="1"/>
  <c r="HKK52" i="1"/>
  <c r="HKJ52" i="1"/>
  <c r="HKI52" i="1"/>
  <c r="HKH52" i="1"/>
  <c r="HKG52" i="1"/>
  <c r="HKF52" i="1"/>
  <c r="HKE52" i="1"/>
  <c r="HKD52" i="1"/>
  <c r="HKC52" i="1"/>
  <c r="HKB52" i="1"/>
  <c r="HKA52" i="1"/>
  <c r="HJZ52" i="1"/>
  <c r="HJY52" i="1"/>
  <c r="HJX52" i="1"/>
  <c r="HJW52" i="1"/>
  <c r="HJV52" i="1"/>
  <c r="HJU52" i="1"/>
  <c r="HJT52" i="1"/>
  <c r="HJS52" i="1"/>
  <c r="HJR52" i="1"/>
  <c r="HJQ52" i="1"/>
  <c r="HJP52" i="1"/>
  <c r="HJO52" i="1"/>
  <c r="HJN52" i="1"/>
  <c r="HJM52" i="1"/>
  <c r="HJL52" i="1"/>
  <c r="HJK52" i="1"/>
  <c r="HJJ52" i="1"/>
  <c r="HJI52" i="1"/>
  <c r="HJH52" i="1"/>
  <c r="HJG52" i="1"/>
  <c r="HJF52" i="1"/>
  <c r="HJE52" i="1"/>
  <c r="HJD52" i="1"/>
  <c r="HJC52" i="1"/>
  <c r="HJB52" i="1"/>
  <c r="HJA52" i="1"/>
  <c r="HIZ52" i="1"/>
  <c r="HIY52" i="1"/>
  <c r="HIX52" i="1"/>
  <c r="HIW52" i="1"/>
  <c r="HIV52" i="1"/>
  <c r="HIU52" i="1"/>
  <c r="HIT52" i="1"/>
  <c r="HIS52" i="1"/>
  <c r="HIR52" i="1"/>
  <c r="HIQ52" i="1"/>
  <c r="HIP52" i="1"/>
  <c r="HIO52" i="1"/>
  <c r="HIN52" i="1"/>
  <c r="HIM52" i="1"/>
  <c r="HIL52" i="1"/>
  <c r="HIK52" i="1"/>
  <c r="HIJ52" i="1"/>
  <c r="HII52" i="1"/>
  <c r="HIH52" i="1"/>
  <c r="HIG52" i="1"/>
  <c r="HIF52" i="1"/>
  <c r="HIE52" i="1"/>
  <c r="HID52" i="1"/>
  <c r="HIC52" i="1"/>
  <c r="HIB52" i="1"/>
  <c r="HIA52" i="1"/>
  <c r="HHZ52" i="1"/>
  <c r="HHY52" i="1"/>
  <c r="HHX52" i="1"/>
  <c r="HHW52" i="1"/>
  <c r="HHV52" i="1"/>
  <c r="HHU52" i="1"/>
  <c r="HHT52" i="1"/>
  <c r="HHS52" i="1"/>
  <c r="HHR52" i="1"/>
  <c r="HHQ52" i="1"/>
  <c r="HHP52" i="1"/>
  <c r="HHO52" i="1"/>
  <c r="HHN52" i="1"/>
  <c r="HHM52" i="1"/>
  <c r="HHL52" i="1"/>
  <c r="HHK52" i="1"/>
  <c r="HHJ52" i="1"/>
  <c r="HHI52" i="1"/>
  <c r="HHH52" i="1"/>
  <c r="HHG52" i="1"/>
  <c r="HHF52" i="1"/>
  <c r="HHE52" i="1"/>
  <c r="HHD52" i="1"/>
  <c r="HHC52" i="1"/>
  <c r="HHB52" i="1"/>
  <c r="HHA52" i="1"/>
  <c r="HGZ52" i="1"/>
  <c r="HGY52" i="1"/>
  <c r="HGX52" i="1"/>
  <c r="HGW52" i="1"/>
  <c r="HGV52" i="1"/>
  <c r="HGU52" i="1"/>
  <c r="HGT52" i="1"/>
  <c r="HGS52" i="1"/>
  <c r="HGR52" i="1"/>
  <c r="HGQ52" i="1"/>
  <c r="HGP52" i="1"/>
  <c r="HGO52" i="1"/>
  <c r="HGN52" i="1"/>
  <c r="HGM52" i="1"/>
  <c r="HGL52" i="1"/>
  <c r="HGK52" i="1"/>
  <c r="HGJ52" i="1"/>
  <c r="HGI52" i="1"/>
  <c r="HGH52" i="1"/>
  <c r="HGG52" i="1"/>
  <c r="HGF52" i="1"/>
  <c r="HGE52" i="1"/>
  <c r="HGD52" i="1"/>
  <c r="HGC52" i="1"/>
  <c r="HGB52" i="1"/>
  <c r="HGA52" i="1"/>
  <c r="HFZ52" i="1"/>
  <c r="HFY52" i="1"/>
  <c r="HFX52" i="1"/>
  <c r="HFW52" i="1"/>
  <c r="HFV52" i="1"/>
  <c r="HFU52" i="1"/>
  <c r="HFT52" i="1"/>
  <c r="HFS52" i="1"/>
  <c r="HFR52" i="1"/>
  <c r="HFQ52" i="1"/>
  <c r="HFP52" i="1"/>
  <c r="HFO52" i="1"/>
  <c r="HFN52" i="1"/>
  <c r="HFM52" i="1"/>
  <c r="HFL52" i="1"/>
  <c r="HFK52" i="1"/>
  <c r="HFJ52" i="1"/>
  <c r="HFI52" i="1"/>
  <c r="HFH52" i="1"/>
  <c r="HFG52" i="1"/>
  <c r="HFF52" i="1"/>
  <c r="HFE52" i="1"/>
  <c r="HFD52" i="1"/>
  <c r="HFC52" i="1"/>
  <c r="HFB52" i="1"/>
  <c r="HFA52" i="1"/>
  <c r="HEZ52" i="1"/>
  <c r="HEY52" i="1"/>
  <c r="HEX52" i="1"/>
  <c r="HEW52" i="1"/>
  <c r="HEV52" i="1"/>
  <c r="HEU52" i="1"/>
  <c r="HET52" i="1"/>
  <c r="HES52" i="1"/>
  <c r="HER52" i="1"/>
  <c r="HEQ52" i="1"/>
  <c r="HEP52" i="1"/>
  <c r="HEO52" i="1"/>
  <c r="HEN52" i="1"/>
  <c r="HEM52" i="1"/>
  <c r="HEL52" i="1"/>
  <c r="HEK52" i="1"/>
  <c r="HEJ52" i="1"/>
  <c r="HEI52" i="1"/>
  <c r="HEH52" i="1"/>
  <c r="HEG52" i="1"/>
  <c r="HEF52" i="1"/>
  <c r="HEE52" i="1"/>
  <c r="HED52" i="1"/>
  <c r="HEC52" i="1"/>
  <c r="HEB52" i="1"/>
  <c r="HEA52" i="1"/>
  <c r="HDZ52" i="1"/>
  <c r="HDY52" i="1"/>
  <c r="HDX52" i="1"/>
  <c r="HDW52" i="1"/>
  <c r="HDV52" i="1"/>
  <c r="HDU52" i="1"/>
  <c r="HDT52" i="1"/>
  <c r="HDS52" i="1"/>
  <c r="HDR52" i="1"/>
  <c r="HDQ52" i="1"/>
  <c r="HDP52" i="1"/>
  <c r="HDO52" i="1"/>
  <c r="HDN52" i="1"/>
  <c r="HDM52" i="1"/>
  <c r="HDL52" i="1"/>
  <c r="HDK52" i="1"/>
  <c r="HDJ52" i="1"/>
  <c r="HDI52" i="1"/>
  <c r="HDH52" i="1"/>
  <c r="HDG52" i="1"/>
  <c r="HDF52" i="1"/>
  <c r="HDE52" i="1"/>
  <c r="HDD52" i="1"/>
  <c r="HDC52" i="1"/>
  <c r="HDB52" i="1"/>
  <c r="HDA52" i="1"/>
  <c r="HCZ52" i="1"/>
  <c r="HCY52" i="1"/>
  <c r="HCX52" i="1"/>
  <c r="HCW52" i="1"/>
  <c r="HCV52" i="1"/>
  <c r="HCU52" i="1"/>
  <c r="HCT52" i="1"/>
  <c r="HCS52" i="1"/>
  <c r="HCR52" i="1"/>
  <c r="HCQ52" i="1"/>
  <c r="HCP52" i="1"/>
  <c r="HCO52" i="1"/>
  <c r="HCN52" i="1"/>
  <c r="HCM52" i="1"/>
  <c r="HCL52" i="1"/>
  <c r="HCK52" i="1"/>
  <c r="HCJ52" i="1"/>
  <c r="HCI52" i="1"/>
  <c r="HCH52" i="1"/>
  <c r="HCG52" i="1"/>
  <c r="HCF52" i="1"/>
  <c r="HCE52" i="1"/>
  <c r="HCD52" i="1"/>
  <c r="HCC52" i="1"/>
  <c r="HCB52" i="1"/>
  <c r="HCA52" i="1"/>
  <c r="HBZ52" i="1"/>
  <c r="HBY52" i="1"/>
  <c r="HBX52" i="1"/>
  <c r="HBW52" i="1"/>
  <c r="HBV52" i="1"/>
  <c r="HBU52" i="1"/>
  <c r="HBT52" i="1"/>
  <c r="HBS52" i="1"/>
  <c r="HBR52" i="1"/>
  <c r="HBQ52" i="1"/>
  <c r="HBP52" i="1"/>
  <c r="HBO52" i="1"/>
  <c r="HBN52" i="1"/>
  <c r="HBM52" i="1"/>
  <c r="HBL52" i="1"/>
  <c r="HBK52" i="1"/>
  <c r="HBJ52" i="1"/>
  <c r="HBI52" i="1"/>
  <c r="HBH52" i="1"/>
  <c r="HBG52" i="1"/>
  <c r="HBF52" i="1"/>
  <c r="HBE52" i="1"/>
  <c r="HBD52" i="1"/>
  <c r="HBC52" i="1"/>
  <c r="HBB52" i="1"/>
  <c r="HBA52" i="1"/>
  <c r="HAZ52" i="1"/>
  <c r="HAY52" i="1"/>
  <c r="HAX52" i="1"/>
  <c r="HAW52" i="1"/>
  <c r="HAV52" i="1"/>
  <c r="HAU52" i="1"/>
  <c r="HAT52" i="1"/>
  <c r="HAS52" i="1"/>
  <c r="HAR52" i="1"/>
  <c r="HAQ52" i="1"/>
  <c r="HAP52" i="1"/>
  <c r="HAO52" i="1"/>
  <c r="HAN52" i="1"/>
  <c r="HAM52" i="1"/>
  <c r="HAL52" i="1"/>
  <c r="HAK52" i="1"/>
  <c r="HAJ52" i="1"/>
  <c r="HAI52" i="1"/>
  <c r="HAH52" i="1"/>
  <c r="HAG52" i="1"/>
  <c r="HAF52" i="1"/>
  <c r="HAE52" i="1"/>
  <c r="HAD52" i="1"/>
  <c r="HAC52" i="1"/>
  <c r="HAB52" i="1"/>
  <c r="HAA52" i="1"/>
  <c r="GZZ52" i="1"/>
  <c r="GZY52" i="1"/>
  <c r="GZX52" i="1"/>
  <c r="GZW52" i="1"/>
  <c r="GZV52" i="1"/>
  <c r="GZU52" i="1"/>
  <c r="GZT52" i="1"/>
  <c r="GZS52" i="1"/>
  <c r="GZR52" i="1"/>
  <c r="GZQ52" i="1"/>
  <c r="GZP52" i="1"/>
  <c r="GZO52" i="1"/>
  <c r="GZN52" i="1"/>
  <c r="GZM52" i="1"/>
  <c r="GZL52" i="1"/>
  <c r="GZK52" i="1"/>
  <c r="GZJ52" i="1"/>
  <c r="GZI52" i="1"/>
  <c r="GZH52" i="1"/>
  <c r="GZG52" i="1"/>
  <c r="GZF52" i="1"/>
  <c r="GZE52" i="1"/>
  <c r="GZD52" i="1"/>
  <c r="GZC52" i="1"/>
  <c r="GZB52" i="1"/>
  <c r="GZA52" i="1"/>
  <c r="GYZ52" i="1"/>
  <c r="GYY52" i="1"/>
  <c r="GYX52" i="1"/>
  <c r="GYW52" i="1"/>
  <c r="GYV52" i="1"/>
  <c r="GYU52" i="1"/>
  <c r="GYT52" i="1"/>
  <c r="GYS52" i="1"/>
  <c r="GYR52" i="1"/>
  <c r="GYQ52" i="1"/>
  <c r="GYP52" i="1"/>
  <c r="GYO52" i="1"/>
  <c r="GYN52" i="1"/>
  <c r="GYM52" i="1"/>
  <c r="GYL52" i="1"/>
  <c r="GYK52" i="1"/>
  <c r="GYJ52" i="1"/>
  <c r="GYI52" i="1"/>
  <c r="GYH52" i="1"/>
  <c r="GYG52" i="1"/>
  <c r="GYF52" i="1"/>
  <c r="GYE52" i="1"/>
  <c r="GYD52" i="1"/>
  <c r="GYC52" i="1"/>
  <c r="GYB52" i="1"/>
  <c r="GYA52" i="1"/>
  <c r="GXZ52" i="1"/>
  <c r="GXY52" i="1"/>
  <c r="GXX52" i="1"/>
  <c r="GXW52" i="1"/>
  <c r="GXV52" i="1"/>
  <c r="GXU52" i="1"/>
  <c r="GXT52" i="1"/>
  <c r="GXS52" i="1"/>
  <c r="GXR52" i="1"/>
  <c r="GXQ52" i="1"/>
  <c r="GXP52" i="1"/>
  <c r="GXO52" i="1"/>
  <c r="GXN52" i="1"/>
  <c r="GXM52" i="1"/>
  <c r="GXL52" i="1"/>
  <c r="GXK52" i="1"/>
  <c r="GXJ52" i="1"/>
  <c r="GXI52" i="1"/>
  <c r="GXH52" i="1"/>
  <c r="GXG52" i="1"/>
  <c r="GXF52" i="1"/>
  <c r="GXE52" i="1"/>
  <c r="GXD52" i="1"/>
  <c r="GXC52" i="1"/>
  <c r="GXB52" i="1"/>
  <c r="GXA52" i="1"/>
  <c r="GWZ52" i="1"/>
  <c r="GWY52" i="1"/>
  <c r="GWX52" i="1"/>
  <c r="GWW52" i="1"/>
  <c r="GWV52" i="1"/>
  <c r="GWU52" i="1"/>
  <c r="GWT52" i="1"/>
  <c r="GWS52" i="1"/>
  <c r="GWR52" i="1"/>
  <c r="GWQ52" i="1"/>
  <c r="GWP52" i="1"/>
  <c r="GWO52" i="1"/>
  <c r="GWN52" i="1"/>
  <c r="GWM52" i="1"/>
  <c r="GWL52" i="1"/>
  <c r="GWK52" i="1"/>
  <c r="GWJ52" i="1"/>
  <c r="GWI52" i="1"/>
  <c r="GWH52" i="1"/>
  <c r="GWG52" i="1"/>
  <c r="GWF52" i="1"/>
  <c r="GWE52" i="1"/>
  <c r="GWD52" i="1"/>
  <c r="GWC52" i="1"/>
  <c r="GWB52" i="1"/>
  <c r="GWA52" i="1"/>
  <c r="GVZ52" i="1"/>
  <c r="GVY52" i="1"/>
  <c r="GVX52" i="1"/>
  <c r="GVW52" i="1"/>
  <c r="GVV52" i="1"/>
  <c r="GVU52" i="1"/>
  <c r="GVT52" i="1"/>
  <c r="GVS52" i="1"/>
  <c r="GVR52" i="1"/>
  <c r="GVQ52" i="1"/>
  <c r="GVP52" i="1"/>
  <c r="GVO52" i="1"/>
  <c r="GVN52" i="1"/>
  <c r="GVM52" i="1"/>
  <c r="GVL52" i="1"/>
  <c r="GVK52" i="1"/>
  <c r="GVJ52" i="1"/>
  <c r="GVI52" i="1"/>
  <c r="GVH52" i="1"/>
  <c r="GVG52" i="1"/>
  <c r="GVF52" i="1"/>
  <c r="GVE52" i="1"/>
  <c r="GVD52" i="1"/>
  <c r="GVC52" i="1"/>
  <c r="GVB52" i="1"/>
  <c r="GVA52" i="1"/>
  <c r="GUZ52" i="1"/>
  <c r="GUY52" i="1"/>
  <c r="GUX52" i="1"/>
  <c r="GUW52" i="1"/>
  <c r="GUV52" i="1"/>
  <c r="GUU52" i="1"/>
  <c r="GUT52" i="1"/>
  <c r="GUS52" i="1"/>
  <c r="GUR52" i="1"/>
  <c r="GUQ52" i="1"/>
  <c r="GUP52" i="1"/>
  <c r="GUO52" i="1"/>
  <c r="GUN52" i="1"/>
  <c r="GUM52" i="1"/>
  <c r="GUL52" i="1"/>
  <c r="GUK52" i="1"/>
  <c r="GUJ52" i="1"/>
  <c r="GUI52" i="1"/>
  <c r="GUH52" i="1"/>
  <c r="GUG52" i="1"/>
  <c r="GUF52" i="1"/>
  <c r="GUE52" i="1"/>
  <c r="GUD52" i="1"/>
  <c r="GUC52" i="1"/>
  <c r="GUB52" i="1"/>
  <c r="GUA52" i="1"/>
  <c r="GTZ52" i="1"/>
  <c r="GTY52" i="1"/>
  <c r="GTX52" i="1"/>
  <c r="GTW52" i="1"/>
  <c r="GTV52" i="1"/>
  <c r="GTU52" i="1"/>
  <c r="GTT52" i="1"/>
  <c r="GTS52" i="1"/>
  <c r="GTR52" i="1"/>
  <c r="GTQ52" i="1"/>
  <c r="GTP52" i="1"/>
  <c r="GTO52" i="1"/>
  <c r="GTN52" i="1"/>
  <c r="GTM52" i="1"/>
  <c r="GTL52" i="1"/>
  <c r="GTK52" i="1"/>
  <c r="GTJ52" i="1"/>
  <c r="GTI52" i="1"/>
  <c r="GTH52" i="1"/>
  <c r="GTG52" i="1"/>
  <c r="GTF52" i="1"/>
  <c r="GTE52" i="1"/>
  <c r="GTD52" i="1"/>
  <c r="GTC52" i="1"/>
  <c r="GTB52" i="1"/>
  <c r="GTA52" i="1"/>
  <c r="GSZ52" i="1"/>
  <c r="GSY52" i="1"/>
  <c r="GSX52" i="1"/>
  <c r="GSW52" i="1"/>
  <c r="GSV52" i="1"/>
  <c r="GSU52" i="1"/>
  <c r="GST52" i="1"/>
  <c r="GSS52" i="1"/>
  <c r="GSR52" i="1"/>
  <c r="GSQ52" i="1"/>
  <c r="GSP52" i="1"/>
  <c r="GSO52" i="1"/>
  <c r="GSN52" i="1"/>
  <c r="GSM52" i="1"/>
  <c r="GSL52" i="1"/>
  <c r="GSK52" i="1"/>
  <c r="GSJ52" i="1"/>
  <c r="GSI52" i="1"/>
  <c r="GSH52" i="1"/>
  <c r="GSG52" i="1"/>
  <c r="GSF52" i="1"/>
  <c r="GSE52" i="1"/>
  <c r="GSD52" i="1"/>
  <c r="GSC52" i="1"/>
  <c r="GSB52" i="1"/>
  <c r="GSA52" i="1"/>
  <c r="GRZ52" i="1"/>
  <c r="GRY52" i="1"/>
  <c r="GRX52" i="1"/>
  <c r="GRW52" i="1"/>
  <c r="GRV52" i="1"/>
  <c r="GRU52" i="1"/>
  <c r="GRT52" i="1"/>
  <c r="GRS52" i="1"/>
  <c r="GRR52" i="1"/>
  <c r="GRQ52" i="1"/>
  <c r="GRP52" i="1"/>
  <c r="GRO52" i="1"/>
  <c r="GRN52" i="1"/>
  <c r="GRM52" i="1"/>
  <c r="GRL52" i="1"/>
  <c r="GRK52" i="1"/>
  <c r="GRJ52" i="1"/>
  <c r="GRI52" i="1"/>
  <c r="GRH52" i="1"/>
  <c r="GRG52" i="1"/>
  <c r="GRF52" i="1"/>
  <c r="GRE52" i="1"/>
  <c r="GRD52" i="1"/>
  <c r="GRC52" i="1"/>
  <c r="GRB52" i="1"/>
  <c r="GRA52" i="1"/>
  <c r="GQZ52" i="1"/>
  <c r="GQY52" i="1"/>
  <c r="GQX52" i="1"/>
  <c r="GQW52" i="1"/>
  <c r="GQV52" i="1"/>
  <c r="GQU52" i="1"/>
  <c r="GQT52" i="1"/>
  <c r="GQS52" i="1"/>
  <c r="GQR52" i="1"/>
  <c r="GQQ52" i="1"/>
  <c r="GQP52" i="1"/>
  <c r="GQO52" i="1"/>
  <c r="GQN52" i="1"/>
  <c r="GQM52" i="1"/>
  <c r="GQL52" i="1"/>
  <c r="GQK52" i="1"/>
  <c r="GQJ52" i="1"/>
  <c r="GQI52" i="1"/>
  <c r="GQH52" i="1"/>
  <c r="GQG52" i="1"/>
  <c r="GQF52" i="1"/>
  <c r="GQE52" i="1"/>
  <c r="GQD52" i="1"/>
  <c r="GQC52" i="1"/>
  <c r="GQB52" i="1"/>
  <c r="GQA52" i="1"/>
  <c r="GPZ52" i="1"/>
  <c r="GPY52" i="1"/>
  <c r="GPX52" i="1"/>
  <c r="GPW52" i="1"/>
  <c r="GPV52" i="1"/>
  <c r="GPU52" i="1"/>
  <c r="GPT52" i="1"/>
  <c r="GPS52" i="1"/>
  <c r="GPR52" i="1"/>
  <c r="GPQ52" i="1"/>
  <c r="GPP52" i="1"/>
  <c r="GPO52" i="1"/>
  <c r="GPN52" i="1"/>
  <c r="GPM52" i="1"/>
  <c r="GPL52" i="1"/>
  <c r="GPK52" i="1"/>
  <c r="GPJ52" i="1"/>
  <c r="GPI52" i="1"/>
  <c r="GPH52" i="1"/>
  <c r="GPG52" i="1"/>
  <c r="GPF52" i="1"/>
  <c r="GPE52" i="1"/>
  <c r="GPD52" i="1"/>
  <c r="GPC52" i="1"/>
  <c r="GPB52" i="1"/>
  <c r="GPA52" i="1"/>
  <c r="GOZ52" i="1"/>
  <c r="GOY52" i="1"/>
  <c r="GOX52" i="1"/>
  <c r="GOW52" i="1"/>
  <c r="GOV52" i="1"/>
  <c r="GOU52" i="1"/>
  <c r="GOT52" i="1"/>
  <c r="GOS52" i="1"/>
  <c r="GOR52" i="1"/>
  <c r="GOQ52" i="1"/>
  <c r="GOP52" i="1"/>
  <c r="GOO52" i="1"/>
  <c r="GON52" i="1"/>
  <c r="GOM52" i="1"/>
  <c r="GOL52" i="1"/>
  <c r="GOK52" i="1"/>
  <c r="GOJ52" i="1"/>
  <c r="GOI52" i="1"/>
  <c r="GOH52" i="1"/>
  <c r="GOG52" i="1"/>
  <c r="GOF52" i="1"/>
  <c r="GOE52" i="1"/>
  <c r="GOD52" i="1"/>
  <c r="GOC52" i="1"/>
  <c r="GOB52" i="1"/>
  <c r="GOA52" i="1"/>
  <c r="GNZ52" i="1"/>
  <c r="GNY52" i="1"/>
  <c r="GNX52" i="1"/>
  <c r="GNW52" i="1"/>
  <c r="GNV52" i="1"/>
  <c r="GNU52" i="1"/>
  <c r="GNT52" i="1"/>
  <c r="GNS52" i="1"/>
  <c r="GNR52" i="1"/>
  <c r="GNQ52" i="1"/>
  <c r="GNP52" i="1"/>
  <c r="GNO52" i="1"/>
  <c r="GNN52" i="1"/>
  <c r="GNM52" i="1"/>
  <c r="GNL52" i="1"/>
  <c r="GNK52" i="1"/>
  <c r="GNJ52" i="1"/>
  <c r="GNI52" i="1"/>
  <c r="GNH52" i="1"/>
  <c r="GNG52" i="1"/>
  <c r="GNF52" i="1"/>
  <c r="GNE52" i="1"/>
  <c r="GND52" i="1"/>
  <c r="GNC52" i="1"/>
  <c r="GNB52" i="1"/>
  <c r="GNA52" i="1"/>
  <c r="GMZ52" i="1"/>
  <c r="GMY52" i="1"/>
  <c r="GMX52" i="1"/>
  <c r="GMW52" i="1"/>
  <c r="GMV52" i="1"/>
  <c r="GMU52" i="1"/>
  <c r="GMT52" i="1"/>
  <c r="GMS52" i="1"/>
  <c r="GMR52" i="1"/>
  <c r="GMQ52" i="1"/>
  <c r="GMP52" i="1"/>
  <c r="GMO52" i="1"/>
  <c r="GMN52" i="1"/>
  <c r="GMM52" i="1"/>
  <c r="GML52" i="1"/>
  <c r="GMK52" i="1"/>
  <c r="GMJ52" i="1"/>
  <c r="GMI52" i="1"/>
  <c r="GMH52" i="1"/>
  <c r="GMG52" i="1"/>
  <c r="GMF52" i="1"/>
  <c r="GME52" i="1"/>
  <c r="GMD52" i="1"/>
  <c r="GMC52" i="1"/>
  <c r="GMB52" i="1"/>
  <c r="GMA52" i="1"/>
  <c r="GLZ52" i="1"/>
  <c r="GLY52" i="1"/>
  <c r="GLX52" i="1"/>
  <c r="GLW52" i="1"/>
  <c r="GLV52" i="1"/>
  <c r="GLU52" i="1"/>
  <c r="GLT52" i="1"/>
  <c r="GLS52" i="1"/>
  <c r="GLR52" i="1"/>
  <c r="GLQ52" i="1"/>
  <c r="GLP52" i="1"/>
  <c r="GLO52" i="1"/>
  <c r="GLN52" i="1"/>
  <c r="GLM52" i="1"/>
  <c r="GLL52" i="1"/>
  <c r="GLK52" i="1"/>
  <c r="GLJ52" i="1"/>
  <c r="GLI52" i="1"/>
  <c r="GLH52" i="1"/>
  <c r="GLG52" i="1"/>
  <c r="GLF52" i="1"/>
  <c r="GLE52" i="1"/>
  <c r="GLD52" i="1"/>
  <c r="GLC52" i="1"/>
  <c r="GLB52" i="1"/>
  <c r="GLA52" i="1"/>
  <c r="GKZ52" i="1"/>
  <c r="GKY52" i="1"/>
  <c r="GKX52" i="1"/>
  <c r="GKW52" i="1"/>
  <c r="GKV52" i="1"/>
  <c r="GKU52" i="1"/>
  <c r="GKT52" i="1"/>
  <c r="GKS52" i="1"/>
  <c r="GKR52" i="1"/>
  <c r="GKQ52" i="1"/>
  <c r="GKP52" i="1"/>
  <c r="GKO52" i="1"/>
  <c r="GKN52" i="1"/>
  <c r="GKM52" i="1"/>
  <c r="GKL52" i="1"/>
  <c r="GKK52" i="1"/>
  <c r="GKJ52" i="1"/>
  <c r="GKI52" i="1"/>
  <c r="GKH52" i="1"/>
  <c r="GKG52" i="1"/>
  <c r="GKF52" i="1"/>
  <c r="GKE52" i="1"/>
  <c r="GKD52" i="1"/>
  <c r="GKC52" i="1"/>
  <c r="GKB52" i="1"/>
  <c r="GKA52" i="1"/>
  <c r="GJZ52" i="1"/>
  <c r="GJY52" i="1"/>
  <c r="GJX52" i="1"/>
  <c r="GJW52" i="1"/>
  <c r="GJV52" i="1"/>
  <c r="GJU52" i="1"/>
  <c r="GJT52" i="1"/>
  <c r="GJS52" i="1"/>
  <c r="GJR52" i="1"/>
  <c r="GJQ52" i="1"/>
  <c r="GJP52" i="1"/>
  <c r="GJO52" i="1"/>
  <c r="GJN52" i="1"/>
  <c r="GJM52" i="1"/>
  <c r="GJL52" i="1"/>
  <c r="GJK52" i="1"/>
  <c r="GJJ52" i="1"/>
  <c r="GJI52" i="1"/>
  <c r="GJH52" i="1"/>
  <c r="GJG52" i="1"/>
  <c r="GJF52" i="1"/>
  <c r="GJE52" i="1"/>
  <c r="GJD52" i="1"/>
  <c r="GJC52" i="1"/>
  <c r="GJB52" i="1"/>
  <c r="GJA52" i="1"/>
  <c r="GIZ52" i="1"/>
  <c r="GIY52" i="1"/>
  <c r="GIX52" i="1"/>
  <c r="GIW52" i="1"/>
  <c r="GIV52" i="1"/>
  <c r="GIU52" i="1"/>
  <c r="GIT52" i="1"/>
  <c r="GIS52" i="1"/>
  <c r="GIR52" i="1"/>
  <c r="GIQ52" i="1"/>
  <c r="GIP52" i="1"/>
  <c r="GIO52" i="1"/>
  <c r="GIN52" i="1"/>
  <c r="GIM52" i="1"/>
  <c r="GIL52" i="1"/>
  <c r="GIK52" i="1"/>
  <c r="GIJ52" i="1"/>
  <c r="GII52" i="1"/>
  <c r="GIH52" i="1"/>
  <c r="GIG52" i="1"/>
  <c r="GIF52" i="1"/>
  <c r="GIE52" i="1"/>
  <c r="GID52" i="1"/>
  <c r="GIC52" i="1"/>
  <c r="GIB52" i="1"/>
  <c r="GIA52" i="1"/>
  <c r="GHZ52" i="1"/>
  <c r="GHY52" i="1"/>
  <c r="GHX52" i="1"/>
  <c r="GHW52" i="1"/>
  <c r="GHV52" i="1"/>
  <c r="GHU52" i="1"/>
  <c r="GHT52" i="1"/>
  <c r="GHS52" i="1"/>
  <c r="GHR52" i="1"/>
  <c r="GHQ52" i="1"/>
  <c r="GHP52" i="1"/>
  <c r="GHO52" i="1"/>
  <c r="GHN52" i="1"/>
  <c r="GHM52" i="1"/>
  <c r="GHL52" i="1"/>
  <c r="GHK52" i="1"/>
  <c r="GHJ52" i="1"/>
  <c r="GHI52" i="1"/>
  <c r="GHH52" i="1"/>
  <c r="GHG52" i="1"/>
  <c r="GHF52" i="1"/>
  <c r="GHE52" i="1"/>
  <c r="GHD52" i="1"/>
  <c r="GHC52" i="1"/>
  <c r="GHB52" i="1"/>
  <c r="GHA52" i="1"/>
  <c r="GGZ52" i="1"/>
  <c r="GGY52" i="1"/>
  <c r="GGX52" i="1"/>
  <c r="GGW52" i="1"/>
  <c r="GGV52" i="1"/>
  <c r="GGU52" i="1"/>
  <c r="GGT52" i="1"/>
  <c r="GGS52" i="1"/>
  <c r="GGR52" i="1"/>
  <c r="GGQ52" i="1"/>
  <c r="GGP52" i="1"/>
  <c r="GGO52" i="1"/>
  <c r="GGN52" i="1"/>
  <c r="GGM52" i="1"/>
  <c r="GGL52" i="1"/>
  <c r="GGK52" i="1"/>
  <c r="GGJ52" i="1"/>
  <c r="GGI52" i="1"/>
  <c r="GGH52" i="1"/>
  <c r="GGG52" i="1"/>
  <c r="GGF52" i="1"/>
  <c r="GGE52" i="1"/>
  <c r="GGD52" i="1"/>
  <c r="GGC52" i="1"/>
  <c r="GGB52" i="1"/>
  <c r="GGA52" i="1"/>
  <c r="GFZ52" i="1"/>
  <c r="GFY52" i="1"/>
  <c r="GFX52" i="1"/>
  <c r="GFW52" i="1"/>
  <c r="GFV52" i="1"/>
  <c r="GFU52" i="1"/>
  <c r="GFT52" i="1"/>
  <c r="GFS52" i="1"/>
  <c r="GFR52" i="1"/>
  <c r="GFQ52" i="1"/>
  <c r="GFP52" i="1"/>
  <c r="GFO52" i="1"/>
  <c r="GFN52" i="1"/>
  <c r="GFM52" i="1"/>
  <c r="GFL52" i="1"/>
  <c r="GFK52" i="1"/>
  <c r="GFJ52" i="1"/>
  <c r="GFI52" i="1"/>
  <c r="GFH52" i="1"/>
  <c r="GFG52" i="1"/>
  <c r="GFF52" i="1"/>
  <c r="GFE52" i="1"/>
  <c r="GFD52" i="1"/>
  <c r="GFC52" i="1"/>
  <c r="GFB52" i="1"/>
  <c r="GFA52" i="1"/>
  <c r="GEZ52" i="1"/>
  <c r="GEY52" i="1"/>
  <c r="GEX52" i="1"/>
  <c r="GEW52" i="1"/>
  <c r="GEV52" i="1"/>
  <c r="GEU52" i="1"/>
  <c r="GET52" i="1"/>
  <c r="GES52" i="1"/>
  <c r="GER52" i="1"/>
  <c r="GEQ52" i="1"/>
  <c r="GEP52" i="1"/>
  <c r="GEO52" i="1"/>
  <c r="GEN52" i="1"/>
  <c r="GEM52" i="1"/>
  <c r="GEL52" i="1"/>
  <c r="GEK52" i="1"/>
  <c r="GEJ52" i="1"/>
  <c r="GEI52" i="1"/>
  <c r="GEH52" i="1"/>
  <c r="GEG52" i="1"/>
  <c r="GEF52" i="1"/>
  <c r="GEE52" i="1"/>
  <c r="GED52" i="1"/>
  <c r="GEC52" i="1"/>
  <c r="GEB52" i="1"/>
  <c r="GEA52" i="1"/>
  <c r="GDZ52" i="1"/>
  <c r="GDY52" i="1"/>
  <c r="GDX52" i="1"/>
  <c r="GDW52" i="1"/>
  <c r="GDV52" i="1"/>
  <c r="GDU52" i="1"/>
  <c r="GDT52" i="1"/>
  <c r="GDS52" i="1"/>
  <c r="GDR52" i="1"/>
  <c r="GDQ52" i="1"/>
  <c r="GDP52" i="1"/>
  <c r="GDO52" i="1"/>
  <c r="GDN52" i="1"/>
  <c r="GDM52" i="1"/>
  <c r="GDL52" i="1"/>
  <c r="GDK52" i="1"/>
  <c r="GDJ52" i="1"/>
  <c r="GDI52" i="1"/>
  <c r="GDH52" i="1"/>
  <c r="GDG52" i="1"/>
  <c r="GDF52" i="1"/>
  <c r="GDE52" i="1"/>
  <c r="GDD52" i="1"/>
  <c r="GDC52" i="1"/>
  <c r="GDB52" i="1"/>
  <c r="GDA52" i="1"/>
  <c r="GCZ52" i="1"/>
  <c r="GCY52" i="1"/>
  <c r="GCX52" i="1"/>
  <c r="GCW52" i="1"/>
  <c r="GCV52" i="1"/>
  <c r="GCU52" i="1"/>
  <c r="GCT52" i="1"/>
  <c r="GCS52" i="1"/>
  <c r="GCR52" i="1"/>
  <c r="GCQ52" i="1"/>
  <c r="GCP52" i="1"/>
  <c r="GCO52" i="1"/>
  <c r="GCN52" i="1"/>
  <c r="GCM52" i="1"/>
  <c r="GCL52" i="1"/>
  <c r="GCK52" i="1"/>
  <c r="GCJ52" i="1"/>
  <c r="GCI52" i="1"/>
  <c r="GCH52" i="1"/>
  <c r="GCG52" i="1"/>
  <c r="GCF52" i="1"/>
  <c r="GCE52" i="1"/>
  <c r="GCD52" i="1"/>
  <c r="GCC52" i="1"/>
  <c r="GCB52" i="1"/>
  <c r="GCA52" i="1"/>
  <c r="GBZ52" i="1"/>
  <c r="GBY52" i="1"/>
  <c r="GBX52" i="1"/>
  <c r="GBW52" i="1"/>
  <c r="GBV52" i="1"/>
  <c r="GBU52" i="1"/>
  <c r="GBT52" i="1"/>
  <c r="GBS52" i="1"/>
  <c r="GBR52" i="1"/>
  <c r="GBQ52" i="1"/>
  <c r="GBP52" i="1"/>
  <c r="GBO52" i="1"/>
  <c r="GBN52" i="1"/>
  <c r="GBM52" i="1"/>
  <c r="GBL52" i="1"/>
  <c r="GBK52" i="1"/>
  <c r="GBJ52" i="1"/>
  <c r="GBI52" i="1"/>
  <c r="GBH52" i="1"/>
  <c r="GBG52" i="1"/>
  <c r="GBF52" i="1"/>
  <c r="GBE52" i="1"/>
  <c r="GBD52" i="1"/>
  <c r="GBC52" i="1"/>
  <c r="GBB52" i="1"/>
  <c r="GBA52" i="1"/>
  <c r="GAZ52" i="1"/>
  <c r="GAY52" i="1"/>
  <c r="GAX52" i="1"/>
  <c r="GAW52" i="1"/>
  <c r="GAV52" i="1"/>
  <c r="GAU52" i="1"/>
  <c r="GAT52" i="1"/>
  <c r="GAS52" i="1"/>
  <c r="GAR52" i="1"/>
  <c r="GAQ52" i="1"/>
  <c r="GAP52" i="1"/>
  <c r="GAO52" i="1"/>
  <c r="GAN52" i="1"/>
  <c r="GAM52" i="1"/>
  <c r="GAL52" i="1"/>
  <c r="GAK52" i="1"/>
  <c r="GAJ52" i="1"/>
  <c r="GAI52" i="1"/>
  <c r="GAH52" i="1"/>
  <c r="GAG52" i="1"/>
  <c r="GAF52" i="1"/>
  <c r="GAE52" i="1"/>
  <c r="GAD52" i="1"/>
  <c r="GAC52" i="1"/>
  <c r="GAB52" i="1"/>
  <c r="GAA52" i="1"/>
  <c r="FZZ52" i="1"/>
  <c r="FZY52" i="1"/>
  <c r="FZX52" i="1"/>
  <c r="FZW52" i="1"/>
  <c r="FZV52" i="1"/>
  <c r="FZU52" i="1"/>
  <c r="FZT52" i="1"/>
  <c r="FZS52" i="1"/>
  <c r="FZR52" i="1"/>
  <c r="FZQ52" i="1"/>
  <c r="FZP52" i="1"/>
  <c r="FZO52" i="1"/>
  <c r="FZN52" i="1"/>
  <c r="FZM52" i="1"/>
  <c r="FZL52" i="1"/>
  <c r="FZK52" i="1"/>
  <c r="FZJ52" i="1"/>
  <c r="FZI52" i="1"/>
  <c r="FZH52" i="1"/>
  <c r="FZG52" i="1"/>
  <c r="FZF52" i="1"/>
  <c r="FZE52" i="1"/>
  <c r="FZD52" i="1"/>
  <c r="FZC52" i="1"/>
  <c r="FZB52" i="1"/>
  <c r="FZA52" i="1"/>
  <c r="FYZ52" i="1"/>
  <c r="FYY52" i="1"/>
  <c r="FYX52" i="1"/>
  <c r="FYW52" i="1"/>
  <c r="FYV52" i="1"/>
  <c r="FYU52" i="1"/>
  <c r="FYT52" i="1"/>
  <c r="FYS52" i="1"/>
  <c r="FYR52" i="1"/>
  <c r="FYQ52" i="1"/>
  <c r="FYP52" i="1"/>
  <c r="FYO52" i="1"/>
  <c r="FYN52" i="1"/>
  <c r="FYM52" i="1"/>
  <c r="FYL52" i="1"/>
  <c r="FYK52" i="1"/>
  <c r="FYJ52" i="1"/>
  <c r="FYI52" i="1"/>
  <c r="FYH52" i="1"/>
  <c r="FYG52" i="1"/>
  <c r="FYF52" i="1"/>
  <c r="FYE52" i="1"/>
  <c r="FYD52" i="1"/>
  <c r="FYC52" i="1"/>
  <c r="FYB52" i="1"/>
  <c r="FYA52" i="1"/>
  <c r="FXZ52" i="1"/>
  <c r="FXY52" i="1"/>
  <c r="FXX52" i="1"/>
  <c r="FXW52" i="1"/>
  <c r="FXV52" i="1"/>
  <c r="FXU52" i="1"/>
  <c r="FXT52" i="1"/>
  <c r="FXS52" i="1"/>
  <c r="FXR52" i="1"/>
  <c r="FXQ52" i="1"/>
  <c r="FXP52" i="1"/>
  <c r="FXO52" i="1"/>
  <c r="FXN52" i="1"/>
  <c r="FXM52" i="1"/>
  <c r="FXL52" i="1"/>
  <c r="FXK52" i="1"/>
  <c r="FXJ52" i="1"/>
  <c r="FXI52" i="1"/>
  <c r="FXH52" i="1"/>
  <c r="FXG52" i="1"/>
  <c r="FXF52" i="1"/>
  <c r="FXE52" i="1"/>
  <c r="FXD52" i="1"/>
  <c r="FXC52" i="1"/>
  <c r="FXB52" i="1"/>
  <c r="FXA52" i="1"/>
  <c r="FWZ52" i="1"/>
  <c r="FWY52" i="1"/>
  <c r="FWX52" i="1"/>
  <c r="FWW52" i="1"/>
  <c r="FWV52" i="1"/>
  <c r="FWU52" i="1"/>
  <c r="FWT52" i="1"/>
  <c r="FWS52" i="1"/>
  <c r="FWR52" i="1"/>
  <c r="FWQ52" i="1"/>
  <c r="FWP52" i="1"/>
  <c r="FWO52" i="1"/>
  <c r="FWN52" i="1"/>
  <c r="FWM52" i="1"/>
  <c r="FWL52" i="1"/>
  <c r="FWK52" i="1"/>
  <c r="FWJ52" i="1"/>
  <c r="FWI52" i="1"/>
  <c r="FWH52" i="1"/>
  <c r="FWG52" i="1"/>
  <c r="FWF52" i="1"/>
  <c r="FWE52" i="1"/>
  <c r="FWD52" i="1"/>
  <c r="FWC52" i="1"/>
  <c r="FWB52" i="1"/>
  <c r="FWA52" i="1"/>
  <c r="FVZ52" i="1"/>
  <c r="FVY52" i="1"/>
  <c r="FVX52" i="1"/>
  <c r="FVW52" i="1"/>
  <c r="FVV52" i="1"/>
  <c r="FVU52" i="1"/>
  <c r="FVT52" i="1"/>
  <c r="FVS52" i="1"/>
  <c r="FVR52" i="1"/>
  <c r="FVQ52" i="1"/>
  <c r="FVP52" i="1"/>
  <c r="FVO52" i="1"/>
  <c r="FVN52" i="1"/>
  <c r="FVM52" i="1"/>
  <c r="FVL52" i="1"/>
  <c r="FVK52" i="1"/>
  <c r="FVJ52" i="1"/>
  <c r="FVI52" i="1"/>
  <c r="FVH52" i="1"/>
  <c r="FVG52" i="1"/>
  <c r="FVF52" i="1"/>
  <c r="FVE52" i="1"/>
  <c r="FVD52" i="1"/>
  <c r="FVC52" i="1"/>
  <c r="FVB52" i="1"/>
  <c r="FVA52" i="1"/>
  <c r="FUZ52" i="1"/>
  <c r="FUY52" i="1"/>
  <c r="FUX52" i="1"/>
  <c r="FUW52" i="1"/>
  <c r="FUV52" i="1"/>
  <c r="FUU52" i="1"/>
  <c r="FUT52" i="1"/>
  <c r="FUS52" i="1"/>
  <c r="FUR52" i="1"/>
  <c r="FUQ52" i="1"/>
  <c r="FUP52" i="1"/>
  <c r="FUO52" i="1"/>
  <c r="FUN52" i="1"/>
  <c r="FUM52" i="1"/>
  <c r="FUL52" i="1"/>
  <c r="FUK52" i="1"/>
  <c r="FUJ52" i="1"/>
  <c r="FUI52" i="1"/>
  <c r="FUH52" i="1"/>
  <c r="FUG52" i="1"/>
  <c r="FUF52" i="1"/>
  <c r="FUE52" i="1"/>
  <c r="FUD52" i="1"/>
  <c r="FUC52" i="1"/>
  <c r="FUB52" i="1"/>
  <c r="FUA52" i="1"/>
  <c r="FTZ52" i="1"/>
  <c r="FTY52" i="1"/>
  <c r="FTX52" i="1"/>
  <c r="FTW52" i="1"/>
  <c r="FTV52" i="1"/>
  <c r="FTU52" i="1"/>
  <c r="FTT52" i="1"/>
  <c r="FTS52" i="1"/>
  <c r="FTR52" i="1"/>
  <c r="FTQ52" i="1"/>
  <c r="FTP52" i="1"/>
  <c r="FTO52" i="1"/>
  <c r="FTN52" i="1"/>
  <c r="FTM52" i="1"/>
  <c r="FTL52" i="1"/>
  <c r="FTK52" i="1"/>
  <c r="FTJ52" i="1"/>
  <c r="FTI52" i="1"/>
  <c r="FTH52" i="1"/>
  <c r="FTG52" i="1"/>
  <c r="FTF52" i="1"/>
  <c r="FTE52" i="1"/>
  <c r="FTD52" i="1"/>
  <c r="FTC52" i="1"/>
  <c r="FTB52" i="1"/>
  <c r="FTA52" i="1"/>
  <c r="FSZ52" i="1"/>
  <c r="FSY52" i="1"/>
  <c r="FSX52" i="1"/>
  <c r="FSW52" i="1"/>
  <c r="FSV52" i="1"/>
  <c r="FSU52" i="1"/>
  <c r="FST52" i="1"/>
  <c r="FSS52" i="1"/>
  <c r="FSR52" i="1"/>
  <c r="FSQ52" i="1"/>
  <c r="FSP52" i="1"/>
  <c r="FSO52" i="1"/>
  <c r="FSN52" i="1"/>
  <c r="FSM52" i="1"/>
  <c r="FSL52" i="1"/>
  <c r="FSK52" i="1"/>
  <c r="FSJ52" i="1"/>
  <c r="FSI52" i="1"/>
  <c r="FSH52" i="1"/>
  <c r="FSG52" i="1"/>
  <c r="FSF52" i="1"/>
  <c r="FSE52" i="1"/>
  <c r="FSD52" i="1"/>
  <c r="FSC52" i="1"/>
  <c r="FSB52" i="1"/>
  <c r="FSA52" i="1"/>
  <c r="FRZ52" i="1"/>
  <c r="FRY52" i="1"/>
  <c r="FRX52" i="1"/>
  <c r="FRW52" i="1"/>
  <c r="FRV52" i="1"/>
  <c r="FRU52" i="1"/>
  <c r="FRT52" i="1"/>
  <c r="FRS52" i="1"/>
  <c r="FRR52" i="1"/>
  <c r="FRQ52" i="1"/>
  <c r="FRP52" i="1"/>
  <c r="FRO52" i="1"/>
  <c r="FRN52" i="1"/>
  <c r="FRM52" i="1"/>
  <c r="FRL52" i="1"/>
  <c r="FRK52" i="1"/>
  <c r="FRJ52" i="1"/>
  <c r="FRI52" i="1"/>
  <c r="FRH52" i="1"/>
  <c r="FRG52" i="1"/>
  <c r="FRF52" i="1"/>
  <c r="FRE52" i="1"/>
  <c r="FRD52" i="1"/>
  <c r="FRC52" i="1"/>
  <c r="FRB52" i="1"/>
  <c r="FRA52" i="1"/>
  <c r="FQZ52" i="1"/>
  <c r="FQY52" i="1"/>
  <c r="FQX52" i="1"/>
  <c r="FQW52" i="1"/>
  <c r="FQV52" i="1"/>
  <c r="FQU52" i="1"/>
  <c r="FQT52" i="1"/>
  <c r="FQS52" i="1"/>
  <c r="FQR52" i="1"/>
  <c r="FQQ52" i="1"/>
  <c r="FQP52" i="1"/>
  <c r="FQO52" i="1"/>
  <c r="FQN52" i="1"/>
  <c r="FQM52" i="1"/>
  <c r="FQL52" i="1"/>
  <c r="FQK52" i="1"/>
  <c r="FQJ52" i="1"/>
  <c r="FQI52" i="1"/>
  <c r="FQH52" i="1"/>
  <c r="FQG52" i="1"/>
  <c r="FQF52" i="1"/>
  <c r="FQE52" i="1"/>
  <c r="FQD52" i="1"/>
  <c r="FQC52" i="1"/>
  <c r="FQB52" i="1"/>
  <c r="FQA52" i="1"/>
  <c r="FPZ52" i="1"/>
  <c r="FPY52" i="1"/>
  <c r="FPX52" i="1"/>
  <c r="FPW52" i="1"/>
  <c r="FPV52" i="1"/>
  <c r="FPU52" i="1"/>
  <c r="FPT52" i="1"/>
  <c r="FPS52" i="1"/>
  <c r="FPR52" i="1"/>
  <c r="FPQ52" i="1"/>
  <c r="FPP52" i="1"/>
  <c r="FPO52" i="1"/>
  <c r="FPN52" i="1"/>
  <c r="FPM52" i="1"/>
  <c r="FPL52" i="1"/>
  <c r="FPK52" i="1"/>
  <c r="FPJ52" i="1"/>
  <c r="FPI52" i="1"/>
  <c r="FPH52" i="1"/>
  <c r="FPG52" i="1"/>
  <c r="FPF52" i="1"/>
  <c r="FPE52" i="1"/>
  <c r="FPD52" i="1"/>
  <c r="FPC52" i="1"/>
  <c r="FPB52" i="1"/>
  <c r="FPA52" i="1"/>
  <c r="FOZ52" i="1"/>
  <c r="FOY52" i="1"/>
  <c r="FOX52" i="1"/>
  <c r="FOW52" i="1"/>
  <c r="FOV52" i="1"/>
  <c r="FOU52" i="1"/>
  <c r="FOT52" i="1"/>
  <c r="FOS52" i="1"/>
  <c r="FOR52" i="1"/>
  <c r="FOQ52" i="1"/>
  <c r="FOP52" i="1"/>
  <c r="FOO52" i="1"/>
  <c r="FON52" i="1"/>
  <c r="FOM52" i="1"/>
  <c r="FOL52" i="1"/>
  <c r="FOK52" i="1"/>
  <c r="FOJ52" i="1"/>
  <c r="FOI52" i="1"/>
  <c r="FOH52" i="1"/>
  <c r="FOG52" i="1"/>
  <c r="FOF52" i="1"/>
  <c r="FOE52" i="1"/>
  <c r="FOD52" i="1"/>
  <c r="FOC52" i="1"/>
  <c r="FOB52" i="1"/>
  <c r="FOA52" i="1"/>
  <c r="FNZ52" i="1"/>
  <c r="FNY52" i="1"/>
  <c r="FNX52" i="1"/>
  <c r="FNW52" i="1"/>
  <c r="FNV52" i="1"/>
  <c r="FNU52" i="1"/>
  <c r="FNT52" i="1"/>
  <c r="FNS52" i="1"/>
  <c r="FNR52" i="1"/>
  <c r="FNQ52" i="1"/>
  <c r="FNP52" i="1"/>
  <c r="FNO52" i="1"/>
  <c r="FNN52" i="1"/>
  <c r="FNM52" i="1"/>
  <c r="FNL52" i="1"/>
  <c r="FNK52" i="1"/>
  <c r="FNJ52" i="1"/>
  <c r="FNI52" i="1"/>
  <c r="FNH52" i="1"/>
  <c r="FNG52" i="1"/>
  <c r="FNF52" i="1"/>
  <c r="FNE52" i="1"/>
  <c r="FND52" i="1"/>
  <c r="FNC52" i="1"/>
  <c r="FNB52" i="1"/>
  <c r="FNA52" i="1"/>
  <c r="FMZ52" i="1"/>
  <c r="FMY52" i="1"/>
  <c r="FMX52" i="1"/>
  <c r="FMW52" i="1"/>
  <c r="FMV52" i="1"/>
  <c r="FMU52" i="1"/>
  <c r="FMT52" i="1"/>
  <c r="FMS52" i="1"/>
  <c r="FMR52" i="1"/>
  <c r="FMQ52" i="1"/>
  <c r="FMP52" i="1"/>
  <c r="FMO52" i="1"/>
  <c r="FMN52" i="1"/>
  <c r="FMM52" i="1"/>
  <c r="FML52" i="1"/>
  <c r="FMK52" i="1"/>
  <c r="FMJ52" i="1"/>
  <c r="FMI52" i="1"/>
  <c r="FMH52" i="1"/>
  <c r="FMG52" i="1"/>
  <c r="FMF52" i="1"/>
  <c r="FME52" i="1"/>
  <c r="FMD52" i="1"/>
  <c r="FMC52" i="1"/>
  <c r="FMB52" i="1"/>
  <c r="FMA52" i="1"/>
  <c r="FLZ52" i="1"/>
  <c r="FLY52" i="1"/>
  <c r="FLX52" i="1"/>
  <c r="FLW52" i="1"/>
  <c r="FLV52" i="1"/>
  <c r="FLU52" i="1"/>
  <c r="FLT52" i="1"/>
  <c r="FLS52" i="1"/>
  <c r="FLR52" i="1"/>
  <c r="FLQ52" i="1"/>
  <c r="FLP52" i="1"/>
  <c r="FLO52" i="1"/>
  <c r="FLN52" i="1"/>
  <c r="FLM52" i="1"/>
  <c r="FLL52" i="1"/>
  <c r="FLK52" i="1"/>
  <c r="FLJ52" i="1"/>
  <c r="FLI52" i="1"/>
  <c r="FLH52" i="1"/>
  <c r="FLG52" i="1"/>
  <c r="FLF52" i="1"/>
  <c r="FLE52" i="1"/>
  <c r="FLD52" i="1"/>
  <c r="FLC52" i="1"/>
  <c r="FLB52" i="1"/>
  <c r="FLA52" i="1"/>
  <c r="FKZ52" i="1"/>
  <c r="FKY52" i="1"/>
  <c r="FKX52" i="1"/>
  <c r="FKW52" i="1"/>
  <c r="FKV52" i="1"/>
  <c r="FKU52" i="1"/>
  <c r="FKT52" i="1"/>
  <c r="FKS52" i="1"/>
  <c r="FKR52" i="1"/>
  <c r="FKQ52" i="1"/>
  <c r="FKP52" i="1"/>
  <c r="FKO52" i="1"/>
  <c r="FKN52" i="1"/>
  <c r="FKM52" i="1"/>
  <c r="FKL52" i="1"/>
  <c r="FKK52" i="1"/>
  <c r="FKJ52" i="1"/>
  <c r="FKI52" i="1"/>
  <c r="FKH52" i="1"/>
  <c r="FKG52" i="1"/>
  <c r="FKF52" i="1"/>
  <c r="FKE52" i="1"/>
  <c r="FKD52" i="1"/>
  <c r="FKC52" i="1"/>
  <c r="FKB52" i="1"/>
  <c r="FKA52" i="1"/>
  <c r="FJZ52" i="1"/>
  <c r="FJY52" i="1"/>
  <c r="FJX52" i="1"/>
  <c r="FJW52" i="1"/>
  <c r="FJV52" i="1"/>
  <c r="FJU52" i="1"/>
  <c r="FJT52" i="1"/>
  <c r="FJS52" i="1"/>
  <c r="FJR52" i="1"/>
  <c r="FJQ52" i="1"/>
  <c r="FJP52" i="1"/>
  <c r="FJO52" i="1"/>
  <c r="FJN52" i="1"/>
  <c r="FJM52" i="1"/>
  <c r="FJL52" i="1"/>
  <c r="FJK52" i="1"/>
  <c r="FJJ52" i="1"/>
  <c r="FJI52" i="1"/>
  <c r="FJH52" i="1"/>
  <c r="FJG52" i="1"/>
  <c r="FJF52" i="1"/>
  <c r="FJE52" i="1"/>
  <c r="FJD52" i="1"/>
  <c r="FJC52" i="1"/>
  <c r="FJB52" i="1"/>
  <c r="FJA52" i="1"/>
  <c r="FIZ52" i="1"/>
  <c r="FIY52" i="1"/>
  <c r="FIX52" i="1"/>
  <c r="FIW52" i="1"/>
  <c r="FIV52" i="1"/>
  <c r="FIU52" i="1"/>
  <c r="FIT52" i="1"/>
  <c r="FIS52" i="1"/>
  <c r="FIR52" i="1"/>
  <c r="FIQ52" i="1"/>
  <c r="FIP52" i="1"/>
  <c r="FIO52" i="1"/>
  <c r="FIN52" i="1"/>
  <c r="FIM52" i="1"/>
  <c r="FIL52" i="1"/>
  <c r="FIK52" i="1"/>
  <c r="FIJ52" i="1"/>
  <c r="FII52" i="1"/>
  <c r="FIH52" i="1"/>
  <c r="FIG52" i="1"/>
  <c r="FIF52" i="1"/>
  <c r="FIE52" i="1"/>
  <c r="FID52" i="1"/>
  <c r="FIC52" i="1"/>
  <c r="FIB52" i="1"/>
  <c r="FIA52" i="1"/>
  <c r="FHZ52" i="1"/>
  <c r="FHY52" i="1"/>
  <c r="FHX52" i="1"/>
  <c r="FHW52" i="1"/>
  <c r="FHV52" i="1"/>
  <c r="FHU52" i="1"/>
  <c r="FHT52" i="1"/>
  <c r="FHS52" i="1"/>
  <c r="FHR52" i="1"/>
  <c r="FHQ52" i="1"/>
  <c r="FHP52" i="1"/>
  <c r="FHO52" i="1"/>
  <c r="FHN52" i="1"/>
  <c r="FHM52" i="1"/>
  <c r="FHL52" i="1"/>
  <c r="FHK52" i="1"/>
  <c r="FHJ52" i="1"/>
  <c r="FHI52" i="1"/>
  <c r="FHH52" i="1"/>
  <c r="FHG52" i="1"/>
  <c r="FHF52" i="1"/>
  <c r="FHE52" i="1"/>
  <c r="FHD52" i="1"/>
  <c r="FHC52" i="1"/>
  <c r="FHB52" i="1"/>
  <c r="FHA52" i="1"/>
  <c r="FGZ52" i="1"/>
  <c r="FGY52" i="1"/>
  <c r="FGX52" i="1"/>
  <c r="FGW52" i="1"/>
  <c r="FGV52" i="1"/>
  <c r="FGU52" i="1"/>
  <c r="FGT52" i="1"/>
  <c r="FGS52" i="1"/>
  <c r="FGR52" i="1"/>
  <c r="FGQ52" i="1"/>
  <c r="FGP52" i="1"/>
  <c r="FGO52" i="1"/>
  <c r="FGN52" i="1"/>
  <c r="FGM52" i="1"/>
  <c r="FGL52" i="1"/>
  <c r="FGK52" i="1"/>
  <c r="FGJ52" i="1"/>
  <c r="FGI52" i="1"/>
  <c r="FGH52" i="1"/>
  <c r="FGG52" i="1"/>
  <c r="FGF52" i="1"/>
  <c r="FGE52" i="1"/>
  <c r="FGD52" i="1"/>
  <c r="FGC52" i="1"/>
  <c r="FGB52" i="1"/>
  <c r="FGA52" i="1"/>
  <c r="FFZ52" i="1"/>
  <c r="FFY52" i="1"/>
  <c r="FFX52" i="1"/>
  <c r="FFW52" i="1"/>
  <c r="FFV52" i="1"/>
  <c r="FFU52" i="1"/>
  <c r="FFT52" i="1"/>
  <c r="FFS52" i="1"/>
  <c r="FFR52" i="1"/>
  <c r="FFQ52" i="1"/>
  <c r="FFP52" i="1"/>
  <c r="FFO52" i="1"/>
  <c r="FFN52" i="1"/>
  <c r="FFM52" i="1"/>
  <c r="FFL52" i="1"/>
  <c r="FFK52" i="1"/>
  <c r="FFJ52" i="1"/>
  <c r="FFI52" i="1"/>
  <c r="FFH52" i="1"/>
  <c r="FFG52" i="1"/>
  <c r="FFF52" i="1"/>
  <c r="FFE52" i="1"/>
  <c r="FFD52" i="1"/>
  <c r="FFC52" i="1"/>
  <c r="FFB52" i="1"/>
  <c r="FFA52" i="1"/>
  <c r="FEZ52" i="1"/>
  <c r="FEY52" i="1"/>
  <c r="FEX52" i="1"/>
  <c r="FEW52" i="1"/>
  <c r="FEV52" i="1"/>
  <c r="FEU52" i="1"/>
  <c r="FET52" i="1"/>
  <c r="FES52" i="1"/>
  <c r="FER52" i="1"/>
  <c r="FEQ52" i="1"/>
  <c r="FEP52" i="1"/>
  <c r="FEO52" i="1"/>
  <c r="FEN52" i="1"/>
  <c r="FEM52" i="1"/>
  <c r="FEL52" i="1"/>
  <c r="FEK52" i="1"/>
  <c r="FEJ52" i="1"/>
  <c r="FEI52" i="1"/>
  <c r="FEH52" i="1"/>
  <c r="FEG52" i="1"/>
  <c r="FEF52" i="1"/>
  <c r="FEE52" i="1"/>
  <c r="FED52" i="1"/>
  <c r="FEC52" i="1"/>
  <c r="FEB52" i="1"/>
  <c r="FEA52" i="1"/>
  <c r="FDZ52" i="1"/>
  <c r="FDY52" i="1"/>
  <c r="FDX52" i="1"/>
  <c r="FDW52" i="1"/>
  <c r="FDV52" i="1"/>
  <c r="FDU52" i="1"/>
  <c r="FDT52" i="1"/>
  <c r="FDS52" i="1"/>
  <c r="FDR52" i="1"/>
  <c r="FDQ52" i="1"/>
  <c r="FDP52" i="1"/>
  <c r="FDO52" i="1"/>
  <c r="FDN52" i="1"/>
  <c r="FDM52" i="1"/>
  <c r="FDL52" i="1"/>
  <c r="FDK52" i="1"/>
  <c r="FDJ52" i="1"/>
  <c r="FDI52" i="1"/>
  <c r="FDH52" i="1"/>
  <c r="FDG52" i="1"/>
  <c r="FDF52" i="1"/>
  <c r="FDE52" i="1"/>
  <c r="FDD52" i="1"/>
  <c r="FDC52" i="1"/>
  <c r="FDB52" i="1"/>
  <c r="FDA52" i="1"/>
  <c r="FCZ52" i="1"/>
  <c r="FCY52" i="1"/>
  <c r="FCX52" i="1"/>
  <c r="FCW52" i="1"/>
  <c r="FCV52" i="1"/>
  <c r="FCU52" i="1"/>
  <c r="FCT52" i="1"/>
  <c r="FCS52" i="1"/>
  <c r="FCR52" i="1"/>
  <c r="FCQ52" i="1"/>
  <c r="FCP52" i="1"/>
  <c r="FCO52" i="1"/>
  <c r="FCN52" i="1"/>
  <c r="FCM52" i="1"/>
  <c r="FCL52" i="1"/>
  <c r="FCK52" i="1"/>
  <c r="FCJ52" i="1"/>
  <c r="FCI52" i="1"/>
  <c r="FCH52" i="1"/>
  <c r="FCG52" i="1"/>
  <c r="FCF52" i="1"/>
  <c r="FCE52" i="1"/>
  <c r="FCD52" i="1"/>
  <c r="FCC52" i="1"/>
  <c r="FCB52" i="1"/>
  <c r="FCA52" i="1"/>
  <c r="FBZ52" i="1"/>
  <c r="FBY52" i="1"/>
  <c r="FBX52" i="1"/>
  <c r="FBW52" i="1"/>
  <c r="FBV52" i="1"/>
  <c r="FBU52" i="1"/>
  <c r="FBT52" i="1"/>
  <c r="FBS52" i="1"/>
  <c r="FBR52" i="1"/>
  <c r="FBQ52" i="1"/>
  <c r="FBP52" i="1"/>
  <c r="FBO52" i="1"/>
  <c r="FBN52" i="1"/>
  <c r="FBM52" i="1"/>
  <c r="FBL52" i="1"/>
  <c r="FBK52" i="1"/>
  <c r="FBJ52" i="1"/>
  <c r="FBI52" i="1"/>
  <c r="FBH52" i="1"/>
  <c r="FBG52" i="1"/>
  <c r="FBF52" i="1"/>
  <c r="FBE52" i="1"/>
  <c r="FBD52" i="1"/>
  <c r="FBC52" i="1"/>
  <c r="FBB52" i="1"/>
  <c r="FBA52" i="1"/>
  <c r="FAZ52" i="1"/>
  <c r="FAY52" i="1"/>
  <c r="FAX52" i="1"/>
  <c r="FAW52" i="1"/>
  <c r="FAV52" i="1"/>
  <c r="FAU52" i="1"/>
  <c r="FAT52" i="1"/>
  <c r="FAS52" i="1"/>
  <c r="FAR52" i="1"/>
  <c r="FAQ52" i="1"/>
  <c r="FAP52" i="1"/>
  <c r="FAO52" i="1"/>
  <c r="FAN52" i="1"/>
  <c r="FAM52" i="1"/>
  <c r="FAL52" i="1"/>
  <c r="FAK52" i="1"/>
  <c r="FAJ52" i="1"/>
  <c r="FAI52" i="1"/>
  <c r="FAH52" i="1"/>
  <c r="FAG52" i="1"/>
  <c r="FAF52" i="1"/>
  <c r="FAE52" i="1"/>
  <c r="FAD52" i="1"/>
  <c r="FAC52" i="1"/>
  <c r="FAB52" i="1"/>
  <c r="FAA52" i="1"/>
  <c r="EZZ52" i="1"/>
  <c r="EZY52" i="1"/>
  <c r="EZX52" i="1"/>
  <c r="EZW52" i="1"/>
  <c r="EZV52" i="1"/>
  <c r="EZU52" i="1"/>
  <c r="EZT52" i="1"/>
  <c r="EZS52" i="1"/>
  <c r="EZR52" i="1"/>
  <c r="EZQ52" i="1"/>
  <c r="EZP52" i="1"/>
  <c r="EZO52" i="1"/>
  <c r="EZN52" i="1"/>
  <c r="EZM52" i="1"/>
  <c r="EZL52" i="1"/>
  <c r="EZK52" i="1"/>
  <c r="EZJ52" i="1"/>
  <c r="EZI52" i="1"/>
  <c r="EZH52" i="1"/>
  <c r="EZG52" i="1"/>
  <c r="EZF52" i="1"/>
  <c r="EZE52" i="1"/>
  <c r="EZD52" i="1"/>
  <c r="EZC52" i="1"/>
  <c r="EZB52" i="1"/>
  <c r="EZA52" i="1"/>
  <c r="EYZ52" i="1"/>
  <c r="EYY52" i="1"/>
  <c r="EYX52" i="1"/>
  <c r="EYW52" i="1"/>
  <c r="EYV52" i="1"/>
  <c r="EYU52" i="1"/>
  <c r="EYT52" i="1"/>
  <c r="EYS52" i="1"/>
  <c r="EYR52" i="1"/>
  <c r="EYQ52" i="1"/>
  <c r="EYP52" i="1"/>
  <c r="EYO52" i="1"/>
  <c r="EYN52" i="1"/>
  <c r="EYM52" i="1"/>
  <c r="EYL52" i="1"/>
  <c r="EYK52" i="1"/>
  <c r="EYJ52" i="1"/>
  <c r="EYI52" i="1"/>
  <c r="EYH52" i="1"/>
  <c r="EYG52" i="1"/>
  <c r="EYF52" i="1"/>
  <c r="EYE52" i="1"/>
  <c r="EYD52" i="1"/>
  <c r="EYC52" i="1"/>
  <c r="EYB52" i="1"/>
  <c r="EYA52" i="1"/>
  <c r="EXZ52" i="1"/>
  <c r="EXY52" i="1"/>
  <c r="EXX52" i="1"/>
  <c r="EXW52" i="1"/>
  <c r="EXV52" i="1"/>
  <c r="EXU52" i="1"/>
  <c r="EXT52" i="1"/>
  <c r="EXS52" i="1"/>
  <c r="EXR52" i="1"/>
  <c r="EXQ52" i="1"/>
  <c r="EXP52" i="1"/>
  <c r="EXO52" i="1"/>
  <c r="EXN52" i="1"/>
  <c r="EXM52" i="1"/>
  <c r="EXL52" i="1"/>
  <c r="EXK52" i="1"/>
  <c r="EXJ52" i="1"/>
  <c r="EXI52" i="1"/>
  <c r="EXH52" i="1"/>
  <c r="EXG52" i="1"/>
  <c r="EXF52" i="1"/>
  <c r="EXE52" i="1"/>
  <c r="EXD52" i="1"/>
  <c r="EXC52" i="1"/>
  <c r="EXB52" i="1"/>
  <c r="EXA52" i="1"/>
  <c r="EWZ52" i="1"/>
  <c r="EWY52" i="1"/>
  <c r="EWX52" i="1"/>
  <c r="EWW52" i="1"/>
  <c r="EWV52" i="1"/>
  <c r="EWU52" i="1"/>
  <c r="EWT52" i="1"/>
  <c r="EWS52" i="1"/>
  <c r="EWR52" i="1"/>
  <c r="EWQ52" i="1"/>
  <c r="EWP52" i="1"/>
  <c r="EWO52" i="1"/>
  <c r="EWN52" i="1"/>
  <c r="EWM52" i="1"/>
  <c r="EWL52" i="1"/>
  <c r="EWK52" i="1"/>
  <c r="EWJ52" i="1"/>
  <c r="EWI52" i="1"/>
  <c r="EWH52" i="1"/>
  <c r="EWG52" i="1"/>
  <c r="EWF52" i="1"/>
  <c r="EWE52" i="1"/>
  <c r="EWD52" i="1"/>
  <c r="EWC52" i="1"/>
  <c r="EWB52" i="1"/>
  <c r="EWA52" i="1"/>
  <c r="EVZ52" i="1"/>
  <c r="EVY52" i="1"/>
  <c r="EVX52" i="1"/>
  <c r="EVW52" i="1"/>
  <c r="EVV52" i="1"/>
  <c r="EVU52" i="1"/>
  <c r="EVT52" i="1"/>
  <c r="EVS52" i="1"/>
  <c r="EVR52" i="1"/>
  <c r="EVQ52" i="1"/>
  <c r="EVP52" i="1"/>
  <c r="EVO52" i="1"/>
  <c r="EVN52" i="1"/>
  <c r="EVM52" i="1"/>
  <c r="EVL52" i="1"/>
  <c r="EVK52" i="1"/>
  <c r="EVJ52" i="1"/>
  <c r="EVI52" i="1"/>
  <c r="EVH52" i="1"/>
  <c r="EVG52" i="1"/>
  <c r="EVF52" i="1"/>
  <c r="EVE52" i="1"/>
  <c r="EVD52" i="1"/>
  <c r="EVC52" i="1"/>
  <c r="EVB52" i="1"/>
  <c r="EVA52" i="1"/>
  <c r="EUZ52" i="1"/>
  <c r="EUY52" i="1"/>
  <c r="EUX52" i="1"/>
  <c r="EUW52" i="1"/>
  <c r="EUV52" i="1"/>
  <c r="EUU52" i="1"/>
  <c r="EUT52" i="1"/>
  <c r="EUS52" i="1"/>
  <c r="EUR52" i="1"/>
  <c r="EUQ52" i="1"/>
  <c r="EUP52" i="1"/>
  <c r="EUO52" i="1"/>
  <c r="EUN52" i="1"/>
  <c r="EUM52" i="1"/>
  <c r="EUL52" i="1"/>
  <c r="EUK52" i="1"/>
  <c r="EUJ52" i="1"/>
  <c r="EUI52" i="1"/>
  <c r="EUH52" i="1"/>
  <c r="EUG52" i="1"/>
  <c r="EUF52" i="1"/>
  <c r="EUE52" i="1"/>
  <c r="EUD52" i="1"/>
  <c r="EUC52" i="1"/>
  <c r="EUB52" i="1"/>
  <c r="EUA52" i="1"/>
  <c r="ETZ52" i="1"/>
  <c r="ETY52" i="1"/>
  <c r="ETX52" i="1"/>
  <c r="ETW52" i="1"/>
  <c r="ETV52" i="1"/>
  <c r="ETU52" i="1"/>
  <c r="ETT52" i="1"/>
  <c r="ETS52" i="1"/>
  <c r="ETR52" i="1"/>
  <c r="ETQ52" i="1"/>
  <c r="ETP52" i="1"/>
  <c r="ETO52" i="1"/>
  <c r="ETN52" i="1"/>
  <c r="ETM52" i="1"/>
  <c r="ETL52" i="1"/>
  <c r="ETK52" i="1"/>
  <c r="ETJ52" i="1"/>
  <c r="ETI52" i="1"/>
  <c r="ETH52" i="1"/>
  <c r="ETG52" i="1"/>
  <c r="ETF52" i="1"/>
  <c r="ETE52" i="1"/>
  <c r="ETD52" i="1"/>
  <c r="ETC52" i="1"/>
  <c r="ETB52" i="1"/>
  <c r="ETA52" i="1"/>
  <c r="ESZ52" i="1"/>
  <c r="ESY52" i="1"/>
  <c r="ESX52" i="1"/>
  <c r="ESW52" i="1"/>
  <c r="ESV52" i="1"/>
  <c r="ESU52" i="1"/>
  <c r="EST52" i="1"/>
  <c r="ESS52" i="1"/>
  <c r="ESR52" i="1"/>
  <c r="ESQ52" i="1"/>
  <c r="ESP52" i="1"/>
  <c r="ESO52" i="1"/>
  <c r="ESN52" i="1"/>
  <c r="ESM52" i="1"/>
  <c r="ESL52" i="1"/>
  <c r="ESK52" i="1"/>
  <c r="ESJ52" i="1"/>
  <c r="ESI52" i="1"/>
  <c r="ESH52" i="1"/>
  <c r="ESG52" i="1"/>
  <c r="ESF52" i="1"/>
  <c r="ESE52" i="1"/>
  <c r="ESD52" i="1"/>
  <c r="ESC52" i="1"/>
  <c r="ESB52" i="1"/>
  <c r="ESA52" i="1"/>
  <c r="ERZ52" i="1"/>
  <c r="ERY52" i="1"/>
  <c r="ERX52" i="1"/>
  <c r="ERW52" i="1"/>
  <c r="ERV52" i="1"/>
  <c r="ERU52" i="1"/>
  <c r="ERT52" i="1"/>
  <c r="ERS52" i="1"/>
  <c r="ERR52" i="1"/>
  <c r="ERQ52" i="1"/>
  <c r="ERP52" i="1"/>
  <c r="ERO52" i="1"/>
  <c r="ERN52" i="1"/>
  <c r="ERM52" i="1"/>
  <c r="ERL52" i="1"/>
  <c r="ERK52" i="1"/>
  <c r="ERJ52" i="1"/>
  <c r="ERI52" i="1"/>
  <c r="ERH52" i="1"/>
  <c r="ERG52" i="1"/>
  <c r="ERF52" i="1"/>
  <c r="ERE52" i="1"/>
  <c r="ERD52" i="1"/>
  <c r="ERC52" i="1"/>
  <c r="ERB52" i="1"/>
  <c r="ERA52" i="1"/>
  <c r="EQZ52" i="1"/>
  <c r="EQY52" i="1"/>
  <c r="EQX52" i="1"/>
  <c r="EQW52" i="1"/>
  <c r="EQV52" i="1"/>
  <c r="EQU52" i="1"/>
  <c r="EQT52" i="1"/>
  <c r="EQS52" i="1"/>
  <c r="EQR52" i="1"/>
  <c r="EQQ52" i="1"/>
  <c r="EQP52" i="1"/>
  <c r="EQO52" i="1"/>
  <c r="EQN52" i="1"/>
  <c r="EQM52" i="1"/>
  <c r="EQL52" i="1"/>
  <c r="EQK52" i="1"/>
  <c r="EQJ52" i="1"/>
  <c r="EQI52" i="1"/>
  <c r="EQH52" i="1"/>
  <c r="EQG52" i="1"/>
  <c r="EQF52" i="1"/>
  <c r="EQE52" i="1"/>
  <c r="EQD52" i="1"/>
  <c r="EQC52" i="1"/>
  <c r="EQB52" i="1"/>
  <c r="EQA52" i="1"/>
  <c r="EPZ52" i="1"/>
  <c r="EPY52" i="1"/>
  <c r="EPX52" i="1"/>
  <c r="EPW52" i="1"/>
  <c r="EPV52" i="1"/>
  <c r="EPU52" i="1"/>
  <c r="EPT52" i="1"/>
  <c r="EPS52" i="1"/>
  <c r="EPR52" i="1"/>
  <c r="EPQ52" i="1"/>
  <c r="EPP52" i="1"/>
  <c r="EPO52" i="1"/>
  <c r="EPN52" i="1"/>
  <c r="EPM52" i="1"/>
  <c r="EPL52" i="1"/>
  <c r="EPK52" i="1"/>
  <c r="EPJ52" i="1"/>
  <c r="EPI52" i="1"/>
  <c r="EPH52" i="1"/>
  <c r="EPG52" i="1"/>
  <c r="EPF52" i="1"/>
  <c r="EPE52" i="1"/>
  <c r="EPD52" i="1"/>
  <c r="EPC52" i="1"/>
  <c r="EPB52" i="1"/>
  <c r="EPA52" i="1"/>
  <c r="EOZ52" i="1"/>
  <c r="EOY52" i="1"/>
  <c r="EOX52" i="1"/>
  <c r="EOW52" i="1"/>
  <c r="EOV52" i="1"/>
  <c r="EOU52" i="1"/>
  <c r="EOT52" i="1"/>
  <c r="EOS52" i="1"/>
  <c r="EOR52" i="1"/>
  <c r="EOQ52" i="1"/>
  <c r="EOP52" i="1"/>
  <c r="EOO52" i="1"/>
  <c r="EON52" i="1"/>
  <c r="EOM52" i="1"/>
  <c r="EOL52" i="1"/>
  <c r="EOK52" i="1"/>
  <c r="EOJ52" i="1"/>
  <c r="EOI52" i="1"/>
  <c r="EOH52" i="1"/>
  <c r="EOG52" i="1"/>
  <c r="EOF52" i="1"/>
  <c r="EOE52" i="1"/>
  <c r="EOD52" i="1"/>
  <c r="EOC52" i="1"/>
  <c r="EOB52" i="1"/>
  <c r="EOA52" i="1"/>
  <c r="ENZ52" i="1"/>
  <c r="ENY52" i="1"/>
  <c r="ENX52" i="1"/>
  <c r="ENW52" i="1"/>
  <c r="ENV52" i="1"/>
  <c r="ENU52" i="1"/>
  <c r="ENT52" i="1"/>
  <c r="ENS52" i="1"/>
  <c r="ENR52" i="1"/>
  <c r="ENQ52" i="1"/>
  <c r="ENP52" i="1"/>
  <c r="ENO52" i="1"/>
  <c r="ENN52" i="1"/>
  <c r="ENM52" i="1"/>
  <c r="ENL52" i="1"/>
  <c r="ENK52" i="1"/>
  <c r="ENJ52" i="1"/>
  <c r="ENI52" i="1"/>
  <c r="ENH52" i="1"/>
  <c r="ENG52" i="1"/>
  <c r="ENF52" i="1"/>
  <c r="ENE52" i="1"/>
  <c r="END52" i="1"/>
  <c r="ENC52" i="1"/>
  <c r="ENB52" i="1"/>
  <c r="ENA52" i="1"/>
  <c r="EMZ52" i="1"/>
  <c r="EMY52" i="1"/>
  <c r="EMX52" i="1"/>
  <c r="EMW52" i="1"/>
  <c r="EMV52" i="1"/>
  <c r="EMU52" i="1"/>
  <c r="EMT52" i="1"/>
  <c r="EMS52" i="1"/>
  <c r="EMR52" i="1"/>
  <c r="EMQ52" i="1"/>
  <c r="EMP52" i="1"/>
  <c r="EMO52" i="1"/>
  <c r="EMN52" i="1"/>
  <c r="EMM52" i="1"/>
  <c r="EML52" i="1"/>
  <c r="EMK52" i="1"/>
  <c r="EMJ52" i="1"/>
  <c r="EMI52" i="1"/>
  <c r="EMH52" i="1"/>
  <c r="EMG52" i="1"/>
  <c r="EMF52" i="1"/>
  <c r="EME52" i="1"/>
  <c r="EMD52" i="1"/>
  <c r="EMC52" i="1"/>
  <c r="EMB52" i="1"/>
  <c r="EMA52" i="1"/>
  <c r="ELZ52" i="1"/>
  <c r="ELY52" i="1"/>
  <c r="ELX52" i="1"/>
  <c r="ELW52" i="1"/>
  <c r="ELV52" i="1"/>
  <c r="ELU52" i="1"/>
  <c r="ELT52" i="1"/>
  <c r="ELS52" i="1"/>
  <c r="ELR52" i="1"/>
  <c r="ELQ52" i="1"/>
  <c r="ELP52" i="1"/>
  <c r="ELO52" i="1"/>
  <c r="ELN52" i="1"/>
  <c r="ELM52" i="1"/>
  <c r="ELL52" i="1"/>
  <c r="ELK52" i="1"/>
  <c r="ELJ52" i="1"/>
  <c r="ELI52" i="1"/>
  <c r="ELH52" i="1"/>
  <c r="ELG52" i="1"/>
  <c r="ELF52" i="1"/>
  <c r="ELE52" i="1"/>
  <c r="ELD52" i="1"/>
  <c r="ELC52" i="1"/>
  <c r="ELB52" i="1"/>
  <c r="ELA52" i="1"/>
  <c r="EKZ52" i="1"/>
  <c r="EKY52" i="1"/>
  <c r="EKX52" i="1"/>
  <c r="EKW52" i="1"/>
  <c r="EKV52" i="1"/>
  <c r="EKU52" i="1"/>
  <c r="EKT52" i="1"/>
  <c r="EKS52" i="1"/>
  <c r="EKR52" i="1"/>
  <c r="EKQ52" i="1"/>
  <c r="EKP52" i="1"/>
  <c r="EKO52" i="1"/>
  <c r="EKN52" i="1"/>
  <c r="EKM52" i="1"/>
  <c r="EKL52" i="1"/>
  <c r="EKK52" i="1"/>
  <c r="EKJ52" i="1"/>
  <c r="EKI52" i="1"/>
  <c r="EKH52" i="1"/>
  <c r="EKG52" i="1"/>
  <c r="EKF52" i="1"/>
  <c r="EKE52" i="1"/>
  <c r="EKD52" i="1"/>
  <c r="EKC52" i="1"/>
  <c r="EKB52" i="1"/>
  <c r="EKA52" i="1"/>
  <c r="EJZ52" i="1"/>
  <c r="EJY52" i="1"/>
  <c r="EJX52" i="1"/>
  <c r="EJW52" i="1"/>
  <c r="EJV52" i="1"/>
  <c r="EJU52" i="1"/>
  <c r="EJT52" i="1"/>
  <c r="EJS52" i="1"/>
  <c r="EJR52" i="1"/>
  <c r="EJQ52" i="1"/>
  <c r="EJP52" i="1"/>
  <c r="EJO52" i="1"/>
  <c r="EJN52" i="1"/>
  <c r="EJM52" i="1"/>
  <c r="EJL52" i="1"/>
  <c r="EJK52" i="1"/>
  <c r="EJJ52" i="1"/>
  <c r="EJI52" i="1"/>
  <c r="EJH52" i="1"/>
  <c r="EJG52" i="1"/>
  <c r="EJF52" i="1"/>
  <c r="EJE52" i="1"/>
  <c r="EJD52" i="1"/>
  <c r="EJC52" i="1"/>
  <c r="EJB52" i="1"/>
  <c r="EJA52" i="1"/>
  <c r="EIZ52" i="1"/>
  <c r="EIY52" i="1"/>
  <c r="EIX52" i="1"/>
  <c r="EIW52" i="1"/>
  <c r="EIV52" i="1"/>
  <c r="EIU52" i="1"/>
  <c r="EIT52" i="1"/>
  <c r="EIS52" i="1"/>
  <c r="EIR52" i="1"/>
  <c r="EIQ52" i="1"/>
  <c r="EIP52" i="1"/>
  <c r="EIO52" i="1"/>
  <c r="EIN52" i="1"/>
  <c r="EIM52" i="1"/>
  <c r="EIL52" i="1"/>
  <c r="EIK52" i="1"/>
  <c r="EIJ52" i="1"/>
  <c r="EII52" i="1"/>
  <c r="EIH52" i="1"/>
  <c r="EIG52" i="1"/>
  <c r="EIF52" i="1"/>
  <c r="EIE52" i="1"/>
  <c r="EID52" i="1"/>
  <c r="EIC52" i="1"/>
  <c r="EIB52" i="1"/>
  <c r="EIA52" i="1"/>
  <c r="EHZ52" i="1"/>
  <c r="EHY52" i="1"/>
  <c r="EHX52" i="1"/>
  <c r="EHW52" i="1"/>
  <c r="EHV52" i="1"/>
  <c r="EHU52" i="1"/>
  <c r="EHT52" i="1"/>
  <c r="EHS52" i="1"/>
  <c r="EHR52" i="1"/>
  <c r="EHQ52" i="1"/>
  <c r="EHP52" i="1"/>
  <c r="EHO52" i="1"/>
  <c r="EHN52" i="1"/>
  <c r="EHM52" i="1"/>
  <c r="EHL52" i="1"/>
  <c r="EHK52" i="1"/>
  <c r="EHJ52" i="1"/>
  <c r="EHI52" i="1"/>
  <c r="EHH52" i="1"/>
  <c r="EHG52" i="1"/>
  <c r="EHF52" i="1"/>
  <c r="EHE52" i="1"/>
  <c r="EHD52" i="1"/>
  <c r="EHC52" i="1"/>
  <c r="EHB52" i="1"/>
  <c r="EHA52" i="1"/>
  <c r="EGZ52" i="1"/>
  <c r="EGY52" i="1"/>
  <c r="EGX52" i="1"/>
  <c r="EGW52" i="1"/>
  <c r="EGV52" i="1"/>
  <c r="EGU52" i="1"/>
  <c r="EGT52" i="1"/>
  <c r="EGS52" i="1"/>
  <c r="EGR52" i="1"/>
  <c r="EGQ52" i="1"/>
  <c r="EGP52" i="1"/>
  <c r="EGO52" i="1"/>
  <c r="EGN52" i="1"/>
  <c r="EGM52" i="1"/>
  <c r="EGL52" i="1"/>
  <c r="EGK52" i="1"/>
  <c r="EGJ52" i="1"/>
  <c r="EGI52" i="1"/>
  <c r="EGH52" i="1"/>
  <c r="EGG52" i="1"/>
  <c r="EGF52" i="1"/>
  <c r="EGE52" i="1"/>
  <c r="EGD52" i="1"/>
  <c r="EGC52" i="1"/>
  <c r="EGB52" i="1"/>
  <c r="EGA52" i="1"/>
  <c r="EFZ52" i="1"/>
  <c r="EFY52" i="1"/>
  <c r="EFX52" i="1"/>
  <c r="EFW52" i="1"/>
  <c r="EFV52" i="1"/>
  <c r="EFU52" i="1"/>
  <c r="EFT52" i="1"/>
  <c r="EFS52" i="1"/>
  <c r="EFR52" i="1"/>
  <c r="EFQ52" i="1"/>
  <c r="EFP52" i="1"/>
  <c r="EFO52" i="1"/>
  <c r="EFN52" i="1"/>
  <c r="EFM52" i="1"/>
  <c r="EFL52" i="1"/>
  <c r="EFK52" i="1"/>
  <c r="EFJ52" i="1"/>
  <c r="EFI52" i="1"/>
  <c r="EFH52" i="1"/>
  <c r="EFG52" i="1"/>
  <c r="EFF52" i="1"/>
  <c r="EFE52" i="1"/>
  <c r="EFD52" i="1"/>
  <c r="EFC52" i="1"/>
  <c r="EFB52" i="1"/>
  <c r="EFA52" i="1"/>
  <c r="EEZ52" i="1"/>
  <c r="EEY52" i="1"/>
  <c r="EEX52" i="1"/>
  <c r="EEW52" i="1"/>
  <c r="EEV52" i="1"/>
  <c r="EEU52" i="1"/>
  <c r="EET52" i="1"/>
  <c r="EES52" i="1"/>
  <c r="EER52" i="1"/>
  <c r="EEQ52" i="1"/>
  <c r="EEP52" i="1"/>
  <c r="EEO52" i="1"/>
  <c r="EEN52" i="1"/>
  <c r="EEM52" i="1"/>
  <c r="EEL52" i="1"/>
  <c r="EEK52" i="1"/>
  <c r="EEJ52" i="1"/>
  <c r="EEI52" i="1"/>
  <c r="EEH52" i="1"/>
  <c r="EEG52" i="1"/>
  <c r="EEF52" i="1"/>
  <c r="EEE52" i="1"/>
  <c r="EED52" i="1"/>
  <c r="EEC52" i="1"/>
  <c r="EEB52" i="1"/>
  <c r="EEA52" i="1"/>
  <c r="EDZ52" i="1"/>
  <c r="EDY52" i="1"/>
  <c r="EDX52" i="1"/>
  <c r="EDW52" i="1"/>
  <c r="EDV52" i="1"/>
  <c r="EDU52" i="1"/>
  <c r="EDT52" i="1"/>
  <c r="EDS52" i="1"/>
  <c r="EDR52" i="1"/>
  <c r="EDQ52" i="1"/>
  <c r="EDP52" i="1"/>
  <c r="EDO52" i="1"/>
  <c r="EDN52" i="1"/>
  <c r="EDM52" i="1"/>
  <c r="EDL52" i="1"/>
  <c r="EDK52" i="1"/>
  <c r="EDJ52" i="1"/>
  <c r="EDI52" i="1"/>
  <c r="EDH52" i="1"/>
  <c r="EDG52" i="1"/>
  <c r="EDF52" i="1"/>
  <c r="EDE52" i="1"/>
  <c r="EDD52" i="1"/>
  <c r="EDC52" i="1"/>
  <c r="EDB52" i="1"/>
  <c r="EDA52" i="1"/>
  <c r="ECZ52" i="1"/>
  <c r="ECY52" i="1"/>
  <c r="ECX52" i="1"/>
  <c r="ECW52" i="1"/>
  <c r="ECV52" i="1"/>
  <c r="ECU52" i="1"/>
  <c r="ECT52" i="1"/>
  <c r="ECS52" i="1"/>
  <c r="ECR52" i="1"/>
  <c r="ECQ52" i="1"/>
  <c r="ECP52" i="1"/>
  <c r="ECO52" i="1"/>
  <c r="ECN52" i="1"/>
  <c r="ECM52" i="1"/>
  <c r="ECL52" i="1"/>
  <c r="ECK52" i="1"/>
  <c r="ECJ52" i="1"/>
  <c r="ECI52" i="1"/>
  <c r="ECH52" i="1"/>
  <c r="ECG52" i="1"/>
  <c r="ECF52" i="1"/>
  <c r="ECE52" i="1"/>
  <c r="ECD52" i="1"/>
  <c r="ECC52" i="1"/>
  <c r="ECB52" i="1"/>
  <c r="ECA52" i="1"/>
  <c r="EBZ52" i="1"/>
  <c r="EBY52" i="1"/>
  <c r="EBX52" i="1"/>
  <c r="EBW52" i="1"/>
  <c r="EBV52" i="1"/>
  <c r="EBU52" i="1"/>
  <c r="EBT52" i="1"/>
  <c r="EBS52" i="1"/>
  <c r="EBR52" i="1"/>
  <c r="EBQ52" i="1"/>
  <c r="EBP52" i="1"/>
  <c r="EBO52" i="1"/>
  <c r="EBN52" i="1"/>
  <c r="EBM52" i="1"/>
  <c r="EBL52" i="1"/>
  <c r="EBK52" i="1"/>
  <c r="EBJ52" i="1"/>
  <c r="EBI52" i="1"/>
  <c r="EBH52" i="1"/>
  <c r="EBG52" i="1"/>
  <c r="EBF52" i="1"/>
  <c r="EBE52" i="1"/>
  <c r="EBD52" i="1"/>
  <c r="EBC52" i="1"/>
  <c r="EBB52" i="1"/>
  <c r="EBA52" i="1"/>
  <c r="EAZ52" i="1"/>
  <c r="EAY52" i="1"/>
  <c r="EAX52" i="1"/>
  <c r="EAW52" i="1"/>
  <c r="EAV52" i="1"/>
  <c r="EAU52" i="1"/>
  <c r="EAT52" i="1"/>
  <c r="EAS52" i="1"/>
  <c r="EAR52" i="1"/>
  <c r="EAQ52" i="1"/>
  <c r="EAP52" i="1"/>
  <c r="EAO52" i="1"/>
  <c r="EAN52" i="1"/>
  <c r="EAM52" i="1"/>
  <c r="EAL52" i="1"/>
  <c r="EAK52" i="1"/>
  <c r="EAJ52" i="1"/>
  <c r="EAI52" i="1"/>
  <c r="EAH52" i="1"/>
  <c r="EAG52" i="1"/>
  <c r="EAF52" i="1"/>
  <c r="EAE52" i="1"/>
  <c r="EAD52" i="1"/>
  <c r="EAC52" i="1"/>
  <c r="EAB52" i="1"/>
  <c r="EAA52" i="1"/>
  <c r="DZZ52" i="1"/>
  <c r="DZY52" i="1"/>
  <c r="DZX52" i="1"/>
  <c r="DZW52" i="1"/>
  <c r="DZV52" i="1"/>
  <c r="DZU52" i="1"/>
  <c r="DZT52" i="1"/>
  <c r="DZS52" i="1"/>
  <c r="DZR52" i="1"/>
  <c r="DZQ52" i="1"/>
  <c r="DZP52" i="1"/>
  <c r="DZO52" i="1"/>
  <c r="DZN52" i="1"/>
  <c r="DZM52" i="1"/>
  <c r="DZL52" i="1"/>
  <c r="DZK52" i="1"/>
  <c r="DZJ52" i="1"/>
  <c r="DZI52" i="1"/>
  <c r="DZH52" i="1"/>
  <c r="DZG52" i="1"/>
  <c r="DZF52" i="1"/>
  <c r="DZE52" i="1"/>
  <c r="DZD52" i="1"/>
  <c r="DZC52" i="1"/>
  <c r="DZB52" i="1"/>
  <c r="DZA52" i="1"/>
  <c r="DYZ52" i="1"/>
  <c r="DYY52" i="1"/>
  <c r="DYX52" i="1"/>
  <c r="DYW52" i="1"/>
  <c r="DYV52" i="1"/>
  <c r="DYU52" i="1"/>
  <c r="DYT52" i="1"/>
  <c r="DYS52" i="1"/>
  <c r="DYR52" i="1"/>
  <c r="DYQ52" i="1"/>
  <c r="DYP52" i="1"/>
  <c r="DYO52" i="1"/>
  <c r="DYN52" i="1"/>
  <c r="DYM52" i="1"/>
  <c r="DYL52" i="1"/>
  <c r="DYK52" i="1"/>
  <c r="DYJ52" i="1"/>
  <c r="DYI52" i="1"/>
  <c r="DYH52" i="1"/>
  <c r="DYG52" i="1"/>
  <c r="DYF52" i="1"/>
  <c r="DYE52" i="1"/>
  <c r="DYD52" i="1"/>
  <c r="DYC52" i="1"/>
  <c r="DYB52" i="1"/>
  <c r="DYA52" i="1"/>
  <c r="DXZ52" i="1"/>
  <c r="DXY52" i="1"/>
  <c r="DXX52" i="1"/>
  <c r="DXW52" i="1"/>
  <c r="DXV52" i="1"/>
  <c r="DXU52" i="1"/>
  <c r="DXT52" i="1"/>
  <c r="DXS52" i="1"/>
  <c r="DXR52" i="1"/>
  <c r="DXQ52" i="1"/>
  <c r="DXP52" i="1"/>
  <c r="DXO52" i="1"/>
  <c r="DXN52" i="1"/>
  <c r="DXM52" i="1"/>
  <c r="DXL52" i="1"/>
  <c r="DXK52" i="1"/>
  <c r="DXJ52" i="1"/>
  <c r="DXI52" i="1"/>
  <c r="DXH52" i="1"/>
  <c r="DXG52" i="1"/>
  <c r="DXF52" i="1"/>
  <c r="DXE52" i="1"/>
  <c r="DXD52" i="1"/>
  <c r="DXC52" i="1"/>
  <c r="DXB52" i="1"/>
  <c r="DXA52" i="1"/>
  <c r="DWZ52" i="1"/>
  <c r="DWY52" i="1"/>
  <c r="DWX52" i="1"/>
  <c r="DWW52" i="1"/>
  <c r="DWV52" i="1"/>
  <c r="DWU52" i="1"/>
  <c r="DWT52" i="1"/>
  <c r="DWS52" i="1"/>
  <c r="DWR52" i="1"/>
  <c r="DWQ52" i="1"/>
  <c r="DWP52" i="1"/>
  <c r="DWO52" i="1"/>
  <c r="DWN52" i="1"/>
  <c r="DWM52" i="1"/>
  <c r="DWL52" i="1"/>
  <c r="DWK52" i="1"/>
  <c r="DWJ52" i="1"/>
  <c r="DWI52" i="1"/>
  <c r="DWH52" i="1"/>
  <c r="DWG52" i="1"/>
  <c r="DWF52" i="1"/>
  <c r="DWE52" i="1"/>
  <c r="DWD52" i="1"/>
  <c r="DWC52" i="1"/>
  <c r="DWB52" i="1"/>
  <c r="DWA52" i="1"/>
  <c r="DVZ52" i="1"/>
  <c r="DVY52" i="1"/>
  <c r="DVX52" i="1"/>
  <c r="DVW52" i="1"/>
  <c r="DVV52" i="1"/>
  <c r="DVU52" i="1"/>
  <c r="DVT52" i="1"/>
  <c r="DVS52" i="1"/>
  <c r="DVR52" i="1"/>
  <c r="DVQ52" i="1"/>
  <c r="DVP52" i="1"/>
  <c r="DVO52" i="1"/>
  <c r="DVN52" i="1"/>
  <c r="DVM52" i="1"/>
  <c r="DVL52" i="1"/>
  <c r="DVK52" i="1"/>
  <c r="DVJ52" i="1"/>
  <c r="DVI52" i="1"/>
  <c r="DVH52" i="1"/>
  <c r="DVG52" i="1"/>
  <c r="DVF52" i="1"/>
  <c r="DVE52" i="1"/>
  <c r="DVD52" i="1"/>
  <c r="DVC52" i="1"/>
  <c r="DVB52" i="1"/>
  <c r="DVA52" i="1"/>
  <c r="DUZ52" i="1"/>
  <c r="DUY52" i="1"/>
  <c r="DUX52" i="1"/>
  <c r="DUW52" i="1"/>
  <c r="DUV52" i="1"/>
  <c r="DUU52" i="1"/>
  <c r="DUT52" i="1"/>
  <c r="DUS52" i="1"/>
  <c r="DUR52" i="1"/>
  <c r="DUQ52" i="1"/>
  <c r="DUP52" i="1"/>
  <c r="DUO52" i="1"/>
  <c r="DUN52" i="1"/>
  <c r="DUM52" i="1"/>
  <c r="DUL52" i="1"/>
  <c r="DUK52" i="1"/>
  <c r="DUJ52" i="1"/>
  <c r="DUI52" i="1"/>
  <c r="DUH52" i="1"/>
  <c r="DUG52" i="1"/>
  <c r="DUF52" i="1"/>
  <c r="DUE52" i="1"/>
  <c r="DUD52" i="1"/>
  <c r="DUC52" i="1"/>
  <c r="DUB52" i="1"/>
  <c r="DUA52" i="1"/>
  <c r="DTZ52" i="1"/>
  <c r="DTY52" i="1"/>
  <c r="DTX52" i="1"/>
  <c r="DTW52" i="1"/>
  <c r="DTV52" i="1"/>
  <c r="DTU52" i="1"/>
  <c r="DTT52" i="1"/>
  <c r="DTS52" i="1"/>
  <c r="DTR52" i="1"/>
  <c r="DTQ52" i="1"/>
  <c r="DTP52" i="1"/>
  <c r="DTO52" i="1"/>
  <c r="DTN52" i="1"/>
  <c r="DTM52" i="1"/>
  <c r="DTL52" i="1"/>
  <c r="DTK52" i="1"/>
  <c r="DTJ52" i="1"/>
  <c r="DTI52" i="1"/>
  <c r="DTH52" i="1"/>
  <c r="DTG52" i="1"/>
  <c r="DTF52" i="1"/>
  <c r="DTE52" i="1"/>
  <c r="DTD52" i="1"/>
  <c r="DTC52" i="1"/>
  <c r="DTB52" i="1"/>
  <c r="DTA52" i="1"/>
  <c r="DSZ52" i="1"/>
  <c r="DSY52" i="1"/>
  <c r="DSX52" i="1"/>
  <c r="DSW52" i="1"/>
  <c r="DSV52" i="1"/>
  <c r="DSU52" i="1"/>
  <c r="DST52" i="1"/>
  <c r="DSS52" i="1"/>
  <c r="DSR52" i="1"/>
  <c r="DSQ52" i="1"/>
  <c r="DSP52" i="1"/>
  <c r="DSO52" i="1"/>
  <c r="DSN52" i="1"/>
  <c r="DSM52" i="1"/>
  <c r="DSL52" i="1"/>
  <c r="DSK52" i="1"/>
  <c r="DSJ52" i="1"/>
  <c r="DSI52" i="1"/>
  <c r="DSH52" i="1"/>
  <c r="DSG52" i="1"/>
  <c r="DSF52" i="1"/>
  <c r="DSE52" i="1"/>
  <c r="DSD52" i="1"/>
  <c r="DSC52" i="1"/>
  <c r="DSB52" i="1"/>
  <c r="DSA52" i="1"/>
  <c r="DRZ52" i="1"/>
  <c r="DRY52" i="1"/>
  <c r="DRX52" i="1"/>
  <c r="DRW52" i="1"/>
  <c r="DRV52" i="1"/>
  <c r="DRU52" i="1"/>
  <c r="DRT52" i="1"/>
  <c r="DRS52" i="1"/>
  <c r="DRR52" i="1"/>
  <c r="DRQ52" i="1"/>
  <c r="DRP52" i="1"/>
  <c r="DRO52" i="1"/>
  <c r="DRN52" i="1"/>
  <c r="DRM52" i="1"/>
  <c r="DRL52" i="1"/>
  <c r="DRK52" i="1"/>
  <c r="DRJ52" i="1"/>
  <c r="DRI52" i="1"/>
  <c r="DRH52" i="1"/>
  <c r="DRG52" i="1"/>
  <c r="DRF52" i="1"/>
  <c r="DRE52" i="1"/>
  <c r="DRD52" i="1"/>
  <c r="DRC52" i="1"/>
  <c r="DRB52" i="1"/>
  <c r="DRA52" i="1"/>
  <c r="DQZ52" i="1"/>
  <c r="DQY52" i="1"/>
  <c r="DQX52" i="1"/>
  <c r="DQW52" i="1"/>
  <c r="DQV52" i="1"/>
  <c r="DQU52" i="1"/>
  <c r="DQT52" i="1"/>
  <c r="DQS52" i="1"/>
  <c r="DQR52" i="1"/>
  <c r="DQQ52" i="1"/>
  <c r="DQP52" i="1"/>
  <c r="DQO52" i="1"/>
  <c r="DQN52" i="1"/>
  <c r="DQM52" i="1"/>
  <c r="DQL52" i="1"/>
  <c r="DQK52" i="1"/>
  <c r="DQJ52" i="1"/>
  <c r="DQI52" i="1"/>
  <c r="DQH52" i="1"/>
  <c r="DQG52" i="1"/>
  <c r="DQF52" i="1"/>
  <c r="DQE52" i="1"/>
  <c r="DQD52" i="1"/>
  <c r="DQC52" i="1"/>
  <c r="DQB52" i="1"/>
  <c r="DQA52" i="1"/>
  <c r="DPZ52" i="1"/>
  <c r="DPY52" i="1"/>
  <c r="DPX52" i="1"/>
  <c r="DPW52" i="1"/>
  <c r="DPV52" i="1"/>
  <c r="DPU52" i="1"/>
  <c r="DPT52" i="1"/>
  <c r="DPS52" i="1"/>
  <c r="DPR52" i="1"/>
  <c r="DPQ52" i="1"/>
  <c r="DPP52" i="1"/>
  <c r="DPO52" i="1"/>
  <c r="DPN52" i="1"/>
  <c r="DPM52" i="1"/>
  <c r="DPL52" i="1"/>
  <c r="DPK52" i="1"/>
  <c r="DPJ52" i="1"/>
  <c r="DPI52" i="1"/>
  <c r="DPH52" i="1"/>
  <c r="DPG52" i="1"/>
  <c r="DPF52" i="1"/>
  <c r="DPE52" i="1"/>
  <c r="DPD52" i="1"/>
  <c r="DPC52" i="1"/>
  <c r="DPB52" i="1"/>
  <c r="DPA52" i="1"/>
  <c r="DOZ52" i="1"/>
  <c r="DOY52" i="1"/>
  <c r="DOX52" i="1"/>
  <c r="DOW52" i="1"/>
  <c r="DOV52" i="1"/>
  <c r="DOU52" i="1"/>
  <c r="DOT52" i="1"/>
  <c r="DOS52" i="1"/>
  <c r="DOR52" i="1"/>
  <c r="DOQ52" i="1"/>
  <c r="DOP52" i="1"/>
  <c r="DOO52" i="1"/>
  <c r="DON52" i="1"/>
  <c r="DOM52" i="1"/>
  <c r="DOL52" i="1"/>
  <c r="DOK52" i="1"/>
  <c r="DOJ52" i="1"/>
  <c r="DOI52" i="1"/>
  <c r="DOH52" i="1"/>
  <c r="DOG52" i="1"/>
  <c r="DOF52" i="1"/>
  <c r="DOE52" i="1"/>
  <c r="DOD52" i="1"/>
  <c r="DOC52" i="1"/>
  <c r="DOB52" i="1"/>
  <c r="DOA52" i="1"/>
  <c r="DNZ52" i="1"/>
  <c r="DNY52" i="1"/>
  <c r="DNX52" i="1"/>
  <c r="DNW52" i="1"/>
  <c r="DNV52" i="1"/>
  <c r="DNU52" i="1"/>
  <c r="DNT52" i="1"/>
  <c r="DNS52" i="1"/>
  <c r="DNR52" i="1"/>
  <c r="DNQ52" i="1"/>
  <c r="DNP52" i="1"/>
  <c r="DNO52" i="1"/>
  <c r="DNN52" i="1"/>
  <c r="DNM52" i="1"/>
  <c r="DNL52" i="1"/>
  <c r="DNK52" i="1"/>
  <c r="DNJ52" i="1"/>
  <c r="DNI52" i="1"/>
  <c r="DNH52" i="1"/>
  <c r="DNG52" i="1"/>
  <c r="DNF52" i="1"/>
  <c r="DNE52" i="1"/>
  <c r="DND52" i="1"/>
  <c r="DNC52" i="1"/>
  <c r="DNB52" i="1"/>
  <c r="DNA52" i="1"/>
  <c r="DMZ52" i="1"/>
  <c r="DMY52" i="1"/>
  <c r="DMX52" i="1"/>
  <c r="DMW52" i="1"/>
  <c r="DMV52" i="1"/>
  <c r="DMU52" i="1"/>
  <c r="DMT52" i="1"/>
  <c r="DMS52" i="1"/>
  <c r="DMR52" i="1"/>
  <c r="DMQ52" i="1"/>
  <c r="DMP52" i="1"/>
  <c r="DMO52" i="1"/>
  <c r="DMN52" i="1"/>
  <c r="DMM52" i="1"/>
  <c r="DML52" i="1"/>
  <c r="DMK52" i="1"/>
  <c r="DMJ52" i="1"/>
  <c r="DMI52" i="1"/>
  <c r="DMH52" i="1"/>
  <c r="DMG52" i="1"/>
  <c r="DMF52" i="1"/>
  <c r="DME52" i="1"/>
  <c r="DMD52" i="1"/>
  <c r="DMC52" i="1"/>
  <c r="DMB52" i="1"/>
  <c r="DMA52" i="1"/>
  <c r="DLZ52" i="1"/>
  <c r="DLY52" i="1"/>
  <c r="DLX52" i="1"/>
  <c r="DLW52" i="1"/>
  <c r="DLV52" i="1"/>
  <c r="DLU52" i="1"/>
  <c r="DLT52" i="1"/>
  <c r="DLS52" i="1"/>
  <c r="DLR52" i="1"/>
  <c r="DLQ52" i="1"/>
  <c r="DLP52" i="1"/>
  <c r="DLO52" i="1"/>
  <c r="DLN52" i="1"/>
  <c r="DLM52" i="1"/>
  <c r="DLL52" i="1"/>
  <c r="DLK52" i="1"/>
  <c r="DLJ52" i="1"/>
  <c r="DLI52" i="1"/>
  <c r="DLH52" i="1"/>
  <c r="DLG52" i="1"/>
  <c r="DLF52" i="1"/>
  <c r="DLE52" i="1"/>
  <c r="DLD52" i="1"/>
  <c r="DLC52" i="1"/>
  <c r="DLB52" i="1"/>
  <c r="DLA52" i="1"/>
  <c r="DKZ52" i="1"/>
  <c r="DKY52" i="1"/>
  <c r="DKX52" i="1"/>
  <c r="DKW52" i="1"/>
  <c r="DKV52" i="1"/>
  <c r="DKU52" i="1"/>
  <c r="DKT52" i="1"/>
  <c r="DKS52" i="1"/>
  <c r="DKR52" i="1"/>
  <c r="DKQ52" i="1"/>
  <c r="DKP52" i="1"/>
  <c r="DKO52" i="1"/>
  <c r="DKN52" i="1"/>
  <c r="DKM52" i="1"/>
  <c r="DKL52" i="1"/>
  <c r="DKK52" i="1"/>
  <c r="DKJ52" i="1"/>
  <c r="DKI52" i="1"/>
  <c r="DKH52" i="1"/>
  <c r="DKG52" i="1"/>
  <c r="DKF52" i="1"/>
  <c r="DKE52" i="1"/>
  <c r="DKD52" i="1"/>
  <c r="DKC52" i="1"/>
  <c r="DKB52" i="1"/>
  <c r="DKA52" i="1"/>
  <c r="DJZ52" i="1"/>
  <c r="DJY52" i="1"/>
  <c r="DJX52" i="1"/>
  <c r="DJW52" i="1"/>
  <c r="DJV52" i="1"/>
  <c r="DJU52" i="1"/>
  <c r="DJT52" i="1"/>
  <c r="DJS52" i="1"/>
  <c r="DJR52" i="1"/>
  <c r="DJQ52" i="1"/>
  <c r="DJP52" i="1"/>
  <c r="DJO52" i="1"/>
  <c r="DJN52" i="1"/>
  <c r="DJM52" i="1"/>
  <c r="DJL52" i="1"/>
  <c r="DJK52" i="1"/>
  <c r="DJJ52" i="1"/>
  <c r="DJI52" i="1"/>
  <c r="DJH52" i="1"/>
  <c r="DJG52" i="1"/>
  <c r="DJF52" i="1"/>
  <c r="DJE52" i="1"/>
  <c r="DJD52" i="1"/>
  <c r="DJC52" i="1"/>
  <c r="DJB52" i="1"/>
  <c r="DJA52" i="1"/>
  <c r="DIZ52" i="1"/>
  <c r="DIY52" i="1"/>
  <c r="DIX52" i="1"/>
  <c r="DIW52" i="1"/>
  <c r="DIV52" i="1"/>
  <c r="DIU52" i="1"/>
  <c r="DIT52" i="1"/>
  <c r="DIS52" i="1"/>
  <c r="DIR52" i="1"/>
  <c r="DIQ52" i="1"/>
  <c r="DIP52" i="1"/>
  <c r="DIO52" i="1"/>
  <c r="DIN52" i="1"/>
  <c r="DIM52" i="1"/>
  <c r="DIL52" i="1"/>
  <c r="DIK52" i="1"/>
  <c r="DIJ52" i="1"/>
  <c r="DII52" i="1"/>
  <c r="DIH52" i="1"/>
  <c r="DIG52" i="1"/>
  <c r="DIF52" i="1"/>
  <c r="DIE52" i="1"/>
  <c r="DID52" i="1"/>
  <c r="DIC52" i="1"/>
  <c r="DIB52" i="1"/>
  <c r="DIA52" i="1"/>
  <c r="DHZ52" i="1"/>
  <c r="DHY52" i="1"/>
  <c r="DHX52" i="1"/>
  <c r="DHW52" i="1"/>
  <c r="DHV52" i="1"/>
  <c r="DHU52" i="1"/>
  <c r="DHT52" i="1"/>
  <c r="DHS52" i="1"/>
  <c r="DHR52" i="1"/>
  <c r="DHQ52" i="1"/>
  <c r="DHP52" i="1"/>
  <c r="DHO52" i="1"/>
  <c r="DHN52" i="1"/>
  <c r="DHM52" i="1"/>
  <c r="DHL52" i="1"/>
  <c r="DHK52" i="1"/>
  <c r="DHJ52" i="1"/>
  <c r="DHI52" i="1"/>
  <c r="DHH52" i="1"/>
  <c r="DHG52" i="1"/>
  <c r="DHF52" i="1"/>
  <c r="DHE52" i="1"/>
  <c r="DHD52" i="1"/>
  <c r="DHC52" i="1"/>
  <c r="DHB52" i="1"/>
  <c r="DHA52" i="1"/>
  <c r="DGZ52" i="1"/>
  <c r="DGY52" i="1"/>
  <c r="DGX52" i="1"/>
  <c r="DGW52" i="1"/>
  <c r="DGV52" i="1"/>
  <c r="DGU52" i="1"/>
  <c r="DGT52" i="1"/>
  <c r="DGS52" i="1"/>
  <c r="DGR52" i="1"/>
  <c r="DGQ52" i="1"/>
  <c r="DGP52" i="1"/>
  <c r="DGO52" i="1"/>
  <c r="DGN52" i="1"/>
  <c r="DGM52" i="1"/>
  <c r="DGL52" i="1"/>
  <c r="DGK52" i="1"/>
  <c r="DGJ52" i="1"/>
  <c r="DGI52" i="1"/>
  <c r="DGH52" i="1"/>
  <c r="DGG52" i="1"/>
  <c r="DGF52" i="1"/>
  <c r="DGE52" i="1"/>
  <c r="DGD52" i="1"/>
  <c r="DGC52" i="1"/>
  <c r="DGB52" i="1"/>
  <c r="DGA52" i="1"/>
  <c r="DFZ52" i="1"/>
  <c r="DFY52" i="1"/>
  <c r="DFX52" i="1"/>
  <c r="DFW52" i="1"/>
  <c r="DFV52" i="1"/>
  <c r="DFU52" i="1"/>
  <c r="DFT52" i="1"/>
  <c r="DFS52" i="1"/>
  <c r="DFR52" i="1"/>
  <c r="DFQ52" i="1"/>
  <c r="DFP52" i="1"/>
  <c r="DFO52" i="1"/>
  <c r="DFN52" i="1"/>
  <c r="DFM52" i="1"/>
  <c r="DFL52" i="1"/>
  <c r="DFK52" i="1"/>
  <c r="DFJ52" i="1"/>
  <c r="DFI52" i="1"/>
  <c r="DFH52" i="1"/>
  <c r="DFG52" i="1"/>
  <c r="DFF52" i="1"/>
  <c r="DFE52" i="1"/>
  <c r="DFD52" i="1"/>
  <c r="DFC52" i="1"/>
  <c r="DFB52" i="1"/>
  <c r="DFA52" i="1"/>
  <c r="DEZ52" i="1"/>
  <c r="DEY52" i="1"/>
  <c r="DEX52" i="1"/>
  <c r="DEW52" i="1"/>
  <c r="DEV52" i="1"/>
  <c r="DEU52" i="1"/>
  <c r="DET52" i="1"/>
  <c r="DES52" i="1"/>
  <c r="DER52" i="1"/>
  <c r="DEQ52" i="1"/>
  <c r="DEP52" i="1"/>
  <c r="DEO52" i="1"/>
  <c r="DEN52" i="1"/>
  <c r="DEM52" i="1"/>
  <c r="DEL52" i="1"/>
  <c r="DEK52" i="1"/>
  <c r="DEJ52" i="1"/>
  <c r="DEI52" i="1"/>
  <c r="DEH52" i="1"/>
  <c r="DEG52" i="1"/>
  <c r="DEF52" i="1"/>
  <c r="DEE52" i="1"/>
  <c r="DED52" i="1"/>
  <c r="DEC52" i="1"/>
  <c r="DEB52" i="1"/>
  <c r="DEA52" i="1"/>
  <c r="DDZ52" i="1"/>
  <c r="DDY52" i="1"/>
  <c r="DDX52" i="1"/>
  <c r="DDW52" i="1"/>
  <c r="DDV52" i="1"/>
  <c r="DDU52" i="1"/>
  <c r="DDT52" i="1"/>
  <c r="DDS52" i="1"/>
  <c r="DDR52" i="1"/>
  <c r="DDQ52" i="1"/>
  <c r="DDP52" i="1"/>
  <c r="DDO52" i="1"/>
  <c r="DDN52" i="1"/>
  <c r="DDM52" i="1"/>
  <c r="DDL52" i="1"/>
  <c r="DDK52" i="1"/>
  <c r="DDJ52" i="1"/>
  <c r="DDI52" i="1"/>
  <c r="DDH52" i="1"/>
  <c r="DDG52" i="1"/>
  <c r="DDF52" i="1"/>
  <c r="DDE52" i="1"/>
  <c r="DDD52" i="1"/>
  <c r="DDC52" i="1"/>
  <c r="DDB52" i="1"/>
  <c r="DDA52" i="1"/>
  <c r="DCZ52" i="1"/>
  <c r="DCY52" i="1"/>
  <c r="DCX52" i="1"/>
  <c r="DCW52" i="1"/>
  <c r="DCV52" i="1"/>
  <c r="DCU52" i="1"/>
  <c r="DCT52" i="1"/>
  <c r="DCS52" i="1"/>
  <c r="DCR52" i="1"/>
  <c r="DCQ52" i="1"/>
  <c r="DCP52" i="1"/>
  <c r="DCO52" i="1"/>
  <c r="DCN52" i="1"/>
  <c r="DCM52" i="1"/>
  <c r="DCL52" i="1"/>
  <c r="DCK52" i="1"/>
  <c r="DCJ52" i="1"/>
  <c r="DCI52" i="1"/>
  <c r="DCH52" i="1"/>
  <c r="DCG52" i="1"/>
  <c r="DCF52" i="1"/>
  <c r="DCE52" i="1"/>
  <c r="DCD52" i="1"/>
  <c r="DCC52" i="1"/>
  <c r="DCB52" i="1"/>
  <c r="DCA52" i="1"/>
  <c r="DBZ52" i="1"/>
  <c r="DBY52" i="1"/>
  <c r="DBX52" i="1"/>
  <c r="DBW52" i="1"/>
  <c r="DBV52" i="1"/>
  <c r="DBU52" i="1"/>
  <c r="DBT52" i="1"/>
  <c r="DBS52" i="1"/>
  <c r="DBR52" i="1"/>
  <c r="DBQ52" i="1"/>
  <c r="DBP52" i="1"/>
  <c r="DBO52" i="1"/>
  <c r="DBN52" i="1"/>
  <c r="DBM52" i="1"/>
  <c r="DBL52" i="1"/>
  <c r="DBK52" i="1"/>
  <c r="DBJ52" i="1"/>
  <c r="DBI52" i="1"/>
  <c r="DBH52" i="1"/>
  <c r="DBG52" i="1"/>
  <c r="DBF52" i="1"/>
  <c r="DBE52" i="1"/>
  <c r="DBD52" i="1"/>
  <c r="DBC52" i="1"/>
  <c r="DBB52" i="1"/>
  <c r="DBA52" i="1"/>
  <c r="DAZ52" i="1"/>
  <c r="DAY52" i="1"/>
  <c r="DAX52" i="1"/>
  <c r="DAW52" i="1"/>
  <c r="DAV52" i="1"/>
  <c r="DAU52" i="1"/>
  <c r="DAT52" i="1"/>
  <c r="DAS52" i="1"/>
  <c r="DAR52" i="1"/>
  <c r="DAQ52" i="1"/>
  <c r="DAP52" i="1"/>
  <c r="DAO52" i="1"/>
  <c r="DAN52" i="1"/>
  <c r="DAM52" i="1"/>
  <c r="DAL52" i="1"/>
  <c r="DAK52" i="1"/>
  <c r="DAJ52" i="1"/>
  <c r="DAI52" i="1"/>
  <c r="DAH52" i="1"/>
  <c r="DAG52" i="1"/>
  <c r="DAF52" i="1"/>
  <c r="DAE52" i="1"/>
  <c r="DAD52" i="1"/>
  <c r="DAC52" i="1"/>
  <c r="DAB52" i="1"/>
  <c r="DAA52" i="1"/>
  <c r="CZZ52" i="1"/>
  <c r="CZY52" i="1"/>
  <c r="CZX52" i="1"/>
  <c r="CZW52" i="1"/>
  <c r="CZV52" i="1"/>
  <c r="CZU52" i="1"/>
  <c r="CZT52" i="1"/>
  <c r="CZS52" i="1"/>
  <c r="CZR52" i="1"/>
  <c r="CZQ52" i="1"/>
  <c r="CZP52" i="1"/>
  <c r="CZO52" i="1"/>
  <c r="CZN52" i="1"/>
  <c r="CZM52" i="1"/>
  <c r="CZL52" i="1"/>
  <c r="CZK52" i="1"/>
  <c r="CZJ52" i="1"/>
  <c r="CZI52" i="1"/>
  <c r="CZH52" i="1"/>
  <c r="CZG52" i="1"/>
  <c r="CZF52" i="1"/>
  <c r="CZE52" i="1"/>
  <c r="CZD52" i="1"/>
  <c r="CZC52" i="1"/>
  <c r="CZB52" i="1"/>
  <c r="CZA52" i="1"/>
  <c r="CYZ52" i="1"/>
  <c r="CYY52" i="1"/>
  <c r="CYX52" i="1"/>
  <c r="CYW52" i="1"/>
  <c r="CYV52" i="1"/>
  <c r="CYU52" i="1"/>
  <c r="CYT52" i="1"/>
  <c r="CYS52" i="1"/>
  <c r="CYR52" i="1"/>
  <c r="CYQ52" i="1"/>
  <c r="CYP52" i="1"/>
  <c r="CYO52" i="1"/>
  <c r="CYN52" i="1"/>
  <c r="CYM52" i="1"/>
  <c r="CYL52" i="1"/>
  <c r="CYK52" i="1"/>
  <c r="CYJ52" i="1"/>
  <c r="CYI52" i="1"/>
  <c r="CYH52" i="1"/>
  <c r="CYG52" i="1"/>
  <c r="CYF52" i="1"/>
  <c r="CYE52" i="1"/>
  <c r="CYD52" i="1"/>
  <c r="CYC52" i="1"/>
  <c r="CYB52" i="1"/>
  <c r="CYA52" i="1"/>
  <c r="CXZ52" i="1"/>
  <c r="CXY52" i="1"/>
  <c r="CXX52" i="1"/>
  <c r="CXW52" i="1"/>
  <c r="CXV52" i="1"/>
  <c r="CXU52" i="1"/>
  <c r="CXT52" i="1"/>
  <c r="CXS52" i="1"/>
  <c r="CXR52" i="1"/>
  <c r="CXQ52" i="1"/>
  <c r="CXP52" i="1"/>
  <c r="CXO52" i="1"/>
  <c r="CXN52" i="1"/>
  <c r="CXM52" i="1"/>
  <c r="CXL52" i="1"/>
  <c r="CXK52" i="1"/>
  <c r="CXJ52" i="1"/>
  <c r="CXI52" i="1"/>
  <c r="CXH52" i="1"/>
  <c r="CXG52" i="1"/>
  <c r="CXF52" i="1"/>
  <c r="CXE52" i="1"/>
  <c r="CXD52" i="1"/>
  <c r="CXC52" i="1"/>
  <c r="CXB52" i="1"/>
  <c r="CXA52" i="1"/>
  <c r="CWZ52" i="1"/>
  <c r="CWY52" i="1"/>
  <c r="CWX52" i="1"/>
  <c r="CWW52" i="1"/>
  <c r="CWV52" i="1"/>
  <c r="CWU52" i="1"/>
  <c r="CWT52" i="1"/>
  <c r="CWS52" i="1"/>
  <c r="CWR52" i="1"/>
  <c r="CWQ52" i="1"/>
  <c r="CWP52" i="1"/>
  <c r="CWO52" i="1"/>
  <c r="CWN52" i="1"/>
  <c r="CWM52" i="1"/>
  <c r="CWL52" i="1"/>
  <c r="CWK52" i="1"/>
  <c r="CWJ52" i="1"/>
  <c r="CWI52" i="1"/>
  <c r="CWH52" i="1"/>
  <c r="CWG52" i="1"/>
  <c r="CWF52" i="1"/>
  <c r="CWE52" i="1"/>
  <c r="CWD52" i="1"/>
  <c r="CWC52" i="1"/>
  <c r="CWB52" i="1"/>
  <c r="CWA52" i="1"/>
  <c r="CVZ52" i="1"/>
  <c r="CVY52" i="1"/>
  <c r="CVX52" i="1"/>
  <c r="CVW52" i="1"/>
  <c r="CVV52" i="1"/>
  <c r="CVU52" i="1"/>
  <c r="CVT52" i="1"/>
  <c r="CVS52" i="1"/>
  <c r="CVR52" i="1"/>
  <c r="CVQ52" i="1"/>
  <c r="CVP52" i="1"/>
  <c r="CVO52" i="1"/>
  <c r="CVN52" i="1"/>
  <c r="CVM52" i="1"/>
  <c r="CVL52" i="1"/>
  <c r="CVK52" i="1"/>
  <c r="CVJ52" i="1"/>
  <c r="CVI52" i="1"/>
  <c r="CVH52" i="1"/>
  <c r="CVG52" i="1"/>
  <c r="CVF52" i="1"/>
  <c r="CVE52" i="1"/>
  <c r="CVD52" i="1"/>
  <c r="CVC52" i="1"/>
  <c r="CVB52" i="1"/>
  <c r="CVA52" i="1"/>
  <c r="CUZ52" i="1"/>
  <c r="CUY52" i="1"/>
  <c r="CUX52" i="1"/>
  <c r="CUW52" i="1"/>
  <c r="CUV52" i="1"/>
  <c r="CUU52" i="1"/>
  <c r="CUT52" i="1"/>
  <c r="CUS52" i="1"/>
  <c r="CUR52" i="1"/>
  <c r="CUQ52" i="1"/>
  <c r="CUP52" i="1"/>
  <c r="CUO52" i="1"/>
  <c r="CUN52" i="1"/>
  <c r="CUM52" i="1"/>
  <c r="CUL52" i="1"/>
  <c r="CUK52" i="1"/>
  <c r="CUJ52" i="1"/>
  <c r="CUI52" i="1"/>
  <c r="CUH52" i="1"/>
  <c r="CUG52" i="1"/>
  <c r="CUF52" i="1"/>
  <c r="CUE52" i="1"/>
  <c r="CUD52" i="1"/>
  <c r="CUC52" i="1"/>
  <c r="CUB52" i="1"/>
  <c r="CUA52" i="1"/>
  <c r="CTZ52" i="1"/>
  <c r="CTY52" i="1"/>
  <c r="CTX52" i="1"/>
  <c r="CTW52" i="1"/>
  <c r="CTV52" i="1"/>
  <c r="CTU52" i="1"/>
  <c r="CTT52" i="1"/>
  <c r="CTS52" i="1"/>
  <c r="CTR52" i="1"/>
  <c r="CTQ52" i="1"/>
  <c r="CTP52" i="1"/>
  <c r="CTO52" i="1"/>
  <c r="CTN52" i="1"/>
  <c r="CTM52" i="1"/>
  <c r="CTL52" i="1"/>
  <c r="CTK52" i="1"/>
  <c r="CTJ52" i="1"/>
  <c r="CTI52" i="1"/>
  <c r="CTH52" i="1"/>
  <c r="CTG52" i="1"/>
  <c r="CTF52" i="1"/>
  <c r="CTE52" i="1"/>
  <c r="CTD52" i="1"/>
  <c r="CTC52" i="1"/>
  <c r="CTB52" i="1"/>
  <c r="CTA52" i="1"/>
  <c r="CSZ52" i="1"/>
  <c r="CSY52" i="1"/>
  <c r="CSX52" i="1"/>
  <c r="CSW52" i="1"/>
  <c r="CSV52" i="1"/>
  <c r="CSU52" i="1"/>
  <c r="CST52" i="1"/>
  <c r="CSS52" i="1"/>
  <c r="CSR52" i="1"/>
  <c r="CSQ52" i="1"/>
  <c r="CSP52" i="1"/>
  <c r="CSO52" i="1"/>
  <c r="CSN52" i="1"/>
  <c r="CSM52" i="1"/>
  <c r="CSL52" i="1"/>
  <c r="CSK52" i="1"/>
  <c r="CSJ52" i="1"/>
  <c r="CSI52" i="1"/>
  <c r="CSH52" i="1"/>
  <c r="CSG52" i="1"/>
  <c r="CSF52" i="1"/>
  <c r="CSE52" i="1"/>
  <c r="CSD52" i="1"/>
  <c r="CSC52" i="1"/>
  <c r="CSB52" i="1"/>
  <c r="CSA52" i="1"/>
  <c r="CRZ52" i="1"/>
  <c r="CRY52" i="1"/>
  <c r="CRX52" i="1"/>
  <c r="CRW52" i="1"/>
  <c r="CRV52" i="1"/>
  <c r="CRU52" i="1"/>
  <c r="CRT52" i="1"/>
  <c r="CRS52" i="1"/>
  <c r="CRR52" i="1"/>
  <c r="CRQ52" i="1"/>
  <c r="CRP52" i="1"/>
  <c r="CRO52" i="1"/>
  <c r="CRN52" i="1"/>
  <c r="CRM52" i="1"/>
  <c r="CRL52" i="1"/>
  <c r="CRK52" i="1"/>
  <c r="CRJ52" i="1"/>
  <c r="CRI52" i="1"/>
  <c r="CRH52" i="1"/>
  <c r="CRG52" i="1"/>
  <c r="CRF52" i="1"/>
  <c r="CRE52" i="1"/>
  <c r="CRD52" i="1"/>
  <c r="CRC52" i="1"/>
  <c r="CRB52" i="1"/>
  <c r="CRA52" i="1"/>
  <c r="CQZ52" i="1"/>
  <c r="CQY52" i="1"/>
  <c r="CQX52" i="1"/>
  <c r="CQW52" i="1"/>
  <c r="CQV52" i="1"/>
  <c r="CQU52" i="1"/>
  <c r="CQT52" i="1"/>
  <c r="CQS52" i="1"/>
  <c r="CQR52" i="1"/>
  <c r="CQQ52" i="1"/>
  <c r="CQP52" i="1"/>
  <c r="CQO52" i="1"/>
  <c r="CQN52" i="1"/>
  <c r="CQM52" i="1"/>
  <c r="CQL52" i="1"/>
  <c r="CQK52" i="1"/>
  <c r="CQJ52" i="1"/>
  <c r="CQI52" i="1"/>
  <c r="CQH52" i="1"/>
  <c r="CQG52" i="1"/>
  <c r="CQF52" i="1"/>
  <c r="CQE52" i="1"/>
  <c r="CQD52" i="1"/>
  <c r="CQC52" i="1"/>
  <c r="CQB52" i="1"/>
  <c r="CQA52" i="1"/>
  <c r="CPZ52" i="1"/>
  <c r="CPY52" i="1"/>
  <c r="CPX52" i="1"/>
  <c r="CPW52" i="1"/>
  <c r="CPV52" i="1"/>
  <c r="CPU52" i="1"/>
  <c r="CPT52" i="1"/>
  <c r="CPS52" i="1"/>
  <c r="CPR52" i="1"/>
  <c r="CPQ52" i="1"/>
  <c r="CPP52" i="1"/>
  <c r="CPO52" i="1"/>
  <c r="CPN52" i="1"/>
  <c r="CPM52" i="1"/>
  <c r="CPL52" i="1"/>
  <c r="CPK52" i="1"/>
  <c r="CPJ52" i="1"/>
  <c r="CPI52" i="1"/>
  <c r="CPH52" i="1"/>
  <c r="CPG52" i="1"/>
  <c r="CPF52" i="1"/>
  <c r="CPE52" i="1"/>
  <c r="CPD52" i="1"/>
  <c r="CPC52" i="1"/>
  <c r="CPB52" i="1"/>
  <c r="CPA52" i="1"/>
  <c r="COZ52" i="1"/>
  <c r="COY52" i="1"/>
  <c r="COX52" i="1"/>
  <c r="COW52" i="1"/>
  <c r="COV52" i="1"/>
  <c r="COU52" i="1"/>
  <c r="COT52" i="1"/>
  <c r="COS52" i="1"/>
  <c r="COR52" i="1"/>
  <c r="COQ52" i="1"/>
  <c r="COP52" i="1"/>
  <c r="COO52" i="1"/>
  <c r="CON52" i="1"/>
  <c r="COM52" i="1"/>
  <c r="COL52" i="1"/>
  <c r="COK52" i="1"/>
  <c r="COJ52" i="1"/>
  <c r="COI52" i="1"/>
  <c r="COH52" i="1"/>
  <c r="COG52" i="1"/>
  <c r="COF52" i="1"/>
  <c r="COE52" i="1"/>
  <c r="COD52" i="1"/>
  <c r="COC52" i="1"/>
  <c r="COB52" i="1"/>
  <c r="COA52" i="1"/>
  <c r="CNZ52" i="1"/>
  <c r="CNY52" i="1"/>
  <c r="CNX52" i="1"/>
  <c r="CNW52" i="1"/>
  <c r="CNV52" i="1"/>
  <c r="CNU52" i="1"/>
  <c r="CNT52" i="1"/>
  <c r="CNS52" i="1"/>
  <c r="CNR52" i="1"/>
  <c r="CNQ52" i="1"/>
  <c r="CNP52" i="1"/>
  <c r="CNO52" i="1"/>
  <c r="CNN52" i="1"/>
  <c r="CNM52" i="1"/>
  <c r="CNL52" i="1"/>
  <c r="CNK52" i="1"/>
  <c r="CNJ52" i="1"/>
  <c r="CNI52" i="1"/>
  <c r="CNH52" i="1"/>
  <c r="CNG52" i="1"/>
  <c r="CNF52" i="1"/>
  <c r="CNE52" i="1"/>
  <c r="CND52" i="1"/>
  <c r="CNC52" i="1"/>
  <c r="CNB52" i="1"/>
  <c r="CNA52" i="1"/>
  <c r="CMZ52" i="1"/>
  <c r="CMY52" i="1"/>
  <c r="CMX52" i="1"/>
  <c r="CMW52" i="1"/>
  <c r="CMV52" i="1"/>
  <c r="CMU52" i="1"/>
  <c r="CMT52" i="1"/>
  <c r="CMS52" i="1"/>
  <c r="CMR52" i="1"/>
  <c r="CMQ52" i="1"/>
  <c r="CMP52" i="1"/>
  <c r="CMO52" i="1"/>
  <c r="CMN52" i="1"/>
  <c r="CMM52" i="1"/>
  <c r="CML52" i="1"/>
  <c r="CMK52" i="1"/>
  <c r="CMJ52" i="1"/>
  <c r="CMI52" i="1"/>
  <c r="CMH52" i="1"/>
  <c r="CMG52" i="1"/>
  <c r="CMF52" i="1"/>
  <c r="CME52" i="1"/>
  <c r="CMD52" i="1"/>
  <c r="CMC52" i="1"/>
  <c r="CMB52" i="1"/>
  <c r="CMA52" i="1"/>
  <c r="CLZ52" i="1"/>
  <c r="CLY52" i="1"/>
  <c r="CLX52" i="1"/>
  <c r="CLW52" i="1"/>
  <c r="CLV52" i="1"/>
  <c r="CLU52" i="1"/>
  <c r="CLT52" i="1"/>
  <c r="CLS52" i="1"/>
  <c r="CLR52" i="1"/>
  <c r="CLQ52" i="1"/>
  <c r="CLP52" i="1"/>
  <c r="CLO52" i="1"/>
  <c r="CLN52" i="1"/>
  <c r="CLM52" i="1"/>
  <c r="CLL52" i="1"/>
  <c r="CLK52" i="1"/>
  <c r="CLJ52" i="1"/>
  <c r="CLI52" i="1"/>
  <c r="CLH52" i="1"/>
  <c r="CLG52" i="1"/>
  <c r="CLF52" i="1"/>
  <c r="CLE52" i="1"/>
  <c r="CLD52" i="1"/>
  <c r="CLC52" i="1"/>
  <c r="CLB52" i="1"/>
  <c r="CLA52" i="1"/>
  <c r="CKZ52" i="1"/>
  <c r="CKY52" i="1"/>
  <c r="CKX52" i="1"/>
  <c r="CKW52" i="1"/>
  <c r="CKV52" i="1"/>
  <c r="CKU52" i="1"/>
  <c r="CKT52" i="1"/>
  <c r="CKS52" i="1"/>
  <c r="CKR52" i="1"/>
  <c r="CKQ52" i="1"/>
  <c r="CKP52" i="1"/>
  <c r="CKO52" i="1"/>
  <c r="CKN52" i="1"/>
  <c r="CKM52" i="1"/>
  <c r="CKL52" i="1"/>
  <c r="CKK52" i="1"/>
  <c r="CKJ52" i="1"/>
  <c r="CKI52" i="1"/>
  <c r="CKH52" i="1"/>
  <c r="CKG52" i="1"/>
  <c r="CKF52" i="1"/>
  <c r="CKE52" i="1"/>
  <c r="CKD52" i="1"/>
  <c r="CKC52" i="1"/>
  <c r="CKB52" i="1"/>
  <c r="CKA52" i="1"/>
  <c r="CJZ52" i="1"/>
  <c r="CJY52" i="1"/>
  <c r="CJX52" i="1"/>
  <c r="CJW52" i="1"/>
  <c r="CJV52" i="1"/>
  <c r="CJU52" i="1"/>
  <c r="CJT52" i="1"/>
  <c r="CJS52" i="1"/>
  <c r="CJR52" i="1"/>
  <c r="CJQ52" i="1"/>
  <c r="CJP52" i="1"/>
  <c r="CJO52" i="1"/>
  <c r="CJN52" i="1"/>
  <c r="CJM52" i="1"/>
  <c r="CJL52" i="1"/>
  <c r="CJK52" i="1"/>
  <c r="CJJ52" i="1"/>
  <c r="CJI52" i="1"/>
  <c r="CJH52" i="1"/>
  <c r="CJG52" i="1"/>
  <c r="CJF52" i="1"/>
  <c r="CJE52" i="1"/>
  <c r="CJD52" i="1"/>
  <c r="CJC52" i="1"/>
  <c r="CJB52" i="1"/>
  <c r="CJA52" i="1"/>
  <c r="CIZ52" i="1"/>
  <c r="CIY52" i="1"/>
  <c r="CIX52" i="1"/>
  <c r="CIW52" i="1"/>
  <c r="CIV52" i="1"/>
  <c r="CIU52" i="1"/>
  <c r="CIT52" i="1"/>
  <c r="CIS52" i="1"/>
  <c r="CIR52" i="1"/>
  <c r="CIQ52" i="1"/>
  <c r="CIP52" i="1"/>
  <c r="CIO52" i="1"/>
  <c r="CIN52" i="1"/>
  <c r="CIM52" i="1"/>
  <c r="CIL52" i="1"/>
  <c r="CIK52" i="1"/>
  <c r="CIJ52" i="1"/>
  <c r="CII52" i="1"/>
  <c r="CIH52" i="1"/>
  <c r="CIG52" i="1"/>
  <c r="CIF52" i="1"/>
  <c r="CIE52" i="1"/>
  <c r="CID52" i="1"/>
  <c r="CIC52" i="1"/>
  <c r="CIB52" i="1"/>
  <c r="CIA52" i="1"/>
  <c r="CHZ52" i="1"/>
  <c r="CHY52" i="1"/>
  <c r="CHX52" i="1"/>
  <c r="CHW52" i="1"/>
  <c r="CHV52" i="1"/>
  <c r="CHU52" i="1"/>
  <c r="CHT52" i="1"/>
  <c r="CHS52" i="1"/>
  <c r="CHR52" i="1"/>
  <c r="CHQ52" i="1"/>
  <c r="CHP52" i="1"/>
  <c r="CHO52" i="1"/>
  <c r="CHN52" i="1"/>
  <c r="CHM52" i="1"/>
  <c r="CHL52" i="1"/>
  <c r="CHK52" i="1"/>
  <c r="CHJ52" i="1"/>
  <c r="CHI52" i="1"/>
  <c r="CHH52" i="1"/>
  <c r="CHG52" i="1"/>
  <c r="CHF52" i="1"/>
  <c r="CHE52" i="1"/>
  <c r="CHD52" i="1"/>
  <c r="CHC52" i="1"/>
  <c r="CHB52" i="1"/>
  <c r="CHA52" i="1"/>
  <c r="CGZ52" i="1"/>
  <c r="CGY52" i="1"/>
  <c r="CGX52" i="1"/>
  <c r="CGW52" i="1"/>
  <c r="CGV52" i="1"/>
  <c r="CGU52" i="1"/>
  <c r="CGT52" i="1"/>
  <c r="CGS52" i="1"/>
  <c r="CGR52" i="1"/>
  <c r="CGQ52" i="1"/>
  <c r="CGP52" i="1"/>
  <c r="CGO52" i="1"/>
  <c r="CGN52" i="1"/>
  <c r="CGM52" i="1"/>
  <c r="CGL52" i="1"/>
  <c r="CGK52" i="1"/>
  <c r="CGJ52" i="1"/>
  <c r="CGI52" i="1"/>
  <c r="CGH52" i="1"/>
  <c r="CGG52" i="1"/>
  <c r="CGF52" i="1"/>
  <c r="CGE52" i="1"/>
  <c r="CGD52" i="1"/>
  <c r="CGC52" i="1"/>
  <c r="CGB52" i="1"/>
  <c r="CGA52" i="1"/>
  <c r="CFZ52" i="1"/>
  <c r="CFY52" i="1"/>
  <c r="CFX52" i="1"/>
  <c r="CFW52" i="1"/>
  <c r="CFV52" i="1"/>
  <c r="CFU52" i="1"/>
  <c r="CFT52" i="1"/>
  <c r="CFS52" i="1"/>
  <c r="CFR52" i="1"/>
  <c r="CFQ52" i="1"/>
  <c r="CFP52" i="1"/>
  <c r="CFO52" i="1"/>
  <c r="CFN52" i="1"/>
  <c r="CFM52" i="1"/>
  <c r="CFL52" i="1"/>
  <c r="CFK52" i="1"/>
  <c r="CFJ52" i="1"/>
  <c r="CFI52" i="1"/>
  <c r="CFH52" i="1"/>
  <c r="CFG52" i="1"/>
  <c r="CFF52" i="1"/>
  <c r="CFE52" i="1"/>
  <c r="CFD52" i="1"/>
  <c r="CFC52" i="1"/>
  <c r="CFB52" i="1"/>
  <c r="CFA52" i="1"/>
  <c r="CEZ52" i="1"/>
  <c r="CEY52" i="1"/>
  <c r="CEX52" i="1"/>
  <c r="CEW52" i="1"/>
  <c r="CEV52" i="1"/>
  <c r="CEU52" i="1"/>
  <c r="CET52" i="1"/>
  <c r="CES52" i="1"/>
  <c r="CER52" i="1"/>
  <c r="CEQ52" i="1"/>
  <c r="CEP52" i="1"/>
  <c r="CEO52" i="1"/>
  <c r="CEN52" i="1"/>
  <c r="CEM52" i="1"/>
  <c r="CEL52" i="1"/>
  <c r="CEK52" i="1"/>
  <c r="CEJ52" i="1"/>
  <c r="CEI52" i="1"/>
  <c r="CEH52" i="1"/>
  <c r="CEG52" i="1"/>
  <c r="CEF52" i="1"/>
  <c r="CEE52" i="1"/>
  <c r="CED52" i="1"/>
  <c r="CEC52" i="1"/>
  <c r="CEB52" i="1"/>
  <c r="CEA52" i="1"/>
  <c r="CDZ52" i="1"/>
  <c r="CDY52" i="1"/>
  <c r="CDX52" i="1"/>
  <c r="CDW52" i="1"/>
  <c r="CDV52" i="1"/>
  <c r="CDU52" i="1"/>
  <c r="CDT52" i="1"/>
  <c r="CDS52" i="1"/>
  <c r="CDR52" i="1"/>
  <c r="CDQ52" i="1"/>
  <c r="CDP52" i="1"/>
  <c r="CDO52" i="1"/>
  <c r="CDN52" i="1"/>
  <c r="CDM52" i="1"/>
  <c r="CDL52" i="1"/>
  <c r="CDK52" i="1"/>
  <c r="CDJ52" i="1"/>
  <c r="CDI52" i="1"/>
  <c r="CDH52" i="1"/>
  <c r="CDG52" i="1"/>
  <c r="CDF52" i="1"/>
  <c r="CDE52" i="1"/>
  <c r="CDD52" i="1"/>
  <c r="CDC52" i="1"/>
  <c r="CDB52" i="1"/>
  <c r="CDA52" i="1"/>
  <c r="CCZ52" i="1"/>
  <c r="CCY52" i="1"/>
  <c r="CCX52" i="1"/>
  <c r="CCW52" i="1"/>
  <c r="CCV52" i="1"/>
  <c r="CCU52" i="1"/>
  <c r="CCT52" i="1"/>
  <c r="CCS52" i="1"/>
  <c r="CCR52" i="1"/>
  <c r="CCQ52" i="1"/>
  <c r="CCP52" i="1"/>
  <c r="CCO52" i="1"/>
  <c r="CCN52" i="1"/>
  <c r="CCM52" i="1"/>
  <c r="CCL52" i="1"/>
  <c r="CCK52" i="1"/>
  <c r="CCJ52" i="1"/>
  <c r="CCI52" i="1"/>
  <c r="CCH52" i="1"/>
  <c r="CCG52" i="1"/>
  <c r="CCF52" i="1"/>
  <c r="CCE52" i="1"/>
  <c r="CCD52" i="1"/>
  <c r="CCC52" i="1"/>
  <c r="CCB52" i="1"/>
  <c r="CCA52" i="1"/>
  <c r="CBZ52" i="1"/>
  <c r="CBY52" i="1"/>
  <c r="CBX52" i="1"/>
  <c r="CBW52" i="1"/>
  <c r="CBV52" i="1"/>
  <c r="CBU52" i="1"/>
  <c r="CBT52" i="1"/>
  <c r="CBS52" i="1"/>
  <c r="CBR52" i="1"/>
  <c r="CBQ52" i="1"/>
  <c r="CBP52" i="1"/>
  <c r="CBO52" i="1"/>
  <c r="CBN52" i="1"/>
  <c r="CBM52" i="1"/>
  <c r="CBL52" i="1"/>
  <c r="CBK52" i="1"/>
  <c r="CBJ52" i="1"/>
  <c r="CBI52" i="1"/>
  <c r="CBH52" i="1"/>
  <c r="CBG52" i="1"/>
  <c r="CBF52" i="1"/>
  <c r="CBE52" i="1"/>
  <c r="CBD52" i="1"/>
  <c r="CBC52" i="1"/>
  <c r="CBB52" i="1"/>
  <c r="CBA52" i="1"/>
  <c r="CAZ52" i="1"/>
  <c r="CAY52" i="1"/>
  <c r="CAX52" i="1"/>
  <c r="CAW52" i="1"/>
  <c r="CAV52" i="1"/>
  <c r="CAU52" i="1"/>
  <c r="CAT52" i="1"/>
  <c r="CAS52" i="1"/>
  <c r="CAR52" i="1"/>
  <c r="CAQ52" i="1"/>
  <c r="CAP52" i="1"/>
  <c r="CAO52" i="1"/>
  <c r="CAN52" i="1"/>
  <c r="CAM52" i="1"/>
  <c r="CAL52" i="1"/>
  <c r="CAK52" i="1"/>
  <c r="CAJ52" i="1"/>
  <c r="CAI52" i="1"/>
  <c r="CAH52" i="1"/>
  <c r="CAG52" i="1"/>
  <c r="CAF52" i="1"/>
  <c r="CAE52" i="1"/>
  <c r="CAD52" i="1"/>
  <c r="CAC52" i="1"/>
  <c r="CAB52" i="1"/>
  <c r="CAA52" i="1"/>
  <c r="BZZ52" i="1"/>
  <c r="BZY52" i="1"/>
  <c r="BZX52" i="1"/>
  <c r="BZW52" i="1"/>
  <c r="BZV52" i="1"/>
  <c r="BZU52" i="1"/>
  <c r="BZT52" i="1"/>
  <c r="BZS52" i="1"/>
  <c r="BZR52" i="1"/>
  <c r="BZQ52" i="1"/>
  <c r="BZP52" i="1"/>
  <c r="BZO52" i="1"/>
  <c r="BZN52" i="1"/>
  <c r="BZM52" i="1"/>
  <c r="BZL52" i="1"/>
  <c r="BZK52" i="1"/>
  <c r="BZJ52" i="1"/>
  <c r="BZI52" i="1"/>
  <c r="BZH52" i="1"/>
  <c r="BZG52" i="1"/>
  <c r="BZF52" i="1"/>
  <c r="BZE52" i="1"/>
  <c r="BZD52" i="1"/>
  <c r="BZC52" i="1"/>
  <c r="BZB52" i="1"/>
  <c r="BZA52" i="1"/>
  <c r="BYZ52" i="1"/>
  <c r="BYY52" i="1"/>
  <c r="BYX52" i="1"/>
  <c r="BYW52" i="1"/>
  <c r="BYV52" i="1"/>
  <c r="BYU52" i="1"/>
  <c r="BYT52" i="1"/>
  <c r="BYS52" i="1"/>
  <c r="BYR52" i="1"/>
  <c r="BYQ52" i="1"/>
  <c r="BYP52" i="1"/>
  <c r="BYO52" i="1"/>
  <c r="BYN52" i="1"/>
  <c r="BYM52" i="1"/>
  <c r="BYL52" i="1"/>
  <c r="BYK52" i="1"/>
  <c r="BYJ52" i="1"/>
  <c r="BYI52" i="1"/>
  <c r="BYH52" i="1"/>
  <c r="BYG52" i="1"/>
  <c r="BYF52" i="1"/>
  <c r="BYE52" i="1"/>
  <c r="BYD52" i="1"/>
  <c r="BYC52" i="1"/>
  <c r="BYB52" i="1"/>
  <c r="BYA52" i="1"/>
  <c r="BXZ52" i="1"/>
  <c r="BXY52" i="1"/>
  <c r="BXX52" i="1"/>
  <c r="BXW52" i="1"/>
  <c r="BXV52" i="1"/>
  <c r="BXU52" i="1"/>
  <c r="BXT52" i="1"/>
  <c r="BXS52" i="1"/>
  <c r="BXR52" i="1"/>
  <c r="BXQ52" i="1"/>
  <c r="BXP52" i="1"/>
  <c r="BXO52" i="1"/>
  <c r="BXN52" i="1"/>
  <c r="BXM52" i="1"/>
  <c r="BXL52" i="1"/>
  <c r="BXK52" i="1"/>
  <c r="BXJ52" i="1"/>
  <c r="BXI52" i="1"/>
  <c r="BXH52" i="1"/>
  <c r="BXG52" i="1"/>
  <c r="BXF52" i="1"/>
  <c r="BXE52" i="1"/>
  <c r="BXD52" i="1"/>
  <c r="BXC52" i="1"/>
  <c r="BXB52" i="1"/>
  <c r="BXA52" i="1"/>
  <c r="BWZ52" i="1"/>
  <c r="BWY52" i="1"/>
  <c r="BWX52" i="1"/>
  <c r="BWW52" i="1"/>
  <c r="BWV52" i="1"/>
  <c r="BWU52" i="1"/>
  <c r="BWT52" i="1"/>
  <c r="BWS52" i="1"/>
  <c r="BWR52" i="1"/>
  <c r="BWQ52" i="1"/>
  <c r="BWP52" i="1"/>
  <c r="BWO52" i="1"/>
  <c r="BWN52" i="1"/>
  <c r="BWM52" i="1"/>
  <c r="BWL52" i="1"/>
  <c r="BWK52" i="1"/>
  <c r="BWJ52" i="1"/>
  <c r="BWI52" i="1"/>
  <c r="BWH52" i="1"/>
  <c r="BWG52" i="1"/>
  <c r="BWF52" i="1"/>
  <c r="BWE52" i="1"/>
  <c r="BWD52" i="1"/>
  <c r="BWC52" i="1"/>
  <c r="BWB52" i="1"/>
  <c r="BWA52" i="1"/>
  <c r="BVZ52" i="1"/>
  <c r="BVY52" i="1"/>
  <c r="BVX52" i="1"/>
  <c r="BVW52" i="1"/>
  <c r="BVV52" i="1"/>
  <c r="BVU52" i="1"/>
  <c r="BVT52" i="1"/>
  <c r="BVS52" i="1"/>
  <c r="BVR52" i="1"/>
  <c r="BVQ52" i="1"/>
  <c r="BVP52" i="1"/>
  <c r="BVO52" i="1"/>
  <c r="BVN52" i="1"/>
  <c r="BVM52" i="1"/>
  <c r="BVL52" i="1"/>
  <c r="BVK52" i="1"/>
  <c r="BVJ52" i="1"/>
  <c r="BVI52" i="1"/>
  <c r="BVH52" i="1"/>
  <c r="BVG52" i="1"/>
  <c r="BVF52" i="1"/>
  <c r="BVE52" i="1"/>
  <c r="BVD52" i="1"/>
  <c r="BVC52" i="1"/>
  <c r="BVB52" i="1"/>
  <c r="BVA52" i="1"/>
  <c r="BUZ52" i="1"/>
  <c r="BUY52" i="1"/>
  <c r="BUX52" i="1"/>
  <c r="BUW52" i="1"/>
  <c r="BUV52" i="1"/>
  <c r="BUU52" i="1"/>
  <c r="BUT52" i="1"/>
  <c r="BUS52" i="1"/>
  <c r="BUR52" i="1"/>
  <c r="BUQ52" i="1"/>
  <c r="BUP52" i="1"/>
  <c r="BUO52" i="1"/>
  <c r="BUN52" i="1"/>
  <c r="BUM52" i="1"/>
  <c r="BUL52" i="1"/>
  <c r="BUK52" i="1"/>
  <c r="BUJ52" i="1"/>
  <c r="BUI52" i="1"/>
  <c r="BUH52" i="1"/>
  <c r="BUG52" i="1"/>
  <c r="BUF52" i="1"/>
  <c r="BUE52" i="1"/>
  <c r="BUD52" i="1"/>
  <c r="BUC52" i="1"/>
  <c r="BUB52" i="1"/>
  <c r="BUA52" i="1"/>
  <c r="BTZ52" i="1"/>
  <c r="BTY52" i="1"/>
  <c r="BTX52" i="1"/>
  <c r="BTW52" i="1"/>
  <c r="BTV52" i="1"/>
  <c r="BTU52" i="1"/>
  <c r="BTT52" i="1"/>
  <c r="BTS52" i="1"/>
  <c r="BTR52" i="1"/>
  <c r="BTQ52" i="1"/>
  <c r="BTP52" i="1"/>
  <c r="BTO52" i="1"/>
  <c r="BTN52" i="1"/>
  <c r="BTM52" i="1"/>
  <c r="BTL52" i="1"/>
  <c r="BTK52" i="1"/>
  <c r="BTJ52" i="1"/>
  <c r="BTI52" i="1"/>
  <c r="BTH52" i="1"/>
  <c r="BTG52" i="1"/>
  <c r="BTF52" i="1"/>
  <c r="BTE52" i="1"/>
  <c r="BTD52" i="1"/>
  <c r="BTC52" i="1"/>
  <c r="BTB52" i="1"/>
  <c r="BTA52" i="1"/>
  <c r="BSZ52" i="1"/>
  <c r="BSY52" i="1"/>
  <c r="BSX52" i="1"/>
  <c r="BSW52" i="1"/>
  <c r="BSV52" i="1"/>
  <c r="BSU52" i="1"/>
  <c r="BST52" i="1"/>
  <c r="BSS52" i="1"/>
  <c r="BSR52" i="1"/>
  <c r="BSQ52" i="1"/>
  <c r="BSP52" i="1"/>
  <c r="BSO52" i="1"/>
  <c r="BSN52" i="1"/>
  <c r="BSM52" i="1"/>
  <c r="BSL52" i="1"/>
  <c r="BSK52" i="1"/>
  <c r="BSJ52" i="1"/>
  <c r="BSI52" i="1"/>
  <c r="BSH52" i="1"/>
  <c r="BSG52" i="1"/>
  <c r="BSF52" i="1"/>
  <c r="BSE52" i="1"/>
  <c r="BSD52" i="1"/>
  <c r="BSC52" i="1"/>
  <c r="BSB52" i="1"/>
  <c r="BSA52" i="1"/>
  <c r="BRZ52" i="1"/>
  <c r="BRY52" i="1"/>
  <c r="BRX52" i="1"/>
  <c r="BRW52" i="1"/>
  <c r="BRV52" i="1"/>
  <c r="BRU52" i="1"/>
  <c r="BRT52" i="1"/>
  <c r="BRS52" i="1"/>
  <c r="BRR52" i="1"/>
  <c r="BRQ52" i="1"/>
  <c r="BRP52" i="1"/>
  <c r="BRO52" i="1"/>
  <c r="BRN52" i="1"/>
  <c r="BRM52" i="1"/>
  <c r="BRL52" i="1"/>
  <c r="BRK52" i="1"/>
  <c r="BRJ52" i="1"/>
  <c r="BRI52" i="1"/>
  <c r="BRH52" i="1"/>
  <c r="BRG52" i="1"/>
  <c r="BRF52" i="1"/>
  <c r="BRE52" i="1"/>
  <c r="BRD52" i="1"/>
  <c r="BRC52" i="1"/>
  <c r="BRB52" i="1"/>
  <c r="BRA52" i="1"/>
  <c r="BQZ52" i="1"/>
  <c r="BQY52" i="1"/>
  <c r="BQX52" i="1"/>
  <c r="BQW52" i="1"/>
  <c r="BQV52" i="1"/>
  <c r="BQU52" i="1"/>
  <c r="BQT52" i="1"/>
  <c r="BQS52" i="1"/>
  <c r="BQR52" i="1"/>
  <c r="BQQ52" i="1"/>
  <c r="BQP52" i="1"/>
  <c r="BQO52" i="1"/>
  <c r="BQN52" i="1"/>
  <c r="BQM52" i="1"/>
  <c r="BQL52" i="1"/>
  <c r="BQK52" i="1"/>
  <c r="BQJ52" i="1"/>
  <c r="BQI52" i="1"/>
  <c r="BQH52" i="1"/>
  <c r="BQG52" i="1"/>
  <c r="BQF52" i="1"/>
  <c r="BQE52" i="1"/>
  <c r="BQD52" i="1"/>
  <c r="BQC52" i="1"/>
  <c r="BQB52" i="1"/>
  <c r="BQA52" i="1"/>
  <c r="BPZ52" i="1"/>
  <c r="BPY52" i="1"/>
  <c r="BPX52" i="1"/>
  <c r="BPW52" i="1"/>
  <c r="BPV52" i="1"/>
  <c r="BPU52" i="1"/>
  <c r="BPT52" i="1"/>
  <c r="BPS52" i="1"/>
  <c r="BPR52" i="1"/>
  <c r="BPQ52" i="1"/>
  <c r="BPP52" i="1"/>
  <c r="BPO52" i="1"/>
  <c r="BPN52" i="1"/>
  <c r="BPM52" i="1"/>
  <c r="BPL52" i="1"/>
  <c r="BPK52" i="1"/>
  <c r="BPJ52" i="1"/>
  <c r="BPI52" i="1"/>
  <c r="BPH52" i="1"/>
  <c r="BPG52" i="1"/>
  <c r="BPF52" i="1"/>
  <c r="BPE52" i="1"/>
  <c r="BPD52" i="1"/>
  <c r="BPC52" i="1"/>
  <c r="BPB52" i="1"/>
  <c r="BPA52" i="1"/>
  <c r="BOZ52" i="1"/>
  <c r="BOY52" i="1"/>
  <c r="BOX52" i="1"/>
  <c r="BOW52" i="1"/>
  <c r="BOV52" i="1"/>
  <c r="BOU52" i="1"/>
  <c r="BOT52" i="1"/>
  <c r="BOS52" i="1"/>
  <c r="BOR52" i="1"/>
  <c r="BOQ52" i="1"/>
  <c r="BOP52" i="1"/>
  <c r="BOO52" i="1"/>
  <c r="BON52" i="1"/>
  <c r="BOM52" i="1"/>
  <c r="BOL52" i="1"/>
  <c r="BOK52" i="1"/>
  <c r="BOJ52" i="1"/>
  <c r="BOI52" i="1"/>
  <c r="BOH52" i="1"/>
  <c r="BOG52" i="1"/>
  <c r="BOF52" i="1"/>
  <c r="BOE52" i="1"/>
  <c r="BOD52" i="1"/>
  <c r="BOC52" i="1"/>
  <c r="BOB52" i="1"/>
  <c r="BOA52" i="1"/>
  <c r="BNZ52" i="1"/>
  <c r="BNY52" i="1"/>
  <c r="BNX52" i="1"/>
  <c r="BNW52" i="1"/>
  <c r="BNV52" i="1"/>
  <c r="BNU52" i="1"/>
  <c r="BNT52" i="1"/>
  <c r="BNS52" i="1"/>
  <c r="BNR52" i="1"/>
  <c r="BNQ52" i="1"/>
  <c r="BNP52" i="1"/>
  <c r="BNO52" i="1"/>
  <c r="BNN52" i="1"/>
  <c r="BNM52" i="1"/>
  <c r="BNL52" i="1"/>
  <c r="BNK52" i="1"/>
  <c r="BNJ52" i="1"/>
  <c r="BNI52" i="1"/>
  <c r="BNH52" i="1"/>
  <c r="BNG52" i="1"/>
  <c r="BNF52" i="1"/>
  <c r="BNE52" i="1"/>
  <c r="BND52" i="1"/>
  <c r="BNC52" i="1"/>
  <c r="BNB52" i="1"/>
  <c r="BNA52" i="1"/>
  <c r="BMZ52" i="1"/>
  <c r="BMY52" i="1"/>
  <c r="BMX52" i="1"/>
  <c r="BMW52" i="1"/>
  <c r="BMV52" i="1"/>
  <c r="BMU52" i="1"/>
  <c r="BMT52" i="1"/>
  <c r="BMS52" i="1"/>
  <c r="BMR52" i="1"/>
  <c r="BMQ52" i="1"/>
  <c r="BMP52" i="1"/>
  <c r="BMO52" i="1"/>
  <c r="BMN52" i="1"/>
  <c r="BMM52" i="1"/>
  <c r="BML52" i="1"/>
  <c r="BMK52" i="1"/>
  <c r="BMJ52" i="1"/>
  <c r="BMI52" i="1"/>
  <c r="BMH52" i="1"/>
  <c r="BMG52" i="1"/>
  <c r="BMF52" i="1"/>
  <c r="BME52" i="1"/>
  <c r="BMD52" i="1"/>
  <c r="BMC52" i="1"/>
  <c r="BMB52" i="1"/>
  <c r="BMA52" i="1"/>
  <c r="BLZ52" i="1"/>
  <c r="BLY52" i="1"/>
  <c r="BLX52" i="1"/>
  <c r="BLW52" i="1"/>
  <c r="BLV52" i="1"/>
  <c r="BLU52" i="1"/>
  <c r="BLT52" i="1"/>
  <c r="BLS52" i="1"/>
  <c r="BLR52" i="1"/>
  <c r="BLQ52" i="1"/>
  <c r="BLP52" i="1"/>
  <c r="BLO52" i="1"/>
  <c r="BLN52" i="1"/>
  <c r="BLM52" i="1"/>
  <c r="BLL52" i="1"/>
  <c r="BLK52" i="1"/>
  <c r="BLJ52" i="1"/>
  <c r="BLI52" i="1"/>
  <c r="BLH52" i="1"/>
  <c r="BLG52" i="1"/>
  <c r="BLF52" i="1"/>
  <c r="BLE52" i="1"/>
  <c r="BLD52" i="1"/>
  <c r="BLC52" i="1"/>
  <c r="BLB52" i="1"/>
  <c r="BLA52" i="1"/>
  <c r="BKZ52" i="1"/>
  <c r="BKY52" i="1"/>
  <c r="BKX52" i="1"/>
  <c r="BKW52" i="1"/>
  <c r="BKV52" i="1"/>
  <c r="BKU52" i="1"/>
  <c r="BKT52" i="1"/>
  <c r="BKS52" i="1"/>
  <c r="BKR52" i="1"/>
  <c r="BKQ52" i="1"/>
  <c r="BKP52" i="1"/>
  <c r="BKO52" i="1"/>
  <c r="BKN52" i="1"/>
  <c r="BKM52" i="1"/>
  <c r="BKL52" i="1"/>
  <c r="BKK52" i="1"/>
  <c r="BKJ52" i="1"/>
  <c r="BKI52" i="1"/>
  <c r="BKH52" i="1"/>
  <c r="BKG52" i="1"/>
  <c r="BKF52" i="1"/>
  <c r="BKE52" i="1"/>
  <c r="BKD52" i="1"/>
  <c r="BKC52" i="1"/>
  <c r="BKB52" i="1"/>
  <c r="BKA52" i="1"/>
  <c r="BJZ52" i="1"/>
  <c r="BJY52" i="1"/>
  <c r="BJX52" i="1"/>
  <c r="BJW52" i="1"/>
  <c r="BJV52" i="1"/>
  <c r="BJU52" i="1"/>
  <c r="BJT52" i="1"/>
  <c r="BJS52" i="1"/>
  <c r="BJR52" i="1"/>
  <c r="BJQ52" i="1"/>
  <c r="BJP52" i="1"/>
  <c r="BJO52" i="1"/>
  <c r="BJN52" i="1"/>
  <c r="BJM52" i="1"/>
  <c r="BJL52" i="1"/>
  <c r="BJK52" i="1"/>
  <c r="BJJ52" i="1"/>
  <c r="BJI52" i="1"/>
  <c r="BJH52" i="1"/>
  <c r="BJG52" i="1"/>
  <c r="BJF52" i="1"/>
  <c r="BJE52" i="1"/>
  <c r="BJD52" i="1"/>
  <c r="BJC52" i="1"/>
  <c r="BJB52" i="1"/>
  <c r="BJA52" i="1"/>
  <c r="BIZ52" i="1"/>
  <c r="BIY52" i="1"/>
  <c r="BIX52" i="1"/>
  <c r="BIW52" i="1"/>
  <c r="BIV52" i="1"/>
  <c r="BIU52" i="1"/>
  <c r="BIT52" i="1"/>
  <c r="BIS52" i="1"/>
  <c r="BIR52" i="1"/>
  <c r="BIQ52" i="1"/>
  <c r="BIP52" i="1"/>
  <c r="BIO52" i="1"/>
  <c r="BIN52" i="1"/>
  <c r="BIM52" i="1"/>
  <c r="BIL52" i="1"/>
  <c r="BIK52" i="1"/>
  <c r="BIJ52" i="1"/>
  <c r="BII52" i="1"/>
  <c r="BIH52" i="1"/>
  <c r="BIG52" i="1"/>
  <c r="BIF52" i="1"/>
  <c r="BIE52" i="1"/>
  <c r="BID52" i="1"/>
  <c r="BIC52" i="1"/>
  <c r="BIB52" i="1"/>
  <c r="BIA52" i="1"/>
  <c r="BHZ52" i="1"/>
  <c r="BHY52" i="1"/>
  <c r="BHX52" i="1"/>
  <c r="BHW52" i="1"/>
  <c r="BHV52" i="1"/>
  <c r="BHU52" i="1"/>
  <c r="BHT52" i="1"/>
  <c r="BHS52" i="1"/>
  <c r="BHR52" i="1"/>
  <c r="BHQ52" i="1"/>
  <c r="BHP52" i="1"/>
  <c r="BHO52" i="1"/>
  <c r="BHN52" i="1"/>
  <c r="BHM52" i="1"/>
  <c r="BHL52" i="1"/>
  <c r="BHK52" i="1"/>
  <c r="BHJ52" i="1"/>
  <c r="BHI52" i="1"/>
  <c r="BHH52" i="1"/>
  <c r="BHG52" i="1"/>
  <c r="BHF52" i="1"/>
  <c r="BHE52" i="1"/>
  <c r="BHD52" i="1"/>
  <c r="BHC52" i="1"/>
  <c r="BHB52" i="1"/>
  <c r="BHA52" i="1"/>
  <c r="BGZ52" i="1"/>
  <c r="BGY52" i="1"/>
  <c r="BGX52" i="1"/>
  <c r="BGW52" i="1"/>
  <c r="BGV52" i="1"/>
  <c r="BGU52" i="1"/>
  <c r="BGT52" i="1"/>
  <c r="BGS52" i="1"/>
  <c r="BGR52" i="1"/>
  <c r="BGQ52" i="1"/>
  <c r="BGP52" i="1"/>
  <c r="BGO52" i="1"/>
  <c r="BGN52" i="1"/>
  <c r="BGM52" i="1"/>
  <c r="BGL52" i="1"/>
  <c r="BGK52" i="1"/>
  <c r="BGJ52" i="1"/>
  <c r="BGI52" i="1"/>
  <c r="BGH52" i="1"/>
  <c r="BGG52" i="1"/>
  <c r="BGF52" i="1"/>
  <c r="BGE52" i="1"/>
  <c r="BGD52" i="1"/>
  <c r="BGC52" i="1"/>
  <c r="BGB52" i="1"/>
  <c r="BGA52" i="1"/>
  <c r="BFZ52" i="1"/>
  <c r="BFY52" i="1"/>
  <c r="BFX52" i="1"/>
  <c r="BFW52" i="1"/>
  <c r="BFV52" i="1"/>
  <c r="BFU52" i="1"/>
  <c r="BFT52" i="1"/>
  <c r="BFS52" i="1"/>
  <c r="BFR52" i="1"/>
  <c r="BFQ52" i="1"/>
  <c r="BFP52" i="1"/>
  <c r="BFO52" i="1"/>
  <c r="BFN52" i="1"/>
  <c r="BFM52" i="1"/>
  <c r="BFL52" i="1"/>
  <c r="BFK52" i="1"/>
  <c r="BFJ52" i="1"/>
  <c r="BFI52" i="1"/>
  <c r="BFH52" i="1"/>
  <c r="BFG52" i="1"/>
  <c r="BFF52" i="1"/>
  <c r="BFE52" i="1"/>
  <c r="BFD52" i="1"/>
  <c r="BFC52" i="1"/>
  <c r="BFB52" i="1"/>
  <c r="BFA52" i="1"/>
  <c r="BEZ52" i="1"/>
  <c r="BEY52" i="1"/>
  <c r="BEX52" i="1"/>
  <c r="BEW52" i="1"/>
  <c r="BEV52" i="1"/>
  <c r="BEU52" i="1"/>
  <c r="BET52" i="1"/>
  <c r="BES52" i="1"/>
  <c r="BER52" i="1"/>
  <c r="BEQ52" i="1"/>
  <c r="BEP52" i="1"/>
  <c r="BEO52" i="1"/>
  <c r="BEN52" i="1"/>
  <c r="BEM52" i="1"/>
  <c r="BEL52" i="1"/>
  <c r="BEK52" i="1"/>
  <c r="BEJ52" i="1"/>
  <c r="BEI52" i="1"/>
  <c r="BEH52" i="1"/>
  <c r="BEG52" i="1"/>
  <c r="BEF52" i="1"/>
  <c r="BEE52" i="1"/>
  <c r="BED52" i="1"/>
  <c r="BEC52" i="1"/>
  <c r="BEB52" i="1"/>
  <c r="BEA52" i="1"/>
  <c r="BDZ52" i="1"/>
  <c r="BDY52" i="1"/>
  <c r="BDX52" i="1"/>
  <c r="BDW52" i="1"/>
  <c r="BDV52" i="1"/>
  <c r="BDU52" i="1"/>
  <c r="BDT52" i="1"/>
  <c r="BDS52" i="1"/>
  <c r="BDR52" i="1"/>
  <c r="BDQ52" i="1"/>
  <c r="BDP52" i="1"/>
  <c r="BDO52" i="1"/>
  <c r="BDN52" i="1"/>
  <c r="BDM52" i="1"/>
  <c r="BDL52" i="1"/>
  <c r="BDK52" i="1"/>
  <c r="BDJ52" i="1"/>
  <c r="BDI52" i="1"/>
  <c r="BDH52" i="1"/>
  <c r="BDG52" i="1"/>
  <c r="BDF52" i="1"/>
  <c r="BDE52" i="1"/>
  <c r="BDD52" i="1"/>
  <c r="BDC52" i="1"/>
  <c r="BDB52" i="1"/>
  <c r="BDA52" i="1"/>
  <c r="BCZ52" i="1"/>
  <c r="BCY52" i="1"/>
  <c r="BCX52" i="1"/>
  <c r="BCW52" i="1"/>
  <c r="BCV52" i="1"/>
  <c r="BCU52" i="1"/>
  <c r="BCT52" i="1"/>
  <c r="BCS52" i="1"/>
  <c r="BCR52" i="1"/>
  <c r="BCQ52" i="1"/>
  <c r="BCP52" i="1"/>
  <c r="BCO52" i="1"/>
  <c r="BCN52" i="1"/>
  <c r="BCM52" i="1"/>
  <c r="BCL52" i="1"/>
  <c r="BCK52" i="1"/>
  <c r="BCJ52" i="1"/>
  <c r="BCI52" i="1"/>
  <c r="BCH52" i="1"/>
  <c r="BCG52" i="1"/>
  <c r="BCF52" i="1"/>
  <c r="BCE52" i="1"/>
  <c r="BCD52" i="1"/>
  <c r="BCC52" i="1"/>
  <c r="BCB52" i="1"/>
  <c r="BCA52" i="1"/>
  <c r="BBZ52" i="1"/>
  <c r="BBY52" i="1"/>
  <c r="BBX52" i="1"/>
  <c r="BBW52" i="1"/>
  <c r="BBV52" i="1"/>
  <c r="BBU52" i="1"/>
  <c r="BBT52" i="1"/>
  <c r="BBS52" i="1"/>
  <c r="BBR52" i="1"/>
  <c r="BBQ52" i="1"/>
  <c r="BBP52" i="1"/>
  <c r="BBO52" i="1"/>
  <c r="BBN52" i="1"/>
  <c r="BBM52" i="1"/>
  <c r="BBL52" i="1"/>
  <c r="BBK52" i="1"/>
  <c r="BBJ52" i="1"/>
  <c r="BBI52" i="1"/>
  <c r="BBH52" i="1"/>
  <c r="BBG52" i="1"/>
  <c r="BBF52" i="1"/>
  <c r="BBE52" i="1"/>
  <c r="BBD52" i="1"/>
  <c r="BBC52" i="1"/>
  <c r="BBB52" i="1"/>
  <c r="BBA52" i="1"/>
  <c r="BAZ52" i="1"/>
  <c r="BAY52" i="1"/>
  <c r="BAX52" i="1"/>
  <c r="BAW52" i="1"/>
  <c r="BAV52" i="1"/>
  <c r="BAU52" i="1"/>
  <c r="BAT52" i="1"/>
  <c r="BAS52" i="1"/>
  <c r="BAR52" i="1"/>
  <c r="BAQ52" i="1"/>
  <c r="BAP52" i="1"/>
  <c r="BAO52" i="1"/>
  <c r="BAN52" i="1"/>
  <c r="BAM52" i="1"/>
  <c r="BAL52" i="1"/>
  <c r="BAK52" i="1"/>
  <c r="BAJ52" i="1"/>
  <c r="BAI52" i="1"/>
  <c r="BAH52" i="1"/>
  <c r="BAG52" i="1"/>
  <c r="BAF52" i="1"/>
  <c r="BAE52" i="1"/>
  <c r="BAD52" i="1"/>
  <c r="BAC52" i="1"/>
  <c r="BAB52" i="1"/>
  <c r="BAA52" i="1"/>
  <c r="AZZ52" i="1"/>
  <c r="AZY52" i="1"/>
  <c r="AZX52" i="1"/>
  <c r="AZW52" i="1"/>
  <c r="AZV52" i="1"/>
  <c r="AZU52" i="1"/>
  <c r="AZT52" i="1"/>
  <c r="AZS52" i="1"/>
  <c r="AZR52" i="1"/>
  <c r="AZQ52" i="1"/>
  <c r="AZP52" i="1"/>
  <c r="AZO52" i="1"/>
  <c r="AZN52" i="1"/>
  <c r="AZM52" i="1"/>
  <c r="AZL52" i="1"/>
  <c r="AZK52" i="1"/>
  <c r="AZJ52" i="1"/>
  <c r="AZI52" i="1"/>
  <c r="AZH52" i="1"/>
  <c r="AZG52" i="1"/>
  <c r="AZF52" i="1"/>
  <c r="AZE52" i="1"/>
  <c r="AZD52" i="1"/>
  <c r="AZC52" i="1"/>
  <c r="AZB52" i="1"/>
  <c r="AZA52" i="1"/>
  <c r="AYZ52" i="1"/>
  <c r="AYY52" i="1"/>
  <c r="AYX52" i="1"/>
  <c r="AYW52" i="1"/>
  <c r="AYV52" i="1"/>
  <c r="AYU52" i="1"/>
  <c r="AYT52" i="1"/>
  <c r="AYS52" i="1"/>
  <c r="AYR52" i="1"/>
  <c r="AYQ52" i="1"/>
  <c r="AYP52" i="1"/>
  <c r="AYO52" i="1"/>
  <c r="AYN52" i="1"/>
  <c r="AYM52" i="1"/>
  <c r="AYL52" i="1"/>
  <c r="AYK52" i="1"/>
  <c r="AYJ52" i="1"/>
  <c r="AYI52" i="1"/>
  <c r="AYH52" i="1"/>
  <c r="AYG52" i="1"/>
  <c r="AYF52" i="1"/>
  <c r="AYE52" i="1"/>
  <c r="AYD52" i="1"/>
  <c r="AYC52" i="1"/>
  <c r="AYB52" i="1"/>
  <c r="AYA52" i="1"/>
  <c r="AXZ52" i="1"/>
  <c r="AXY52" i="1"/>
  <c r="AXX52" i="1"/>
  <c r="AXW52" i="1"/>
  <c r="AXV52" i="1"/>
  <c r="AXU52" i="1"/>
  <c r="AXT52" i="1"/>
  <c r="AXS52" i="1"/>
  <c r="AXR52" i="1"/>
  <c r="AXQ52" i="1"/>
  <c r="AXP52" i="1"/>
  <c r="AXO52" i="1"/>
  <c r="AXN52" i="1"/>
  <c r="AXM52" i="1"/>
  <c r="AXL52" i="1"/>
  <c r="AXK52" i="1"/>
  <c r="AXJ52" i="1"/>
  <c r="AXI52" i="1"/>
  <c r="AXH52" i="1"/>
  <c r="AXG52" i="1"/>
  <c r="AXF52" i="1"/>
  <c r="AXE52" i="1"/>
  <c r="AXD52" i="1"/>
  <c r="AXC52" i="1"/>
  <c r="AXB52" i="1"/>
  <c r="AXA52" i="1"/>
  <c r="AWZ52" i="1"/>
  <c r="AWY52" i="1"/>
  <c r="AWX52" i="1"/>
  <c r="AWW52" i="1"/>
  <c r="AWV52" i="1"/>
  <c r="AWU52" i="1"/>
  <c r="AWT52" i="1"/>
  <c r="AWS52" i="1"/>
  <c r="AWR52" i="1"/>
  <c r="AWQ52" i="1"/>
  <c r="AWP52" i="1"/>
  <c r="AWO52" i="1"/>
  <c r="AWN52" i="1"/>
  <c r="AWM52" i="1"/>
  <c r="AWL52" i="1"/>
  <c r="AWK52" i="1"/>
  <c r="AWJ52" i="1"/>
  <c r="AWI52" i="1"/>
  <c r="AWH52" i="1"/>
  <c r="AWG52" i="1"/>
  <c r="AWF52" i="1"/>
  <c r="AWE52" i="1"/>
  <c r="AWD52" i="1"/>
  <c r="AWC52" i="1"/>
  <c r="AWB52" i="1"/>
  <c r="AWA52" i="1"/>
  <c r="AVZ52" i="1"/>
  <c r="AVY52" i="1"/>
  <c r="AVX52" i="1"/>
  <c r="AVW52" i="1"/>
  <c r="AVV52" i="1"/>
  <c r="AVU52" i="1"/>
  <c r="AVT52" i="1"/>
  <c r="AVS52" i="1"/>
  <c r="AVR52" i="1"/>
  <c r="AVQ52" i="1"/>
  <c r="AVP52" i="1"/>
  <c r="AVO52" i="1"/>
  <c r="AVN52" i="1"/>
  <c r="AVM52" i="1"/>
  <c r="AVL52" i="1"/>
  <c r="AVK52" i="1"/>
  <c r="AVJ52" i="1"/>
  <c r="AVI52" i="1"/>
  <c r="AVH52" i="1"/>
  <c r="AVG52" i="1"/>
  <c r="AVF52" i="1"/>
  <c r="AVE52" i="1"/>
  <c r="AVD52" i="1"/>
  <c r="AVC52" i="1"/>
  <c r="AVB52" i="1"/>
  <c r="AVA52" i="1"/>
  <c r="AUZ52" i="1"/>
  <c r="AUY52" i="1"/>
  <c r="AUX52" i="1"/>
  <c r="AUW52" i="1"/>
  <c r="AUV52" i="1"/>
  <c r="AUU52" i="1"/>
  <c r="AUT52" i="1"/>
  <c r="AUS52" i="1"/>
  <c r="AUR52" i="1"/>
  <c r="AUQ52" i="1"/>
  <c r="AUP52" i="1"/>
  <c r="AUO52" i="1"/>
  <c r="AUN52" i="1"/>
  <c r="AUM52" i="1"/>
  <c r="AUL52" i="1"/>
  <c r="AUK52" i="1"/>
  <c r="AUJ52" i="1"/>
  <c r="AUI52" i="1"/>
  <c r="AUH52" i="1"/>
  <c r="AUG52" i="1"/>
  <c r="AUF52" i="1"/>
  <c r="AUE52" i="1"/>
  <c r="AUD52" i="1"/>
  <c r="AUC52" i="1"/>
  <c r="AUB52" i="1"/>
  <c r="AUA52" i="1"/>
  <c r="ATZ52" i="1"/>
  <c r="ATY52" i="1"/>
  <c r="ATX52" i="1"/>
  <c r="ATW52" i="1"/>
  <c r="ATV52" i="1"/>
  <c r="ATU52" i="1"/>
  <c r="ATT52" i="1"/>
  <c r="ATS52" i="1"/>
  <c r="ATR52" i="1"/>
  <c r="ATQ52" i="1"/>
  <c r="ATP52" i="1"/>
  <c r="ATO52" i="1"/>
  <c r="ATN52" i="1"/>
  <c r="ATM52" i="1"/>
  <c r="ATL52" i="1"/>
  <c r="ATK52" i="1"/>
  <c r="ATJ52" i="1"/>
  <c r="ATI52" i="1"/>
  <c r="ATH52" i="1"/>
  <c r="ATG52" i="1"/>
  <c r="ATF52" i="1"/>
  <c r="ATE52" i="1"/>
  <c r="ATD52" i="1"/>
  <c r="ATC52" i="1"/>
  <c r="ATB52" i="1"/>
  <c r="ATA52" i="1"/>
  <c r="ASZ52" i="1"/>
  <c r="ASY52" i="1"/>
  <c r="ASX52" i="1"/>
  <c r="ASW52" i="1"/>
  <c r="ASV52" i="1"/>
  <c r="ASU52" i="1"/>
  <c r="AST52" i="1"/>
  <c r="ASS52" i="1"/>
  <c r="ASR52" i="1"/>
  <c r="ASQ52" i="1"/>
  <c r="ASP52" i="1"/>
  <c r="ASO52" i="1"/>
  <c r="ASN52" i="1"/>
  <c r="ASM52" i="1"/>
  <c r="ASL52" i="1"/>
  <c r="ASK52" i="1"/>
  <c r="ASJ52" i="1"/>
  <c r="ASI52" i="1"/>
  <c r="ASH52" i="1"/>
  <c r="ASG52" i="1"/>
  <c r="ASF52" i="1"/>
  <c r="ASE52" i="1"/>
  <c r="ASD52" i="1"/>
  <c r="ASC52" i="1"/>
  <c r="ASB52" i="1"/>
  <c r="ASA52" i="1"/>
  <c r="ARZ52" i="1"/>
  <c r="ARY52" i="1"/>
  <c r="ARX52" i="1"/>
  <c r="ARW52" i="1"/>
  <c r="ARV52" i="1"/>
  <c r="ARU52" i="1"/>
  <c r="ART52" i="1"/>
  <c r="ARS52" i="1"/>
  <c r="ARR52" i="1"/>
  <c r="ARQ52" i="1"/>
  <c r="ARP52" i="1"/>
  <c r="ARO52" i="1"/>
  <c r="ARN52" i="1"/>
  <c r="ARM52" i="1"/>
  <c r="ARL52" i="1"/>
  <c r="ARK52" i="1"/>
  <c r="ARJ52" i="1"/>
  <c r="ARI52" i="1"/>
  <c r="ARH52" i="1"/>
  <c r="ARG52" i="1"/>
  <c r="ARF52" i="1"/>
  <c r="ARE52" i="1"/>
  <c r="ARD52" i="1"/>
  <c r="ARC52" i="1"/>
  <c r="ARB52" i="1"/>
  <c r="ARA52" i="1"/>
  <c r="AQZ52" i="1"/>
  <c r="AQY52" i="1"/>
  <c r="AQX52" i="1"/>
  <c r="AQW52" i="1"/>
  <c r="AQV52" i="1"/>
  <c r="AQU52" i="1"/>
  <c r="AQT52" i="1"/>
  <c r="AQS52" i="1"/>
  <c r="AQR52" i="1"/>
  <c r="AQQ52" i="1"/>
  <c r="AQP52" i="1"/>
  <c r="AQO52" i="1"/>
  <c r="AQN52" i="1"/>
  <c r="AQM52" i="1"/>
  <c r="AQL52" i="1"/>
  <c r="AQK52" i="1"/>
  <c r="AQJ52" i="1"/>
  <c r="AQI52" i="1"/>
  <c r="AQH52" i="1"/>
  <c r="AQG52" i="1"/>
  <c r="AQF52" i="1"/>
  <c r="AQE52" i="1"/>
  <c r="AQD52" i="1"/>
  <c r="AQC52" i="1"/>
  <c r="AQB52" i="1"/>
  <c r="AQA52" i="1"/>
  <c r="APZ52" i="1"/>
  <c r="APY52" i="1"/>
  <c r="APX52" i="1"/>
  <c r="APW52" i="1"/>
  <c r="APV52" i="1"/>
  <c r="APU52" i="1"/>
  <c r="APT52" i="1"/>
  <c r="APS52" i="1"/>
  <c r="APR52" i="1"/>
  <c r="APQ52" i="1"/>
  <c r="APP52" i="1"/>
  <c r="APO52" i="1"/>
  <c r="APN52" i="1"/>
  <c r="APM52" i="1"/>
  <c r="APL52" i="1"/>
  <c r="APK52" i="1"/>
  <c r="APJ52" i="1"/>
  <c r="API52" i="1"/>
  <c r="APH52" i="1"/>
  <c r="APG52" i="1"/>
  <c r="APF52" i="1"/>
  <c r="APE52" i="1"/>
  <c r="APD52" i="1"/>
  <c r="APC52" i="1"/>
  <c r="APB52" i="1"/>
  <c r="APA52" i="1"/>
  <c r="AOZ52" i="1"/>
  <c r="AOY52" i="1"/>
  <c r="AOX52" i="1"/>
  <c r="AOW52" i="1"/>
  <c r="AOV52" i="1"/>
  <c r="AOU52" i="1"/>
  <c r="AOT52" i="1"/>
  <c r="AOS52" i="1"/>
  <c r="AOR52" i="1"/>
  <c r="AOQ52" i="1"/>
  <c r="AOP52" i="1"/>
  <c r="AOO52" i="1"/>
  <c r="AON52" i="1"/>
  <c r="AOM52" i="1"/>
  <c r="AOL52" i="1"/>
  <c r="AOK52" i="1"/>
  <c r="AOJ52" i="1"/>
  <c r="AOI52" i="1"/>
  <c r="AOH52" i="1"/>
  <c r="AOG52" i="1"/>
  <c r="AOF52" i="1"/>
  <c r="AOE52" i="1"/>
  <c r="AOD52" i="1"/>
  <c r="AOC52" i="1"/>
  <c r="AOB52" i="1"/>
  <c r="AOA52" i="1"/>
  <c r="ANZ52" i="1"/>
  <c r="ANY52" i="1"/>
  <c r="ANX52" i="1"/>
  <c r="ANW52" i="1"/>
  <c r="ANV52" i="1"/>
  <c r="ANU52" i="1"/>
  <c r="ANT52" i="1"/>
  <c r="ANS52" i="1"/>
  <c r="ANR52" i="1"/>
  <c r="ANQ52" i="1"/>
  <c r="ANP52" i="1"/>
  <c r="ANO52" i="1"/>
  <c r="ANN52" i="1"/>
  <c r="ANM52" i="1"/>
  <c r="ANL52" i="1"/>
  <c r="ANK52" i="1"/>
  <c r="ANJ52" i="1"/>
  <c r="ANI52" i="1"/>
  <c r="ANH52" i="1"/>
  <c r="ANG52" i="1"/>
  <c r="ANF52" i="1"/>
  <c r="ANE52" i="1"/>
  <c r="AND52" i="1"/>
  <c r="ANC52" i="1"/>
  <c r="ANB52" i="1"/>
  <c r="ANA52" i="1"/>
  <c r="AMZ52" i="1"/>
  <c r="AMY52" i="1"/>
  <c r="AMX52" i="1"/>
  <c r="AMW52" i="1"/>
  <c r="AMV52" i="1"/>
  <c r="AMU52" i="1"/>
  <c r="AMT52" i="1"/>
  <c r="AMS52" i="1"/>
  <c r="AMR52" i="1"/>
  <c r="AMQ52" i="1"/>
  <c r="AMP52" i="1"/>
  <c r="AMO52" i="1"/>
  <c r="AMN52" i="1"/>
  <c r="AMM52" i="1"/>
  <c r="AML52" i="1"/>
  <c r="AMK52" i="1"/>
  <c r="AMJ52" i="1"/>
  <c r="AMI52" i="1"/>
  <c r="AMH52" i="1"/>
  <c r="AMG52" i="1"/>
  <c r="AMF52" i="1"/>
  <c r="AME52" i="1"/>
  <c r="AMD52" i="1"/>
  <c r="AMC52" i="1"/>
  <c r="AMB52" i="1"/>
  <c r="AMA52" i="1"/>
  <c r="ALZ52" i="1"/>
  <c r="ALY52" i="1"/>
  <c r="ALX52" i="1"/>
  <c r="ALW52" i="1"/>
  <c r="ALV52" i="1"/>
  <c r="ALU52" i="1"/>
  <c r="ALT52" i="1"/>
  <c r="ALS52" i="1"/>
  <c r="ALR52" i="1"/>
  <c r="ALQ52" i="1"/>
  <c r="ALP52" i="1"/>
  <c r="ALO52" i="1"/>
  <c r="ALN52" i="1"/>
  <c r="ALM52" i="1"/>
  <c r="ALL52" i="1"/>
  <c r="ALK52" i="1"/>
  <c r="ALJ52" i="1"/>
  <c r="ALI52" i="1"/>
  <c r="ALH52" i="1"/>
  <c r="ALG52" i="1"/>
  <c r="ALF52" i="1"/>
  <c r="ALE52" i="1"/>
  <c r="ALD52" i="1"/>
  <c r="ALC52" i="1"/>
  <c r="ALB52" i="1"/>
  <c r="ALA52" i="1"/>
  <c r="AKZ52" i="1"/>
  <c r="AKY52" i="1"/>
  <c r="AKX52" i="1"/>
  <c r="AKW52" i="1"/>
  <c r="AKV52" i="1"/>
  <c r="AKU52" i="1"/>
  <c r="AKT52" i="1"/>
  <c r="AKS52" i="1"/>
  <c r="AKR52" i="1"/>
  <c r="AKQ52" i="1"/>
  <c r="AKP52" i="1"/>
  <c r="AKO52" i="1"/>
  <c r="AKN52" i="1"/>
  <c r="AKM52" i="1"/>
  <c r="AKL52" i="1"/>
  <c r="AKK52" i="1"/>
  <c r="AKJ52" i="1"/>
  <c r="AKI52" i="1"/>
  <c r="AKH52" i="1"/>
  <c r="AKG52" i="1"/>
  <c r="AKF52" i="1"/>
  <c r="AKE52" i="1"/>
  <c r="AKD52" i="1"/>
  <c r="AKC52" i="1"/>
  <c r="AKB52" i="1"/>
  <c r="AKA52" i="1"/>
  <c r="AJZ52" i="1"/>
  <c r="AJY52" i="1"/>
  <c r="AJX52" i="1"/>
  <c r="AJW52" i="1"/>
  <c r="AJV52" i="1"/>
  <c r="AJU52" i="1"/>
  <c r="AJT52" i="1"/>
  <c r="AJS52" i="1"/>
  <c r="AJR52" i="1"/>
  <c r="AJQ52" i="1"/>
  <c r="AJP52" i="1"/>
  <c r="AJO52" i="1"/>
  <c r="AJN52" i="1"/>
  <c r="AJM52" i="1"/>
  <c r="AJL52" i="1"/>
  <c r="AJK52" i="1"/>
  <c r="AJJ52" i="1"/>
  <c r="AJI52" i="1"/>
  <c r="AJH52" i="1"/>
  <c r="AJG52" i="1"/>
  <c r="AJF52" i="1"/>
  <c r="AJE52" i="1"/>
  <c r="AJD52" i="1"/>
  <c r="AJC52" i="1"/>
  <c r="AJB52" i="1"/>
  <c r="AJA52" i="1"/>
  <c r="AIZ52" i="1"/>
  <c r="AIY52" i="1"/>
  <c r="AIX52" i="1"/>
  <c r="AIW52" i="1"/>
  <c r="AIV52" i="1"/>
  <c r="AIU52" i="1"/>
  <c r="AIT52" i="1"/>
  <c r="AIS52" i="1"/>
  <c r="AIR52" i="1"/>
  <c r="AIQ52" i="1"/>
  <c r="AIP52" i="1"/>
  <c r="AIO52" i="1"/>
  <c r="AIN52" i="1"/>
  <c r="AIM52" i="1"/>
  <c r="AIL52" i="1"/>
  <c r="AIK52" i="1"/>
  <c r="AIJ52" i="1"/>
  <c r="AII52" i="1"/>
  <c r="AIH52" i="1"/>
  <c r="AIG52" i="1"/>
  <c r="AIF52" i="1"/>
  <c r="AIE52" i="1"/>
  <c r="AID52" i="1"/>
  <c r="AIC52" i="1"/>
  <c r="AIB52" i="1"/>
  <c r="AIA52" i="1"/>
  <c r="AHZ52" i="1"/>
  <c r="AHY52" i="1"/>
  <c r="AHX52" i="1"/>
  <c r="AHW52" i="1"/>
  <c r="AHV52" i="1"/>
  <c r="AHU52" i="1"/>
  <c r="AHT52" i="1"/>
  <c r="AHS52" i="1"/>
  <c r="AHR52" i="1"/>
  <c r="AHQ52" i="1"/>
  <c r="AHP52" i="1"/>
  <c r="AHO52" i="1"/>
  <c r="AHN52" i="1"/>
  <c r="AHM52" i="1"/>
  <c r="AHL52" i="1"/>
  <c r="AHK52" i="1"/>
  <c r="AHJ52" i="1"/>
  <c r="AHI52" i="1"/>
  <c r="AHH52" i="1"/>
  <c r="AHG52" i="1"/>
  <c r="AHF52" i="1"/>
  <c r="AHE52" i="1"/>
  <c r="AHD52" i="1"/>
  <c r="AHC52" i="1"/>
  <c r="AHB52" i="1"/>
  <c r="AHA52" i="1"/>
  <c r="AGZ52" i="1"/>
  <c r="AGY52" i="1"/>
  <c r="AGX52" i="1"/>
  <c r="AGW52" i="1"/>
  <c r="AGV52" i="1"/>
  <c r="AGU52" i="1"/>
  <c r="AGT52" i="1"/>
  <c r="AGS52" i="1"/>
  <c r="AGR52" i="1"/>
  <c r="AGQ52" i="1"/>
  <c r="AGP52" i="1"/>
  <c r="AGO52" i="1"/>
  <c r="AGN52" i="1"/>
  <c r="AGM52" i="1"/>
  <c r="AGL52" i="1"/>
  <c r="AGK52" i="1"/>
  <c r="AGJ52" i="1"/>
  <c r="AGI52" i="1"/>
  <c r="AGH52" i="1"/>
  <c r="AGG52" i="1"/>
  <c r="AGF52" i="1"/>
  <c r="AGE52" i="1"/>
  <c r="AGD52" i="1"/>
  <c r="AGC52" i="1"/>
  <c r="AGB52" i="1"/>
  <c r="AGA52" i="1"/>
  <c r="AFZ52" i="1"/>
  <c r="AFY52" i="1"/>
  <c r="AFX52" i="1"/>
  <c r="AFW52" i="1"/>
  <c r="AFV52" i="1"/>
  <c r="AFU52" i="1"/>
  <c r="AFT52" i="1"/>
  <c r="AFS52" i="1"/>
  <c r="AFR52" i="1"/>
  <c r="AFQ52" i="1"/>
  <c r="AFP52" i="1"/>
  <c r="AFO52" i="1"/>
  <c r="AFN52" i="1"/>
  <c r="AFM52" i="1"/>
  <c r="AFL52" i="1"/>
  <c r="AFK52" i="1"/>
  <c r="AFJ52" i="1"/>
  <c r="AFI52" i="1"/>
  <c r="AFH52" i="1"/>
  <c r="AFG52" i="1"/>
  <c r="AFF52" i="1"/>
  <c r="AFE52" i="1"/>
  <c r="AFD52" i="1"/>
  <c r="AFC52" i="1"/>
  <c r="AFB52" i="1"/>
  <c r="AFA52" i="1"/>
  <c r="AEZ52" i="1"/>
  <c r="AEY52" i="1"/>
  <c r="AEX52" i="1"/>
  <c r="AEW52" i="1"/>
  <c r="AEV52" i="1"/>
  <c r="AEU52" i="1"/>
  <c r="AET52" i="1"/>
  <c r="AES52" i="1"/>
  <c r="AER52" i="1"/>
  <c r="AEQ52" i="1"/>
  <c r="AEP52" i="1"/>
  <c r="AEO52" i="1"/>
  <c r="AEN52" i="1"/>
  <c r="AEM52" i="1"/>
  <c r="AEL52" i="1"/>
  <c r="AEK52" i="1"/>
  <c r="AEJ52" i="1"/>
  <c r="AEI52" i="1"/>
  <c r="AEH52" i="1"/>
  <c r="AEG52" i="1"/>
  <c r="AEF52" i="1"/>
  <c r="AEE52" i="1"/>
  <c r="AED52" i="1"/>
  <c r="AEC52" i="1"/>
  <c r="AEB52" i="1"/>
  <c r="AEA52" i="1"/>
  <c r="ADZ52" i="1"/>
  <c r="ADY52" i="1"/>
  <c r="ADX52" i="1"/>
  <c r="ADW52" i="1"/>
  <c r="ADV52" i="1"/>
  <c r="ADU52" i="1"/>
  <c r="ADT52" i="1"/>
  <c r="ADS52" i="1"/>
  <c r="ADR52" i="1"/>
  <c r="ADQ52" i="1"/>
  <c r="ADP52" i="1"/>
  <c r="ADO52" i="1"/>
  <c r="ADN52" i="1"/>
  <c r="ADM52" i="1"/>
  <c r="ADL52" i="1"/>
  <c r="ADK52" i="1"/>
  <c r="ADJ52" i="1"/>
  <c r="ADI52" i="1"/>
  <c r="ADH52" i="1"/>
  <c r="ADG52" i="1"/>
  <c r="ADF52" i="1"/>
  <c r="ADE52" i="1"/>
  <c r="ADD52" i="1"/>
  <c r="ADC52" i="1"/>
  <c r="ADB52" i="1"/>
  <c r="ADA52" i="1"/>
  <c r="ACZ52" i="1"/>
  <c r="ACY52" i="1"/>
  <c r="ACX52" i="1"/>
  <c r="ACW52" i="1"/>
  <c r="ACV52" i="1"/>
  <c r="ACU52" i="1"/>
  <c r="ACT52" i="1"/>
  <c r="ACS52" i="1"/>
  <c r="ACR52" i="1"/>
  <c r="ACQ52" i="1"/>
  <c r="ACP52" i="1"/>
  <c r="ACO52" i="1"/>
  <c r="ACN52" i="1"/>
  <c r="ACM52" i="1"/>
  <c r="ACL52" i="1"/>
  <c r="ACK52" i="1"/>
  <c r="ACJ52" i="1"/>
  <c r="ACI52" i="1"/>
  <c r="ACH52" i="1"/>
  <c r="ACG52" i="1"/>
  <c r="ACF52" i="1"/>
  <c r="ACE52" i="1"/>
  <c r="ACD52" i="1"/>
  <c r="ACC52" i="1"/>
  <c r="ACB52" i="1"/>
  <c r="ACA52" i="1"/>
  <c r="ABZ52" i="1"/>
  <c r="ABY52" i="1"/>
  <c r="ABX52" i="1"/>
  <c r="ABW52" i="1"/>
  <c r="ABV52" i="1"/>
  <c r="ABU52" i="1"/>
  <c r="ABT52" i="1"/>
  <c r="ABS52" i="1"/>
  <c r="ABR52" i="1"/>
  <c r="ABQ52" i="1"/>
  <c r="ABP52" i="1"/>
  <c r="ABO52" i="1"/>
  <c r="ABN52" i="1"/>
  <c r="ABM52" i="1"/>
  <c r="ABL52" i="1"/>
  <c r="ABK52" i="1"/>
  <c r="ABJ52" i="1"/>
  <c r="ABI52" i="1"/>
  <c r="ABH52" i="1"/>
  <c r="ABG52" i="1"/>
  <c r="ABF52" i="1"/>
  <c r="ABE52" i="1"/>
  <c r="ABD52" i="1"/>
  <c r="ABC52" i="1"/>
  <c r="ABB52" i="1"/>
  <c r="ABA52" i="1"/>
  <c r="AAZ52" i="1"/>
  <c r="AAY52" i="1"/>
  <c r="AAX52" i="1"/>
  <c r="AAW52" i="1"/>
  <c r="AAV52" i="1"/>
  <c r="AAU52" i="1"/>
  <c r="AAT52" i="1"/>
  <c r="AAS52" i="1"/>
  <c r="AAR52" i="1"/>
  <c r="AAQ52" i="1"/>
  <c r="AAP52" i="1"/>
  <c r="AAO52" i="1"/>
  <c r="AAN52" i="1"/>
  <c r="AAM52" i="1"/>
  <c r="AAL52" i="1"/>
  <c r="AAK52" i="1"/>
  <c r="AAJ52" i="1"/>
  <c r="AAI52" i="1"/>
  <c r="AAH52" i="1"/>
  <c r="AAG52" i="1"/>
  <c r="AAF52" i="1"/>
  <c r="AAE52" i="1"/>
  <c r="AAD52" i="1"/>
  <c r="AAC52" i="1"/>
  <c r="AAB52" i="1"/>
  <c r="AAA52" i="1"/>
  <c r="ZZ52" i="1"/>
  <c r="ZY52" i="1"/>
  <c r="ZX52" i="1"/>
  <c r="ZW52" i="1"/>
  <c r="ZV52" i="1"/>
  <c r="ZU52" i="1"/>
  <c r="ZT52" i="1"/>
  <c r="ZS52" i="1"/>
  <c r="ZR52" i="1"/>
  <c r="ZQ52" i="1"/>
  <c r="ZP52" i="1"/>
  <c r="ZO52" i="1"/>
  <c r="ZN52" i="1"/>
  <c r="ZM52" i="1"/>
  <c r="ZL52" i="1"/>
  <c r="ZK52" i="1"/>
  <c r="ZJ52" i="1"/>
  <c r="ZI52" i="1"/>
  <c r="ZH52" i="1"/>
  <c r="ZG52" i="1"/>
  <c r="ZF52" i="1"/>
  <c r="ZE52" i="1"/>
  <c r="ZD52" i="1"/>
  <c r="ZC52" i="1"/>
  <c r="ZB52" i="1"/>
  <c r="ZA52" i="1"/>
  <c r="YZ52" i="1"/>
  <c r="YY52" i="1"/>
  <c r="YX52" i="1"/>
  <c r="YW52" i="1"/>
  <c r="YV52" i="1"/>
  <c r="YU52" i="1"/>
  <c r="YT52" i="1"/>
  <c r="YS52" i="1"/>
  <c r="YR52" i="1"/>
  <c r="YQ52" i="1"/>
  <c r="YP52" i="1"/>
  <c r="YO52" i="1"/>
  <c r="YN52" i="1"/>
  <c r="YM52" i="1"/>
  <c r="YL52" i="1"/>
  <c r="YK52" i="1"/>
  <c r="YJ52" i="1"/>
  <c r="YI52" i="1"/>
  <c r="YH52" i="1"/>
  <c r="YG52" i="1"/>
  <c r="YF52" i="1"/>
  <c r="YE52" i="1"/>
  <c r="YD52" i="1"/>
  <c r="YC52" i="1"/>
  <c r="YB52" i="1"/>
  <c r="YA52" i="1"/>
  <c r="XZ52" i="1"/>
  <c r="XY52" i="1"/>
  <c r="XX52" i="1"/>
  <c r="XW52" i="1"/>
  <c r="XV52" i="1"/>
  <c r="XU52" i="1"/>
  <c r="XT52" i="1"/>
  <c r="XS52" i="1"/>
  <c r="XR52" i="1"/>
  <c r="XQ52" i="1"/>
  <c r="XP52" i="1"/>
  <c r="XO52" i="1"/>
  <c r="XN52" i="1"/>
  <c r="XM52" i="1"/>
  <c r="XL52" i="1"/>
  <c r="XK52" i="1"/>
  <c r="XJ52" i="1"/>
  <c r="XI52" i="1"/>
  <c r="XH52" i="1"/>
  <c r="XG52" i="1"/>
  <c r="XF52" i="1"/>
  <c r="XE52" i="1"/>
  <c r="XD52" i="1"/>
  <c r="XC52" i="1"/>
  <c r="XB52" i="1"/>
  <c r="XA52" i="1"/>
  <c r="WZ52" i="1"/>
  <c r="WY52" i="1"/>
  <c r="WX52" i="1"/>
  <c r="WW52" i="1"/>
  <c r="WV52" i="1"/>
  <c r="WU52" i="1"/>
  <c r="WT52" i="1"/>
  <c r="WS52" i="1"/>
  <c r="WR52" i="1"/>
  <c r="WQ52" i="1"/>
  <c r="WP52" i="1"/>
  <c r="WO52" i="1"/>
  <c r="WN52" i="1"/>
  <c r="WM52" i="1"/>
  <c r="WL52" i="1"/>
  <c r="WK52" i="1"/>
  <c r="WJ52" i="1"/>
  <c r="WI52" i="1"/>
  <c r="WH52" i="1"/>
  <c r="WG52" i="1"/>
  <c r="WF52" i="1"/>
  <c r="WE52" i="1"/>
  <c r="WD52" i="1"/>
  <c r="WC52" i="1"/>
  <c r="WB52" i="1"/>
  <c r="WA52" i="1"/>
  <c r="VZ52" i="1"/>
  <c r="VY52" i="1"/>
  <c r="VX52" i="1"/>
  <c r="VW52" i="1"/>
  <c r="VV52" i="1"/>
  <c r="VU52" i="1"/>
  <c r="VT52" i="1"/>
  <c r="VS52" i="1"/>
  <c r="VR52" i="1"/>
  <c r="VQ52" i="1"/>
  <c r="VP52" i="1"/>
  <c r="VO52" i="1"/>
  <c r="VN52" i="1"/>
  <c r="VM52" i="1"/>
  <c r="VL52" i="1"/>
  <c r="VK52" i="1"/>
  <c r="VJ52" i="1"/>
  <c r="VI52" i="1"/>
  <c r="VH52" i="1"/>
  <c r="VG52" i="1"/>
  <c r="VF52" i="1"/>
  <c r="VE52" i="1"/>
  <c r="VD52" i="1"/>
  <c r="VC52" i="1"/>
  <c r="VB52" i="1"/>
  <c r="VA52" i="1"/>
  <c r="UZ52" i="1"/>
  <c r="UY52" i="1"/>
  <c r="UX52" i="1"/>
  <c r="UW52" i="1"/>
  <c r="UV52" i="1"/>
  <c r="UU52" i="1"/>
  <c r="UT52" i="1"/>
  <c r="US52" i="1"/>
  <c r="UR52" i="1"/>
  <c r="UQ52" i="1"/>
  <c r="UP52" i="1"/>
  <c r="UO52" i="1"/>
  <c r="UN52" i="1"/>
  <c r="UM52" i="1"/>
  <c r="UL52" i="1"/>
  <c r="UK52" i="1"/>
  <c r="UJ52" i="1"/>
  <c r="UI52" i="1"/>
  <c r="UH52" i="1"/>
  <c r="UG52" i="1"/>
  <c r="UF52" i="1"/>
  <c r="UE52" i="1"/>
  <c r="UD52" i="1"/>
  <c r="UC52" i="1"/>
  <c r="UB52" i="1"/>
  <c r="UA52" i="1"/>
  <c r="TZ52" i="1"/>
  <c r="TY52" i="1"/>
  <c r="TX52" i="1"/>
  <c r="TW52" i="1"/>
  <c r="TV52" i="1"/>
  <c r="TU52" i="1"/>
  <c r="TT52" i="1"/>
  <c r="TS52" i="1"/>
  <c r="TR52" i="1"/>
  <c r="TQ52" i="1"/>
  <c r="TP52" i="1"/>
  <c r="TO52" i="1"/>
  <c r="TN52" i="1"/>
  <c r="TM52" i="1"/>
  <c r="TL52" i="1"/>
  <c r="TK52" i="1"/>
  <c r="TJ52" i="1"/>
  <c r="TI52" i="1"/>
  <c r="TH52" i="1"/>
  <c r="TG52" i="1"/>
  <c r="TF52" i="1"/>
  <c r="TE52" i="1"/>
  <c r="TD52" i="1"/>
  <c r="TC52" i="1"/>
  <c r="TB52" i="1"/>
  <c r="TA52" i="1"/>
  <c r="SZ52" i="1"/>
  <c r="SY52" i="1"/>
  <c r="SX52" i="1"/>
  <c r="SW52" i="1"/>
  <c r="SV52" i="1"/>
  <c r="SU52" i="1"/>
  <c r="ST52" i="1"/>
  <c r="SS52" i="1"/>
  <c r="SR52" i="1"/>
  <c r="SQ52" i="1"/>
  <c r="SP52" i="1"/>
  <c r="SO52" i="1"/>
  <c r="SN52" i="1"/>
  <c r="SM52" i="1"/>
  <c r="SL52" i="1"/>
  <c r="SK52" i="1"/>
  <c r="SJ52" i="1"/>
  <c r="SI52" i="1"/>
  <c r="SH52" i="1"/>
  <c r="SG52" i="1"/>
  <c r="SF52" i="1"/>
  <c r="SE52" i="1"/>
  <c r="SD52" i="1"/>
  <c r="SC52" i="1"/>
  <c r="SB52" i="1"/>
  <c r="SA52" i="1"/>
  <c r="RZ52" i="1"/>
  <c r="RY52" i="1"/>
  <c r="RX52" i="1"/>
  <c r="RW52" i="1"/>
  <c r="RV52" i="1"/>
  <c r="RU52" i="1"/>
  <c r="RT52" i="1"/>
  <c r="RS52" i="1"/>
  <c r="RR52" i="1"/>
  <c r="RQ52" i="1"/>
  <c r="RP52" i="1"/>
  <c r="RO52" i="1"/>
  <c r="RN52" i="1"/>
  <c r="RM52" i="1"/>
  <c r="RL52" i="1"/>
  <c r="RK52" i="1"/>
  <c r="RJ52" i="1"/>
  <c r="RI52" i="1"/>
  <c r="RH52" i="1"/>
  <c r="RG52" i="1"/>
  <c r="RF52" i="1"/>
  <c r="RE52" i="1"/>
  <c r="RD52" i="1"/>
  <c r="RC52" i="1"/>
  <c r="RB52" i="1"/>
  <c r="RA52" i="1"/>
  <c r="QZ52" i="1"/>
  <c r="QY52" i="1"/>
  <c r="QX52" i="1"/>
  <c r="QW52" i="1"/>
  <c r="QV52" i="1"/>
  <c r="QU52" i="1"/>
  <c r="QT52" i="1"/>
  <c r="QS52" i="1"/>
  <c r="QR52" i="1"/>
  <c r="QQ52" i="1"/>
  <c r="QP52" i="1"/>
  <c r="QO52" i="1"/>
  <c r="QN52" i="1"/>
  <c r="QM52" i="1"/>
  <c r="QL52" i="1"/>
  <c r="QK52" i="1"/>
  <c r="QJ52" i="1"/>
  <c r="QI52" i="1"/>
  <c r="QH52" i="1"/>
  <c r="QG52" i="1"/>
  <c r="QF52" i="1"/>
  <c r="QE52" i="1"/>
  <c r="QD52" i="1"/>
  <c r="QC52" i="1"/>
  <c r="QB52" i="1"/>
  <c r="QA52" i="1"/>
  <c r="PZ52" i="1"/>
  <c r="PY52" i="1"/>
  <c r="PX52" i="1"/>
  <c r="PW52" i="1"/>
  <c r="PV52" i="1"/>
  <c r="PU52" i="1"/>
  <c r="PT52" i="1"/>
  <c r="PS52" i="1"/>
  <c r="PR52" i="1"/>
  <c r="PQ52" i="1"/>
  <c r="PP52" i="1"/>
  <c r="PO52" i="1"/>
  <c r="PN52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KFV51" i="1"/>
  <c r="KFU51" i="1"/>
  <c r="KFT51" i="1"/>
  <c r="KFS51" i="1"/>
  <c r="KFR51" i="1"/>
  <c r="KFQ51" i="1"/>
  <c r="KFP51" i="1"/>
  <c r="KFO51" i="1"/>
  <c r="KFN51" i="1"/>
  <c r="KFM51" i="1"/>
  <c r="KFL51" i="1"/>
  <c r="KFK51" i="1"/>
  <c r="KFJ51" i="1"/>
  <c r="KFI51" i="1"/>
  <c r="KFH51" i="1"/>
  <c r="KFG51" i="1"/>
  <c r="KFF51" i="1"/>
  <c r="KFE51" i="1"/>
  <c r="KFD51" i="1"/>
  <c r="KFC51" i="1"/>
  <c r="KFB51" i="1"/>
  <c r="KFA51" i="1"/>
  <c r="KEZ51" i="1"/>
  <c r="KEY51" i="1"/>
  <c r="KEX51" i="1"/>
  <c r="KEW51" i="1"/>
  <c r="KEV51" i="1"/>
  <c r="KEU51" i="1"/>
  <c r="KET51" i="1"/>
  <c r="KES51" i="1"/>
  <c r="KER51" i="1"/>
  <c r="KEQ51" i="1"/>
  <c r="KEP51" i="1"/>
  <c r="KEO51" i="1"/>
  <c r="KEN51" i="1"/>
  <c r="KEM51" i="1"/>
  <c r="KEL51" i="1"/>
  <c r="KEK51" i="1"/>
  <c r="KEJ51" i="1"/>
  <c r="KEI51" i="1"/>
  <c r="KEH51" i="1"/>
  <c r="KEG51" i="1"/>
  <c r="KEF51" i="1"/>
  <c r="KEE51" i="1"/>
  <c r="KED51" i="1"/>
  <c r="KEC51" i="1"/>
  <c r="KEB51" i="1"/>
  <c r="KEA51" i="1"/>
  <c r="KDZ51" i="1"/>
  <c r="KDY51" i="1"/>
  <c r="KDX51" i="1"/>
  <c r="KDW51" i="1"/>
  <c r="KDV51" i="1"/>
  <c r="KDU51" i="1"/>
  <c r="KDT51" i="1"/>
  <c r="KDS51" i="1"/>
  <c r="KDR51" i="1"/>
  <c r="KDQ51" i="1"/>
  <c r="KDP51" i="1"/>
  <c r="KDO51" i="1"/>
  <c r="KDN51" i="1"/>
  <c r="KDM51" i="1"/>
  <c r="KDL51" i="1"/>
  <c r="KDK51" i="1"/>
  <c r="KDJ51" i="1"/>
  <c r="KDI51" i="1"/>
  <c r="KDH51" i="1"/>
  <c r="KDG51" i="1"/>
  <c r="KDF51" i="1"/>
  <c r="KDE51" i="1"/>
  <c r="KDD51" i="1"/>
  <c r="KDC51" i="1"/>
  <c r="KDB51" i="1"/>
  <c r="KDA51" i="1"/>
  <c r="KCZ51" i="1"/>
  <c r="KCY51" i="1"/>
  <c r="KCX51" i="1"/>
  <c r="KCW51" i="1"/>
  <c r="KCV51" i="1"/>
  <c r="KCU51" i="1"/>
  <c r="KCT51" i="1"/>
  <c r="KCS51" i="1"/>
  <c r="KCR51" i="1"/>
  <c r="KCQ51" i="1"/>
  <c r="KCP51" i="1"/>
  <c r="KCO51" i="1"/>
  <c r="KCN51" i="1"/>
  <c r="KCM51" i="1"/>
  <c r="KCL51" i="1"/>
  <c r="KCK51" i="1"/>
  <c r="KCJ51" i="1"/>
  <c r="KCI51" i="1"/>
  <c r="KCH51" i="1"/>
  <c r="KCG51" i="1"/>
  <c r="KCF51" i="1"/>
  <c r="KCE51" i="1"/>
  <c r="KCD51" i="1"/>
  <c r="KCC51" i="1"/>
  <c r="KCB51" i="1"/>
  <c r="KCA51" i="1"/>
  <c r="KBZ51" i="1"/>
  <c r="KBY51" i="1"/>
  <c r="KBX51" i="1"/>
  <c r="KBW51" i="1"/>
  <c r="KBV51" i="1"/>
  <c r="KBU51" i="1"/>
  <c r="KBT51" i="1"/>
  <c r="KBS51" i="1"/>
  <c r="KBR51" i="1"/>
  <c r="KBQ51" i="1"/>
  <c r="KBP51" i="1"/>
  <c r="KBO51" i="1"/>
  <c r="KBN51" i="1"/>
  <c r="KBM51" i="1"/>
  <c r="KBL51" i="1"/>
  <c r="KBK51" i="1"/>
  <c r="KBJ51" i="1"/>
  <c r="KBI51" i="1"/>
  <c r="KBH51" i="1"/>
  <c r="KBG51" i="1"/>
  <c r="KBF51" i="1"/>
  <c r="KBE51" i="1"/>
  <c r="KBD51" i="1"/>
  <c r="KBC51" i="1"/>
  <c r="KBB51" i="1"/>
  <c r="KBA51" i="1"/>
  <c r="KAZ51" i="1"/>
  <c r="KAY51" i="1"/>
  <c r="KAX51" i="1"/>
  <c r="KAW51" i="1"/>
  <c r="KAV51" i="1"/>
  <c r="KAU51" i="1"/>
  <c r="KAT51" i="1"/>
  <c r="KAS51" i="1"/>
  <c r="KAR51" i="1"/>
  <c r="KAQ51" i="1"/>
  <c r="KAP51" i="1"/>
  <c r="KAO51" i="1"/>
  <c r="KAN51" i="1"/>
  <c r="KAM51" i="1"/>
  <c r="KAL51" i="1"/>
  <c r="KAK51" i="1"/>
  <c r="KAJ51" i="1"/>
  <c r="KAI51" i="1"/>
  <c r="KAH51" i="1"/>
  <c r="KAG51" i="1"/>
  <c r="KAF51" i="1"/>
  <c r="KAE51" i="1"/>
  <c r="KAD51" i="1"/>
  <c r="KAC51" i="1"/>
  <c r="KAB51" i="1"/>
  <c r="KAA51" i="1"/>
  <c r="JZZ51" i="1"/>
  <c r="JZY51" i="1"/>
  <c r="JZX51" i="1"/>
  <c r="JZW51" i="1"/>
  <c r="JZV51" i="1"/>
  <c r="JZU51" i="1"/>
  <c r="JZT51" i="1"/>
  <c r="JZS51" i="1"/>
  <c r="JZR51" i="1"/>
  <c r="JZQ51" i="1"/>
  <c r="JZP51" i="1"/>
  <c r="JZO51" i="1"/>
  <c r="JZN51" i="1"/>
  <c r="JZM51" i="1"/>
  <c r="JZL51" i="1"/>
  <c r="JZK51" i="1"/>
  <c r="JZJ51" i="1"/>
  <c r="JZI51" i="1"/>
  <c r="JZH51" i="1"/>
  <c r="JZG51" i="1"/>
  <c r="JZF51" i="1"/>
  <c r="JZE51" i="1"/>
  <c r="JZD51" i="1"/>
  <c r="JZC51" i="1"/>
  <c r="JZB51" i="1"/>
  <c r="JZA51" i="1"/>
  <c r="JYZ51" i="1"/>
  <c r="JYY51" i="1"/>
  <c r="JYX51" i="1"/>
  <c r="JYW51" i="1"/>
  <c r="JYV51" i="1"/>
  <c r="JYU51" i="1"/>
  <c r="JYT51" i="1"/>
  <c r="JYS51" i="1"/>
  <c r="JYR51" i="1"/>
  <c r="JYQ51" i="1"/>
  <c r="JYP51" i="1"/>
  <c r="JYO51" i="1"/>
  <c r="JYN51" i="1"/>
  <c r="JYM51" i="1"/>
  <c r="JYL51" i="1"/>
  <c r="JYK51" i="1"/>
  <c r="JYJ51" i="1"/>
  <c r="JYI51" i="1"/>
  <c r="JYH51" i="1"/>
  <c r="JYG51" i="1"/>
  <c r="JYF51" i="1"/>
  <c r="JYE51" i="1"/>
  <c r="JYD51" i="1"/>
  <c r="JYC51" i="1"/>
  <c r="JYB51" i="1"/>
  <c r="JYA51" i="1"/>
  <c r="JXZ51" i="1"/>
  <c r="JXY51" i="1"/>
  <c r="JXX51" i="1"/>
  <c r="JXW51" i="1"/>
  <c r="JXV51" i="1"/>
  <c r="JXU51" i="1"/>
  <c r="JXT51" i="1"/>
  <c r="JXS51" i="1"/>
  <c r="JXR51" i="1"/>
  <c r="JXQ51" i="1"/>
  <c r="JXP51" i="1"/>
  <c r="JXO51" i="1"/>
  <c r="JXN51" i="1"/>
  <c r="JXM51" i="1"/>
  <c r="JXL51" i="1"/>
  <c r="JXK51" i="1"/>
  <c r="JXJ51" i="1"/>
  <c r="JXI51" i="1"/>
  <c r="JXH51" i="1"/>
  <c r="JXG51" i="1"/>
  <c r="JXF51" i="1"/>
  <c r="JXE51" i="1"/>
  <c r="JXD51" i="1"/>
  <c r="JXC51" i="1"/>
  <c r="JXB51" i="1"/>
  <c r="JXA51" i="1"/>
  <c r="JWZ51" i="1"/>
  <c r="JWY51" i="1"/>
  <c r="JWX51" i="1"/>
  <c r="JWW51" i="1"/>
  <c r="JWV51" i="1"/>
  <c r="JWU51" i="1"/>
  <c r="JWT51" i="1"/>
  <c r="JWS51" i="1"/>
  <c r="JWR51" i="1"/>
  <c r="JWQ51" i="1"/>
  <c r="JWP51" i="1"/>
  <c r="JWO51" i="1"/>
  <c r="JWN51" i="1"/>
  <c r="JWM51" i="1"/>
  <c r="JWL51" i="1"/>
  <c r="JWK51" i="1"/>
  <c r="JWJ51" i="1"/>
  <c r="JWI51" i="1"/>
  <c r="JWH51" i="1"/>
  <c r="JWG51" i="1"/>
  <c r="JWF51" i="1"/>
  <c r="JWE51" i="1"/>
  <c r="JWD51" i="1"/>
  <c r="JWC51" i="1"/>
  <c r="JWB51" i="1"/>
  <c r="JWA51" i="1"/>
  <c r="JVZ51" i="1"/>
  <c r="JVY51" i="1"/>
  <c r="JVX51" i="1"/>
  <c r="JVW51" i="1"/>
  <c r="JVV51" i="1"/>
  <c r="JVU51" i="1"/>
  <c r="JVT51" i="1"/>
  <c r="JVS51" i="1"/>
  <c r="JVR51" i="1"/>
  <c r="JVQ51" i="1"/>
  <c r="JVP51" i="1"/>
  <c r="JVO51" i="1"/>
  <c r="JVN51" i="1"/>
  <c r="JVM51" i="1"/>
  <c r="JVL51" i="1"/>
  <c r="JVK51" i="1"/>
  <c r="JVJ51" i="1"/>
  <c r="JVI51" i="1"/>
  <c r="JVH51" i="1"/>
  <c r="JVG51" i="1"/>
  <c r="JVF51" i="1"/>
  <c r="JVE51" i="1"/>
  <c r="JVD51" i="1"/>
  <c r="JVC51" i="1"/>
  <c r="JVB51" i="1"/>
  <c r="JVA51" i="1"/>
  <c r="JUZ51" i="1"/>
  <c r="JUY51" i="1"/>
  <c r="JUX51" i="1"/>
  <c r="JUW51" i="1"/>
  <c r="JUV51" i="1"/>
  <c r="JUU51" i="1"/>
  <c r="JUT51" i="1"/>
  <c r="JUS51" i="1"/>
  <c r="JUR51" i="1"/>
  <c r="JUQ51" i="1"/>
  <c r="JUP51" i="1"/>
  <c r="JUO51" i="1"/>
  <c r="JUN51" i="1"/>
  <c r="JUM51" i="1"/>
  <c r="JUL51" i="1"/>
  <c r="JUK51" i="1"/>
  <c r="JUJ51" i="1"/>
  <c r="JUI51" i="1"/>
  <c r="JUH51" i="1"/>
  <c r="JUG51" i="1"/>
  <c r="JUF51" i="1"/>
  <c r="JUE51" i="1"/>
  <c r="JUD51" i="1"/>
  <c r="JUC51" i="1"/>
  <c r="JUB51" i="1"/>
  <c r="JUA51" i="1"/>
  <c r="JTZ51" i="1"/>
  <c r="JTY51" i="1"/>
  <c r="JTX51" i="1"/>
  <c r="JTW51" i="1"/>
  <c r="JTV51" i="1"/>
  <c r="JTU51" i="1"/>
  <c r="JTT51" i="1"/>
  <c r="JTS51" i="1"/>
  <c r="JTR51" i="1"/>
  <c r="JTQ51" i="1"/>
  <c r="JTP51" i="1"/>
  <c r="JTO51" i="1"/>
  <c r="JTN51" i="1"/>
  <c r="JTM51" i="1"/>
  <c r="JTL51" i="1"/>
  <c r="JTK51" i="1"/>
  <c r="JTJ51" i="1"/>
  <c r="JTI51" i="1"/>
  <c r="JTH51" i="1"/>
  <c r="JTG51" i="1"/>
  <c r="JTF51" i="1"/>
  <c r="JTE51" i="1"/>
  <c r="JTD51" i="1"/>
  <c r="JTC51" i="1"/>
  <c r="JTB51" i="1"/>
  <c r="JTA51" i="1"/>
  <c r="JSZ51" i="1"/>
  <c r="JSY51" i="1"/>
  <c r="JSX51" i="1"/>
  <c r="JSW51" i="1"/>
  <c r="JSV51" i="1"/>
  <c r="JSU51" i="1"/>
  <c r="JST51" i="1"/>
  <c r="JSS51" i="1"/>
  <c r="JSR51" i="1"/>
  <c r="JSQ51" i="1"/>
  <c r="JSP51" i="1"/>
  <c r="JSO51" i="1"/>
  <c r="JSN51" i="1"/>
  <c r="JSM51" i="1"/>
  <c r="JSL51" i="1"/>
  <c r="JSK51" i="1"/>
  <c r="JSJ51" i="1"/>
  <c r="JSI51" i="1"/>
  <c r="JSH51" i="1"/>
  <c r="JSG51" i="1"/>
  <c r="JSF51" i="1"/>
  <c r="JSE51" i="1"/>
  <c r="JSD51" i="1"/>
  <c r="JSC51" i="1"/>
  <c r="JSB51" i="1"/>
  <c r="JSA51" i="1"/>
  <c r="JRZ51" i="1"/>
  <c r="JRY51" i="1"/>
  <c r="JRX51" i="1"/>
  <c r="JRW51" i="1"/>
  <c r="JRV51" i="1"/>
  <c r="JRU51" i="1"/>
  <c r="JRT51" i="1"/>
  <c r="JRS51" i="1"/>
  <c r="JRR51" i="1"/>
  <c r="JRQ51" i="1"/>
  <c r="JRP51" i="1"/>
  <c r="JRO51" i="1"/>
  <c r="JRN51" i="1"/>
  <c r="JRM51" i="1"/>
  <c r="JRL51" i="1"/>
  <c r="JRK51" i="1"/>
  <c r="JRJ51" i="1"/>
  <c r="JRI51" i="1"/>
  <c r="JRH51" i="1"/>
  <c r="JRG51" i="1"/>
  <c r="JRF51" i="1"/>
  <c r="JRE51" i="1"/>
  <c r="JRD51" i="1"/>
  <c r="JRC51" i="1"/>
  <c r="JRB51" i="1"/>
  <c r="JRA51" i="1"/>
  <c r="JQZ51" i="1"/>
  <c r="JQY51" i="1"/>
  <c r="JQX51" i="1"/>
  <c r="JQW51" i="1"/>
  <c r="JQV51" i="1"/>
  <c r="JQU51" i="1"/>
  <c r="JQT51" i="1"/>
  <c r="JQS51" i="1"/>
  <c r="JQR51" i="1"/>
  <c r="JQQ51" i="1"/>
  <c r="JQP51" i="1"/>
  <c r="JQO51" i="1"/>
  <c r="JQN51" i="1"/>
  <c r="JQM51" i="1"/>
  <c r="JQL51" i="1"/>
  <c r="JQK51" i="1"/>
  <c r="JQJ51" i="1"/>
  <c r="JQI51" i="1"/>
  <c r="JQH51" i="1"/>
  <c r="JQG51" i="1"/>
  <c r="JQF51" i="1"/>
  <c r="JQE51" i="1"/>
  <c r="JQD51" i="1"/>
  <c r="JQC51" i="1"/>
  <c r="JQB51" i="1"/>
  <c r="JQA51" i="1"/>
  <c r="JPZ51" i="1"/>
  <c r="JPY51" i="1"/>
  <c r="JPX51" i="1"/>
  <c r="JPW51" i="1"/>
  <c r="JPV51" i="1"/>
  <c r="JPU51" i="1"/>
  <c r="JPT51" i="1"/>
  <c r="JPS51" i="1"/>
  <c r="JPR51" i="1"/>
  <c r="JPQ51" i="1"/>
  <c r="JPP51" i="1"/>
  <c r="JPO51" i="1"/>
  <c r="JPN51" i="1"/>
  <c r="JPM51" i="1"/>
  <c r="JPL51" i="1"/>
  <c r="JPK51" i="1"/>
  <c r="JPJ51" i="1"/>
  <c r="JPI51" i="1"/>
  <c r="JPH51" i="1"/>
  <c r="JPG51" i="1"/>
  <c r="JPF51" i="1"/>
  <c r="JPE51" i="1"/>
  <c r="JPD51" i="1"/>
  <c r="JPC51" i="1"/>
  <c r="JPB51" i="1"/>
  <c r="JPA51" i="1"/>
  <c r="JOZ51" i="1"/>
  <c r="JOY51" i="1"/>
  <c r="JOX51" i="1"/>
  <c r="JOW51" i="1"/>
  <c r="JOV51" i="1"/>
  <c r="JOU51" i="1"/>
  <c r="JOT51" i="1"/>
  <c r="JOS51" i="1"/>
  <c r="JOR51" i="1"/>
  <c r="JOQ51" i="1"/>
  <c r="JOP51" i="1"/>
  <c r="JOO51" i="1"/>
  <c r="JON51" i="1"/>
  <c r="JOM51" i="1"/>
  <c r="JOL51" i="1"/>
  <c r="JOK51" i="1"/>
  <c r="JOJ51" i="1"/>
  <c r="JOI51" i="1"/>
  <c r="JOH51" i="1"/>
  <c r="JOG51" i="1"/>
  <c r="JOF51" i="1"/>
  <c r="JOE51" i="1"/>
  <c r="JOD51" i="1"/>
  <c r="JOC51" i="1"/>
  <c r="JOB51" i="1"/>
  <c r="JOA51" i="1"/>
  <c r="JNZ51" i="1"/>
  <c r="JNY51" i="1"/>
  <c r="JNX51" i="1"/>
  <c r="JNW51" i="1"/>
  <c r="JNV51" i="1"/>
  <c r="JNU51" i="1"/>
  <c r="JNT51" i="1"/>
  <c r="JNS51" i="1"/>
  <c r="JNR51" i="1"/>
  <c r="JNQ51" i="1"/>
  <c r="JNP51" i="1"/>
  <c r="JNO51" i="1"/>
  <c r="JNN51" i="1"/>
  <c r="JNM51" i="1"/>
  <c r="JNL51" i="1"/>
  <c r="JNK51" i="1"/>
  <c r="JNJ51" i="1"/>
  <c r="JNI51" i="1"/>
  <c r="JNH51" i="1"/>
  <c r="JNG51" i="1"/>
  <c r="JNF51" i="1"/>
  <c r="JNE51" i="1"/>
  <c r="JND51" i="1"/>
  <c r="JNC51" i="1"/>
  <c r="JNB51" i="1"/>
  <c r="JNA51" i="1"/>
  <c r="JMZ51" i="1"/>
  <c r="JMY51" i="1"/>
  <c r="JMX51" i="1"/>
  <c r="JMW51" i="1"/>
  <c r="JMV51" i="1"/>
  <c r="JMU51" i="1"/>
  <c r="JMT51" i="1"/>
  <c r="JMS51" i="1"/>
  <c r="JMR51" i="1"/>
  <c r="JMQ51" i="1"/>
  <c r="JMP51" i="1"/>
  <c r="JMO51" i="1"/>
  <c r="JMN51" i="1"/>
  <c r="JMM51" i="1"/>
  <c r="JML51" i="1"/>
  <c r="JMK51" i="1"/>
  <c r="JMJ51" i="1"/>
  <c r="JMI51" i="1"/>
  <c r="JMH51" i="1"/>
  <c r="JMG51" i="1"/>
  <c r="JMF51" i="1"/>
  <c r="JME51" i="1"/>
  <c r="JMD51" i="1"/>
  <c r="JMC51" i="1"/>
  <c r="JMB51" i="1"/>
  <c r="JMA51" i="1"/>
  <c r="JLZ51" i="1"/>
  <c r="JLY51" i="1"/>
  <c r="JLX51" i="1"/>
  <c r="JLW51" i="1"/>
  <c r="JLV51" i="1"/>
  <c r="JLU51" i="1"/>
  <c r="JLT51" i="1"/>
  <c r="JLS51" i="1"/>
  <c r="JLR51" i="1"/>
  <c r="JLQ51" i="1"/>
  <c r="JLP51" i="1"/>
  <c r="JLO51" i="1"/>
  <c r="JLN51" i="1"/>
  <c r="JLM51" i="1"/>
  <c r="JLL51" i="1"/>
  <c r="JLK51" i="1"/>
  <c r="JLJ51" i="1"/>
  <c r="JLI51" i="1"/>
  <c r="JLH51" i="1"/>
  <c r="JLG51" i="1"/>
  <c r="JLF51" i="1"/>
  <c r="JLE51" i="1"/>
  <c r="JLD51" i="1"/>
  <c r="JLC51" i="1"/>
  <c r="JLB51" i="1"/>
  <c r="JLA51" i="1"/>
  <c r="JKZ51" i="1"/>
  <c r="JKY51" i="1"/>
  <c r="JKX51" i="1"/>
  <c r="JKW51" i="1"/>
  <c r="JKV51" i="1"/>
  <c r="JKU51" i="1"/>
  <c r="JKT51" i="1"/>
  <c r="JKS51" i="1"/>
  <c r="JKR51" i="1"/>
  <c r="JKQ51" i="1"/>
  <c r="JKP51" i="1"/>
  <c r="JKO51" i="1"/>
  <c r="JKN51" i="1"/>
  <c r="JKM51" i="1"/>
  <c r="JKL51" i="1"/>
  <c r="JKK51" i="1"/>
  <c r="JKJ51" i="1"/>
  <c r="JKI51" i="1"/>
  <c r="JKH51" i="1"/>
  <c r="JKG51" i="1"/>
  <c r="JKF51" i="1"/>
  <c r="JKE51" i="1"/>
  <c r="JKD51" i="1"/>
  <c r="JKC51" i="1"/>
  <c r="JKB51" i="1"/>
  <c r="JKA51" i="1"/>
  <c r="JJZ51" i="1"/>
  <c r="JJY51" i="1"/>
  <c r="JJX51" i="1"/>
  <c r="JJW51" i="1"/>
  <c r="JJV51" i="1"/>
  <c r="JJU51" i="1"/>
  <c r="JJT51" i="1"/>
  <c r="JJS51" i="1"/>
  <c r="JJR51" i="1"/>
  <c r="JJQ51" i="1"/>
  <c r="JJP51" i="1"/>
  <c r="JJO51" i="1"/>
  <c r="JJN51" i="1"/>
  <c r="JJM51" i="1"/>
  <c r="JJL51" i="1"/>
  <c r="JJK51" i="1"/>
  <c r="JJJ51" i="1"/>
  <c r="JJI51" i="1"/>
  <c r="JJH51" i="1"/>
  <c r="JJG51" i="1"/>
  <c r="JJF51" i="1"/>
  <c r="JJE51" i="1"/>
  <c r="JJD51" i="1"/>
  <c r="JJC51" i="1"/>
  <c r="JJB51" i="1"/>
  <c r="JJA51" i="1"/>
  <c r="JIZ51" i="1"/>
  <c r="JIY51" i="1"/>
  <c r="JIX51" i="1"/>
  <c r="JIW51" i="1"/>
  <c r="JIV51" i="1"/>
  <c r="JIU51" i="1"/>
  <c r="JIT51" i="1"/>
  <c r="JIS51" i="1"/>
  <c r="JIR51" i="1"/>
  <c r="JIQ51" i="1"/>
  <c r="JIP51" i="1"/>
  <c r="JIO51" i="1"/>
  <c r="JIN51" i="1"/>
  <c r="JIM51" i="1"/>
  <c r="JIL51" i="1"/>
  <c r="JIK51" i="1"/>
  <c r="JIJ51" i="1"/>
  <c r="JII51" i="1"/>
  <c r="JIH51" i="1"/>
  <c r="JIG51" i="1"/>
  <c r="JIF51" i="1"/>
  <c r="JIE51" i="1"/>
  <c r="JID51" i="1"/>
  <c r="JIC51" i="1"/>
  <c r="JIB51" i="1"/>
  <c r="JIA51" i="1"/>
  <c r="JHZ51" i="1"/>
  <c r="JHY51" i="1"/>
  <c r="JHX51" i="1"/>
  <c r="JHW51" i="1"/>
  <c r="JHV51" i="1"/>
  <c r="JHU51" i="1"/>
  <c r="JHT51" i="1"/>
  <c r="JHS51" i="1"/>
  <c r="JHR51" i="1"/>
  <c r="JHQ51" i="1"/>
  <c r="JHP51" i="1"/>
  <c r="JHO51" i="1"/>
  <c r="JHN51" i="1"/>
  <c r="JHM51" i="1"/>
  <c r="JHL51" i="1"/>
  <c r="JHK51" i="1"/>
  <c r="JHJ51" i="1"/>
  <c r="JHI51" i="1"/>
  <c r="JHH51" i="1"/>
  <c r="JHG51" i="1"/>
  <c r="JHF51" i="1"/>
  <c r="JHE51" i="1"/>
  <c r="JHD51" i="1"/>
  <c r="JHC51" i="1"/>
  <c r="JHB51" i="1"/>
  <c r="JHA51" i="1"/>
  <c r="JGZ51" i="1"/>
  <c r="JGY51" i="1"/>
  <c r="JGX51" i="1"/>
  <c r="JGW51" i="1"/>
  <c r="JGV51" i="1"/>
  <c r="JGU51" i="1"/>
  <c r="JGT51" i="1"/>
  <c r="JGS51" i="1"/>
  <c r="JGR51" i="1"/>
  <c r="JGQ51" i="1"/>
  <c r="JGP51" i="1"/>
  <c r="JGO51" i="1"/>
  <c r="JGN51" i="1"/>
  <c r="JGM51" i="1"/>
  <c r="JGL51" i="1"/>
  <c r="JGK51" i="1"/>
  <c r="JGJ51" i="1"/>
  <c r="JGI51" i="1"/>
  <c r="JGH51" i="1"/>
  <c r="JGG51" i="1"/>
  <c r="JGF51" i="1"/>
  <c r="JGE51" i="1"/>
  <c r="JGD51" i="1"/>
  <c r="JGC51" i="1"/>
  <c r="JGB51" i="1"/>
  <c r="JGA51" i="1"/>
  <c r="JFZ51" i="1"/>
  <c r="JFY51" i="1"/>
  <c r="JFX51" i="1"/>
  <c r="JFW51" i="1"/>
  <c r="JFV51" i="1"/>
  <c r="JFU51" i="1"/>
  <c r="JFT51" i="1"/>
  <c r="JFS51" i="1"/>
  <c r="JFR51" i="1"/>
  <c r="JFQ51" i="1"/>
  <c r="JFP51" i="1"/>
  <c r="JFO51" i="1"/>
  <c r="JFN51" i="1"/>
  <c r="JFM51" i="1"/>
  <c r="JFL51" i="1"/>
  <c r="JFK51" i="1"/>
  <c r="JFJ51" i="1"/>
  <c r="JFI51" i="1"/>
  <c r="JFH51" i="1"/>
  <c r="JFG51" i="1"/>
  <c r="JFF51" i="1"/>
  <c r="JFE51" i="1"/>
  <c r="JFD51" i="1"/>
  <c r="JFC51" i="1"/>
  <c r="JFB51" i="1"/>
  <c r="JFA51" i="1"/>
  <c r="JEZ51" i="1"/>
  <c r="JEY51" i="1"/>
  <c r="JEX51" i="1"/>
  <c r="JEW51" i="1"/>
  <c r="JEV51" i="1"/>
  <c r="JEU51" i="1"/>
  <c r="JET51" i="1"/>
  <c r="JES51" i="1"/>
  <c r="JER51" i="1"/>
  <c r="JEQ51" i="1"/>
  <c r="JEP51" i="1"/>
  <c r="JEO51" i="1"/>
  <c r="JEN51" i="1"/>
  <c r="JEM51" i="1"/>
  <c r="JEL51" i="1"/>
  <c r="JEK51" i="1"/>
  <c r="JEJ51" i="1"/>
  <c r="JEI51" i="1"/>
  <c r="JEH51" i="1"/>
  <c r="JEG51" i="1"/>
  <c r="JEF51" i="1"/>
  <c r="JEE51" i="1"/>
  <c r="JED51" i="1"/>
  <c r="JEC51" i="1"/>
  <c r="JEB51" i="1"/>
  <c r="JEA51" i="1"/>
  <c r="JDZ51" i="1"/>
  <c r="JDY51" i="1"/>
  <c r="JDX51" i="1"/>
  <c r="JDW51" i="1"/>
  <c r="JDV51" i="1"/>
  <c r="JDU51" i="1"/>
  <c r="JDT51" i="1"/>
  <c r="JDS51" i="1"/>
  <c r="JDR51" i="1"/>
  <c r="JDQ51" i="1"/>
  <c r="JDP51" i="1"/>
  <c r="JDO51" i="1"/>
  <c r="JDN51" i="1"/>
  <c r="JDM51" i="1"/>
  <c r="JDL51" i="1"/>
  <c r="JDK51" i="1"/>
  <c r="JDJ51" i="1"/>
  <c r="JDI51" i="1"/>
  <c r="JDH51" i="1"/>
  <c r="JDG51" i="1"/>
  <c r="JDF51" i="1"/>
  <c r="JDE51" i="1"/>
  <c r="JDD51" i="1"/>
  <c r="JDC51" i="1"/>
  <c r="JDB51" i="1"/>
  <c r="JDA51" i="1"/>
  <c r="JCZ51" i="1"/>
  <c r="JCY51" i="1"/>
  <c r="JCX51" i="1"/>
  <c r="JCW51" i="1"/>
  <c r="JCV51" i="1"/>
  <c r="JCU51" i="1"/>
  <c r="JCT51" i="1"/>
  <c r="JCS51" i="1"/>
  <c r="JCR51" i="1"/>
  <c r="JCQ51" i="1"/>
  <c r="JCP51" i="1"/>
  <c r="JCO51" i="1"/>
  <c r="JCN51" i="1"/>
  <c r="JCM51" i="1"/>
  <c r="JCL51" i="1"/>
  <c r="JCK51" i="1"/>
  <c r="JCJ51" i="1"/>
  <c r="JCI51" i="1"/>
  <c r="JCH51" i="1"/>
  <c r="JCG51" i="1"/>
  <c r="JCF51" i="1"/>
  <c r="JCE51" i="1"/>
  <c r="JCD51" i="1"/>
  <c r="JCC51" i="1"/>
  <c r="JCB51" i="1"/>
  <c r="JCA51" i="1"/>
  <c r="JBZ51" i="1"/>
  <c r="JBY51" i="1"/>
  <c r="JBX51" i="1"/>
  <c r="JBW51" i="1"/>
  <c r="JBV51" i="1"/>
  <c r="JBU51" i="1"/>
  <c r="JBT51" i="1"/>
  <c r="JBS51" i="1"/>
  <c r="JBR51" i="1"/>
  <c r="JBQ51" i="1"/>
  <c r="JBP51" i="1"/>
  <c r="JBO51" i="1"/>
  <c r="JBN51" i="1"/>
  <c r="JBM51" i="1"/>
  <c r="JBL51" i="1"/>
  <c r="JBK51" i="1"/>
  <c r="JBJ51" i="1"/>
  <c r="JBI51" i="1"/>
  <c r="JBH51" i="1"/>
  <c r="JBG51" i="1"/>
  <c r="JBF51" i="1"/>
  <c r="JBE51" i="1"/>
  <c r="JBD51" i="1"/>
  <c r="JBC51" i="1"/>
  <c r="JBB51" i="1"/>
  <c r="JBA51" i="1"/>
  <c r="JAZ51" i="1"/>
  <c r="JAY51" i="1"/>
  <c r="JAX51" i="1"/>
  <c r="JAW51" i="1"/>
  <c r="JAV51" i="1"/>
  <c r="JAU51" i="1"/>
  <c r="JAT51" i="1"/>
  <c r="JAS51" i="1"/>
  <c r="JAR51" i="1"/>
  <c r="JAQ51" i="1"/>
  <c r="JAP51" i="1"/>
  <c r="JAO51" i="1"/>
  <c r="JAN51" i="1"/>
  <c r="JAM51" i="1"/>
  <c r="JAL51" i="1"/>
  <c r="JAK51" i="1"/>
  <c r="JAJ51" i="1"/>
  <c r="JAI51" i="1"/>
  <c r="JAH51" i="1"/>
  <c r="JAG51" i="1"/>
  <c r="JAF51" i="1"/>
  <c r="JAE51" i="1"/>
  <c r="JAD51" i="1"/>
  <c r="JAC51" i="1"/>
  <c r="JAB51" i="1"/>
  <c r="JAA51" i="1"/>
  <c r="IZZ51" i="1"/>
  <c r="IZY51" i="1"/>
  <c r="IZX51" i="1"/>
  <c r="IZW51" i="1"/>
  <c r="IZV51" i="1"/>
  <c r="IZU51" i="1"/>
  <c r="IZT51" i="1"/>
  <c r="IZS51" i="1"/>
  <c r="IZR51" i="1"/>
  <c r="IZQ51" i="1"/>
  <c r="IZP51" i="1"/>
  <c r="IZO51" i="1"/>
  <c r="IZN51" i="1"/>
  <c r="IZM51" i="1"/>
  <c r="IZL51" i="1"/>
  <c r="IZK51" i="1"/>
  <c r="IZJ51" i="1"/>
  <c r="IZI51" i="1"/>
  <c r="IZH51" i="1"/>
  <c r="IZG51" i="1"/>
  <c r="IZF51" i="1"/>
  <c r="IZE51" i="1"/>
  <c r="IZD51" i="1"/>
  <c r="IZC51" i="1"/>
  <c r="IZB51" i="1"/>
  <c r="IZA51" i="1"/>
  <c r="IYZ51" i="1"/>
  <c r="IYY51" i="1"/>
  <c r="IYX51" i="1"/>
  <c r="IYW51" i="1"/>
  <c r="IYV51" i="1"/>
  <c r="IYU51" i="1"/>
  <c r="IYT51" i="1"/>
  <c r="IYS51" i="1"/>
  <c r="IYR51" i="1"/>
  <c r="IYQ51" i="1"/>
  <c r="IYP51" i="1"/>
  <c r="IYO51" i="1"/>
  <c r="IYN51" i="1"/>
  <c r="IYM51" i="1"/>
  <c r="IYL51" i="1"/>
  <c r="IYK51" i="1"/>
  <c r="IYJ51" i="1"/>
  <c r="IYI51" i="1"/>
  <c r="IYH51" i="1"/>
  <c r="IYG51" i="1"/>
  <c r="IYF51" i="1"/>
  <c r="IYE51" i="1"/>
  <c r="IYD51" i="1"/>
  <c r="IYC51" i="1"/>
  <c r="IYB51" i="1"/>
  <c r="IYA51" i="1"/>
  <c r="IXZ51" i="1"/>
  <c r="IXY51" i="1"/>
  <c r="IXX51" i="1"/>
  <c r="IXW51" i="1"/>
  <c r="IXV51" i="1"/>
  <c r="IXU51" i="1"/>
  <c r="IXT51" i="1"/>
  <c r="IXS51" i="1"/>
  <c r="IXR51" i="1"/>
  <c r="IXQ51" i="1"/>
  <c r="IXP51" i="1"/>
  <c r="IXO51" i="1"/>
  <c r="IXN51" i="1"/>
  <c r="IXM51" i="1"/>
  <c r="IXL51" i="1"/>
  <c r="IXK51" i="1"/>
  <c r="IXJ51" i="1"/>
  <c r="IXI51" i="1"/>
  <c r="IXH51" i="1"/>
  <c r="IXG51" i="1"/>
  <c r="IXF51" i="1"/>
  <c r="IXE51" i="1"/>
  <c r="IXD51" i="1"/>
  <c r="IXC51" i="1"/>
  <c r="IXB51" i="1"/>
  <c r="IXA51" i="1"/>
  <c r="IWZ51" i="1"/>
  <c r="IWY51" i="1"/>
  <c r="IWX51" i="1"/>
  <c r="IWW51" i="1"/>
  <c r="IWV51" i="1"/>
  <c r="IWU51" i="1"/>
  <c r="IWT51" i="1"/>
  <c r="IWS51" i="1"/>
  <c r="IWR51" i="1"/>
  <c r="IWQ51" i="1"/>
  <c r="IWP51" i="1"/>
  <c r="IWO51" i="1"/>
  <c r="IWN51" i="1"/>
  <c r="IWM51" i="1"/>
  <c r="IWL51" i="1"/>
  <c r="IWK51" i="1"/>
  <c r="IWJ51" i="1"/>
  <c r="IWI51" i="1"/>
  <c r="IWH51" i="1"/>
  <c r="IWG51" i="1"/>
  <c r="IWF51" i="1"/>
  <c r="IWE51" i="1"/>
  <c r="IWD51" i="1"/>
  <c r="IWC51" i="1"/>
  <c r="IWB51" i="1"/>
  <c r="IWA51" i="1"/>
  <c r="IVZ51" i="1"/>
  <c r="IVY51" i="1"/>
  <c r="IVX51" i="1"/>
  <c r="IVW51" i="1"/>
  <c r="IVV51" i="1"/>
  <c r="IVU51" i="1"/>
  <c r="IVT51" i="1"/>
  <c r="IVS51" i="1"/>
  <c r="IVR51" i="1"/>
  <c r="IVQ51" i="1"/>
  <c r="IVP51" i="1"/>
  <c r="IVO51" i="1"/>
  <c r="IVN51" i="1"/>
  <c r="IVM51" i="1"/>
  <c r="IVL51" i="1"/>
  <c r="IVK51" i="1"/>
  <c r="IVJ51" i="1"/>
  <c r="IVI51" i="1"/>
  <c r="IVH51" i="1"/>
  <c r="IVG51" i="1"/>
  <c r="IVF51" i="1"/>
  <c r="IVE51" i="1"/>
  <c r="IVD51" i="1"/>
  <c r="IVC51" i="1"/>
  <c r="IVB51" i="1"/>
  <c r="IVA51" i="1"/>
  <c r="IUZ51" i="1"/>
  <c r="IUY51" i="1"/>
  <c r="IUX51" i="1"/>
  <c r="IUW51" i="1"/>
  <c r="IUV51" i="1"/>
  <c r="IUU51" i="1"/>
  <c r="IUT51" i="1"/>
  <c r="IUS51" i="1"/>
  <c r="IUR51" i="1"/>
  <c r="IUQ51" i="1"/>
  <c r="IUP51" i="1"/>
  <c r="IUO51" i="1"/>
  <c r="IUN51" i="1"/>
  <c r="IUM51" i="1"/>
  <c r="IUL51" i="1"/>
  <c r="IUK51" i="1"/>
  <c r="IUJ51" i="1"/>
  <c r="IUI51" i="1"/>
  <c r="IUH51" i="1"/>
  <c r="IUG51" i="1"/>
  <c r="IUF51" i="1"/>
  <c r="IUE51" i="1"/>
  <c r="IUD51" i="1"/>
  <c r="IUC51" i="1"/>
  <c r="IUB51" i="1"/>
  <c r="IUA51" i="1"/>
  <c r="ITZ51" i="1"/>
  <c r="ITY51" i="1"/>
  <c r="ITX51" i="1"/>
  <c r="ITW51" i="1"/>
  <c r="ITV51" i="1"/>
  <c r="ITU51" i="1"/>
  <c r="ITT51" i="1"/>
  <c r="ITS51" i="1"/>
  <c r="ITR51" i="1"/>
  <c r="ITQ51" i="1"/>
  <c r="ITP51" i="1"/>
  <c r="ITO51" i="1"/>
  <c r="ITN51" i="1"/>
  <c r="ITM51" i="1"/>
  <c r="ITL51" i="1"/>
  <c r="ITK51" i="1"/>
  <c r="ITJ51" i="1"/>
  <c r="ITI51" i="1"/>
  <c r="ITH51" i="1"/>
  <c r="ITG51" i="1"/>
  <c r="ITF51" i="1"/>
  <c r="ITE51" i="1"/>
  <c r="ITD51" i="1"/>
  <c r="ITC51" i="1"/>
  <c r="ITB51" i="1"/>
  <c r="ITA51" i="1"/>
  <c r="ISZ51" i="1"/>
  <c r="ISY51" i="1"/>
  <c r="ISX51" i="1"/>
  <c r="ISW51" i="1"/>
  <c r="ISV51" i="1"/>
  <c r="ISU51" i="1"/>
  <c r="IST51" i="1"/>
  <c r="ISS51" i="1"/>
  <c r="ISR51" i="1"/>
  <c r="ISQ51" i="1"/>
  <c r="ISP51" i="1"/>
  <c r="ISO51" i="1"/>
  <c r="ISN51" i="1"/>
  <c r="ISM51" i="1"/>
  <c r="ISL51" i="1"/>
  <c r="ISK51" i="1"/>
  <c r="ISJ51" i="1"/>
  <c r="ISI51" i="1"/>
  <c r="ISH51" i="1"/>
  <c r="ISG51" i="1"/>
  <c r="ISF51" i="1"/>
  <c r="ISE51" i="1"/>
  <c r="ISD51" i="1"/>
  <c r="ISC51" i="1"/>
  <c r="ISB51" i="1"/>
  <c r="ISA51" i="1"/>
  <c r="IRZ51" i="1"/>
  <c r="IRY51" i="1"/>
  <c r="IRX51" i="1"/>
  <c r="IRW51" i="1"/>
  <c r="IRV51" i="1"/>
  <c r="IRU51" i="1"/>
  <c r="IRT51" i="1"/>
  <c r="IRS51" i="1"/>
  <c r="IRR51" i="1"/>
  <c r="IRQ51" i="1"/>
  <c r="IRP51" i="1"/>
  <c r="IRO51" i="1"/>
  <c r="IRN51" i="1"/>
  <c r="IRM51" i="1"/>
  <c r="IRL51" i="1"/>
  <c r="IRK51" i="1"/>
  <c r="IRJ51" i="1"/>
  <c r="IRI51" i="1"/>
  <c r="IRH51" i="1"/>
  <c r="IRG51" i="1"/>
  <c r="IRF51" i="1"/>
  <c r="IRE51" i="1"/>
  <c r="IRD51" i="1"/>
  <c r="IRC51" i="1"/>
  <c r="IRB51" i="1"/>
  <c r="IRA51" i="1"/>
  <c r="IQZ51" i="1"/>
  <c r="IQY51" i="1"/>
  <c r="IQX51" i="1"/>
  <c r="IQW51" i="1"/>
  <c r="IQV51" i="1"/>
  <c r="IQU51" i="1"/>
  <c r="IQT51" i="1"/>
  <c r="IQS51" i="1"/>
  <c r="IQR51" i="1"/>
  <c r="IQQ51" i="1"/>
  <c r="IQP51" i="1"/>
  <c r="IQO51" i="1"/>
  <c r="IQN51" i="1"/>
  <c r="IQM51" i="1"/>
  <c r="IQL51" i="1"/>
  <c r="IQK51" i="1"/>
  <c r="IQJ51" i="1"/>
  <c r="IQI51" i="1"/>
  <c r="IQH51" i="1"/>
  <c r="IQG51" i="1"/>
  <c r="IQF51" i="1"/>
  <c r="IQE51" i="1"/>
  <c r="IQD51" i="1"/>
  <c r="IQC51" i="1"/>
  <c r="IQB51" i="1"/>
  <c r="IQA51" i="1"/>
  <c r="IPZ51" i="1"/>
  <c r="IPY51" i="1"/>
  <c r="IPX51" i="1"/>
  <c r="IPW51" i="1"/>
  <c r="IPV51" i="1"/>
  <c r="IPU51" i="1"/>
  <c r="IPT51" i="1"/>
  <c r="IPS51" i="1"/>
  <c r="IPR51" i="1"/>
  <c r="IPQ51" i="1"/>
  <c r="IPP51" i="1"/>
  <c r="IPO51" i="1"/>
  <c r="IPN51" i="1"/>
  <c r="IPM51" i="1"/>
  <c r="IPL51" i="1"/>
  <c r="IPK51" i="1"/>
  <c r="IPJ51" i="1"/>
  <c r="IPI51" i="1"/>
  <c r="IPH51" i="1"/>
  <c r="IPG51" i="1"/>
  <c r="IPF51" i="1"/>
  <c r="IPE51" i="1"/>
  <c r="IPD51" i="1"/>
  <c r="IPC51" i="1"/>
  <c r="IPB51" i="1"/>
  <c r="IPA51" i="1"/>
  <c r="IOZ51" i="1"/>
  <c r="IOY51" i="1"/>
  <c r="IOX51" i="1"/>
  <c r="IOW51" i="1"/>
  <c r="IOV51" i="1"/>
  <c r="IOU51" i="1"/>
  <c r="IOT51" i="1"/>
  <c r="IOS51" i="1"/>
  <c r="IOR51" i="1"/>
  <c r="IOQ51" i="1"/>
  <c r="IOP51" i="1"/>
  <c r="IOO51" i="1"/>
  <c r="ION51" i="1"/>
  <c r="IOM51" i="1"/>
  <c r="IOL51" i="1"/>
  <c r="IOK51" i="1"/>
  <c r="IOJ51" i="1"/>
  <c r="IOI51" i="1"/>
  <c r="IOH51" i="1"/>
  <c r="IOG51" i="1"/>
  <c r="IOF51" i="1"/>
  <c r="IOE51" i="1"/>
  <c r="IOD51" i="1"/>
  <c r="IOC51" i="1"/>
  <c r="IOB51" i="1"/>
  <c r="IOA51" i="1"/>
  <c r="INZ51" i="1"/>
  <c r="INY51" i="1"/>
  <c r="INX51" i="1"/>
  <c r="INW51" i="1"/>
  <c r="INV51" i="1"/>
  <c r="INU51" i="1"/>
  <c r="INT51" i="1"/>
  <c r="INS51" i="1"/>
  <c r="INR51" i="1"/>
  <c r="INQ51" i="1"/>
  <c r="INP51" i="1"/>
  <c r="INO51" i="1"/>
  <c r="INN51" i="1"/>
  <c r="INM51" i="1"/>
  <c r="INL51" i="1"/>
  <c r="INK51" i="1"/>
  <c r="INJ51" i="1"/>
  <c r="INI51" i="1"/>
  <c r="INH51" i="1"/>
  <c r="ING51" i="1"/>
  <c r="INF51" i="1"/>
  <c r="INE51" i="1"/>
  <c r="IND51" i="1"/>
  <c r="INC51" i="1"/>
  <c r="INB51" i="1"/>
  <c r="INA51" i="1"/>
  <c r="IMZ51" i="1"/>
  <c r="IMY51" i="1"/>
  <c r="IMX51" i="1"/>
  <c r="IMW51" i="1"/>
  <c r="IMV51" i="1"/>
  <c r="IMU51" i="1"/>
  <c r="IMT51" i="1"/>
  <c r="IMS51" i="1"/>
  <c r="IMR51" i="1"/>
  <c r="IMQ51" i="1"/>
  <c r="IMP51" i="1"/>
  <c r="IMO51" i="1"/>
  <c r="IMN51" i="1"/>
  <c r="IMM51" i="1"/>
  <c r="IML51" i="1"/>
  <c r="IMK51" i="1"/>
  <c r="IMJ51" i="1"/>
  <c r="IMI51" i="1"/>
  <c r="IMH51" i="1"/>
  <c r="IMG51" i="1"/>
  <c r="IMF51" i="1"/>
  <c r="IME51" i="1"/>
  <c r="IMD51" i="1"/>
  <c r="IMC51" i="1"/>
  <c r="IMB51" i="1"/>
  <c r="IMA51" i="1"/>
  <c r="ILZ51" i="1"/>
  <c r="ILY51" i="1"/>
  <c r="ILX51" i="1"/>
  <c r="ILW51" i="1"/>
  <c r="ILV51" i="1"/>
  <c r="ILU51" i="1"/>
  <c r="ILT51" i="1"/>
  <c r="ILS51" i="1"/>
  <c r="ILR51" i="1"/>
  <c r="ILQ51" i="1"/>
  <c r="ILP51" i="1"/>
  <c r="ILO51" i="1"/>
  <c r="ILN51" i="1"/>
  <c r="ILM51" i="1"/>
  <c r="ILL51" i="1"/>
  <c r="ILK51" i="1"/>
  <c r="ILJ51" i="1"/>
  <c r="ILI51" i="1"/>
  <c r="ILH51" i="1"/>
  <c r="ILG51" i="1"/>
  <c r="ILF51" i="1"/>
  <c r="ILE51" i="1"/>
  <c r="ILD51" i="1"/>
  <c r="ILC51" i="1"/>
  <c r="ILB51" i="1"/>
  <c r="ILA51" i="1"/>
  <c r="IKZ51" i="1"/>
  <c r="IKY51" i="1"/>
  <c r="IKX51" i="1"/>
  <c r="IKW51" i="1"/>
  <c r="IKV51" i="1"/>
  <c r="IKU51" i="1"/>
  <c r="IKT51" i="1"/>
  <c r="IKS51" i="1"/>
  <c r="IKR51" i="1"/>
  <c r="IKQ51" i="1"/>
  <c r="IKP51" i="1"/>
  <c r="IKO51" i="1"/>
  <c r="IKN51" i="1"/>
  <c r="IKM51" i="1"/>
  <c r="IKL51" i="1"/>
  <c r="IKK51" i="1"/>
  <c r="IKJ51" i="1"/>
  <c r="IKI51" i="1"/>
  <c r="IKH51" i="1"/>
  <c r="IKG51" i="1"/>
  <c r="IKF51" i="1"/>
  <c r="IKE51" i="1"/>
  <c r="IKD51" i="1"/>
  <c r="IKC51" i="1"/>
  <c r="IKB51" i="1"/>
  <c r="IKA51" i="1"/>
  <c r="IJZ51" i="1"/>
  <c r="IJY51" i="1"/>
  <c r="IJX51" i="1"/>
  <c r="IJW51" i="1"/>
  <c r="IJV51" i="1"/>
  <c r="IJU51" i="1"/>
  <c r="IJT51" i="1"/>
  <c r="IJS51" i="1"/>
  <c r="IJR51" i="1"/>
  <c r="IJQ51" i="1"/>
  <c r="IJP51" i="1"/>
  <c r="IJO51" i="1"/>
  <c r="IJN51" i="1"/>
  <c r="IJM51" i="1"/>
  <c r="IJL51" i="1"/>
  <c r="IJK51" i="1"/>
  <c r="IJJ51" i="1"/>
  <c r="IJI51" i="1"/>
  <c r="IJH51" i="1"/>
  <c r="IJG51" i="1"/>
  <c r="IJF51" i="1"/>
  <c r="IJE51" i="1"/>
  <c r="IJD51" i="1"/>
  <c r="IJC51" i="1"/>
  <c r="IJB51" i="1"/>
  <c r="IJA51" i="1"/>
  <c r="IIZ51" i="1"/>
  <c r="IIY51" i="1"/>
  <c r="IIX51" i="1"/>
  <c r="IIW51" i="1"/>
  <c r="IIV51" i="1"/>
  <c r="IIU51" i="1"/>
  <c r="IIT51" i="1"/>
  <c r="IIS51" i="1"/>
  <c r="IIR51" i="1"/>
  <c r="IIQ51" i="1"/>
  <c r="IIP51" i="1"/>
  <c r="IIO51" i="1"/>
  <c r="IIN51" i="1"/>
  <c r="IIM51" i="1"/>
  <c r="IIL51" i="1"/>
  <c r="IIK51" i="1"/>
  <c r="IIJ51" i="1"/>
  <c r="III51" i="1"/>
  <c r="IIH51" i="1"/>
  <c r="IIG51" i="1"/>
  <c r="IIF51" i="1"/>
  <c r="IIE51" i="1"/>
  <c r="IID51" i="1"/>
  <c r="IIC51" i="1"/>
  <c r="IIB51" i="1"/>
  <c r="IIA51" i="1"/>
  <c r="IHZ51" i="1"/>
  <c r="IHY51" i="1"/>
  <c r="IHX51" i="1"/>
  <c r="IHW51" i="1"/>
  <c r="IHV51" i="1"/>
  <c r="IHU51" i="1"/>
  <c r="IHT51" i="1"/>
  <c r="IHS51" i="1"/>
  <c r="IHR51" i="1"/>
  <c r="IHQ51" i="1"/>
  <c r="IHP51" i="1"/>
  <c r="IHO51" i="1"/>
  <c r="IHN51" i="1"/>
  <c r="IHM51" i="1"/>
  <c r="IHL51" i="1"/>
  <c r="IHK51" i="1"/>
  <c r="IHJ51" i="1"/>
  <c r="IHI51" i="1"/>
  <c r="IHH51" i="1"/>
  <c r="IHG51" i="1"/>
  <c r="IHF51" i="1"/>
  <c r="IHE51" i="1"/>
  <c r="IHD51" i="1"/>
  <c r="IHC51" i="1"/>
  <c r="IHB51" i="1"/>
  <c r="IHA51" i="1"/>
  <c r="IGZ51" i="1"/>
  <c r="IGY51" i="1"/>
  <c r="IGX51" i="1"/>
  <c r="IGW51" i="1"/>
  <c r="IGV51" i="1"/>
  <c r="IGU51" i="1"/>
  <c r="IGT51" i="1"/>
  <c r="IGS51" i="1"/>
  <c r="IGR51" i="1"/>
  <c r="IGQ51" i="1"/>
  <c r="IGP51" i="1"/>
  <c r="IGO51" i="1"/>
  <c r="IGN51" i="1"/>
  <c r="IGM51" i="1"/>
  <c r="IGL51" i="1"/>
  <c r="IGK51" i="1"/>
  <c r="IGJ51" i="1"/>
  <c r="IGI51" i="1"/>
  <c r="IGH51" i="1"/>
  <c r="IGG51" i="1"/>
  <c r="IGF51" i="1"/>
  <c r="IGE51" i="1"/>
  <c r="IGD51" i="1"/>
  <c r="IGC51" i="1"/>
  <c r="IGB51" i="1"/>
  <c r="IGA51" i="1"/>
  <c r="IFZ51" i="1"/>
  <c r="IFY51" i="1"/>
  <c r="IFX51" i="1"/>
  <c r="IFW51" i="1"/>
  <c r="IFV51" i="1"/>
  <c r="IFU51" i="1"/>
  <c r="IFT51" i="1"/>
  <c r="IFS51" i="1"/>
  <c r="IFR51" i="1"/>
  <c r="IFQ51" i="1"/>
  <c r="IFP51" i="1"/>
  <c r="IFO51" i="1"/>
  <c r="IFN51" i="1"/>
  <c r="IFM51" i="1"/>
  <c r="IFL51" i="1"/>
  <c r="IFK51" i="1"/>
  <c r="IFJ51" i="1"/>
  <c r="IFI51" i="1"/>
  <c r="IFH51" i="1"/>
  <c r="IFG51" i="1"/>
  <c r="IFF51" i="1"/>
  <c r="IFE51" i="1"/>
  <c r="IFD51" i="1"/>
  <c r="IFC51" i="1"/>
  <c r="IFB51" i="1"/>
  <c r="IFA51" i="1"/>
  <c r="IEZ51" i="1"/>
  <c r="IEY51" i="1"/>
  <c r="IEX51" i="1"/>
  <c r="IEW51" i="1"/>
  <c r="IEV51" i="1"/>
  <c r="IEU51" i="1"/>
  <c r="IET51" i="1"/>
  <c r="IES51" i="1"/>
  <c r="IER51" i="1"/>
  <c r="IEQ51" i="1"/>
  <c r="IEP51" i="1"/>
  <c r="IEO51" i="1"/>
  <c r="IEN51" i="1"/>
  <c r="IEM51" i="1"/>
  <c r="IEL51" i="1"/>
  <c r="IEK51" i="1"/>
  <c r="IEJ51" i="1"/>
  <c r="IEI51" i="1"/>
  <c r="IEH51" i="1"/>
  <c r="IEG51" i="1"/>
  <c r="IEF51" i="1"/>
  <c r="IEE51" i="1"/>
  <c r="IED51" i="1"/>
  <c r="IEC51" i="1"/>
  <c r="IEB51" i="1"/>
  <c r="IEA51" i="1"/>
  <c r="IDZ51" i="1"/>
  <c r="IDY51" i="1"/>
  <c r="IDX51" i="1"/>
  <c r="IDW51" i="1"/>
  <c r="IDV51" i="1"/>
  <c r="IDU51" i="1"/>
  <c r="IDT51" i="1"/>
  <c r="IDS51" i="1"/>
  <c r="IDR51" i="1"/>
  <c r="IDQ51" i="1"/>
  <c r="IDP51" i="1"/>
  <c r="IDO51" i="1"/>
  <c r="IDN51" i="1"/>
  <c r="IDM51" i="1"/>
  <c r="IDL51" i="1"/>
  <c r="IDK51" i="1"/>
  <c r="IDJ51" i="1"/>
  <c r="IDI51" i="1"/>
  <c r="IDH51" i="1"/>
  <c r="IDG51" i="1"/>
  <c r="IDF51" i="1"/>
  <c r="IDE51" i="1"/>
  <c r="IDD51" i="1"/>
  <c r="IDC51" i="1"/>
  <c r="IDB51" i="1"/>
  <c r="IDA51" i="1"/>
  <c r="ICZ51" i="1"/>
  <c r="ICY51" i="1"/>
  <c r="ICX51" i="1"/>
  <c r="ICW51" i="1"/>
  <c r="ICV51" i="1"/>
  <c r="ICU51" i="1"/>
  <c r="ICT51" i="1"/>
  <c r="ICS51" i="1"/>
  <c r="ICR51" i="1"/>
  <c r="ICQ51" i="1"/>
  <c r="ICP51" i="1"/>
  <c r="ICO51" i="1"/>
  <c r="ICN51" i="1"/>
  <c r="ICM51" i="1"/>
  <c r="ICL51" i="1"/>
  <c r="ICK51" i="1"/>
  <c r="ICJ51" i="1"/>
  <c r="ICI51" i="1"/>
  <c r="ICH51" i="1"/>
  <c r="ICG51" i="1"/>
  <c r="ICF51" i="1"/>
  <c r="ICE51" i="1"/>
  <c r="ICD51" i="1"/>
  <c r="ICC51" i="1"/>
  <c r="ICB51" i="1"/>
  <c r="ICA51" i="1"/>
  <c r="IBZ51" i="1"/>
  <c r="IBY51" i="1"/>
  <c r="IBX51" i="1"/>
  <c r="IBW51" i="1"/>
  <c r="IBV51" i="1"/>
  <c r="IBU51" i="1"/>
  <c r="IBT51" i="1"/>
  <c r="IBS51" i="1"/>
  <c r="IBR51" i="1"/>
  <c r="IBQ51" i="1"/>
  <c r="IBP51" i="1"/>
  <c r="IBO51" i="1"/>
  <c r="IBN51" i="1"/>
  <c r="IBM51" i="1"/>
  <c r="IBL51" i="1"/>
  <c r="IBK51" i="1"/>
  <c r="IBJ51" i="1"/>
  <c r="IBI51" i="1"/>
  <c r="IBH51" i="1"/>
  <c r="IBG51" i="1"/>
  <c r="IBF51" i="1"/>
  <c r="IBE51" i="1"/>
  <c r="IBD51" i="1"/>
  <c r="IBC51" i="1"/>
  <c r="IBB51" i="1"/>
  <c r="IBA51" i="1"/>
  <c r="IAZ51" i="1"/>
  <c r="IAY51" i="1"/>
  <c r="IAX51" i="1"/>
  <c r="IAW51" i="1"/>
  <c r="IAV51" i="1"/>
  <c r="IAU51" i="1"/>
  <c r="IAT51" i="1"/>
  <c r="IAS51" i="1"/>
  <c r="IAR51" i="1"/>
  <c r="IAQ51" i="1"/>
  <c r="IAP51" i="1"/>
  <c r="IAO51" i="1"/>
  <c r="IAN51" i="1"/>
  <c r="IAM51" i="1"/>
  <c r="IAL51" i="1"/>
  <c r="IAK51" i="1"/>
  <c r="IAJ51" i="1"/>
  <c r="IAI51" i="1"/>
  <c r="IAH51" i="1"/>
  <c r="IAG51" i="1"/>
  <c r="IAF51" i="1"/>
  <c r="IAE51" i="1"/>
  <c r="IAD51" i="1"/>
  <c r="IAC51" i="1"/>
  <c r="IAB51" i="1"/>
  <c r="IAA51" i="1"/>
  <c r="HZZ51" i="1"/>
  <c r="HZY51" i="1"/>
  <c r="HZX51" i="1"/>
  <c r="HZW51" i="1"/>
  <c r="HZV51" i="1"/>
  <c r="HZU51" i="1"/>
  <c r="HZT51" i="1"/>
  <c r="HZS51" i="1"/>
  <c r="HZR51" i="1"/>
  <c r="HZQ51" i="1"/>
  <c r="HZP51" i="1"/>
  <c r="HZO51" i="1"/>
  <c r="HZN51" i="1"/>
  <c r="HZM51" i="1"/>
  <c r="HZL51" i="1"/>
  <c r="HZK51" i="1"/>
  <c r="HZJ51" i="1"/>
  <c r="HZI51" i="1"/>
  <c r="HZH51" i="1"/>
  <c r="HZG51" i="1"/>
  <c r="HZF51" i="1"/>
  <c r="HZE51" i="1"/>
  <c r="HZD51" i="1"/>
  <c r="HZC51" i="1"/>
  <c r="HZB51" i="1"/>
  <c r="HZA51" i="1"/>
  <c r="HYZ51" i="1"/>
  <c r="HYY51" i="1"/>
  <c r="HYX51" i="1"/>
  <c r="HYW51" i="1"/>
  <c r="HYV51" i="1"/>
  <c r="HYU51" i="1"/>
  <c r="HYT51" i="1"/>
  <c r="HYS51" i="1"/>
  <c r="HYR51" i="1"/>
  <c r="HYQ51" i="1"/>
  <c r="HYP51" i="1"/>
  <c r="HYO51" i="1"/>
  <c r="HYN51" i="1"/>
  <c r="HYM51" i="1"/>
  <c r="HYL51" i="1"/>
  <c r="HYK51" i="1"/>
  <c r="HYJ51" i="1"/>
  <c r="HYI51" i="1"/>
  <c r="HYH51" i="1"/>
  <c r="HYG51" i="1"/>
  <c r="HYF51" i="1"/>
  <c r="HYE51" i="1"/>
  <c r="HYD51" i="1"/>
  <c r="HYC51" i="1"/>
  <c r="HYB51" i="1"/>
  <c r="HYA51" i="1"/>
  <c r="HXZ51" i="1"/>
  <c r="HXY51" i="1"/>
  <c r="HXX51" i="1"/>
  <c r="HXW51" i="1"/>
  <c r="HXV51" i="1"/>
  <c r="HXU51" i="1"/>
  <c r="HXT51" i="1"/>
  <c r="HXS51" i="1"/>
  <c r="HXR51" i="1"/>
  <c r="HXQ51" i="1"/>
  <c r="HXP51" i="1"/>
  <c r="HXO51" i="1"/>
  <c r="HXN51" i="1"/>
  <c r="HXM51" i="1"/>
  <c r="HXL51" i="1"/>
  <c r="HXK51" i="1"/>
  <c r="HXJ51" i="1"/>
  <c r="HXI51" i="1"/>
  <c r="HXH51" i="1"/>
  <c r="HXG51" i="1"/>
  <c r="HXF51" i="1"/>
  <c r="HXE51" i="1"/>
  <c r="HXD51" i="1"/>
  <c r="HXC51" i="1"/>
  <c r="HXB51" i="1"/>
  <c r="HXA51" i="1"/>
  <c r="HWZ51" i="1"/>
  <c r="HWY51" i="1"/>
  <c r="HWX51" i="1"/>
  <c r="HWW51" i="1"/>
  <c r="HWV51" i="1"/>
  <c r="HWU51" i="1"/>
  <c r="HWT51" i="1"/>
  <c r="HWS51" i="1"/>
  <c r="HWR51" i="1"/>
  <c r="HWQ51" i="1"/>
  <c r="HWP51" i="1"/>
  <c r="HWO51" i="1"/>
  <c r="HWN51" i="1"/>
  <c r="HWM51" i="1"/>
  <c r="HWL51" i="1"/>
  <c r="HWK51" i="1"/>
  <c r="HWJ51" i="1"/>
  <c r="HWI51" i="1"/>
  <c r="HWH51" i="1"/>
  <c r="HWG51" i="1"/>
  <c r="HWF51" i="1"/>
  <c r="HWE51" i="1"/>
  <c r="HWD51" i="1"/>
  <c r="HWC51" i="1"/>
  <c r="HWB51" i="1"/>
  <c r="HWA51" i="1"/>
  <c r="HVZ51" i="1"/>
  <c r="HVY51" i="1"/>
  <c r="HVX51" i="1"/>
  <c r="HVW51" i="1"/>
  <c r="HVV51" i="1"/>
  <c r="HVU51" i="1"/>
  <c r="HVT51" i="1"/>
  <c r="HVS51" i="1"/>
  <c r="HVR51" i="1"/>
  <c r="HVQ51" i="1"/>
  <c r="HVP51" i="1"/>
  <c r="HVO51" i="1"/>
  <c r="HVN51" i="1"/>
  <c r="HVM51" i="1"/>
  <c r="HVL51" i="1"/>
  <c r="HVK51" i="1"/>
  <c r="HVJ51" i="1"/>
  <c r="HVI51" i="1"/>
  <c r="HVH51" i="1"/>
  <c r="HVG51" i="1"/>
  <c r="HVF51" i="1"/>
  <c r="HVE51" i="1"/>
  <c r="HVD51" i="1"/>
  <c r="HVC51" i="1"/>
  <c r="HVB51" i="1"/>
  <c r="HVA51" i="1"/>
  <c r="HUZ51" i="1"/>
  <c r="HUY51" i="1"/>
  <c r="HUX51" i="1"/>
  <c r="HUW51" i="1"/>
  <c r="HUV51" i="1"/>
  <c r="HUU51" i="1"/>
  <c r="HUT51" i="1"/>
  <c r="HUS51" i="1"/>
  <c r="HUR51" i="1"/>
  <c r="HUQ51" i="1"/>
  <c r="HUP51" i="1"/>
  <c r="HUO51" i="1"/>
  <c r="HUN51" i="1"/>
  <c r="HUM51" i="1"/>
  <c r="HUL51" i="1"/>
  <c r="HUK51" i="1"/>
  <c r="HUJ51" i="1"/>
  <c r="HUI51" i="1"/>
  <c r="HUH51" i="1"/>
  <c r="HUG51" i="1"/>
  <c r="HUF51" i="1"/>
  <c r="HUE51" i="1"/>
  <c r="HUD51" i="1"/>
  <c r="HUC51" i="1"/>
  <c r="HUB51" i="1"/>
  <c r="HUA51" i="1"/>
  <c r="HTZ51" i="1"/>
  <c r="HTY51" i="1"/>
  <c r="HTX51" i="1"/>
  <c r="HTW51" i="1"/>
  <c r="HTV51" i="1"/>
  <c r="HTU51" i="1"/>
  <c r="HTT51" i="1"/>
  <c r="HTS51" i="1"/>
  <c r="HTR51" i="1"/>
  <c r="HTQ51" i="1"/>
  <c r="HTP51" i="1"/>
  <c r="HTO51" i="1"/>
  <c r="HTN51" i="1"/>
  <c r="HTM51" i="1"/>
  <c r="HTL51" i="1"/>
  <c r="HTK51" i="1"/>
  <c r="HTJ51" i="1"/>
  <c r="HTI51" i="1"/>
  <c r="HTH51" i="1"/>
  <c r="HTG51" i="1"/>
  <c r="HTF51" i="1"/>
  <c r="HTE51" i="1"/>
  <c r="HTD51" i="1"/>
  <c r="HTC51" i="1"/>
  <c r="HTB51" i="1"/>
  <c r="HTA51" i="1"/>
  <c r="HSZ51" i="1"/>
  <c r="HSY51" i="1"/>
  <c r="HSX51" i="1"/>
  <c r="HSW51" i="1"/>
  <c r="HSV51" i="1"/>
  <c r="HSU51" i="1"/>
  <c r="HST51" i="1"/>
  <c r="HSS51" i="1"/>
  <c r="HSR51" i="1"/>
  <c r="HSQ51" i="1"/>
  <c r="HSP51" i="1"/>
  <c r="HSO51" i="1"/>
  <c r="HSN51" i="1"/>
  <c r="HSM51" i="1"/>
  <c r="HSL51" i="1"/>
  <c r="HSK51" i="1"/>
  <c r="HSJ51" i="1"/>
  <c r="HSI51" i="1"/>
  <c r="HSH51" i="1"/>
  <c r="HSG51" i="1"/>
  <c r="HSF51" i="1"/>
  <c r="HSE51" i="1"/>
  <c r="HSD51" i="1"/>
  <c r="HSC51" i="1"/>
  <c r="HSB51" i="1"/>
  <c r="HSA51" i="1"/>
  <c r="HRZ51" i="1"/>
  <c r="HRY51" i="1"/>
  <c r="HRX51" i="1"/>
  <c r="HRW51" i="1"/>
  <c r="HRV51" i="1"/>
  <c r="HRU51" i="1"/>
  <c r="HRT51" i="1"/>
  <c r="HRS51" i="1"/>
  <c r="HRR51" i="1"/>
  <c r="HRQ51" i="1"/>
  <c r="HRP51" i="1"/>
  <c r="HRO51" i="1"/>
  <c r="HRN51" i="1"/>
  <c r="HRM51" i="1"/>
  <c r="HRL51" i="1"/>
  <c r="HRK51" i="1"/>
  <c r="HRJ51" i="1"/>
  <c r="HRI51" i="1"/>
  <c r="HRH51" i="1"/>
  <c r="HRG51" i="1"/>
  <c r="HRF51" i="1"/>
  <c r="HRE51" i="1"/>
  <c r="HRD51" i="1"/>
  <c r="HRC51" i="1"/>
  <c r="HRB51" i="1"/>
  <c r="HRA51" i="1"/>
  <c r="HQZ51" i="1"/>
  <c r="HQY51" i="1"/>
  <c r="HQX51" i="1"/>
  <c r="HQW51" i="1"/>
  <c r="HQV51" i="1"/>
  <c r="HQU51" i="1"/>
  <c r="HQT51" i="1"/>
  <c r="HQS51" i="1"/>
  <c r="HQR51" i="1"/>
  <c r="HQQ51" i="1"/>
  <c r="HQP51" i="1"/>
  <c r="HQO51" i="1"/>
  <c r="HQN51" i="1"/>
  <c r="HQM51" i="1"/>
  <c r="HQL51" i="1"/>
  <c r="HQK51" i="1"/>
  <c r="HQJ51" i="1"/>
  <c r="HQI51" i="1"/>
  <c r="HQH51" i="1"/>
  <c r="HQG51" i="1"/>
  <c r="HQF51" i="1"/>
  <c r="HQE51" i="1"/>
  <c r="HQD51" i="1"/>
  <c r="HQC51" i="1"/>
  <c r="HQB51" i="1"/>
  <c r="HQA51" i="1"/>
  <c r="HPZ51" i="1"/>
  <c r="HPY51" i="1"/>
  <c r="HPX51" i="1"/>
  <c r="HPW51" i="1"/>
  <c r="HPV51" i="1"/>
  <c r="HPU51" i="1"/>
  <c r="HPT51" i="1"/>
  <c r="HPS51" i="1"/>
  <c r="HPR51" i="1"/>
  <c r="HPQ51" i="1"/>
  <c r="HPP51" i="1"/>
  <c r="HPO51" i="1"/>
  <c r="HPN51" i="1"/>
  <c r="HPM51" i="1"/>
  <c r="HPL51" i="1"/>
  <c r="HPK51" i="1"/>
  <c r="HPJ51" i="1"/>
  <c r="HPI51" i="1"/>
  <c r="HPH51" i="1"/>
  <c r="HPG51" i="1"/>
  <c r="HPF51" i="1"/>
  <c r="HPE51" i="1"/>
  <c r="HPD51" i="1"/>
  <c r="HPC51" i="1"/>
  <c r="HPB51" i="1"/>
  <c r="HPA51" i="1"/>
  <c r="HOZ51" i="1"/>
  <c r="HOY51" i="1"/>
  <c r="HOX51" i="1"/>
  <c r="HOW51" i="1"/>
  <c r="HOV51" i="1"/>
  <c r="HOU51" i="1"/>
  <c r="HOT51" i="1"/>
  <c r="HOS51" i="1"/>
  <c r="HOR51" i="1"/>
  <c r="HOQ51" i="1"/>
  <c r="HOP51" i="1"/>
  <c r="HOO51" i="1"/>
  <c r="HON51" i="1"/>
  <c r="HOM51" i="1"/>
  <c r="HOL51" i="1"/>
  <c r="HOK51" i="1"/>
  <c r="HOJ51" i="1"/>
  <c r="HOI51" i="1"/>
  <c r="HOH51" i="1"/>
  <c r="HOG51" i="1"/>
  <c r="HOF51" i="1"/>
  <c r="HOE51" i="1"/>
  <c r="HOD51" i="1"/>
  <c r="HOC51" i="1"/>
  <c r="HOB51" i="1"/>
  <c r="HOA51" i="1"/>
  <c r="HNZ51" i="1"/>
  <c r="HNY51" i="1"/>
  <c r="HNX51" i="1"/>
  <c r="HNW51" i="1"/>
  <c r="HNV51" i="1"/>
  <c r="HNU51" i="1"/>
  <c r="HNT51" i="1"/>
  <c r="HNS51" i="1"/>
  <c r="HNR51" i="1"/>
  <c r="HNQ51" i="1"/>
  <c r="HNP51" i="1"/>
  <c r="HNO51" i="1"/>
  <c r="HNN51" i="1"/>
  <c r="HNM51" i="1"/>
  <c r="HNL51" i="1"/>
  <c r="HNK51" i="1"/>
  <c r="HNJ51" i="1"/>
  <c r="HNI51" i="1"/>
  <c r="HNH51" i="1"/>
  <c r="HNG51" i="1"/>
  <c r="HNF51" i="1"/>
  <c r="HNE51" i="1"/>
  <c r="HND51" i="1"/>
  <c r="HNC51" i="1"/>
  <c r="HNB51" i="1"/>
  <c r="HNA51" i="1"/>
  <c r="HMZ51" i="1"/>
  <c r="HMY51" i="1"/>
  <c r="HMX51" i="1"/>
  <c r="HMW51" i="1"/>
  <c r="HMV51" i="1"/>
  <c r="HMU51" i="1"/>
  <c r="HMT51" i="1"/>
  <c r="HMS51" i="1"/>
  <c r="HMR51" i="1"/>
  <c r="HMQ51" i="1"/>
  <c r="HMP51" i="1"/>
  <c r="HMO51" i="1"/>
  <c r="HMN51" i="1"/>
  <c r="HMM51" i="1"/>
  <c r="HML51" i="1"/>
  <c r="HMK51" i="1"/>
  <c r="HMJ51" i="1"/>
  <c r="HMI51" i="1"/>
  <c r="HMH51" i="1"/>
  <c r="HMG51" i="1"/>
  <c r="HMF51" i="1"/>
  <c r="HME51" i="1"/>
  <c r="HMD51" i="1"/>
  <c r="HMC51" i="1"/>
  <c r="HMB51" i="1"/>
  <c r="HMA51" i="1"/>
  <c r="HLZ51" i="1"/>
  <c r="HLY51" i="1"/>
  <c r="HLX51" i="1"/>
  <c r="HLW51" i="1"/>
  <c r="HLV51" i="1"/>
  <c r="HLU51" i="1"/>
  <c r="HLT51" i="1"/>
  <c r="HLS51" i="1"/>
  <c r="HLR51" i="1"/>
  <c r="HLQ51" i="1"/>
  <c r="HLP51" i="1"/>
  <c r="HLO51" i="1"/>
  <c r="HLN51" i="1"/>
  <c r="HLM51" i="1"/>
  <c r="HLL51" i="1"/>
  <c r="HLK51" i="1"/>
  <c r="HLJ51" i="1"/>
  <c r="HLI51" i="1"/>
  <c r="HLH51" i="1"/>
  <c r="HLG51" i="1"/>
  <c r="HLF51" i="1"/>
  <c r="HLE51" i="1"/>
  <c r="HLD51" i="1"/>
  <c r="HLC51" i="1"/>
  <c r="HLB51" i="1"/>
  <c r="HLA51" i="1"/>
  <c r="HKZ51" i="1"/>
  <c r="HKY51" i="1"/>
  <c r="HKX51" i="1"/>
  <c r="HKW51" i="1"/>
  <c r="HKV51" i="1"/>
  <c r="HKU51" i="1"/>
  <c r="HKT51" i="1"/>
  <c r="HKS51" i="1"/>
  <c r="HKR51" i="1"/>
  <c r="HKQ51" i="1"/>
  <c r="HKP51" i="1"/>
  <c r="HKO51" i="1"/>
  <c r="HKN51" i="1"/>
  <c r="HKM51" i="1"/>
  <c r="HKL51" i="1"/>
  <c r="HKK51" i="1"/>
  <c r="HKJ51" i="1"/>
  <c r="HKI51" i="1"/>
  <c r="HKH51" i="1"/>
  <c r="HKG51" i="1"/>
  <c r="HKF51" i="1"/>
  <c r="HKE51" i="1"/>
  <c r="HKD51" i="1"/>
  <c r="HKC51" i="1"/>
  <c r="HKB51" i="1"/>
  <c r="HKA51" i="1"/>
  <c r="HJZ51" i="1"/>
  <c r="HJY51" i="1"/>
  <c r="HJX51" i="1"/>
  <c r="HJW51" i="1"/>
  <c r="HJV51" i="1"/>
  <c r="HJU51" i="1"/>
  <c r="HJT51" i="1"/>
  <c r="HJS51" i="1"/>
  <c r="HJR51" i="1"/>
  <c r="HJQ51" i="1"/>
  <c r="HJP51" i="1"/>
  <c r="HJO51" i="1"/>
  <c r="HJN51" i="1"/>
  <c r="HJM51" i="1"/>
  <c r="HJL51" i="1"/>
  <c r="HJK51" i="1"/>
  <c r="HJJ51" i="1"/>
  <c r="HJI51" i="1"/>
  <c r="HJH51" i="1"/>
  <c r="HJG51" i="1"/>
  <c r="HJF51" i="1"/>
  <c r="HJE51" i="1"/>
  <c r="HJD51" i="1"/>
  <c r="HJC51" i="1"/>
  <c r="HJB51" i="1"/>
  <c r="HJA51" i="1"/>
  <c r="HIZ51" i="1"/>
  <c r="HIY51" i="1"/>
  <c r="HIX51" i="1"/>
  <c r="HIW51" i="1"/>
  <c r="HIV51" i="1"/>
  <c r="HIU51" i="1"/>
  <c r="HIT51" i="1"/>
  <c r="HIS51" i="1"/>
  <c r="HIR51" i="1"/>
  <c r="HIQ51" i="1"/>
  <c r="HIP51" i="1"/>
  <c r="HIO51" i="1"/>
  <c r="HIN51" i="1"/>
  <c r="HIM51" i="1"/>
  <c r="HIL51" i="1"/>
  <c r="HIK51" i="1"/>
  <c r="HIJ51" i="1"/>
  <c r="HII51" i="1"/>
  <c r="HIH51" i="1"/>
  <c r="HIG51" i="1"/>
  <c r="HIF51" i="1"/>
  <c r="HIE51" i="1"/>
  <c r="HID51" i="1"/>
  <c r="HIC51" i="1"/>
  <c r="HIB51" i="1"/>
  <c r="HIA51" i="1"/>
  <c r="HHZ51" i="1"/>
  <c r="HHY51" i="1"/>
  <c r="HHX51" i="1"/>
  <c r="HHW51" i="1"/>
  <c r="HHV51" i="1"/>
  <c r="HHU51" i="1"/>
  <c r="HHT51" i="1"/>
  <c r="HHS51" i="1"/>
  <c r="HHR51" i="1"/>
  <c r="HHQ51" i="1"/>
  <c r="HHP51" i="1"/>
  <c r="HHO51" i="1"/>
  <c r="HHN51" i="1"/>
  <c r="HHM51" i="1"/>
  <c r="HHL51" i="1"/>
  <c r="HHK51" i="1"/>
  <c r="HHJ51" i="1"/>
  <c r="HHI51" i="1"/>
  <c r="HHH51" i="1"/>
  <c r="HHG51" i="1"/>
  <c r="HHF51" i="1"/>
  <c r="HHE51" i="1"/>
  <c r="HHD51" i="1"/>
  <c r="HHC51" i="1"/>
  <c r="HHB51" i="1"/>
  <c r="HHA51" i="1"/>
  <c r="HGZ51" i="1"/>
  <c r="HGY51" i="1"/>
  <c r="HGX51" i="1"/>
  <c r="HGW51" i="1"/>
  <c r="HGV51" i="1"/>
  <c r="HGU51" i="1"/>
  <c r="HGT51" i="1"/>
  <c r="HGS51" i="1"/>
  <c r="HGR51" i="1"/>
  <c r="HGQ51" i="1"/>
  <c r="HGP51" i="1"/>
  <c r="HGO51" i="1"/>
  <c r="HGN51" i="1"/>
  <c r="HGM51" i="1"/>
  <c r="HGL51" i="1"/>
  <c r="HGK51" i="1"/>
  <c r="HGJ51" i="1"/>
  <c r="HGI51" i="1"/>
  <c r="HGH51" i="1"/>
  <c r="HGG51" i="1"/>
  <c r="HGF51" i="1"/>
  <c r="HGE51" i="1"/>
  <c r="HGD51" i="1"/>
  <c r="HGC51" i="1"/>
  <c r="HGB51" i="1"/>
  <c r="HGA51" i="1"/>
  <c r="HFZ51" i="1"/>
  <c r="HFY51" i="1"/>
  <c r="HFX51" i="1"/>
  <c r="HFW51" i="1"/>
  <c r="HFV51" i="1"/>
  <c r="HFU51" i="1"/>
  <c r="HFT51" i="1"/>
  <c r="HFS51" i="1"/>
  <c r="HFR51" i="1"/>
  <c r="HFQ51" i="1"/>
  <c r="HFP51" i="1"/>
  <c r="HFO51" i="1"/>
  <c r="HFN51" i="1"/>
  <c r="HFM51" i="1"/>
  <c r="HFL51" i="1"/>
  <c r="HFK51" i="1"/>
  <c r="HFJ51" i="1"/>
  <c r="HFI51" i="1"/>
  <c r="HFH51" i="1"/>
  <c r="HFG51" i="1"/>
  <c r="HFF51" i="1"/>
  <c r="HFE51" i="1"/>
  <c r="HFD51" i="1"/>
  <c r="HFC51" i="1"/>
  <c r="HFB51" i="1"/>
  <c r="HFA51" i="1"/>
  <c r="HEZ51" i="1"/>
  <c r="HEY51" i="1"/>
  <c r="HEX51" i="1"/>
  <c r="HEW51" i="1"/>
  <c r="HEV51" i="1"/>
  <c r="HEU51" i="1"/>
  <c r="HET51" i="1"/>
  <c r="HES51" i="1"/>
  <c r="HER51" i="1"/>
  <c r="HEQ51" i="1"/>
  <c r="HEP51" i="1"/>
  <c r="HEO51" i="1"/>
  <c r="HEN51" i="1"/>
  <c r="HEM51" i="1"/>
  <c r="HEL51" i="1"/>
  <c r="HEK51" i="1"/>
  <c r="HEJ51" i="1"/>
  <c r="HEI51" i="1"/>
  <c r="HEH51" i="1"/>
  <c r="HEG51" i="1"/>
  <c r="HEF51" i="1"/>
  <c r="HEE51" i="1"/>
  <c r="HED51" i="1"/>
  <c r="HEC51" i="1"/>
  <c r="HEB51" i="1"/>
  <c r="HEA51" i="1"/>
  <c r="HDZ51" i="1"/>
  <c r="HDY51" i="1"/>
  <c r="HDX51" i="1"/>
  <c r="HDW51" i="1"/>
  <c r="HDV51" i="1"/>
  <c r="HDU51" i="1"/>
  <c r="HDT51" i="1"/>
  <c r="HDS51" i="1"/>
  <c r="HDR51" i="1"/>
  <c r="HDQ51" i="1"/>
  <c r="HDP51" i="1"/>
  <c r="HDO51" i="1"/>
  <c r="HDN51" i="1"/>
  <c r="HDM51" i="1"/>
  <c r="HDL51" i="1"/>
  <c r="HDK51" i="1"/>
  <c r="HDJ51" i="1"/>
  <c r="HDI51" i="1"/>
  <c r="HDH51" i="1"/>
  <c r="HDG51" i="1"/>
  <c r="HDF51" i="1"/>
  <c r="HDE51" i="1"/>
  <c r="HDD51" i="1"/>
  <c r="HDC51" i="1"/>
  <c r="HDB51" i="1"/>
  <c r="HDA51" i="1"/>
  <c r="HCZ51" i="1"/>
  <c r="HCY51" i="1"/>
  <c r="HCX51" i="1"/>
  <c r="HCW51" i="1"/>
  <c r="HCV51" i="1"/>
  <c r="HCU51" i="1"/>
  <c r="HCT51" i="1"/>
  <c r="HCS51" i="1"/>
  <c r="HCR51" i="1"/>
  <c r="HCQ51" i="1"/>
  <c r="HCP51" i="1"/>
  <c r="HCO51" i="1"/>
  <c r="HCN51" i="1"/>
  <c r="HCM51" i="1"/>
  <c r="HCL51" i="1"/>
  <c r="HCK51" i="1"/>
  <c r="HCJ51" i="1"/>
  <c r="HCI51" i="1"/>
  <c r="HCH51" i="1"/>
  <c r="HCG51" i="1"/>
  <c r="HCF51" i="1"/>
  <c r="HCE51" i="1"/>
  <c r="HCD51" i="1"/>
  <c r="HCC51" i="1"/>
  <c r="HCB51" i="1"/>
  <c r="HCA51" i="1"/>
  <c r="HBZ51" i="1"/>
  <c r="HBY51" i="1"/>
  <c r="HBX51" i="1"/>
  <c r="HBW51" i="1"/>
  <c r="HBV51" i="1"/>
  <c r="HBU51" i="1"/>
  <c r="HBT51" i="1"/>
  <c r="HBS51" i="1"/>
  <c r="HBR51" i="1"/>
  <c r="HBQ51" i="1"/>
  <c r="HBP51" i="1"/>
  <c r="HBO51" i="1"/>
  <c r="HBN51" i="1"/>
  <c r="HBM51" i="1"/>
  <c r="HBL51" i="1"/>
  <c r="HBK51" i="1"/>
  <c r="HBJ51" i="1"/>
  <c r="HBI51" i="1"/>
  <c r="HBH51" i="1"/>
  <c r="HBG51" i="1"/>
  <c r="HBF51" i="1"/>
  <c r="HBE51" i="1"/>
  <c r="HBD51" i="1"/>
  <c r="HBC51" i="1"/>
  <c r="HBB51" i="1"/>
  <c r="HBA51" i="1"/>
  <c r="HAZ51" i="1"/>
  <c r="HAY51" i="1"/>
  <c r="HAX51" i="1"/>
  <c r="HAW51" i="1"/>
  <c r="HAV51" i="1"/>
  <c r="HAU51" i="1"/>
  <c r="HAT51" i="1"/>
  <c r="HAS51" i="1"/>
  <c r="HAR51" i="1"/>
  <c r="HAQ51" i="1"/>
  <c r="HAP51" i="1"/>
  <c r="HAO51" i="1"/>
  <c r="HAN51" i="1"/>
  <c r="HAM51" i="1"/>
  <c r="HAL51" i="1"/>
  <c r="HAK51" i="1"/>
  <c r="HAJ51" i="1"/>
  <c r="HAI51" i="1"/>
  <c r="HAH51" i="1"/>
  <c r="HAG51" i="1"/>
  <c r="HAF51" i="1"/>
  <c r="HAE51" i="1"/>
  <c r="HAD51" i="1"/>
  <c r="HAC51" i="1"/>
  <c r="HAB51" i="1"/>
  <c r="HAA51" i="1"/>
  <c r="GZZ51" i="1"/>
  <c r="GZY51" i="1"/>
  <c r="GZX51" i="1"/>
  <c r="GZW51" i="1"/>
  <c r="GZV51" i="1"/>
  <c r="GZU51" i="1"/>
  <c r="GZT51" i="1"/>
  <c r="GZS51" i="1"/>
  <c r="GZR51" i="1"/>
  <c r="GZQ51" i="1"/>
  <c r="GZP51" i="1"/>
  <c r="GZO51" i="1"/>
  <c r="GZN51" i="1"/>
  <c r="GZM51" i="1"/>
  <c r="GZL51" i="1"/>
  <c r="GZK51" i="1"/>
  <c r="GZJ51" i="1"/>
  <c r="GZI51" i="1"/>
  <c r="GZH51" i="1"/>
  <c r="GZG51" i="1"/>
  <c r="GZF51" i="1"/>
  <c r="GZE51" i="1"/>
  <c r="GZD51" i="1"/>
  <c r="GZC51" i="1"/>
  <c r="GZB51" i="1"/>
  <c r="GZA51" i="1"/>
  <c r="GYZ51" i="1"/>
  <c r="GYY51" i="1"/>
  <c r="GYX51" i="1"/>
  <c r="GYW51" i="1"/>
  <c r="GYV51" i="1"/>
  <c r="GYU51" i="1"/>
  <c r="GYT51" i="1"/>
  <c r="GYS51" i="1"/>
  <c r="GYR51" i="1"/>
  <c r="GYQ51" i="1"/>
  <c r="GYP51" i="1"/>
  <c r="GYO51" i="1"/>
  <c r="GYN51" i="1"/>
  <c r="GYM51" i="1"/>
  <c r="GYL51" i="1"/>
  <c r="GYK51" i="1"/>
  <c r="GYJ51" i="1"/>
  <c r="GYI51" i="1"/>
  <c r="GYH51" i="1"/>
  <c r="GYG51" i="1"/>
  <c r="GYF51" i="1"/>
  <c r="GYE51" i="1"/>
  <c r="GYD51" i="1"/>
  <c r="GYC51" i="1"/>
  <c r="GYB51" i="1"/>
  <c r="GYA51" i="1"/>
  <c r="GXZ51" i="1"/>
  <c r="GXY51" i="1"/>
  <c r="GXX51" i="1"/>
  <c r="GXW51" i="1"/>
  <c r="GXV51" i="1"/>
  <c r="GXU51" i="1"/>
  <c r="GXT51" i="1"/>
  <c r="GXS51" i="1"/>
  <c r="GXR51" i="1"/>
  <c r="GXQ51" i="1"/>
  <c r="GXP51" i="1"/>
  <c r="GXO51" i="1"/>
  <c r="GXN51" i="1"/>
  <c r="GXM51" i="1"/>
  <c r="GXL51" i="1"/>
  <c r="GXK51" i="1"/>
  <c r="GXJ51" i="1"/>
  <c r="GXI51" i="1"/>
  <c r="GXH51" i="1"/>
  <c r="GXG51" i="1"/>
  <c r="GXF51" i="1"/>
  <c r="GXE51" i="1"/>
  <c r="GXD51" i="1"/>
  <c r="GXC51" i="1"/>
  <c r="GXB51" i="1"/>
  <c r="GXA51" i="1"/>
  <c r="GWZ51" i="1"/>
  <c r="GWY51" i="1"/>
  <c r="GWX51" i="1"/>
  <c r="GWW51" i="1"/>
  <c r="GWV51" i="1"/>
  <c r="GWU51" i="1"/>
  <c r="GWT51" i="1"/>
  <c r="GWS51" i="1"/>
  <c r="GWR51" i="1"/>
  <c r="GWQ51" i="1"/>
  <c r="GWP51" i="1"/>
  <c r="GWO51" i="1"/>
  <c r="GWN51" i="1"/>
  <c r="GWM51" i="1"/>
  <c r="GWL51" i="1"/>
  <c r="GWK51" i="1"/>
  <c r="GWJ51" i="1"/>
  <c r="GWI51" i="1"/>
  <c r="GWH51" i="1"/>
  <c r="GWG51" i="1"/>
  <c r="GWF51" i="1"/>
  <c r="GWE51" i="1"/>
  <c r="GWD51" i="1"/>
  <c r="GWC51" i="1"/>
  <c r="GWB51" i="1"/>
  <c r="GWA51" i="1"/>
  <c r="GVZ51" i="1"/>
  <c r="GVY51" i="1"/>
  <c r="GVX51" i="1"/>
  <c r="GVW51" i="1"/>
  <c r="GVV51" i="1"/>
  <c r="GVU51" i="1"/>
  <c r="GVT51" i="1"/>
  <c r="GVS51" i="1"/>
  <c r="GVR51" i="1"/>
  <c r="GVQ51" i="1"/>
  <c r="GVP51" i="1"/>
  <c r="GVO51" i="1"/>
  <c r="GVN51" i="1"/>
  <c r="GVM51" i="1"/>
  <c r="GVL51" i="1"/>
  <c r="GVK51" i="1"/>
  <c r="GVJ51" i="1"/>
  <c r="GVI51" i="1"/>
  <c r="GVH51" i="1"/>
  <c r="GVG51" i="1"/>
  <c r="GVF51" i="1"/>
  <c r="GVE51" i="1"/>
  <c r="GVD51" i="1"/>
  <c r="GVC51" i="1"/>
  <c r="GVB51" i="1"/>
  <c r="GVA51" i="1"/>
  <c r="GUZ51" i="1"/>
  <c r="GUY51" i="1"/>
  <c r="GUX51" i="1"/>
  <c r="GUW51" i="1"/>
  <c r="GUV51" i="1"/>
  <c r="GUU51" i="1"/>
  <c r="GUT51" i="1"/>
  <c r="GUS51" i="1"/>
  <c r="GUR51" i="1"/>
  <c r="GUQ51" i="1"/>
  <c r="GUP51" i="1"/>
  <c r="GUO51" i="1"/>
  <c r="GUN51" i="1"/>
  <c r="GUM51" i="1"/>
  <c r="GUL51" i="1"/>
  <c r="GUK51" i="1"/>
  <c r="GUJ51" i="1"/>
  <c r="GUI51" i="1"/>
  <c r="GUH51" i="1"/>
  <c r="GUG51" i="1"/>
  <c r="GUF51" i="1"/>
  <c r="GUE51" i="1"/>
  <c r="GUD51" i="1"/>
  <c r="GUC51" i="1"/>
  <c r="GUB51" i="1"/>
  <c r="GUA51" i="1"/>
  <c r="GTZ51" i="1"/>
  <c r="GTY51" i="1"/>
  <c r="GTX51" i="1"/>
  <c r="GTW51" i="1"/>
  <c r="GTV51" i="1"/>
  <c r="GTU51" i="1"/>
  <c r="GTT51" i="1"/>
  <c r="GTS51" i="1"/>
  <c r="GTR51" i="1"/>
  <c r="GTQ51" i="1"/>
  <c r="GTP51" i="1"/>
  <c r="GTO51" i="1"/>
  <c r="GTN51" i="1"/>
  <c r="GTM51" i="1"/>
  <c r="GTL51" i="1"/>
  <c r="GTK51" i="1"/>
  <c r="GTJ51" i="1"/>
  <c r="GTI51" i="1"/>
  <c r="GTH51" i="1"/>
  <c r="GTG51" i="1"/>
  <c r="GTF51" i="1"/>
  <c r="GTE51" i="1"/>
  <c r="GTD51" i="1"/>
  <c r="GTC51" i="1"/>
  <c r="GTB51" i="1"/>
  <c r="GTA51" i="1"/>
  <c r="GSZ51" i="1"/>
  <c r="GSY51" i="1"/>
  <c r="GSX51" i="1"/>
  <c r="GSW51" i="1"/>
  <c r="GSV51" i="1"/>
  <c r="GSU51" i="1"/>
  <c r="GST51" i="1"/>
  <c r="GSS51" i="1"/>
  <c r="GSR51" i="1"/>
  <c r="GSQ51" i="1"/>
  <c r="GSP51" i="1"/>
  <c r="GSO51" i="1"/>
  <c r="GSN51" i="1"/>
  <c r="GSM51" i="1"/>
  <c r="GSL51" i="1"/>
  <c r="GSK51" i="1"/>
  <c r="GSJ51" i="1"/>
  <c r="GSI51" i="1"/>
  <c r="GSH51" i="1"/>
  <c r="GSG51" i="1"/>
  <c r="GSF51" i="1"/>
  <c r="GSE51" i="1"/>
  <c r="GSD51" i="1"/>
  <c r="GSC51" i="1"/>
  <c r="GSB51" i="1"/>
  <c r="GSA51" i="1"/>
  <c r="GRZ51" i="1"/>
  <c r="GRY51" i="1"/>
  <c r="GRX51" i="1"/>
  <c r="GRW51" i="1"/>
  <c r="GRV51" i="1"/>
  <c r="GRU51" i="1"/>
  <c r="GRT51" i="1"/>
  <c r="GRS51" i="1"/>
  <c r="GRR51" i="1"/>
  <c r="GRQ51" i="1"/>
  <c r="GRP51" i="1"/>
  <c r="GRO51" i="1"/>
  <c r="GRN51" i="1"/>
  <c r="GRM51" i="1"/>
  <c r="GRL51" i="1"/>
  <c r="GRK51" i="1"/>
  <c r="GRJ51" i="1"/>
  <c r="GRI51" i="1"/>
  <c r="GRH51" i="1"/>
  <c r="GRG51" i="1"/>
  <c r="GRF51" i="1"/>
  <c r="GRE51" i="1"/>
  <c r="GRD51" i="1"/>
  <c r="GRC51" i="1"/>
  <c r="GRB51" i="1"/>
  <c r="GRA51" i="1"/>
  <c r="GQZ51" i="1"/>
  <c r="GQY51" i="1"/>
  <c r="GQX51" i="1"/>
  <c r="GQW51" i="1"/>
  <c r="GQV51" i="1"/>
  <c r="GQU51" i="1"/>
  <c r="GQT51" i="1"/>
  <c r="GQS51" i="1"/>
  <c r="GQR51" i="1"/>
  <c r="GQQ51" i="1"/>
  <c r="GQP51" i="1"/>
  <c r="GQO51" i="1"/>
  <c r="GQN51" i="1"/>
  <c r="GQM51" i="1"/>
  <c r="GQL51" i="1"/>
  <c r="GQK51" i="1"/>
  <c r="GQJ51" i="1"/>
  <c r="GQI51" i="1"/>
  <c r="GQH51" i="1"/>
  <c r="GQG51" i="1"/>
  <c r="GQF51" i="1"/>
  <c r="GQE51" i="1"/>
  <c r="GQD51" i="1"/>
  <c r="GQC51" i="1"/>
  <c r="GQB51" i="1"/>
  <c r="GQA51" i="1"/>
  <c r="GPZ51" i="1"/>
  <c r="GPY51" i="1"/>
  <c r="GPX51" i="1"/>
  <c r="GPW51" i="1"/>
  <c r="GPV51" i="1"/>
  <c r="GPU51" i="1"/>
  <c r="GPT51" i="1"/>
  <c r="GPS51" i="1"/>
  <c r="GPR51" i="1"/>
  <c r="GPQ51" i="1"/>
  <c r="GPP51" i="1"/>
  <c r="GPO51" i="1"/>
  <c r="GPN51" i="1"/>
  <c r="GPM51" i="1"/>
  <c r="GPL51" i="1"/>
  <c r="GPK51" i="1"/>
  <c r="GPJ51" i="1"/>
  <c r="GPI51" i="1"/>
  <c r="GPH51" i="1"/>
  <c r="GPG51" i="1"/>
  <c r="GPF51" i="1"/>
  <c r="GPE51" i="1"/>
  <c r="GPD51" i="1"/>
  <c r="GPC51" i="1"/>
  <c r="GPB51" i="1"/>
  <c r="GPA51" i="1"/>
  <c r="GOZ51" i="1"/>
  <c r="GOY51" i="1"/>
  <c r="GOX51" i="1"/>
  <c r="GOW51" i="1"/>
  <c r="GOV51" i="1"/>
  <c r="GOU51" i="1"/>
  <c r="GOT51" i="1"/>
  <c r="GOS51" i="1"/>
  <c r="GOR51" i="1"/>
  <c r="GOQ51" i="1"/>
  <c r="GOP51" i="1"/>
  <c r="GOO51" i="1"/>
  <c r="GON51" i="1"/>
  <c r="GOM51" i="1"/>
  <c r="GOL51" i="1"/>
  <c r="GOK51" i="1"/>
  <c r="GOJ51" i="1"/>
  <c r="GOI51" i="1"/>
  <c r="GOH51" i="1"/>
  <c r="GOG51" i="1"/>
  <c r="GOF51" i="1"/>
  <c r="GOE51" i="1"/>
  <c r="GOD51" i="1"/>
  <c r="GOC51" i="1"/>
  <c r="GOB51" i="1"/>
  <c r="GOA51" i="1"/>
  <c r="GNZ51" i="1"/>
  <c r="GNY51" i="1"/>
  <c r="GNX51" i="1"/>
  <c r="GNW51" i="1"/>
  <c r="GNV51" i="1"/>
  <c r="GNU51" i="1"/>
  <c r="GNT51" i="1"/>
  <c r="GNS51" i="1"/>
  <c r="GNR51" i="1"/>
  <c r="GNQ51" i="1"/>
  <c r="GNP51" i="1"/>
  <c r="GNO51" i="1"/>
  <c r="GNN51" i="1"/>
  <c r="GNM51" i="1"/>
  <c r="GNL51" i="1"/>
  <c r="GNK51" i="1"/>
  <c r="GNJ51" i="1"/>
  <c r="GNI51" i="1"/>
  <c r="GNH51" i="1"/>
  <c r="GNG51" i="1"/>
  <c r="GNF51" i="1"/>
  <c r="GNE51" i="1"/>
  <c r="GND51" i="1"/>
  <c r="GNC51" i="1"/>
  <c r="GNB51" i="1"/>
  <c r="GNA51" i="1"/>
  <c r="GMZ51" i="1"/>
  <c r="GMY51" i="1"/>
  <c r="GMX51" i="1"/>
  <c r="GMW51" i="1"/>
  <c r="GMV51" i="1"/>
  <c r="GMU51" i="1"/>
  <c r="GMT51" i="1"/>
  <c r="GMS51" i="1"/>
  <c r="GMR51" i="1"/>
  <c r="GMQ51" i="1"/>
  <c r="GMP51" i="1"/>
  <c r="GMO51" i="1"/>
  <c r="GMN51" i="1"/>
  <c r="GMM51" i="1"/>
  <c r="GML51" i="1"/>
  <c r="GMK51" i="1"/>
  <c r="GMJ51" i="1"/>
  <c r="GMI51" i="1"/>
  <c r="GMH51" i="1"/>
  <c r="GMG51" i="1"/>
  <c r="GMF51" i="1"/>
  <c r="GME51" i="1"/>
  <c r="GMD51" i="1"/>
  <c r="GMC51" i="1"/>
  <c r="GMB51" i="1"/>
  <c r="GMA51" i="1"/>
  <c r="GLZ51" i="1"/>
  <c r="GLY51" i="1"/>
  <c r="GLX51" i="1"/>
  <c r="GLW51" i="1"/>
  <c r="GLV51" i="1"/>
  <c r="GLU51" i="1"/>
  <c r="GLT51" i="1"/>
  <c r="GLS51" i="1"/>
  <c r="GLR51" i="1"/>
  <c r="GLQ51" i="1"/>
  <c r="GLP51" i="1"/>
  <c r="GLO51" i="1"/>
  <c r="GLN51" i="1"/>
  <c r="GLM51" i="1"/>
  <c r="GLL51" i="1"/>
  <c r="GLK51" i="1"/>
  <c r="GLJ51" i="1"/>
  <c r="GLI51" i="1"/>
  <c r="GLH51" i="1"/>
  <c r="GLG51" i="1"/>
  <c r="GLF51" i="1"/>
  <c r="GLE51" i="1"/>
  <c r="GLD51" i="1"/>
  <c r="GLC51" i="1"/>
  <c r="GLB51" i="1"/>
  <c r="GLA51" i="1"/>
  <c r="GKZ51" i="1"/>
  <c r="GKY51" i="1"/>
  <c r="GKX51" i="1"/>
  <c r="GKW51" i="1"/>
  <c r="GKV51" i="1"/>
  <c r="GKU51" i="1"/>
  <c r="GKT51" i="1"/>
  <c r="GKS51" i="1"/>
  <c r="GKR51" i="1"/>
  <c r="GKQ51" i="1"/>
  <c r="GKP51" i="1"/>
  <c r="GKO51" i="1"/>
  <c r="GKN51" i="1"/>
  <c r="GKM51" i="1"/>
  <c r="GKL51" i="1"/>
  <c r="GKK51" i="1"/>
  <c r="GKJ51" i="1"/>
  <c r="GKI51" i="1"/>
  <c r="GKH51" i="1"/>
  <c r="GKG51" i="1"/>
  <c r="GKF51" i="1"/>
  <c r="GKE51" i="1"/>
  <c r="GKD51" i="1"/>
  <c r="GKC51" i="1"/>
  <c r="GKB51" i="1"/>
  <c r="GKA51" i="1"/>
  <c r="GJZ51" i="1"/>
  <c r="GJY51" i="1"/>
  <c r="GJX51" i="1"/>
  <c r="GJW51" i="1"/>
  <c r="GJV51" i="1"/>
  <c r="GJU51" i="1"/>
  <c r="GJT51" i="1"/>
  <c r="GJS51" i="1"/>
  <c r="GJR51" i="1"/>
  <c r="GJQ51" i="1"/>
  <c r="GJP51" i="1"/>
  <c r="GJO51" i="1"/>
  <c r="GJN51" i="1"/>
  <c r="GJM51" i="1"/>
  <c r="GJL51" i="1"/>
  <c r="GJK51" i="1"/>
  <c r="GJJ51" i="1"/>
  <c r="GJI51" i="1"/>
  <c r="GJH51" i="1"/>
  <c r="GJG51" i="1"/>
  <c r="GJF51" i="1"/>
  <c r="GJE51" i="1"/>
  <c r="GJD51" i="1"/>
  <c r="GJC51" i="1"/>
  <c r="GJB51" i="1"/>
  <c r="GJA51" i="1"/>
  <c r="GIZ51" i="1"/>
  <c r="GIY51" i="1"/>
  <c r="GIX51" i="1"/>
  <c r="GIW51" i="1"/>
  <c r="GIV51" i="1"/>
  <c r="GIU51" i="1"/>
  <c r="GIT51" i="1"/>
  <c r="GIS51" i="1"/>
  <c r="GIR51" i="1"/>
  <c r="GIQ51" i="1"/>
  <c r="GIP51" i="1"/>
  <c r="GIO51" i="1"/>
  <c r="GIN51" i="1"/>
  <c r="GIM51" i="1"/>
  <c r="GIL51" i="1"/>
  <c r="GIK51" i="1"/>
  <c r="GIJ51" i="1"/>
  <c r="GII51" i="1"/>
  <c r="GIH51" i="1"/>
  <c r="GIG51" i="1"/>
  <c r="GIF51" i="1"/>
  <c r="GIE51" i="1"/>
  <c r="GID51" i="1"/>
  <c r="GIC51" i="1"/>
  <c r="GIB51" i="1"/>
  <c r="GIA51" i="1"/>
  <c r="GHZ51" i="1"/>
  <c r="GHY51" i="1"/>
  <c r="GHX51" i="1"/>
  <c r="GHW51" i="1"/>
  <c r="GHV51" i="1"/>
  <c r="GHU51" i="1"/>
  <c r="GHT51" i="1"/>
  <c r="GHS51" i="1"/>
  <c r="GHR51" i="1"/>
  <c r="GHQ51" i="1"/>
  <c r="GHP51" i="1"/>
  <c r="GHO51" i="1"/>
  <c r="GHN51" i="1"/>
  <c r="GHM51" i="1"/>
  <c r="GHL51" i="1"/>
  <c r="GHK51" i="1"/>
  <c r="GHJ51" i="1"/>
  <c r="GHI51" i="1"/>
  <c r="GHH51" i="1"/>
  <c r="GHG51" i="1"/>
  <c r="GHF51" i="1"/>
  <c r="GHE51" i="1"/>
  <c r="GHD51" i="1"/>
  <c r="GHC51" i="1"/>
  <c r="GHB51" i="1"/>
  <c r="GHA51" i="1"/>
  <c r="GGZ51" i="1"/>
  <c r="GGY51" i="1"/>
  <c r="GGX51" i="1"/>
  <c r="GGW51" i="1"/>
  <c r="GGV51" i="1"/>
  <c r="GGU51" i="1"/>
  <c r="GGT51" i="1"/>
  <c r="GGS51" i="1"/>
  <c r="GGR51" i="1"/>
  <c r="GGQ51" i="1"/>
  <c r="GGP51" i="1"/>
  <c r="GGO51" i="1"/>
  <c r="GGN51" i="1"/>
  <c r="GGM51" i="1"/>
  <c r="GGL51" i="1"/>
  <c r="GGK51" i="1"/>
  <c r="GGJ51" i="1"/>
  <c r="GGI51" i="1"/>
  <c r="GGH51" i="1"/>
  <c r="GGG51" i="1"/>
  <c r="GGF51" i="1"/>
  <c r="GGE51" i="1"/>
  <c r="GGD51" i="1"/>
  <c r="GGC51" i="1"/>
  <c r="GGB51" i="1"/>
  <c r="GGA51" i="1"/>
  <c r="GFZ51" i="1"/>
  <c r="GFY51" i="1"/>
  <c r="GFX51" i="1"/>
  <c r="GFW51" i="1"/>
  <c r="GFV51" i="1"/>
  <c r="GFU51" i="1"/>
  <c r="GFT51" i="1"/>
  <c r="GFS51" i="1"/>
  <c r="GFR51" i="1"/>
  <c r="GFQ51" i="1"/>
  <c r="GFP51" i="1"/>
  <c r="GFO51" i="1"/>
  <c r="GFN51" i="1"/>
  <c r="GFM51" i="1"/>
  <c r="GFL51" i="1"/>
  <c r="GFK51" i="1"/>
  <c r="GFJ51" i="1"/>
  <c r="GFI51" i="1"/>
  <c r="GFH51" i="1"/>
  <c r="GFG51" i="1"/>
  <c r="GFF51" i="1"/>
  <c r="GFE51" i="1"/>
  <c r="GFD51" i="1"/>
  <c r="GFC51" i="1"/>
  <c r="GFB51" i="1"/>
  <c r="GFA51" i="1"/>
  <c r="GEZ51" i="1"/>
  <c r="GEY51" i="1"/>
  <c r="GEX51" i="1"/>
  <c r="GEW51" i="1"/>
  <c r="GEV51" i="1"/>
  <c r="GEU51" i="1"/>
  <c r="GET51" i="1"/>
  <c r="GES51" i="1"/>
  <c r="GER51" i="1"/>
  <c r="GEQ51" i="1"/>
  <c r="GEP51" i="1"/>
  <c r="GEO51" i="1"/>
  <c r="GEN51" i="1"/>
  <c r="GEM51" i="1"/>
  <c r="GEL51" i="1"/>
  <c r="GEK51" i="1"/>
  <c r="GEJ51" i="1"/>
  <c r="GEI51" i="1"/>
  <c r="GEH51" i="1"/>
  <c r="GEG51" i="1"/>
  <c r="GEF51" i="1"/>
  <c r="GEE51" i="1"/>
  <c r="GED51" i="1"/>
  <c r="GEC51" i="1"/>
  <c r="GEB51" i="1"/>
  <c r="GEA51" i="1"/>
  <c r="GDZ51" i="1"/>
  <c r="GDY51" i="1"/>
  <c r="GDX51" i="1"/>
  <c r="GDW51" i="1"/>
  <c r="GDV51" i="1"/>
  <c r="GDU51" i="1"/>
  <c r="GDT51" i="1"/>
  <c r="GDS51" i="1"/>
  <c r="GDR51" i="1"/>
  <c r="GDQ51" i="1"/>
  <c r="GDP51" i="1"/>
  <c r="GDO51" i="1"/>
  <c r="GDN51" i="1"/>
  <c r="GDM51" i="1"/>
  <c r="GDL51" i="1"/>
  <c r="GDK51" i="1"/>
  <c r="GDJ51" i="1"/>
  <c r="GDI51" i="1"/>
  <c r="GDH51" i="1"/>
  <c r="GDG51" i="1"/>
  <c r="GDF51" i="1"/>
  <c r="GDE51" i="1"/>
  <c r="GDD51" i="1"/>
  <c r="GDC51" i="1"/>
  <c r="GDB51" i="1"/>
  <c r="GDA51" i="1"/>
  <c r="GCZ51" i="1"/>
  <c r="GCY51" i="1"/>
  <c r="GCX51" i="1"/>
  <c r="GCW51" i="1"/>
  <c r="GCV51" i="1"/>
  <c r="GCU51" i="1"/>
  <c r="GCT51" i="1"/>
  <c r="GCS51" i="1"/>
  <c r="GCR51" i="1"/>
  <c r="GCQ51" i="1"/>
  <c r="GCP51" i="1"/>
  <c r="GCO51" i="1"/>
  <c r="GCN51" i="1"/>
  <c r="GCM51" i="1"/>
  <c r="GCL51" i="1"/>
  <c r="GCK51" i="1"/>
  <c r="GCJ51" i="1"/>
  <c r="GCI51" i="1"/>
  <c r="GCH51" i="1"/>
  <c r="GCG51" i="1"/>
  <c r="GCF51" i="1"/>
  <c r="GCE51" i="1"/>
  <c r="GCD51" i="1"/>
  <c r="GCC51" i="1"/>
  <c r="GCB51" i="1"/>
  <c r="GCA51" i="1"/>
  <c r="GBZ51" i="1"/>
  <c r="GBY51" i="1"/>
  <c r="GBX51" i="1"/>
  <c r="GBW51" i="1"/>
  <c r="GBV51" i="1"/>
  <c r="GBU51" i="1"/>
  <c r="GBT51" i="1"/>
  <c r="GBS51" i="1"/>
  <c r="GBR51" i="1"/>
  <c r="GBQ51" i="1"/>
  <c r="GBP51" i="1"/>
  <c r="GBO51" i="1"/>
  <c r="GBN51" i="1"/>
  <c r="GBM51" i="1"/>
  <c r="GBL51" i="1"/>
  <c r="GBK51" i="1"/>
  <c r="GBJ51" i="1"/>
  <c r="GBI51" i="1"/>
  <c r="GBH51" i="1"/>
  <c r="GBG51" i="1"/>
  <c r="GBF51" i="1"/>
  <c r="GBE51" i="1"/>
  <c r="GBD51" i="1"/>
  <c r="GBC51" i="1"/>
  <c r="GBB51" i="1"/>
  <c r="GBA51" i="1"/>
  <c r="GAZ51" i="1"/>
  <c r="GAY51" i="1"/>
  <c r="GAX51" i="1"/>
  <c r="GAW51" i="1"/>
  <c r="GAV51" i="1"/>
  <c r="GAU51" i="1"/>
  <c r="GAT51" i="1"/>
  <c r="GAS51" i="1"/>
  <c r="GAR51" i="1"/>
  <c r="GAQ51" i="1"/>
  <c r="GAP51" i="1"/>
  <c r="GAO51" i="1"/>
  <c r="GAN51" i="1"/>
  <c r="GAM51" i="1"/>
  <c r="GAL51" i="1"/>
  <c r="GAK51" i="1"/>
  <c r="GAJ51" i="1"/>
  <c r="GAI51" i="1"/>
  <c r="GAH51" i="1"/>
  <c r="GAG51" i="1"/>
  <c r="GAF51" i="1"/>
  <c r="GAE51" i="1"/>
  <c r="GAD51" i="1"/>
  <c r="GAC51" i="1"/>
  <c r="GAB51" i="1"/>
  <c r="GAA51" i="1"/>
  <c r="FZZ51" i="1"/>
  <c r="FZY51" i="1"/>
  <c r="FZX51" i="1"/>
  <c r="FZW51" i="1"/>
  <c r="FZV51" i="1"/>
  <c r="FZU51" i="1"/>
  <c r="FZT51" i="1"/>
  <c r="FZS51" i="1"/>
  <c r="FZR51" i="1"/>
  <c r="FZQ51" i="1"/>
  <c r="FZP51" i="1"/>
  <c r="FZO51" i="1"/>
  <c r="FZN51" i="1"/>
  <c r="FZM51" i="1"/>
  <c r="FZL51" i="1"/>
  <c r="FZK51" i="1"/>
  <c r="FZJ51" i="1"/>
  <c r="FZI51" i="1"/>
  <c r="FZH51" i="1"/>
  <c r="FZG51" i="1"/>
  <c r="FZF51" i="1"/>
  <c r="FZE51" i="1"/>
  <c r="FZD51" i="1"/>
  <c r="FZC51" i="1"/>
  <c r="FZB51" i="1"/>
  <c r="FZA51" i="1"/>
  <c r="FYZ51" i="1"/>
  <c r="FYY51" i="1"/>
  <c r="FYX51" i="1"/>
  <c r="FYW51" i="1"/>
  <c r="FYV51" i="1"/>
  <c r="FYU51" i="1"/>
  <c r="FYT51" i="1"/>
  <c r="FYS51" i="1"/>
  <c r="FYR51" i="1"/>
  <c r="FYQ51" i="1"/>
  <c r="FYP51" i="1"/>
  <c r="FYO51" i="1"/>
  <c r="FYN51" i="1"/>
  <c r="FYM51" i="1"/>
  <c r="FYL51" i="1"/>
  <c r="FYK51" i="1"/>
  <c r="FYJ51" i="1"/>
  <c r="FYI51" i="1"/>
  <c r="FYH51" i="1"/>
  <c r="FYG51" i="1"/>
  <c r="FYF51" i="1"/>
  <c r="FYE51" i="1"/>
  <c r="FYD51" i="1"/>
  <c r="FYC51" i="1"/>
  <c r="FYB51" i="1"/>
  <c r="FYA51" i="1"/>
  <c r="FXZ51" i="1"/>
  <c r="FXY51" i="1"/>
  <c r="FXX51" i="1"/>
  <c r="FXW51" i="1"/>
  <c r="FXV51" i="1"/>
  <c r="FXU51" i="1"/>
  <c r="FXT51" i="1"/>
  <c r="FXS51" i="1"/>
  <c r="FXR51" i="1"/>
  <c r="FXQ51" i="1"/>
  <c r="FXP51" i="1"/>
  <c r="FXO51" i="1"/>
  <c r="FXN51" i="1"/>
  <c r="FXM51" i="1"/>
  <c r="FXL51" i="1"/>
  <c r="FXK51" i="1"/>
  <c r="FXJ51" i="1"/>
  <c r="FXI51" i="1"/>
  <c r="FXH51" i="1"/>
  <c r="FXG51" i="1"/>
  <c r="FXF51" i="1"/>
  <c r="FXE51" i="1"/>
  <c r="FXD51" i="1"/>
  <c r="FXC51" i="1"/>
  <c r="FXB51" i="1"/>
  <c r="FXA51" i="1"/>
  <c r="FWZ51" i="1"/>
  <c r="FWY51" i="1"/>
  <c r="FWX51" i="1"/>
  <c r="FWW51" i="1"/>
  <c r="FWV51" i="1"/>
  <c r="FWU51" i="1"/>
  <c r="FWT51" i="1"/>
  <c r="FWS51" i="1"/>
  <c r="FWR51" i="1"/>
  <c r="FWQ51" i="1"/>
  <c r="FWP51" i="1"/>
  <c r="FWO51" i="1"/>
  <c r="FWN51" i="1"/>
  <c r="FWM51" i="1"/>
  <c r="FWL51" i="1"/>
  <c r="FWK51" i="1"/>
  <c r="FWJ51" i="1"/>
  <c r="FWI51" i="1"/>
  <c r="FWH51" i="1"/>
  <c r="FWG51" i="1"/>
  <c r="FWF51" i="1"/>
  <c r="FWE51" i="1"/>
  <c r="FWD51" i="1"/>
  <c r="FWC51" i="1"/>
  <c r="FWB51" i="1"/>
  <c r="FWA51" i="1"/>
  <c r="FVZ51" i="1"/>
  <c r="FVY51" i="1"/>
  <c r="FVX51" i="1"/>
  <c r="FVW51" i="1"/>
  <c r="FVV51" i="1"/>
  <c r="FVU51" i="1"/>
  <c r="FVT51" i="1"/>
  <c r="FVS51" i="1"/>
  <c r="FVR51" i="1"/>
  <c r="FVQ51" i="1"/>
  <c r="FVP51" i="1"/>
  <c r="FVO51" i="1"/>
  <c r="FVN51" i="1"/>
  <c r="FVM51" i="1"/>
  <c r="FVL51" i="1"/>
  <c r="FVK51" i="1"/>
  <c r="FVJ51" i="1"/>
  <c r="FVI51" i="1"/>
  <c r="FVH51" i="1"/>
  <c r="FVG51" i="1"/>
  <c r="FVF51" i="1"/>
  <c r="FVE51" i="1"/>
  <c r="FVD51" i="1"/>
  <c r="FVC51" i="1"/>
  <c r="FVB51" i="1"/>
  <c r="FVA51" i="1"/>
  <c r="FUZ51" i="1"/>
  <c r="FUY51" i="1"/>
  <c r="FUX51" i="1"/>
  <c r="FUW51" i="1"/>
  <c r="FUV51" i="1"/>
  <c r="FUU51" i="1"/>
  <c r="FUT51" i="1"/>
  <c r="FUS51" i="1"/>
  <c r="FUR51" i="1"/>
  <c r="FUQ51" i="1"/>
  <c r="FUP51" i="1"/>
  <c r="FUO51" i="1"/>
  <c r="FUN51" i="1"/>
  <c r="FUM51" i="1"/>
  <c r="FUL51" i="1"/>
  <c r="FUK51" i="1"/>
  <c r="FUJ51" i="1"/>
  <c r="FUI51" i="1"/>
  <c r="FUH51" i="1"/>
  <c r="FUG51" i="1"/>
  <c r="FUF51" i="1"/>
  <c r="FUE51" i="1"/>
  <c r="FUD51" i="1"/>
  <c r="FUC51" i="1"/>
  <c r="FUB51" i="1"/>
  <c r="FUA51" i="1"/>
  <c r="FTZ51" i="1"/>
  <c r="FTY51" i="1"/>
  <c r="FTX51" i="1"/>
  <c r="FTW51" i="1"/>
  <c r="FTV51" i="1"/>
  <c r="FTU51" i="1"/>
  <c r="FTT51" i="1"/>
  <c r="FTS51" i="1"/>
  <c r="FTR51" i="1"/>
  <c r="FTQ51" i="1"/>
  <c r="FTP51" i="1"/>
  <c r="FTO51" i="1"/>
  <c r="FTN51" i="1"/>
  <c r="FTM51" i="1"/>
  <c r="FTL51" i="1"/>
  <c r="FTK51" i="1"/>
  <c r="FTJ51" i="1"/>
  <c r="FTI51" i="1"/>
  <c r="FTH51" i="1"/>
  <c r="FTG51" i="1"/>
  <c r="FTF51" i="1"/>
  <c r="FTE51" i="1"/>
  <c r="FTD51" i="1"/>
  <c r="FTC51" i="1"/>
  <c r="FTB51" i="1"/>
  <c r="FTA51" i="1"/>
  <c r="FSZ51" i="1"/>
  <c r="FSY51" i="1"/>
  <c r="FSX51" i="1"/>
  <c r="FSW51" i="1"/>
  <c r="FSV51" i="1"/>
  <c r="FSU51" i="1"/>
  <c r="FST51" i="1"/>
  <c r="FSS51" i="1"/>
  <c r="FSR51" i="1"/>
  <c r="FSQ51" i="1"/>
  <c r="FSP51" i="1"/>
  <c r="FSO51" i="1"/>
  <c r="FSN51" i="1"/>
  <c r="FSM51" i="1"/>
  <c r="FSL51" i="1"/>
  <c r="FSK51" i="1"/>
  <c r="FSJ51" i="1"/>
  <c r="FSI51" i="1"/>
  <c r="FSH51" i="1"/>
  <c r="FSG51" i="1"/>
  <c r="FSF51" i="1"/>
  <c r="FSE51" i="1"/>
  <c r="FSD51" i="1"/>
  <c r="FSC51" i="1"/>
  <c r="FSB51" i="1"/>
  <c r="FSA51" i="1"/>
  <c r="FRZ51" i="1"/>
  <c r="FRY51" i="1"/>
  <c r="FRX51" i="1"/>
  <c r="FRW51" i="1"/>
  <c r="FRV51" i="1"/>
  <c r="FRU51" i="1"/>
  <c r="FRT51" i="1"/>
  <c r="FRS51" i="1"/>
  <c r="FRR51" i="1"/>
  <c r="FRQ51" i="1"/>
  <c r="FRP51" i="1"/>
  <c r="FRO51" i="1"/>
  <c r="FRN51" i="1"/>
  <c r="FRM51" i="1"/>
  <c r="FRL51" i="1"/>
  <c r="FRK51" i="1"/>
  <c r="FRJ51" i="1"/>
  <c r="FRI51" i="1"/>
  <c r="FRH51" i="1"/>
  <c r="FRG51" i="1"/>
  <c r="FRF51" i="1"/>
  <c r="FRE51" i="1"/>
  <c r="FRD51" i="1"/>
  <c r="FRC51" i="1"/>
  <c r="FRB51" i="1"/>
  <c r="FRA51" i="1"/>
  <c r="FQZ51" i="1"/>
  <c r="FQY51" i="1"/>
  <c r="FQX51" i="1"/>
  <c r="FQW51" i="1"/>
  <c r="FQV51" i="1"/>
  <c r="FQU51" i="1"/>
  <c r="FQT51" i="1"/>
  <c r="FQS51" i="1"/>
  <c r="FQR51" i="1"/>
  <c r="FQQ51" i="1"/>
  <c r="FQP51" i="1"/>
  <c r="FQO51" i="1"/>
  <c r="FQN51" i="1"/>
  <c r="FQM51" i="1"/>
  <c r="FQL51" i="1"/>
  <c r="FQK51" i="1"/>
  <c r="FQJ51" i="1"/>
  <c r="FQI51" i="1"/>
  <c r="FQH51" i="1"/>
  <c r="FQG51" i="1"/>
  <c r="FQF51" i="1"/>
  <c r="FQE51" i="1"/>
  <c r="FQD51" i="1"/>
  <c r="FQC51" i="1"/>
  <c r="FQB51" i="1"/>
  <c r="FQA51" i="1"/>
  <c r="FPZ51" i="1"/>
  <c r="FPY51" i="1"/>
  <c r="FPX51" i="1"/>
  <c r="FPW51" i="1"/>
  <c r="FPV51" i="1"/>
  <c r="FPU51" i="1"/>
  <c r="FPT51" i="1"/>
  <c r="FPS51" i="1"/>
  <c r="FPR51" i="1"/>
  <c r="FPQ51" i="1"/>
  <c r="FPP51" i="1"/>
  <c r="FPO51" i="1"/>
  <c r="FPN51" i="1"/>
  <c r="FPM51" i="1"/>
  <c r="FPL51" i="1"/>
  <c r="FPK51" i="1"/>
  <c r="FPJ51" i="1"/>
  <c r="FPI51" i="1"/>
  <c r="FPH51" i="1"/>
  <c r="FPG51" i="1"/>
  <c r="FPF51" i="1"/>
  <c r="FPE51" i="1"/>
  <c r="FPD51" i="1"/>
  <c r="FPC51" i="1"/>
  <c r="FPB51" i="1"/>
  <c r="FPA51" i="1"/>
  <c r="FOZ51" i="1"/>
  <c r="FOY51" i="1"/>
  <c r="FOX51" i="1"/>
  <c r="FOW51" i="1"/>
  <c r="FOV51" i="1"/>
  <c r="FOU51" i="1"/>
  <c r="FOT51" i="1"/>
  <c r="FOS51" i="1"/>
  <c r="FOR51" i="1"/>
  <c r="FOQ51" i="1"/>
  <c r="FOP51" i="1"/>
  <c r="FOO51" i="1"/>
  <c r="FON51" i="1"/>
  <c r="FOM51" i="1"/>
  <c r="FOL51" i="1"/>
  <c r="FOK51" i="1"/>
  <c r="FOJ51" i="1"/>
  <c r="FOI51" i="1"/>
  <c r="FOH51" i="1"/>
  <c r="FOG51" i="1"/>
  <c r="FOF51" i="1"/>
  <c r="FOE51" i="1"/>
  <c r="FOD51" i="1"/>
  <c r="FOC51" i="1"/>
  <c r="FOB51" i="1"/>
  <c r="FOA51" i="1"/>
  <c r="FNZ51" i="1"/>
  <c r="FNY51" i="1"/>
  <c r="FNX51" i="1"/>
  <c r="FNW51" i="1"/>
  <c r="FNV51" i="1"/>
  <c r="FNU51" i="1"/>
  <c r="FNT51" i="1"/>
  <c r="FNS51" i="1"/>
  <c r="FNR51" i="1"/>
  <c r="FNQ51" i="1"/>
  <c r="FNP51" i="1"/>
  <c r="FNO51" i="1"/>
  <c r="FNN51" i="1"/>
  <c r="FNM51" i="1"/>
  <c r="FNL51" i="1"/>
  <c r="FNK51" i="1"/>
  <c r="FNJ51" i="1"/>
  <c r="FNI51" i="1"/>
  <c r="FNH51" i="1"/>
  <c r="FNG51" i="1"/>
  <c r="FNF51" i="1"/>
  <c r="FNE51" i="1"/>
  <c r="FND51" i="1"/>
  <c r="FNC51" i="1"/>
  <c r="FNB51" i="1"/>
  <c r="FNA51" i="1"/>
  <c r="FMZ51" i="1"/>
  <c r="FMY51" i="1"/>
  <c r="FMX51" i="1"/>
  <c r="FMW51" i="1"/>
  <c r="FMV51" i="1"/>
  <c r="FMU51" i="1"/>
  <c r="FMT51" i="1"/>
  <c r="FMS51" i="1"/>
  <c r="FMR51" i="1"/>
  <c r="FMQ51" i="1"/>
  <c r="FMP51" i="1"/>
  <c r="FMO51" i="1"/>
  <c r="FMN51" i="1"/>
  <c r="FMM51" i="1"/>
  <c r="FML51" i="1"/>
  <c r="FMK51" i="1"/>
  <c r="FMJ51" i="1"/>
  <c r="FMI51" i="1"/>
  <c r="FMH51" i="1"/>
  <c r="FMG51" i="1"/>
  <c r="FMF51" i="1"/>
  <c r="FME51" i="1"/>
  <c r="FMD51" i="1"/>
  <c r="FMC51" i="1"/>
  <c r="FMB51" i="1"/>
  <c r="FMA51" i="1"/>
  <c r="FLZ51" i="1"/>
  <c r="FLY51" i="1"/>
  <c r="FLX51" i="1"/>
  <c r="FLW51" i="1"/>
  <c r="FLV51" i="1"/>
  <c r="FLU51" i="1"/>
  <c r="FLT51" i="1"/>
  <c r="FLS51" i="1"/>
  <c r="FLR51" i="1"/>
  <c r="FLQ51" i="1"/>
  <c r="FLP51" i="1"/>
  <c r="FLO51" i="1"/>
  <c r="FLN51" i="1"/>
  <c r="FLM51" i="1"/>
  <c r="FLL51" i="1"/>
  <c r="FLK51" i="1"/>
  <c r="FLJ51" i="1"/>
  <c r="FLI51" i="1"/>
  <c r="FLH51" i="1"/>
  <c r="FLG51" i="1"/>
  <c r="FLF51" i="1"/>
  <c r="FLE51" i="1"/>
  <c r="FLD51" i="1"/>
  <c r="FLC51" i="1"/>
  <c r="FLB51" i="1"/>
  <c r="FLA51" i="1"/>
  <c r="FKZ51" i="1"/>
  <c r="FKY51" i="1"/>
  <c r="FKX51" i="1"/>
  <c r="FKW51" i="1"/>
  <c r="FKV51" i="1"/>
  <c r="FKU51" i="1"/>
  <c r="FKT51" i="1"/>
  <c r="FKS51" i="1"/>
  <c r="FKR51" i="1"/>
  <c r="FKQ51" i="1"/>
  <c r="FKP51" i="1"/>
  <c r="FKO51" i="1"/>
  <c r="FKN51" i="1"/>
  <c r="FKM51" i="1"/>
  <c r="FKL51" i="1"/>
  <c r="FKK51" i="1"/>
  <c r="FKJ51" i="1"/>
  <c r="FKI51" i="1"/>
  <c r="FKH51" i="1"/>
  <c r="FKG51" i="1"/>
  <c r="FKF51" i="1"/>
  <c r="FKE51" i="1"/>
  <c r="FKD51" i="1"/>
  <c r="FKC51" i="1"/>
  <c r="FKB51" i="1"/>
  <c r="FKA51" i="1"/>
  <c r="FJZ51" i="1"/>
  <c r="FJY51" i="1"/>
  <c r="FJX51" i="1"/>
  <c r="FJW51" i="1"/>
  <c r="FJV51" i="1"/>
  <c r="FJU51" i="1"/>
  <c r="FJT51" i="1"/>
  <c r="FJS51" i="1"/>
  <c r="FJR51" i="1"/>
  <c r="FJQ51" i="1"/>
  <c r="FJP51" i="1"/>
  <c r="FJO51" i="1"/>
  <c r="FJN51" i="1"/>
  <c r="FJM51" i="1"/>
  <c r="FJL51" i="1"/>
  <c r="FJK51" i="1"/>
  <c r="FJJ51" i="1"/>
  <c r="FJI51" i="1"/>
  <c r="FJH51" i="1"/>
  <c r="FJG51" i="1"/>
  <c r="FJF51" i="1"/>
  <c r="FJE51" i="1"/>
  <c r="FJD51" i="1"/>
  <c r="FJC51" i="1"/>
  <c r="FJB51" i="1"/>
  <c r="FJA51" i="1"/>
  <c r="FIZ51" i="1"/>
  <c r="FIY51" i="1"/>
  <c r="FIX51" i="1"/>
  <c r="FIW51" i="1"/>
  <c r="FIV51" i="1"/>
  <c r="FIU51" i="1"/>
  <c r="FIT51" i="1"/>
  <c r="FIS51" i="1"/>
  <c r="FIR51" i="1"/>
  <c r="FIQ51" i="1"/>
  <c r="FIP51" i="1"/>
  <c r="FIO51" i="1"/>
  <c r="FIN51" i="1"/>
  <c r="FIM51" i="1"/>
  <c r="FIL51" i="1"/>
  <c r="FIK51" i="1"/>
  <c r="FIJ51" i="1"/>
  <c r="FII51" i="1"/>
  <c r="FIH51" i="1"/>
  <c r="FIG51" i="1"/>
  <c r="FIF51" i="1"/>
  <c r="FIE51" i="1"/>
  <c r="FID51" i="1"/>
  <c r="FIC51" i="1"/>
  <c r="FIB51" i="1"/>
  <c r="FIA51" i="1"/>
  <c r="FHZ51" i="1"/>
  <c r="FHY51" i="1"/>
  <c r="FHX51" i="1"/>
  <c r="FHW51" i="1"/>
  <c r="FHV51" i="1"/>
  <c r="FHU51" i="1"/>
  <c r="FHT51" i="1"/>
  <c r="FHS51" i="1"/>
  <c r="FHR51" i="1"/>
  <c r="FHQ51" i="1"/>
  <c r="FHP51" i="1"/>
  <c r="FHO51" i="1"/>
  <c r="FHN51" i="1"/>
  <c r="FHM51" i="1"/>
  <c r="FHL51" i="1"/>
  <c r="FHK51" i="1"/>
  <c r="FHJ51" i="1"/>
  <c r="FHI51" i="1"/>
  <c r="FHH51" i="1"/>
  <c r="FHG51" i="1"/>
  <c r="FHF51" i="1"/>
  <c r="FHE51" i="1"/>
  <c r="FHD51" i="1"/>
  <c r="FHC51" i="1"/>
  <c r="FHB51" i="1"/>
  <c r="FHA51" i="1"/>
  <c r="FGZ51" i="1"/>
  <c r="FGY51" i="1"/>
  <c r="FGX51" i="1"/>
  <c r="FGW51" i="1"/>
  <c r="FGV51" i="1"/>
  <c r="FGU51" i="1"/>
  <c r="FGT51" i="1"/>
  <c r="FGS51" i="1"/>
  <c r="FGR51" i="1"/>
  <c r="FGQ51" i="1"/>
  <c r="FGP51" i="1"/>
  <c r="FGO51" i="1"/>
  <c r="FGN51" i="1"/>
  <c r="FGM51" i="1"/>
  <c r="FGL51" i="1"/>
  <c r="FGK51" i="1"/>
  <c r="FGJ51" i="1"/>
  <c r="FGI51" i="1"/>
  <c r="FGH51" i="1"/>
  <c r="FGG51" i="1"/>
  <c r="FGF51" i="1"/>
  <c r="FGE51" i="1"/>
  <c r="FGD51" i="1"/>
  <c r="FGC51" i="1"/>
  <c r="FGB51" i="1"/>
  <c r="FGA51" i="1"/>
  <c r="FFZ51" i="1"/>
  <c r="FFY51" i="1"/>
  <c r="FFX51" i="1"/>
  <c r="FFW51" i="1"/>
  <c r="FFV51" i="1"/>
  <c r="FFU51" i="1"/>
  <c r="FFT51" i="1"/>
  <c r="FFS51" i="1"/>
  <c r="FFR51" i="1"/>
  <c r="FFQ51" i="1"/>
  <c r="FFP51" i="1"/>
  <c r="FFO51" i="1"/>
  <c r="FFN51" i="1"/>
  <c r="FFM51" i="1"/>
  <c r="FFL51" i="1"/>
  <c r="FFK51" i="1"/>
  <c r="FFJ51" i="1"/>
  <c r="FFI51" i="1"/>
  <c r="FFH51" i="1"/>
  <c r="FFG51" i="1"/>
  <c r="FFF51" i="1"/>
  <c r="FFE51" i="1"/>
  <c r="FFD51" i="1"/>
  <c r="FFC51" i="1"/>
  <c r="FFB51" i="1"/>
  <c r="FFA51" i="1"/>
  <c r="FEZ51" i="1"/>
  <c r="FEY51" i="1"/>
  <c r="FEX51" i="1"/>
  <c r="FEW51" i="1"/>
  <c r="FEV51" i="1"/>
  <c r="FEU51" i="1"/>
  <c r="FET51" i="1"/>
  <c r="FES51" i="1"/>
  <c r="FER51" i="1"/>
  <c r="FEQ51" i="1"/>
  <c r="FEP51" i="1"/>
  <c r="FEO51" i="1"/>
  <c r="FEN51" i="1"/>
  <c r="FEM51" i="1"/>
  <c r="FEL51" i="1"/>
  <c r="FEK51" i="1"/>
  <c r="FEJ51" i="1"/>
  <c r="FEI51" i="1"/>
  <c r="FEH51" i="1"/>
  <c r="FEG51" i="1"/>
  <c r="FEF51" i="1"/>
  <c r="FEE51" i="1"/>
  <c r="FED51" i="1"/>
  <c r="FEC51" i="1"/>
  <c r="FEB51" i="1"/>
  <c r="FEA51" i="1"/>
  <c r="FDZ51" i="1"/>
  <c r="FDY51" i="1"/>
  <c r="FDX51" i="1"/>
  <c r="FDW51" i="1"/>
  <c r="FDV51" i="1"/>
  <c r="FDU51" i="1"/>
  <c r="FDT51" i="1"/>
  <c r="FDS51" i="1"/>
  <c r="FDR51" i="1"/>
  <c r="FDQ51" i="1"/>
  <c r="FDP51" i="1"/>
  <c r="FDO51" i="1"/>
  <c r="FDN51" i="1"/>
  <c r="FDM51" i="1"/>
  <c r="FDL51" i="1"/>
  <c r="FDK51" i="1"/>
  <c r="FDJ51" i="1"/>
  <c r="FDI51" i="1"/>
  <c r="FDH51" i="1"/>
  <c r="FDG51" i="1"/>
  <c r="FDF51" i="1"/>
  <c r="FDE51" i="1"/>
  <c r="FDD51" i="1"/>
  <c r="FDC51" i="1"/>
  <c r="FDB51" i="1"/>
  <c r="FDA51" i="1"/>
  <c r="FCZ51" i="1"/>
  <c r="FCY51" i="1"/>
  <c r="FCX51" i="1"/>
  <c r="FCW51" i="1"/>
  <c r="FCV51" i="1"/>
  <c r="FCU51" i="1"/>
  <c r="FCT51" i="1"/>
  <c r="FCS51" i="1"/>
  <c r="FCR51" i="1"/>
  <c r="FCQ51" i="1"/>
  <c r="FCP51" i="1"/>
  <c r="FCO51" i="1"/>
  <c r="FCN51" i="1"/>
  <c r="FCM51" i="1"/>
  <c r="FCL51" i="1"/>
  <c r="FCK51" i="1"/>
  <c r="FCJ51" i="1"/>
  <c r="FCI51" i="1"/>
  <c r="FCH51" i="1"/>
  <c r="FCG51" i="1"/>
  <c r="FCF51" i="1"/>
  <c r="FCE51" i="1"/>
  <c r="FCD51" i="1"/>
  <c r="FCC51" i="1"/>
  <c r="FCB51" i="1"/>
  <c r="FCA51" i="1"/>
  <c r="FBZ51" i="1"/>
  <c r="FBY51" i="1"/>
  <c r="FBX51" i="1"/>
  <c r="FBW51" i="1"/>
  <c r="FBV51" i="1"/>
  <c r="FBU51" i="1"/>
  <c r="FBT51" i="1"/>
  <c r="FBS51" i="1"/>
  <c r="FBR51" i="1"/>
  <c r="FBQ51" i="1"/>
  <c r="FBP51" i="1"/>
  <c r="FBO51" i="1"/>
  <c r="FBN51" i="1"/>
  <c r="FBM51" i="1"/>
  <c r="FBL51" i="1"/>
  <c r="FBK51" i="1"/>
  <c r="FBJ51" i="1"/>
  <c r="FBI51" i="1"/>
  <c r="FBH51" i="1"/>
  <c r="FBG51" i="1"/>
  <c r="FBF51" i="1"/>
  <c r="FBE51" i="1"/>
  <c r="FBD51" i="1"/>
  <c r="FBC51" i="1"/>
  <c r="FBB51" i="1"/>
  <c r="FBA51" i="1"/>
  <c r="FAZ51" i="1"/>
  <c r="FAY51" i="1"/>
  <c r="FAX51" i="1"/>
  <c r="FAW51" i="1"/>
  <c r="FAV51" i="1"/>
  <c r="FAU51" i="1"/>
  <c r="FAT51" i="1"/>
  <c r="FAS51" i="1"/>
  <c r="FAR51" i="1"/>
  <c r="FAQ51" i="1"/>
  <c r="FAP51" i="1"/>
  <c r="FAO51" i="1"/>
  <c r="FAN51" i="1"/>
  <c r="FAM51" i="1"/>
  <c r="FAL51" i="1"/>
  <c r="FAK51" i="1"/>
  <c r="FAJ51" i="1"/>
  <c r="FAI51" i="1"/>
  <c r="FAH51" i="1"/>
  <c r="FAG51" i="1"/>
  <c r="FAF51" i="1"/>
  <c r="FAE51" i="1"/>
  <c r="FAD51" i="1"/>
  <c r="FAC51" i="1"/>
  <c r="FAB51" i="1"/>
  <c r="FAA51" i="1"/>
  <c r="EZZ51" i="1"/>
  <c r="EZY51" i="1"/>
  <c r="EZX51" i="1"/>
  <c r="EZW51" i="1"/>
  <c r="EZV51" i="1"/>
  <c r="EZU51" i="1"/>
  <c r="EZT51" i="1"/>
  <c r="EZS51" i="1"/>
  <c r="EZR51" i="1"/>
  <c r="EZQ51" i="1"/>
  <c r="EZP51" i="1"/>
  <c r="EZO51" i="1"/>
  <c r="EZN51" i="1"/>
  <c r="EZM51" i="1"/>
  <c r="EZL51" i="1"/>
  <c r="EZK51" i="1"/>
  <c r="EZJ51" i="1"/>
  <c r="EZI51" i="1"/>
  <c r="EZH51" i="1"/>
  <c r="EZG51" i="1"/>
  <c r="EZF51" i="1"/>
  <c r="EZE51" i="1"/>
  <c r="EZD51" i="1"/>
  <c r="EZC51" i="1"/>
  <c r="EZB51" i="1"/>
  <c r="EZA51" i="1"/>
  <c r="EYZ51" i="1"/>
  <c r="EYY51" i="1"/>
  <c r="EYX51" i="1"/>
  <c r="EYW51" i="1"/>
  <c r="EYV51" i="1"/>
  <c r="EYU51" i="1"/>
  <c r="EYT51" i="1"/>
  <c r="EYS51" i="1"/>
  <c r="EYR51" i="1"/>
  <c r="EYQ51" i="1"/>
  <c r="EYP51" i="1"/>
  <c r="EYO51" i="1"/>
  <c r="EYN51" i="1"/>
  <c r="EYM51" i="1"/>
  <c r="EYL51" i="1"/>
  <c r="EYK51" i="1"/>
  <c r="EYJ51" i="1"/>
  <c r="EYI51" i="1"/>
  <c r="EYH51" i="1"/>
  <c r="EYG51" i="1"/>
  <c r="EYF51" i="1"/>
  <c r="EYE51" i="1"/>
  <c r="EYD51" i="1"/>
  <c r="EYC51" i="1"/>
  <c r="EYB51" i="1"/>
  <c r="EYA51" i="1"/>
  <c r="EXZ51" i="1"/>
  <c r="EXY51" i="1"/>
  <c r="EXX51" i="1"/>
  <c r="EXW51" i="1"/>
  <c r="EXV51" i="1"/>
  <c r="EXU51" i="1"/>
  <c r="EXT51" i="1"/>
  <c r="EXS51" i="1"/>
  <c r="EXR51" i="1"/>
  <c r="EXQ51" i="1"/>
  <c r="EXP51" i="1"/>
  <c r="EXO51" i="1"/>
  <c r="EXN51" i="1"/>
  <c r="EXM51" i="1"/>
  <c r="EXL51" i="1"/>
  <c r="EXK51" i="1"/>
  <c r="EXJ51" i="1"/>
  <c r="EXI51" i="1"/>
  <c r="EXH51" i="1"/>
  <c r="EXG51" i="1"/>
  <c r="EXF51" i="1"/>
  <c r="EXE51" i="1"/>
  <c r="EXD51" i="1"/>
  <c r="EXC51" i="1"/>
  <c r="EXB51" i="1"/>
  <c r="EXA51" i="1"/>
  <c r="EWZ51" i="1"/>
  <c r="EWY51" i="1"/>
  <c r="EWX51" i="1"/>
  <c r="EWW51" i="1"/>
  <c r="EWV51" i="1"/>
  <c r="EWU51" i="1"/>
  <c r="EWT51" i="1"/>
  <c r="EWS51" i="1"/>
  <c r="EWR51" i="1"/>
  <c r="EWQ51" i="1"/>
  <c r="EWP51" i="1"/>
  <c r="EWO51" i="1"/>
  <c r="EWN51" i="1"/>
  <c r="EWM51" i="1"/>
  <c r="EWL51" i="1"/>
  <c r="EWK51" i="1"/>
  <c r="EWJ51" i="1"/>
  <c r="EWI51" i="1"/>
  <c r="EWH51" i="1"/>
  <c r="EWG51" i="1"/>
  <c r="EWF51" i="1"/>
  <c r="EWE51" i="1"/>
  <c r="EWD51" i="1"/>
  <c r="EWC51" i="1"/>
  <c r="EWB51" i="1"/>
  <c r="EWA51" i="1"/>
  <c r="EVZ51" i="1"/>
  <c r="EVY51" i="1"/>
  <c r="EVX51" i="1"/>
  <c r="EVW51" i="1"/>
  <c r="EVV51" i="1"/>
  <c r="EVU51" i="1"/>
  <c r="EVT51" i="1"/>
  <c r="EVS51" i="1"/>
  <c r="EVR51" i="1"/>
  <c r="EVQ51" i="1"/>
  <c r="EVP51" i="1"/>
  <c r="EVO51" i="1"/>
  <c r="EVN51" i="1"/>
  <c r="EVM51" i="1"/>
  <c r="EVL51" i="1"/>
  <c r="EVK51" i="1"/>
  <c r="EVJ51" i="1"/>
  <c r="EVI51" i="1"/>
  <c r="EVH51" i="1"/>
  <c r="EVG51" i="1"/>
  <c r="EVF51" i="1"/>
  <c r="EVE51" i="1"/>
  <c r="EVD51" i="1"/>
  <c r="EVC51" i="1"/>
  <c r="EVB51" i="1"/>
  <c r="EVA51" i="1"/>
  <c r="EUZ51" i="1"/>
  <c r="EUY51" i="1"/>
  <c r="EUX51" i="1"/>
  <c r="EUW51" i="1"/>
  <c r="EUV51" i="1"/>
  <c r="EUU51" i="1"/>
  <c r="EUT51" i="1"/>
  <c r="EUS51" i="1"/>
  <c r="EUR51" i="1"/>
  <c r="EUQ51" i="1"/>
  <c r="EUP51" i="1"/>
  <c r="EUO51" i="1"/>
  <c r="EUN51" i="1"/>
  <c r="EUM51" i="1"/>
  <c r="EUL51" i="1"/>
  <c r="EUK51" i="1"/>
  <c r="EUJ51" i="1"/>
  <c r="EUI51" i="1"/>
  <c r="EUH51" i="1"/>
  <c r="EUG51" i="1"/>
  <c r="EUF51" i="1"/>
  <c r="EUE51" i="1"/>
  <c r="EUD51" i="1"/>
  <c r="EUC51" i="1"/>
  <c r="EUB51" i="1"/>
  <c r="EUA51" i="1"/>
  <c r="ETZ51" i="1"/>
  <c r="ETY51" i="1"/>
  <c r="ETX51" i="1"/>
  <c r="ETW51" i="1"/>
  <c r="ETV51" i="1"/>
  <c r="ETU51" i="1"/>
  <c r="ETT51" i="1"/>
  <c r="ETS51" i="1"/>
  <c r="ETR51" i="1"/>
  <c r="ETQ51" i="1"/>
  <c r="ETP51" i="1"/>
  <c r="ETO51" i="1"/>
  <c r="ETN51" i="1"/>
  <c r="ETM51" i="1"/>
  <c r="ETL51" i="1"/>
  <c r="ETK51" i="1"/>
  <c r="ETJ51" i="1"/>
  <c r="ETI51" i="1"/>
  <c r="ETH51" i="1"/>
  <c r="ETG51" i="1"/>
  <c r="ETF51" i="1"/>
  <c r="ETE51" i="1"/>
  <c r="ETD51" i="1"/>
  <c r="ETC51" i="1"/>
  <c r="ETB51" i="1"/>
  <c r="ETA51" i="1"/>
  <c r="ESZ51" i="1"/>
  <c r="ESY51" i="1"/>
  <c r="ESX51" i="1"/>
  <c r="ESW51" i="1"/>
  <c r="ESV51" i="1"/>
  <c r="ESU51" i="1"/>
  <c r="EST51" i="1"/>
  <c r="ESS51" i="1"/>
  <c r="ESR51" i="1"/>
  <c r="ESQ51" i="1"/>
  <c r="ESP51" i="1"/>
  <c r="ESO51" i="1"/>
  <c r="ESN51" i="1"/>
  <c r="ESM51" i="1"/>
  <c r="ESL51" i="1"/>
  <c r="ESK51" i="1"/>
  <c r="ESJ51" i="1"/>
  <c r="ESI51" i="1"/>
  <c r="ESH51" i="1"/>
  <c r="ESG51" i="1"/>
  <c r="ESF51" i="1"/>
  <c r="ESE51" i="1"/>
  <c r="ESD51" i="1"/>
  <c r="ESC51" i="1"/>
  <c r="ESB51" i="1"/>
  <c r="ESA51" i="1"/>
  <c r="ERZ51" i="1"/>
  <c r="ERY51" i="1"/>
  <c r="ERX51" i="1"/>
  <c r="ERW51" i="1"/>
  <c r="ERV51" i="1"/>
  <c r="ERU51" i="1"/>
  <c r="ERT51" i="1"/>
  <c r="ERS51" i="1"/>
  <c r="ERR51" i="1"/>
  <c r="ERQ51" i="1"/>
  <c r="ERP51" i="1"/>
  <c r="ERO51" i="1"/>
  <c r="ERN51" i="1"/>
  <c r="ERM51" i="1"/>
  <c r="ERL51" i="1"/>
  <c r="ERK51" i="1"/>
  <c r="ERJ51" i="1"/>
  <c r="ERI51" i="1"/>
  <c r="ERH51" i="1"/>
  <c r="ERG51" i="1"/>
  <c r="ERF51" i="1"/>
  <c r="ERE51" i="1"/>
  <c r="ERD51" i="1"/>
  <c r="ERC51" i="1"/>
  <c r="ERB51" i="1"/>
  <c r="ERA51" i="1"/>
  <c r="EQZ51" i="1"/>
  <c r="EQY51" i="1"/>
  <c r="EQX51" i="1"/>
  <c r="EQW51" i="1"/>
  <c r="EQV51" i="1"/>
  <c r="EQU51" i="1"/>
  <c r="EQT51" i="1"/>
  <c r="EQS51" i="1"/>
  <c r="EQR51" i="1"/>
  <c r="EQQ51" i="1"/>
  <c r="EQP51" i="1"/>
  <c r="EQO51" i="1"/>
  <c r="EQN51" i="1"/>
  <c r="EQM51" i="1"/>
  <c r="EQL51" i="1"/>
  <c r="EQK51" i="1"/>
  <c r="EQJ51" i="1"/>
  <c r="EQI51" i="1"/>
  <c r="EQH51" i="1"/>
  <c r="EQG51" i="1"/>
  <c r="EQF51" i="1"/>
  <c r="EQE51" i="1"/>
  <c r="EQD51" i="1"/>
  <c r="EQC51" i="1"/>
  <c r="EQB51" i="1"/>
  <c r="EQA51" i="1"/>
  <c r="EPZ51" i="1"/>
  <c r="EPY51" i="1"/>
  <c r="EPX51" i="1"/>
  <c r="EPW51" i="1"/>
  <c r="EPV51" i="1"/>
  <c r="EPU51" i="1"/>
  <c r="EPT51" i="1"/>
  <c r="EPS51" i="1"/>
  <c r="EPR51" i="1"/>
  <c r="EPQ51" i="1"/>
  <c r="EPP51" i="1"/>
  <c r="EPO51" i="1"/>
  <c r="EPN51" i="1"/>
  <c r="EPM51" i="1"/>
  <c r="EPL51" i="1"/>
  <c r="EPK51" i="1"/>
  <c r="EPJ51" i="1"/>
  <c r="EPI51" i="1"/>
  <c r="EPH51" i="1"/>
  <c r="EPG51" i="1"/>
  <c r="EPF51" i="1"/>
  <c r="EPE51" i="1"/>
  <c r="EPD51" i="1"/>
  <c r="EPC51" i="1"/>
  <c r="EPB51" i="1"/>
  <c r="EPA51" i="1"/>
  <c r="EOZ51" i="1"/>
  <c r="EOY51" i="1"/>
  <c r="EOX51" i="1"/>
  <c r="EOW51" i="1"/>
  <c r="EOV51" i="1"/>
  <c r="EOU51" i="1"/>
  <c r="EOT51" i="1"/>
  <c r="EOS51" i="1"/>
  <c r="EOR51" i="1"/>
  <c r="EOQ51" i="1"/>
  <c r="EOP51" i="1"/>
  <c r="EOO51" i="1"/>
  <c r="EON51" i="1"/>
  <c r="EOM51" i="1"/>
  <c r="EOL51" i="1"/>
  <c r="EOK51" i="1"/>
  <c r="EOJ51" i="1"/>
  <c r="EOI51" i="1"/>
  <c r="EOH51" i="1"/>
  <c r="EOG51" i="1"/>
  <c r="EOF51" i="1"/>
  <c r="EOE51" i="1"/>
  <c r="EOD51" i="1"/>
  <c r="EOC51" i="1"/>
  <c r="EOB51" i="1"/>
  <c r="EOA51" i="1"/>
  <c r="ENZ51" i="1"/>
  <c r="ENY51" i="1"/>
  <c r="ENX51" i="1"/>
  <c r="ENW51" i="1"/>
  <c r="ENV51" i="1"/>
  <c r="ENU51" i="1"/>
  <c r="ENT51" i="1"/>
  <c r="ENS51" i="1"/>
  <c r="ENR51" i="1"/>
  <c r="ENQ51" i="1"/>
  <c r="ENP51" i="1"/>
  <c r="ENO51" i="1"/>
  <c r="ENN51" i="1"/>
  <c r="ENM51" i="1"/>
  <c r="ENL51" i="1"/>
  <c r="ENK51" i="1"/>
  <c r="ENJ51" i="1"/>
  <c r="ENI51" i="1"/>
  <c r="ENH51" i="1"/>
  <c r="ENG51" i="1"/>
  <c r="ENF51" i="1"/>
  <c r="ENE51" i="1"/>
  <c r="END51" i="1"/>
  <c r="ENC51" i="1"/>
  <c r="ENB51" i="1"/>
  <c r="ENA51" i="1"/>
  <c r="EMZ51" i="1"/>
  <c r="EMY51" i="1"/>
  <c r="EMX51" i="1"/>
  <c r="EMW51" i="1"/>
  <c r="EMV51" i="1"/>
  <c r="EMU51" i="1"/>
  <c r="EMT51" i="1"/>
  <c r="EMS51" i="1"/>
  <c r="EMR51" i="1"/>
  <c r="EMQ51" i="1"/>
  <c r="EMP51" i="1"/>
  <c r="EMO51" i="1"/>
  <c r="EMN51" i="1"/>
  <c r="EMM51" i="1"/>
  <c r="EML51" i="1"/>
  <c r="EMK51" i="1"/>
  <c r="EMJ51" i="1"/>
  <c r="EMI51" i="1"/>
  <c r="EMH51" i="1"/>
  <c r="EMG51" i="1"/>
  <c r="EMF51" i="1"/>
  <c r="EME51" i="1"/>
  <c r="EMD51" i="1"/>
  <c r="EMC51" i="1"/>
  <c r="EMB51" i="1"/>
  <c r="EMA51" i="1"/>
  <c r="ELZ51" i="1"/>
  <c r="ELY51" i="1"/>
  <c r="ELX51" i="1"/>
  <c r="ELW51" i="1"/>
  <c r="ELV51" i="1"/>
  <c r="ELU51" i="1"/>
  <c r="ELT51" i="1"/>
  <c r="ELS51" i="1"/>
  <c r="ELR51" i="1"/>
  <c r="ELQ51" i="1"/>
  <c r="ELP51" i="1"/>
  <c r="ELO51" i="1"/>
  <c r="ELN51" i="1"/>
  <c r="ELM51" i="1"/>
  <c r="ELL51" i="1"/>
  <c r="ELK51" i="1"/>
  <c r="ELJ51" i="1"/>
  <c r="ELI51" i="1"/>
  <c r="ELH51" i="1"/>
  <c r="ELG51" i="1"/>
  <c r="ELF51" i="1"/>
  <c r="ELE51" i="1"/>
  <c r="ELD51" i="1"/>
  <c r="ELC51" i="1"/>
  <c r="ELB51" i="1"/>
  <c r="ELA51" i="1"/>
  <c r="EKZ51" i="1"/>
  <c r="EKY51" i="1"/>
  <c r="EKX51" i="1"/>
  <c r="EKW51" i="1"/>
  <c r="EKV51" i="1"/>
  <c r="EKU51" i="1"/>
  <c r="EKT51" i="1"/>
  <c r="EKS51" i="1"/>
  <c r="EKR51" i="1"/>
  <c r="EKQ51" i="1"/>
  <c r="EKP51" i="1"/>
  <c r="EKO51" i="1"/>
  <c r="EKN51" i="1"/>
  <c r="EKM51" i="1"/>
  <c r="EKL51" i="1"/>
  <c r="EKK51" i="1"/>
  <c r="EKJ51" i="1"/>
  <c r="EKI51" i="1"/>
  <c r="EKH51" i="1"/>
  <c r="EKG51" i="1"/>
  <c r="EKF51" i="1"/>
  <c r="EKE51" i="1"/>
  <c r="EKD51" i="1"/>
  <c r="EKC51" i="1"/>
  <c r="EKB51" i="1"/>
  <c r="EKA51" i="1"/>
  <c r="EJZ51" i="1"/>
  <c r="EJY51" i="1"/>
  <c r="EJX51" i="1"/>
  <c r="EJW51" i="1"/>
  <c r="EJV51" i="1"/>
  <c r="EJU51" i="1"/>
  <c r="EJT51" i="1"/>
  <c r="EJS51" i="1"/>
  <c r="EJR51" i="1"/>
  <c r="EJQ51" i="1"/>
  <c r="EJP51" i="1"/>
  <c r="EJO51" i="1"/>
  <c r="EJN51" i="1"/>
  <c r="EJM51" i="1"/>
  <c r="EJL51" i="1"/>
  <c r="EJK51" i="1"/>
  <c r="EJJ51" i="1"/>
  <c r="EJI51" i="1"/>
  <c r="EJH51" i="1"/>
  <c r="EJG51" i="1"/>
  <c r="EJF51" i="1"/>
  <c r="EJE51" i="1"/>
  <c r="EJD51" i="1"/>
  <c r="EJC51" i="1"/>
  <c r="EJB51" i="1"/>
  <c r="EJA51" i="1"/>
  <c r="EIZ51" i="1"/>
  <c r="EIY51" i="1"/>
  <c r="EIX51" i="1"/>
  <c r="EIW51" i="1"/>
  <c r="EIV51" i="1"/>
  <c r="EIU51" i="1"/>
  <c r="EIT51" i="1"/>
  <c r="EIS51" i="1"/>
  <c r="EIR51" i="1"/>
  <c r="EIQ51" i="1"/>
  <c r="EIP51" i="1"/>
  <c r="EIO51" i="1"/>
  <c r="EIN51" i="1"/>
  <c r="EIM51" i="1"/>
  <c r="EIL51" i="1"/>
  <c r="EIK51" i="1"/>
  <c r="EIJ51" i="1"/>
  <c r="EII51" i="1"/>
  <c r="EIH51" i="1"/>
  <c r="EIG51" i="1"/>
  <c r="EIF51" i="1"/>
  <c r="EIE51" i="1"/>
  <c r="EID51" i="1"/>
  <c r="EIC51" i="1"/>
  <c r="EIB51" i="1"/>
  <c r="EIA51" i="1"/>
  <c r="EHZ51" i="1"/>
  <c r="EHY51" i="1"/>
  <c r="EHX51" i="1"/>
  <c r="EHW51" i="1"/>
  <c r="EHV51" i="1"/>
  <c r="EHU51" i="1"/>
  <c r="EHT51" i="1"/>
  <c r="EHS51" i="1"/>
  <c r="EHR51" i="1"/>
  <c r="EHQ51" i="1"/>
  <c r="EHP51" i="1"/>
  <c r="EHO51" i="1"/>
  <c r="EHN51" i="1"/>
  <c r="EHM51" i="1"/>
  <c r="EHL51" i="1"/>
  <c r="EHK51" i="1"/>
  <c r="EHJ51" i="1"/>
  <c r="EHI51" i="1"/>
  <c r="EHH51" i="1"/>
  <c r="EHG51" i="1"/>
  <c r="EHF51" i="1"/>
  <c r="EHE51" i="1"/>
  <c r="EHD51" i="1"/>
  <c r="EHC51" i="1"/>
  <c r="EHB51" i="1"/>
  <c r="EHA51" i="1"/>
  <c r="EGZ51" i="1"/>
  <c r="EGY51" i="1"/>
  <c r="EGX51" i="1"/>
  <c r="EGW51" i="1"/>
  <c r="EGV51" i="1"/>
  <c r="EGU51" i="1"/>
  <c r="EGT51" i="1"/>
  <c r="EGS51" i="1"/>
  <c r="EGR51" i="1"/>
  <c r="EGQ51" i="1"/>
  <c r="EGP51" i="1"/>
  <c r="EGO51" i="1"/>
  <c r="EGN51" i="1"/>
  <c r="EGM51" i="1"/>
  <c r="EGL51" i="1"/>
  <c r="EGK51" i="1"/>
  <c r="EGJ51" i="1"/>
  <c r="EGI51" i="1"/>
  <c r="EGH51" i="1"/>
  <c r="EGG51" i="1"/>
  <c r="EGF51" i="1"/>
  <c r="EGE51" i="1"/>
  <c r="EGD51" i="1"/>
  <c r="EGC51" i="1"/>
  <c r="EGB51" i="1"/>
  <c r="EGA51" i="1"/>
  <c r="EFZ51" i="1"/>
  <c r="EFY51" i="1"/>
  <c r="EFX51" i="1"/>
  <c r="EFW51" i="1"/>
  <c r="EFV51" i="1"/>
  <c r="EFU51" i="1"/>
  <c r="EFT51" i="1"/>
  <c r="EFS51" i="1"/>
  <c r="EFR51" i="1"/>
  <c r="EFQ51" i="1"/>
  <c r="EFP51" i="1"/>
  <c r="EFO51" i="1"/>
  <c r="EFN51" i="1"/>
  <c r="EFM51" i="1"/>
  <c r="EFL51" i="1"/>
  <c r="EFK51" i="1"/>
  <c r="EFJ51" i="1"/>
  <c r="EFI51" i="1"/>
  <c r="EFH51" i="1"/>
  <c r="EFG51" i="1"/>
  <c r="EFF51" i="1"/>
  <c r="EFE51" i="1"/>
  <c r="EFD51" i="1"/>
  <c r="EFC51" i="1"/>
  <c r="EFB51" i="1"/>
  <c r="EFA51" i="1"/>
  <c r="EEZ51" i="1"/>
  <c r="EEY51" i="1"/>
  <c r="EEX51" i="1"/>
  <c r="EEW51" i="1"/>
  <c r="EEV51" i="1"/>
  <c r="EEU51" i="1"/>
  <c r="EET51" i="1"/>
  <c r="EES51" i="1"/>
  <c r="EER51" i="1"/>
  <c r="EEQ51" i="1"/>
  <c r="EEP51" i="1"/>
  <c r="EEO51" i="1"/>
  <c r="EEN51" i="1"/>
  <c r="EEM51" i="1"/>
  <c r="EEL51" i="1"/>
  <c r="EEK51" i="1"/>
  <c r="EEJ51" i="1"/>
  <c r="EEI51" i="1"/>
  <c r="EEH51" i="1"/>
  <c r="EEG51" i="1"/>
  <c r="EEF51" i="1"/>
  <c r="EEE51" i="1"/>
  <c r="EED51" i="1"/>
  <c r="EEC51" i="1"/>
  <c r="EEB51" i="1"/>
  <c r="EEA51" i="1"/>
  <c r="EDZ51" i="1"/>
  <c r="EDY51" i="1"/>
  <c r="EDX51" i="1"/>
  <c r="EDW51" i="1"/>
  <c r="EDV51" i="1"/>
  <c r="EDU51" i="1"/>
  <c r="EDT51" i="1"/>
  <c r="EDS51" i="1"/>
  <c r="EDR51" i="1"/>
  <c r="EDQ51" i="1"/>
  <c r="EDP51" i="1"/>
  <c r="EDO51" i="1"/>
  <c r="EDN51" i="1"/>
  <c r="EDM51" i="1"/>
  <c r="EDL51" i="1"/>
  <c r="EDK51" i="1"/>
  <c r="EDJ51" i="1"/>
  <c r="EDI51" i="1"/>
  <c r="EDH51" i="1"/>
  <c r="EDG51" i="1"/>
  <c r="EDF51" i="1"/>
  <c r="EDE51" i="1"/>
  <c r="EDD51" i="1"/>
  <c r="EDC51" i="1"/>
  <c r="EDB51" i="1"/>
  <c r="EDA51" i="1"/>
  <c r="ECZ51" i="1"/>
  <c r="ECY51" i="1"/>
  <c r="ECX51" i="1"/>
  <c r="ECW51" i="1"/>
  <c r="ECV51" i="1"/>
  <c r="ECU51" i="1"/>
  <c r="ECT51" i="1"/>
  <c r="ECS51" i="1"/>
  <c r="ECR51" i="1"/>
  <c r="ECQ51" i="1"/>
  <c r="ECP51" i="1"/>
  <c r="ECO51" i="1"/>
  <c r="ECN51" i="1"/>
  <c r="ECM51" i="1"/>
  <c r="ECL51" i="1"/>
  <c r="ECK51" i="1"/>
  <c r="ECJ51" i="1"/>
  <c r="ECI51" i="1"/>
  <c r="ECH51" i="1"/>
  <c r="ECG51" i="1"/>
  <c r="ECF51" i="1"/>
  <c r="ECE51" i="1"/>
  <c r="ECD51" i="1"/>
  <c r="ECC51" i="1"/>
  <c r="ECB51" i="1"/>
  <c r="ECA51" i="1"/>
  <c r="EBZ51" i="1"/>
  <c r="EBY51" i="1"/>
  <c r="EBX51" i="1"/>
  <c r="EBW51" i="1"/>
  <c r="EBV51" i="1"/>
  <c r="EBU51" i="1"/>
  <c r="EBT51" i="1"/>
  <c r="EBS51" i="1"/>
  <c r="EBR51" i="1"/>
  <c r="EBQ51" i="1"/>
  <c r="EBP51" i="1"/>
  <c r="EBO51" i="1"/>
  <c r="EBN51" i="1"/>
  <c r="EBM51" i="1"/>
  <c r="EBL51" i="1"/>
  <c r="EBK51" i="1"/>
  <c r="EBJ51" i="1"/>
  <c r="EBI51" i="1"/>
  <c r="EBH51" i="1"/>
  <c r="EBG51" i="1"/>
  <c r="EBF51" i="1"/>
  <c r="EBE51" i="1"/>
  <c r="EBD51" i="1"/>
  <c r="EBC51" i="1"/>
  <c r="EBB51" i="1"/>
  <c r="EBA51" i="1"/>
  <c r="EAZ51" i="1"/>
  <c r="EAY51" i="1"/>
  <c r="EAX51" i="1"/>
  <c r="EAW51" i="1"/>
  <c r="EAV51" i="1"/>
  <c r="EAU51" i="1"/>
  <c r="EAT51" i="1"/>
  <c r="EAS51" i="1"/>
  <c r="EAR51" i="1"/>
  <c r="EAQ51" i="1"/>
  <c r="EAP51" i="1"/>
  <c r="EAO51" i="1"/>
  <c r="EAN51" i="1"/>
  <c r="EAM51" i="1"/>
  <c r="EAL51" i="1"/>
  <c r="EAK51" i="1"/>
  <c r="EAJ51" i="1"/>
  <c r="EAI51" i="1"/>
  <c r="EAH51" i="1"/>
  <c r="EAG51" i="1"/>
  <c r="EAF51" i="1"/>
  <c r="EAE51" i="1"/>
  <c r="EAD51" i="1"/>
  <c r="EAC51" i="1"/>
  <c r="EAB51" i="1"/>
  <c r="EAA51" i="1"/>
  <c r="DZZ51" i="1"/>
  <c r="DZY51" i="1"/>
  <c r="DZX51" i="1"/>
  <c r="DZW51" i="1"/>
  <c r="DZV51" i="1"/>
  <c r="DZU51" i="1"/>
  <c r="DZT51" i="1"/>
  <c r="DZS51" i="1"/>
  <c r="DZR51" i="1"/>
  <c r="DZQ51" i="1"/>
  <c r="DZP51" i="1"/>
  <c r="DZO51" i="1"/>
  <c r="DZN51" i="1"/>
  <c r="DZM51" i="1"/>
  <c r="DZL51" i="1"/>
  <c r="DZK51" i="1"/>
  <c r="DZJ51" i="1"/>
  <c r="DZI51" i="1"/>
  <c r="DZH51" i="1"/>
  <c r="DZG51" i="1"/>
  <c r="DZF51" i="1"/>
  <c r="DZE51" i="1"/>
  <c r="DZD51" i="1"/>
  <c r="DZC51" i="1"/>
  <c r="DZB51" i="1"/>
  <c r="DZA51" i="1"/>
  <c r="DYZ51" i="1"/>
  <c r="DYY51" i="1"/>
  <c r="DYX51" i="1"/>
  <c r="DYW51" i="1"/>
  <c r="DYV51" i="1"/>
  <c r="DYU51" i="1"/>
  <c r="DYT51" i="1"/>
  <c r="DYS51" i="1"/>
  <c r="DYR51" i="1"/>
  <c r="DYQ51" i="1"/>
  <c r="DYP51" i="1"/>
  <c r="DYO51" i="1"/>
  <c r="DYN51" i="1"/>
  <c r="DYM51" i="1"/>
  <c r="DYL51" i="1"/>
  <c r="DYK51" i="1"/>
  <c r="DYJ51" i="1"/>
  <c r="DYI51" i="1"/>
  <c r="DYH51" i="1"/>
  <c r="DYG51" i="1"/>
  <c r="DYF51" i="1"/>
  <c r="DYE51" i="1"/>
  <c r="DYD51" i="1"/>
  <c r="DYC51" i="1"/>
  <c r="DYB51" i="1"/>
  <c r="DYA51" i="1"/>
  <c r="DXZ51" i="1"/>
  <c r="DXY51" i="1"/>
  <c r="DXX51" i="1"/>
  <c r="DXW51" i="1"/>
  <c r="DXV51" i="1"/>
  <c r="DXU51" i="1"/>
  <c r="DXT51" i="1"/>
  <c r="DXS51" i="1"/>
  <c r="DXR51" i="1"/>
  <c r="DXQ51" i="1"/>
  <c r="DXP51" i="1"/>
  <c r="DXO51" i="1"/>
  <c r="DXN51" i="1"/>
  <c r="DXM51" i="1"/>
  <c r="DXL51" i="1"/>
  <c r="DXK51" i="1"/>
  <c r="DXJ51" i="1"/>
  <c r="DXI51" i="1"/>
  <c r="DXH51" i="1"/>
  <c r="DXG51" i="1"/>
  <c r="DXF51" i="1"/>
  <c r="DXE51" i="1"/>
  <c r="DXD51" i="1"/>
  <c r="DXC51" i="1"/>
  <c r="DXB51" i="1"/>
  <c r="DXA51" i="1"/>
  <c r="DWZ51" i="1"/>
  <c r="DWY51" i="1"/>
  <c r="DWX51" i="1"/>
  <c r="DWW51" i="1"/>
  <c r="DWV51" i="1"/>
  <c r="DWU51" i="1"/>
  <c r="DWT51" i="1"/>
  <c r="DWS51" i="1"/>
  <c r="DWR51" i="1"/>
  <c r="DWQ51" i="1"/>
  <c r="DWP51" i="1"/>
  <c r="DWO51" i="1"/>
  <c r="DWN51" i="1"/>
  <c r="DWM51" i="1"/>
  <c r="DWL51" i="1"/>
  <c r="DWK51" i="1"/>
  <c r="DWJ51" i="1"/>
  <c r="DWI51" i="1"/>
  <c r="DWH51" i="1"/>
  <c r="DWG51" i="1"/>
  <c r="DWF51" i="1"/>
  <c r="DWE51" i="1"/>
  <c r="DWD51" i="1"/>
  <c r="DWC51" i="1"/>
  <c r="DWB51" i="1"/>
  <c r="DWA51" i="1"/>
  <c r="DVZ51" i="1"/>
  <c r="DVY51" i="1"/>
  <c r="DVX51" i="1"/>
  <c r="DVW51" i="1"/>
  <c r="DVV51" i="1"/>
  <c r="DVU51" i="1"/>
  <c r="DVT51" i="1"/>
  <c r="DVS51" i="1"/>
  <c r="DVR51" i="1"/>
  <c r="DVQ51" i="1"/>
  <c r="DVP51" i="1"/>
  <c r="DVO51" i="1"/>
  <c r="DVN51" i="1"/>
  <c r="DVM51" i="1"/>
  <c r="DVL51" i="1"/>
  <c r="DVK51" i="1"/>
  <c r="DVJ51" i="1"/>
  <c r="DVI51" i="1"/>
  <c r="DVH51" i="1"/>
  <c r="DVG51" i="1"/>
  <c r="DVF51" i="1"/>
  <c r="DVE51" i="1"/>
  <c r="DVD51" i="1"/>
  <c r="DVC51" i="1"/>
  <c r="DVB51" i="1"/>
  <c r="DVA51" i="1"/>
  <c r="DUZ51" i="1"/>
  <c r="DUY51" i="1"/>
  <c r="DUX51" i="1"/>
  <c r="DUW51" i="1"/>
  <c r="DUV51" i="1"/>
  <c r="DUU51" i="1"/>
  <c r="DUT51" i="1"/>
  <c r="DUS51" i="1"/>
  <c r="DUR51" i="1"/>
  <c r="DUQ51" i="1"/>
  <c r="DUP51" i="1"/>
  <c r="DUO51" i="1"/>
  <c r="DUN51" i="1"/>
  <c r="DUM51" i="1"/>
  <c r="DUL51" i="1"/>
  <c r="DUK51" i="1"/>
  <c r="DUJ51" i="1"/>
  <c r="DUI51" i="1"/>
  <c r="DUH51" i="1"/>
  <c r="DUG51" i="1"/>
  <c r="DUF51" i="1"/>
  <c r="DUE51" i="1"/>
  <c r="DUD51" i="1"/>
  <c r="DUC51" i="1"/>
  <c r="DUB51" i="1"/>
  <c r="DUA51" i="1"/>
  <c r="DTZ51" i="1"/>
  <c r="DTY51" i="1"/>
  <c r="DTX51" i="1"/>
  <c r="DTW51" i="1"/>
  <c r="DTV51" i="1"/>
  <c r="DTU51" i="1"/>
  <c r="DTT51" i="1"/>
  <c r="DTS51" i="1"/>
  <c r="DTR51" i="1"/>
  <c r="DTQ51" i="1"/>
  <c r="DTP51" i="1"/>
  <c r="DTO51" i="1"/>
  <c r="DTN51" i="1"/>
  <c r="DTM51" i="1"/>
  <c r="DTL51" i="1"/>
  <c r="DTK51" i="1"/>
  <c r="DTJ51" i="1"/>
  <c r="DTI51" i="1"/>
  <c r="DTH51" i="1"/>
  <c r="DTG51" i="1"/>
  <c r="DTF51" i="1"/>
  <c r="DTE51" i="1"/>
  <c r="DTD51" i="1"/>
  <c r="DTC51" i="1"/>
  <c r="DTB51" i="1"/>
  <c r="DTA51" i="1"/>
  <c r="DSZ51" i="1"/>
  <c r="DSY51" i="1"/>
  <c r="DSX51" i="1"/>
  <c r="DSW51" i="1"/>
  <c r="DSV51" i="1"/>
  <c r="DSU51" i="1"/>
  <c r="DST51" i="1"/>
  <c r="DSS51" i="1"/>
  <c r="DSR51" i="1"/>
  <c r="DSQ51" i="1"/>
  <c r="DSP51" i="1"/>
  <c r="DSO51" i="1"/>
  <c r="DSN51" i="1"/>
  <c r="DSM51" i="1"/>
  <c r="DSL51" i="1"/>
  <c r="DSK51" i="1"/>
  <c r="DSJ51" i="1"/>
  <c r="DSI51" i="1"/>
  <c r="DSH51" i="1"/>
  <c r="DSG51" i="1"/>
  <c r="DSF51" i="1"/>
  <c r="DSE51" i="1"/>
  <c r="DSD51" i="1"/>
  <c r="DSC51" i="1"/>
  <c r="DSB51" i="1"/>
  <c r="DSA51" i="1"/>
  <c r="DRZ51" i="1"/>
  <c r="DRY51" i="1"/>
  <c r="DRX51" i="1"/>
  <c r="DRW51" i="1"/>
  <c r="DRV51" i="1"/>
  <c r="DRU51" i="1"/>
  <c r="DRT51" i="1"/>
  <c r="DRS51" i="1"/>
  <c r="DRR51" i="1"/>
  <c r="DRQ51" i="1"/>
  <c r="DRP51" i="1"/>
  <c r="DRO51" i="1"/>
  <c r="DRN51" i="1"/>
  <c r="DRM51" i="1"/>
  <c r="DRL51" i="1"/>
  <c r="DRK51" i="1"/>
  <c r="DRJ51" i="1"/>
  <c r="DRI51" i="1"/>
  <c r="DRH51" i="1"/>
  <c r="DRG51" i="1"/>
  <c r="DRF51" i="1"/>
  <c r="DRE51" i="1"/>
  <c r="DRD51" i="1"/>
  <c r="DRC51" i="1"/>
  <c r="DRB51" i="1"/>
  <c r="DRA51" i="1"/>
  <c r="DQZ51" i="1"/>
  <c r="DQY51" i="1"/>
  <c r="DQX51" i="1"/>
  <c r="DQW51" i="1"/>
  <c r="DQV51" i="1"/>
  <c r="DQU51" i="1"/>
  <c r="DQT51" i="1"/>
  <c r="DQS51" i="1"/>
  <c r="DQR51" i="1"/>
  <c r="DQQ51" i="1"/>
  <c r="DQP51" i="1"/>
  <c r="DQO51" i="1"/>
  <c r="DQN51" i="1"/>
  <c r="DQM51" i="1"/>
  <c r="DQL51" i="1"/>
  <c r="DQK51" i="1"/>
  <c r="DQJ51" i="1"/>
  <c r="DQI51" i="1"/>
  <c r="DQH51" i="1"/>
  <c r="DQG51" i="1"/>
  <c r="DQF51" i="1"/>
  <c r="DQE51" i="1"/>
  <c r="DQD51" i="1"/>
  <c r="DQC51" i="1"/>
  <c r="DQB51" i="1"/>
  <c r="DQA51" i="1"/>
  <c r="DPZ51" i="1"/>
  <c r="DPY51" i="1"/>
  <c r="DPX51" i="1"/>
  <c r="DPW51" i="1"/>
  <c r="DPV51" i="1"/>
  <c r="DPU51" i="1"/>
  <c r="DPT51" i="1"/>
  <c r="DPS51" i="1"/>
  <c r="DPR51" i="1"/>
  <c r="DPQ51" i="1"/>
  <c r="DPP51" i="1"/>
  <c r="DPO51" i="1"/>
  <c r="DPN51" i="1"/>
  <c r="DPM51" i="1"/>
  <c r="DPL51" i="1"/>
  <c r="DPK51" i="1"/>
  <c r="DPJ51" i="1"/>
  <c r="DPI51" i="1"/>
  <c r="DPH51" i="1"/>
  <c r="DPG51" i="1"/>
  <c r="DPF51" i="1"/>
  <c r="DPE51" i="1"/>
  <c r="DPD51" i="1"/>
  <c r="DPC51" i="1"/>
  <c r="DPB51" i="1"/>
  <c r="DPA51" i="1"/>
  <c r="DOZ51" i="1"/>
  <c r="DOY51" i="1"/>
  <c r="DOX51" i="1"/>
  <c r="DOW51" i="1"/>
  <c r="DOV51" i="1"/>
  <c r="DOU51" i="1"/>
  <c r="DOT51" i="1"/>
  <c r="DOS51" i="1"/>
  <c r="DOR51" i="1"/>
  <c r="DOQ51" i="1"/>
  <c r="DOP51" i="1"/>
  <c r="DOO51" i="1"/>
  <c r="DON51" i="1"/>
  <c r="DOM51" i="1"/>
  <c r="DOL51" i="1"/>
  <c r="DOK51" i="1"/>
  <c r="DOJ51" i="1"/>
  <c r="DOI51" i="1"/>
  <c r="DOH51" i="1"/>
  <c r="DOG51" i="1"/>
  <c r="DOF51" i="1"/>
  <c r="DOE51" i="1"/>
  <c r="DOD51" i="1"/>
  <c r="DOC51" i="1"/>
  <c r="DOB51" i="1"/>
  <c r="DOA51" i="1"/>
  <c r="DNZ51" i="1"/>
  <c r="DNY51" i="1"/>
  <c r="DNX51" i="1"/>
  <c r="DNW51" i="1"/>
  <c r="DNV51" i="1"/>
  <c r="DNU51" i="1"/>
  <c r="DNT51" i="1"/>
  <c r="DNS51" i="1"/>
  <c r="DNR51" i="1"/>
  <c r="DNQ51" i="1"/>
  <c r="DNP51" i="1"/>
  <c r="DNO51" i="1"/>
  <c r="DNN51" i="1"/>
  <c r="DNM51" i="1"/>
  <c r="DNL51" i="1"/>
  <c r="DNK51" i="1"/>
  <c r="DNJ51" i="1"/>
  <c r="DNI51" i="1"/>
  <c r="DNH51" i="1"/>
  <c r="DNG51" i="1"/>
  <c r="DNF51" i="1"/>
  <c r="DNE51" i="1"/>
  <c r="DND51" i="1"/>
  <c r="DNC51" i="1"/>
  <c r="DNB51" i="1"/>
  <c r="DNA51" i="1"/>
  <c r="DMZ51" i="1"/>
  <c r="DMY51" i="1"/>
  <c r="DMX51" i="1"/>
  <c r="DMW51" i="1"/>
  <c r="DMV51" i="1"/>
  <c r="DMU51" i="1"/>
  <c r="DMT51" i="1"/>
  <c r="DMS51" i="1"/>
  <c r="DMR51" i="1"/>
  <c r="DMQ51" i="1"/>
  <c r="DMP51" i="1"/>
  <c r="DMO51" i="1"/>
  <c r="DMN51" i="1"/>
  <c r="DMM51" i="1"/>
  <c r="DML51" i="1"/>
  <c r="DMK51" i="1"/>
  <c r="DMJ51" i="1"/>
  <c r="DMI51" i="1"/>
  <c r="DMH51" i="1"/>
  <c r="DMG51" i="1"/>
  <c r="DMF51" i="1"/>
  <c r="DME51" i="1"/>
  <c r="DMD51" i="1"/>
  <c r="DMC51" i="1"/>
  <c r="DMB51" i="1"/>
  <c r="DMA51" i="1"/>
  <c r="DLZ51" i="1"/>
  <c r="DLY51" i="1"/>
  <c r="DLX51" i="1"/>
  <c r="DLW51" i="1"/>
  <c r="DLV51" i="1"/>
  <c r="DLU51" i="1"/>
  <c r="DLT51" i="1"/>
  <c r="DLS51" i="1"/>
  <c r="DLR51" i="1"/>
  <c r="DLQ51" i="1"/>
  <c r="DLP51" i="1"/>
  <c r="DLO51" i="1"/>
  <c r="DLN51" i="1"/>
  <c r="DLM51" i="1"/>
  <c r="DLL51" i="1"/>
  <c r="DLK51" i="1"/>
  <c r="DLJ51" i="1"/>
  <c r="DLI51" i="1"/>
  <c r="DLH51" i="1"/>
  <c r="DLG51" i="1"/>
  <c r="DLF51" i="1"/>
  <c r="DLE51" i="1"/>
  <c r="DLD51" i="1"/>
  <c r="DLC51" i="1"/>
  <c r="DLB51" i="1"/>
  <c r="DLA51" i="1"/>
  <c r="DKZ51" i="1"/>
  <c r="DKY51" i="1"/>
  <c r="DKX51" i="1"/>
  <c r="DKW51" i="1"/>
  <c r="DKV51" i="1"/>
  <c r="DKU51" i="1"/>
  <c r="DKT51" i="1"/>
  <c r="DKS51" i="1"/>
  <c r="DKR51" i="1"/>
  <c r="DKQ51" i="1"/>
  <c r="DKP51" i="1"/>
  <c r="DKO51" i="1"/>
  <c r="DKN51" i="1"/>
  <c r="DKM51" i="1"/>
  <c r="DKL51" i="1"/>
  <c r="DKK51" i="1"/>
  <c r="DKJ51" i="1"/>
  <c r="DKI51" i="1"/>
  <c r="DKH51" i="1"/>
  <c r="DKG51" i="1"/>
  <c r="DKF51" i="1"/>
  <c r="DKE51" i="1"/>
  <c r="DKD51" i="1"/>
  <c r="DKC51" i="1"/>
  <c r="DKB51" i="1"/>
  <c r="DKA51" i="1"/>
  <c r="DJZ51" i="1"/>
  <c r="DJY51" i="1"/>
  <c r="DJX51" i="1"/>
  <c r="DJW51" i="1"/>
  <c r="DJV51" i="1"/>
  <c r="DJU51" i="1"/>
  <c r="DJT51" i="1"/>
  <c r="DJS51" i="1"/>
  <c r="DJR51" i="1"/>
  <c r="DJQ51" i="1"/>
  <c r="DJP51" i="1"/>
  <c r="DJO51" i="1"/>
  <c r="DJN51" i="1"/>
  <c r="DJM51" i="1"/>
  <c r="DJL51" i="1"/>
  <c r="DJK51" i="1"/>
  <c r="DJJ51" i="1"/>
  <c r="DJI51" i="1"/>
  <c r="DJH51" i="1"/>
  <c r="DJG51" i="1"/>
  <c r="DJF51" i="1"/>
  <c r="DJE51" i="1"/>
  <c r="DJD51" i="1"/>
  <c r="DJC51" i="1"/>
  <c r="DJB51" i="1"/>
  <c r="DJA51" i="1"/>
  <c r="DIZ51" i="1"/>
  <c r="DIY51" i="1"/>
  <c r="DIX51" i="1"/>
  <c r="DIW51" i="1"/>
  <c r="DIV51" i="1"/>
  <c r="DIU51" i="1"/>
  <c r="DIT51" i="1"/>
  <c r="DIS51" i="1"/>
  <c r="DIR51" i="1"/>
  <c r="DIQ51" i="1"/>
  <c r="DIP51" i="1"/>
  <c r="DIO51" i="1"/>
  <c r="DIN51" i="1"/>
  <c r="DIM51" i="1"/>
  <c r="DIL51" i="1"/>
  <c r="DIK51" i="1"/>
  <c r="DIJ51" i="1"/>
  <c r="DII51" i="1"/>
  <c r="DIH51" i="1"/>
  <c r="DIG51" i="1"/>
  <c r="DIF51" i="1"/>
  <c r="DIE51" i="1"/>
  <c r="DID51" i="1"/>
  <c r="DIC51" i="1"/>
  <c r="DIB51" i="1"/>
  <c r="DIA51" i="1"/>
  <c r="DHZ51" i="1"/>
  <c r="DHY51" i="1"/>
  <c r="DHX51" i="1"/>
  <c r="DHW51" i="1"/>
  <c r="DHV51" i="1"/>
  <c r="DHU51" i="1"/>
  <c r="DHT51" i="1"/>
  <c r="DHS51" i="1"/>
  <c r="DHR51" i="1"/>
  <c r="DHQ51" i="1"/>
  <c r="DHP51" i="1"/>
  <c r="DHO51" i="1"/>
  <c r="DHN51" i="1"/>
  <c r="DHM51" i="1"/>
  <c r="DHL51" i="1"/>
  <c r="DHK51" i="1"/>
  <c r="DHJ51" i="1"/>
  <c r="DHI51" i="1"/>
  <c r="DHH51" i="1"/>
  <c r="DHG51" i="1"/>
  <c r="DHF51" i="1"/>
  <c r="DHE51" i="1"/>
  <c r="DHD51" i="1"/>
  <c r="DHC51" i="1"/>
  <c r="DHB51" i="1"/>
  <c r="DHA51" i="1"/>
  <c r="DGZ51" i="1"/>
  <c r="DGY51" i="1"/>
  <c r="DGX51" i="1"/>
  <c r="DGW51" i="1"/>
  <c r="DGV51" i="1"/>
  <c r="DGU51" i="1"/>
  <c r="DGT51" i="1"/>
  <c r="DGS51" i="1"/>
  <c r="DGR51" i="1"/>
  <c r="DGQ51" i="1"/>
  <c r="DGP51" i="1"/>
  <c r="DGO51" i="1"/>
  <c r="DGN51" i="1"/>
  <c r="DGM51" i="1"/>
  <c r="DGL51" i="1"/>
  <c r="DGK51" i="1"/>
  <c r="DGJ51" i="1"/>
  <c r="DGI51" i="1"/>
  <c r="DGH51" i="1"/>
  <c r="DGG51" i="1"/>
  <c r="DGF51" i="1"/>
  <c r="DGE51" i="1"/>
  <c r="DGD51" i="1"/>
  <c r="DGC51" i="1"/>
  <c r="DGB51" i="1"/>
  <c r="DGA51" i="1"/>
  <c r="DFZ51" i="1"/>
  <c r="DFY51" i="1"/>
  <c r="DFX51" i="1"/>
  <c r="DFW51" i="1"/>
  <c r="DFV51" i="1"/>
  <c r="DFU51" i="1"/>
  <c r="DFT51" i="1"/>
  <c r="DFS51" i="1"/>
  <c r="DFR51" i="1"/>
  <c r="DFQ51" i="1"/>
  <c r="DFP51" i="1"/>
  <c r="DFO51" i="1"/>
  <c r="DFN51" i="1"/>
  <c r="DFM51" i="1"/>
  <c r="DFL51" i="1"/>
  <c r="DFK51" i="1"/>
  <c r="DFJ51" i="1"/>
  <c r="DFI51" i="1"/>
  <c r="DFH51" i="1"/>
  <c r="DFG51" i="1"/>
  <c r="DFF51" i="1"/>
  <c r="DFE51" i="1"/>
  <c r="DFD51" i="1"/>
  <c r="DFC51" i="1"/>
  <c r="DFB51" i="1"/>
  <c r="DFA51" i="1"/>
  <c r="DEZ51" i="1"/>
  <c r="DEY51" i="1"/>
  <c r="DEX51" i="1"/>
  <c r="DEW51" i="1"/>
  <c r="DEV51" i="1"/>
  <c r="DEU51" i="1"/>
  <c r="DET51" i="1"/>
  <c r="DES51" i="1"/>
  <c r="DER51" i="1"/>
  <c r="DEQ51" i="1"/>
  <c r="DEP51" i="1"/>
  <c r="DEO51" i="1"/>
  <c r="DEN51" i="1"/>
  <c r="DEM51" i="1"/>
  <c r="DEL51" i="1"/>
  <c r="DEK51" i="1"/>
  <c r="DEJ51" i="1"/>
  <c r="DEI51" i="1"/>
  <c r="DEH51" i="1"/>
  <c r="DEG51" i="1"/>
  <c r="DEF51" i="1"/>
  <c r="DEE51" i="1"/>
  <c r="DED51" i="1"/>
  <c r="DEC51" i="1"/>
  <c r="DEB51" i="1"/>
  <c r="DEA51" i="1"/>
  <c r="DDZ51" i="1"/>
  <c r="DDY51" i="1"/>
  <c r="DDX51" i="1"/>
  <c r="DDW51" i="1"/>
  <c r="DDV51" i="1"/>
  <c r="DDU51" i="1"/>
  <c r="DDT51" i="1"/>
  <c r="DDS51" i="1"/>
  <c r="DDR51" i="1"/>
  <c r="DDQ51" i="1"/>
  <c r="DDP51" i="1"/>
  <c r="DDO51" i="1"/>
  <c r="DDN51" i="1"/>
  <c r="DDM51" i="1"/>
  <c r="DDL51" i="1"/>
  <c r="DDK51" i="1"/>
  <c r="DDJ51" i="1"/>
  <c r="DDI51" i="1"/>
  <c r="DDH51" i="1"/>
  <c r="DDG51" i="1"/>
  <c r="DDF51" i="1"/>
  <c r="DDE51" i="1"/>
  <c r="DDD51" i="1"/>
  <c r="DDC51" i="1"/>
  <c r="DDB51" i="1"/>
  <c r="DDA51" i="1"/>
  <c r="DCZ51" i="1"/>
  <c r="DCY51" i="1"/>
  <c r="DCX51" i="1"/>
  <c r="DCW51" i="1"/>
  <c r="DCV51" i="1"/>
  <c r="DCU51" i="1"/>
  <c r="DCT51" i="1"/>
  <c r="DCS51" i="1"/>
  <c r="DCR51" i="1"/>
  <c r="DCQ51" i="1"/>
  <c r="DCP51" i="1"/>
  <c r="DCO51" i="1"/>
  <c r="DCN51" i="1"/>
  <c r="DCM51" i="1"/>
  <c r="DCL51" i="1"/>
  <c r="DCK51" i="1"/>
  <c r="DCJ51" i="1"/>
  <c r="DCI51" i="1"/>
  <c r="DCH51" i="1"/>
  <c r="DCG51" i="1"/>
  <c r="DCF51" i="1"/>
  <c r="DCE51" i="1"/>
  <c r="DCD51" i="1"/>
  <c r="DCC51" i="1"/>
  <c r="DCB51" i="1"/>
  <c r="DCA51" i="1"/>
  <c r="DBZ51" i="1"/>
  <c r="DBY51" i="1"/>
  <c r="DBX51" i="1"/>
  <c r="DBW51" i="1"/>
  <c r="DBV51" i="1"/>
  <c r="DBU51" i="1"/>
  <c r="DBT51" i="1"/>
  <c r="DBS51" i="1"/>
  <c r="DBR51" i="1"/>
  <c r="DBQ51" i="1"/>
  <c r="DBP51" i="1"/>
  <c r="DBO51" i="1"/>
  <c r="DBN51" i="1"/>
  <c r="DBM51" i="1"/>
  <c r="DBL51" i="1"/>
  <c r="DBK51" i="1"/>
  <c r="DBJ51" i="1"/>
  <c r="DBI51" i="1"/>
  <c r="DBH51" i="1"/>
  <c r="DBG51" i="1"/>
  <c r="DBF51" i="1"/>
  <c r="DBE51" i="1"/>
  <c r="DBD51" i="1"/>
  <c r="DBC51" i="1"/>
  <c r="DBB51" i="1"/>
  <c r="DBA51" i="1"/>
  <c r="DAZ51" i="1"/>
  <c r="DAY51" i="1"/>
  <c r="DAX51" i="1"/>
  <c r="DAW51" i="1"/>
  <c r="DAV51" i="1"/>
  <c r="DAU51" i="1"/>
  <c r="DAT51" i="1"/>
  <c r="DAS51" i="1"/>
  <c r="DAR51" i="1"/>
  <c r="DAQ51" i="1"/>
  <c r="DAP51" i="1"/>
  <c r="DAO51" i="1"/>
  <c r="DAN51" i="1"/>
  <c r="DAM51" i="1"/>
  <c r="DAL51" i="1"/>
  <c r="DAK51" i="1"/>
  <c r="DAJ51" i="1"/>
  <c r="DAI51" i="1"/>
  <c r="DAH51" i="1"/>
  <c r="DAG51" i="1"/>
  <c r="DAF51" i="1"/>
  <c r="DAE51" i="1"/>
  <c r="DAD51" i="1"/>
  <c r="DAC51" i="1"/>
  <c r="DAB51" i="1"/>
  <c r="DAA51" i="1"/>
  <c r="CZZ51" i="1"/>
  <c r="CZY51" i="1"/>
  <c r="CZX51" i="1"/>
  <c r="CZW51" i="1"/>
  <c r="CZV51" i="1"/>
  <c r="CZU51" i="1"/>
  <c r="CZT51" i="1"/>
  <c r="CZS51" i="1"/>
  <c r="CZR51" i="1"/>
  <c r="CZQ51" i="1"/>
  <c r="CZP51" i="1"/>
  <c r="CZO51" i="1"/>
  <c r="CZN51" i="1"/>
  <c r="CZM51" i="1"/>
  <c r="CZL51" i="1"/>
  <c r="CZK51" i="1"/>
  <c r="CZJ51" i="1"/>
  <c r="CZI51" i="1"/>
  <c r="CZH51" i="1"/>
  <c r="CZG51" i="1"/>
  <c r="CZF51" i="1"/>
  <c r="CZE51" i="1"/>
  <c r="CZD51" i="1"/>
  <c r="CZC51" i="1"/>
  <c r="CZB51" i="1"/>
  <c r="CZA51" i="1"/>
  <c r="CYZ51" i="1"/>
  <c r="CYY51" i="1"/>
  <c r="CYX51" i="1"/>
  <c r="CYW51" i="1"/>
  <c r="CYV51" i="1"/>
  <c r="CYU51" i="1"/>
  <c r="CYT51" i="1"/>
  <c r="CYS51" i="1"/>
  <c r="CYR51" i="1"/>
  <c r="CYQ51" i="1"/>
  <c r="CYP51" i="1"/>
  <c r="CYO51" i="1"/>
  <c r="CYN51" i="1"/>
  <c r="CYM51" i="1"/>
  <c r="CYL51" i="1"/>
  <c r="CYK51" i="1"/>
  <c r="CYJ51" i="1"/>
  <c r="CYI51" i="1"/>
  <c r="CYH51" i="1"/>
  <c r="CYG51" i="1"/>
  <c r="CYF51" i="1"/>
  <c r="CYE51" i="1"/>
  <c r="CYD51" i="1"/>
  <c r="CYC51" i="1"/>
  <c r="CYB51" i="1"/>
  <c r="CYA51" i="1"/>
  <c r="CXZ51" i="1"/>
  <c r="CXY51" i="1"/>
  <c r="CXX51" i="1"/>
  <c r="CXW51" i="1"/>
  <c r="CXV51" i="1"/>
  <c r="CXU51" i="1"/>
  <c r="CXT51" i="1"/>
  <c r="CXS51" i="1"/>
  <c r="CXR51" i="1"/>
  <c r="CXQ51" i="1"/>
  <c r="CXP51" i="1"/>
  <c r="CXO51" i="1"/>
  <c r="CXN51" i="1"/>
  <c r="CXM51" i="1"/>
  <c r="CXL51" i="1"/>
  <c r="CXK51" i="1"/>
  <c r="CXJ51" i="1"/>
  <c r="CXI51" i="1"/>
  <c r="CXH51" i="1"/>
  <c r="CXG51" i="1"/>
  <c r="CXF51" i="1"/>
  <c r="CXE51" i="1"/>
  <c r="CXD51" i="1"/>
  <c r="CXC51" i="1"/>
  <c r="CXB51" i="1"/>
  <c r="CXA51" i="1"/>
  <c r="CWZ51" i="1"/>
  <c r="CWY51" i="1"/>
  <c r="CWX51" i="1"/>
  <c r="CWW51" i="1"/>
  <c r="CWV51" i="1"/>
  <c r="CWU51" i="1"/>
  <c r="CWT51" i="1"/>
  <c r="CWS51" i="1"/>
  <c r="CWR51" i="1"/>
  <c r="CWQ51" i="1"/>
  <c r="CWP51" i="1"/>
  <c r="CWO51" i="1"/>
  <c r="CWN51" i="1"/>
  <c r="CWM51" i="1"/>
  <c r="CWL51" i="1"/>
  <c r="CWK51" i="1"/>
  <c r="CWJ51" i="1"/>
  <c r="CWI51" i="1"/>
  <c r="CWH51" i="1"/>
  <c r="CWG51" i="1"/>
  <c r="CWF51" i="1"/>
  <c r="CWE51" i="1"/>
  <c r="CWD51" i="1"/>
  <c r="CWC51" i="1"/>
  <c r="CWB51" i="1"/>
  <c r="CWA51" i="1"/>
  <c r="CVZ51" i="1"/>
  <c r="CVY51" i="1"/>
  <c r="CVX51" i="1"/>
  <c r="CVW51" i="1"/>
  <c r="CVV51" i="1"/>
  <c r="CVU51" i="1"/>
  <c r="CVT51" i="1"/>
  <c r="CVS51" i="1"/>
  <c r="CVR51" i="1"/>
  <c r="CVQ51" i="1"/>
  <c r="CVP51" i="1"/>
  <c r="CVO51" i="1"/>
  <c r="CVN51" i="1"/>
  <c r="CVM51" i="1"/>
  <c r="CVL51" i="1"/>
  <c r="CVK51" i="1"/>
  <c r="CVJ51" i="1"/>
  <c r="CVI51" i="1"/>
  <c r="CVH51" i="1"/>
  <c r="CVG51" i="1"/>
  <c r="CVF51" i="1"/>
  <c r="CVE51" i="1"/>
  <c r="CVD51" i="1"/>
  <c r="CVC51" i="1"/>
  <c r="CVB51" i="1"/>
  <c r="CVA51" i="1"/>
  <c r="CUZ51" i="1"/>
  <c r="CUY51" i="1"/>
  <c r="CUX51" i="1"/>
  <c r="CUW51" i="1"/>
  <c r="CUV51" i="1"/>
  <c r="CUU51" i="1"/>
  <c r="CUT51" i="1"/>
  <c r="CUS51" i="1"/>
  <c r="CUR51" i="1"/>
  <c r="CUQ51" i="1"/>
  <c r="CUP51" i="1"/>
  <c r="CUO51" i="1"/>
  <c r="CUN51" i="1"/>
  <c r="CUM51" i="1"/>
  <c r="CUL51" i="1"/>
  <c r="CUK51" i="1"/>
  <c r="CUJ51" i="1"/>
  <c r="CUI51" i="1"/>
  <c r="CUH51" i="1"/>
  <c r="CUG51" i="1"/>
  <c r="CUF51" i="1"/>
  <c r="CUE51" i="1"/>
  <c r="CUD51" i="1"/>
  <c r="CUC51" i="1"/>
  <c r="CUB51" i="1"/>
  <c r="CUA51" i="1"/>
  <c r="CTZ51" i="1"/>
  <c r="CTY51" i="1"/>
  <c r="CTX51" i="1"/>
  <c r="CTW51" i="1"/>
  <c r="CTV51" i="1"/>
  <c r="CTU51" i="1"/>
  <c r="CTT51" i="1"/>
  <c r="CTS51" i="1"/>
  <c r="CTR51" i="1"/>
  <c r="CTQ51" i="1"/>
  <c r="CTP51" i="1"/>
  <c r="CTO51" i="1"/>
  <c r="CTN51" i="1"/>
  <c r="CTM51" i="1"/>
  <c r="CTL51" i="1"/>
  <c r="CTK51" i="1"/>
  <c r="CTJ51" i="1"/>
  <c r="CTI51" i="1"/>
  <c r="CTH51" i="1"/>
  <c r="CTG51" i="1"/>
  <c r="CTF51" i="1"/>
  <c r="CTE51" i="1"/>
  <c r="CTD51" i="1"/>
  <c r="CTC51" i="1"/>
  <c r="CTB51" i="1"/>
  <c r="CTA51" i="1"/>
  <c r="CSZ51" i="1"/>
  <c r="CSY51" i="1"/>
  <c r="CSX51" i="1"/>
  <c r="CSW51" i="1"/>
  <c r="CSV51" i="1"/>
  <c r="CSU51" i="1"/>
  <c r="CST51" i="1"/>
  <c r="CSS51" i="1"/>
  <c r="CSR51" i="1"/>
  <c r="CSQ51" i="1"/>
  <c r="CSP51" i="1"/>
  <c r="CSO51" i="1"/>
  <c r="CSN51" i="1"/>
  <c r="CSM51" i="1"/>
  <c r="CSL51" i="1"/>
  <c r="CSK51" i="1"/>
  <c r="CSJ51" i="1"/>
  <c r="CSI51" i="1"/>
  <c r="CSH51" i="1"/>
  <c r="CSG51" i="1"/>
  <c r="CSF51" i="1"/>
  <c r="CSE51" i="1"/>
  <c r="CSD51" i="1"/>
  <c r="CSC51" i="1"/>
  <c r="CSB51" i="1"/>
  <c r="CSA51" i="1"/>
  <c r="CRZ51" i="1"/>
  <c r="CRY51" i="1"/>
  <c r="CRX51" i="1"/>
  <c r="CRW51" i="1"/>
  <c r="CRV51" i="1"/>
  <c r="CRU51" i="1"/>
  <c r="CRT51" i="1"/>
  <c r="CRS51" i="1"/>
  <c r="CRR51" i="1"/>
  <c r="CRQ51" i="1"/>
  <c r="CRP51" i="1"/>
  <c r="CRO51" i="1"/>
  <c r="CRN51" i="1"/>
  <c r="CRM51" i="1"/>
  <c r="CRL51" i="1"/>
  <c r="CRK51" i="1"/>
  <c r="CRJ51" i="1"/>
  <c r="CRI51" i="1"/>
  <c r="CRH51" i="1"/>
  <c r="CRG51" i="1"/>
  <c r="CRF51" i="1"/>
  <c r="CRE51" i="1"/>
  <c r="CRD51" i="1"/>
  <c r="CRC51" i="1"/>
  <c r="CRB51" i="1"/>
  <c r="CRA51" i="1"/>
  <c r="CQZ51" i="1"/>
  <c r="CQY51" i="1"/>
  <c r="CQX51" i="1"/>
  <c r="CQW51" i="1"/>
  <c r="CQV51" i="1"/>
  <c r="CQU51" i="1"/>
  <c r="CQT51" i="1"/>
  <c r="CQS51" i="1"/>
  <c r="CQR51" i="1"/>
  <c r="CQQ51" i="1"/>
  <c r="CQP51" i="1"/>
  <c r="CQO51" i="1"/>
  <c r="CQN51" i="1"/>
  <c r="CQM51" i="1"/>
  <c r="CQL51" i="1"/>
  <c r="CQK51" i="1"/>
  <c r="CQJ51" i="1"/>
  <c r="CQI51" i="1"/>
  <c r="CQH51" i="1"/>
  <c r="CQG51" i="1"/>
  <c r="CQF51" i="1"/>
  <c r="CQE51" i="1"/>
  <c r="CQD51" i="1"/>
  <c r="CQC51" i="1"/>
  <c r="CQB51" i="1"/>
  <c r="CQA51" i="1"/>
  <c r="CPZ51" i="1"/>
  <c r="CPY51" i="1"/>
  <c r="CPX51" i="1"/>
  <c r="CPW51" i="1"/>
  <c r="CPV51" i="1"/>
  <c r="CPU51" i="1"/>
  <c r="CPT51" i="1"/>
  <c r="CPS51" i="1"/>
  <c r="CPR51" i="1"/>
  <c r="CPQ51" i="1"/>
  <c r="CPP51" i="1"/>
  <c r="CPO51" i="1"/>
  <c r="CPN51" i="1"/>
  <c r="CPM51" i="1"/>
  <c r="CPL51" i="1"/>
  <c r="CPK51" i="1"/>
  <c r="CPJ51" i="1"/>
  <c r="CPI51" i="1"/>
  <c r="CPH51" i="1"/>
  <c r="CPG51" i="1"/>
  <c r="CPF51" i="1"/>
  <c r="CPE51" i="1"/>
  <c r="CPD51" i="1"/>
  <c r="CPC51" i="1"/>
  <c r="CPB51" i="1"/>
  <c r="CPA51" i="1"/>
  <c r="COZ51" i="1"/>
  <c r="COY51" i="1"/>
  <c r="COX51" i="1"/>
  <c r="COW51" i="1"/>
  <c r="COV51" i="1"/>
  <c r="COU51" i="1"/>
  <c r="COT51" i="1"/>
  <c r="COS51" i="1"/>
  <c r="COR51" i="1"/>
  <c r="COQ51" i="1"/>
  <c r="COP51" i="1"/>
  <c r="COO51" i="1"/>
  <c r="CON51" i="1"/>
  <c r="COM51" i="1"/>
  <c r="COL51" i="1"/>
  <c r="COK51" i="1"/>
  <c r="COJ51" i="1"/>
  <c r="COI51" i="1"/>
  <c r="COH51" i="1"/>
  <c r="COG51" i="1"/>
  <c r="COF51" i="1"/>
  <c r="COE51" i="1"/>
  <c r="COD51" i="1"/>
  <c r="COC51" i="1"/>
  <c r="COB51" i="1"/>
  <c r="COA51" i="1"/>
  <c r="CNZ51" i="1"/>
  <c r="CNY51" i="1"/>
  <c r="CNX51" i="1"/>
  <c r="CNW51" i="1"/>
  <c r="CNV51" i="1"/>
  <c r="CNU51" i="1"/>
  <c r="CNT51" i="1"/>
  <c r="CNS51" i="1"/>
  <c r="CNR51" i="1"/>
  <c r="CNQ51" i="1"/>
  <c r="CNP51" i="1"/>
  <c r="CNO51" i="1"/>
  <c r="CNN51" i="1"/>
  <c r="CNM51" i="1"/>
  <c r="CNL51" i="1"/>
  <c r="CNK51" i="1"/>
  <c r="CNJ51" i="1"/>
  <c r="CNI51" i="1"/>
  <c r="CNH51" i="1"/>
  <c r="CNG51" i="1"/>
  <c r="CNF51" i="1"/>
  <c r="CNE51" i="1"/>
  <c r="CND51" i="1"/>
  <c r="CNC51" i="1"/>
  <c r="CNB51" i="1"/>
  <c r="CNA51" i="1"/>
  <c r="CMZ51" i="1"/>
  <c r="CMY51" i="1"/>
  <c r="CMX51" i="1"/>
  <c r="CMW51" i="1"/>
  <c r="CMV51" i="1"/>
  <c r="CMU51" i="1"/>
  <c r="CMT51" i="1"/>
  <c r="CMS51" i="1"/>
  <c r="CMR51" i="1"/>
  <c r="CMQ51" i="1"/>
  <c r="CMP51" i="1"/>
  <c r="CMO51" i="1"/>
  <c r="CMN51" i="1"/>
  <c r="CMM51" i="1"/>
  <c r="CML51" i="1"/>
  <c r="CMK51" i="1"/>
  <c r="CMJ51" i="1"/>
  <c r="CMI51" i="1"/>
  <c r="CMH51" i="1"/>
  <c r="CMG51" i="1"/>
  <c r="CMF51" i="1"/>
  <c r="CME51" i="1"/>
  <c r="CMD51" i="1"/>
  <c r="CMC51" i="1"/>
  <c r="CMB51" i="1"/>
  <c r="CMA51" i="1"/>
  <c r="CLZ51" i="1"/>
  <c r="CLY51" i="1"/>
  <c r="CLX51" i="1"/>
  <c r="CLW51" i="1"/>
  <c r="CLV51" i="1"/>
  <c r="CLU51" i="1"/>
  <c r="CLT51" i="1"/>
  <c r="CLS51" i="1"/>
  <c r="CLR51" i="1"/>
  <c r="CLQ51" i="1"/>
  <c r="CLP51" i="1"/>
  <c r="CLO51" i="1"/>
  <c r="CLN51" i="1"/>
  <c r="CLM51" i="1"/>
  <c r="CLL51" i="1"/>
  <c r="CLK51" i="1"/>
  <c r="CLJ51" i="1"/>
  <c r="CLI51" i="1"/>
  <c r="CLH51" i="1"/>
  <c r="CLG51" i="1"/>
  <c r="CLF51" i="1"/>
  <c r="CLE51" i="1"/>
  <c r="CLD51" i="1"/>
  <c r="CLC51" i="1"/>
  <c r="CLB51" i="1"/>
  <c r="CLA51" i="1"/>
  <c r="CKZ51" i="1"/>
  <c r="CKY51" i="1"/>
  <c r="CKX51" i="1"/>
  <c r="CKW51" i="1"/>
  <c r="CKV51" i="1"/>
  <c r="CKU51" i="1"/>
  <c r="CKT51" i="1"/>
  <c r="CKS51" i="1"/>
  <c r="CKR51" i="1"/>
  <c r="CKQ51" i="1"/>
  <c r="CKP51" i="1"/>
  <c r="CKO51" i="1"/>
  <c r="CKN51" i="1"/>
  <c r="CKM51" i="1"/>
  <c r="CKL51" i="1"/>
  <c r="CKK51" i="1"/>
  <c r="CKJ51" i="1"/>
  <c r="CKI51" i="1"/>
  <c r="CKH51" i="1"/>
  <c r="CKG51" i="1"/>
  <c r="CKF51" i="1"/>
  <c r="CKE51" i="1"/>
  <c r="CKD51" i="1"/>
  <c r="CKC51" i="1"/>
  <c r="CKB51" i="1"/>
  <c r="CKA51" i="1"/>
  <c r="CJZ51" i="1"/>
  <c r="CJY51" i="1"/>
  <c r="CJX51" i="1"/>
  <c r="CJW51" i="1"/>
  <c r="CJV51" i="1"/>
  <c r="CJU51" i="1"/>
  <c r="CJT51" i="1"/>
  <c r="CJS51" i="1"/>
  <c r="CJR51" i="1"/>
  <c r="CJQ51" i="1"/>
  <c r="CJP51" i="1"/>
  <c r="CJO51" i="1"/>
  <c r="CJN51" i="1"/>
  <c r="CJM51" i="1"/>
  <c r="CJL51" i="1"/>
  <c r="CJK51" i="1"/>
  <c r="CJJ51" i="1"/>
  <c r="CJI51" i="1"/>
  <c r="CJH51" i="1"/>
  <c r="CJG51" i="1"/>
  <c r="CJF51" i="1"/>
  <c r="CJE51" i="1"/>
  <c r="CJD51" i="1"/>
  <c r="CJC51" i="1"/>
  <c r="CJB51" i="1"/>
  <c r="CJA51" i="1"/>
  <c r="CIZ51" i="1"/>
  <c r="CIY51" i="1"/>
  <c r="CIX51" i="1"/>
  <c r="CIW51" i="1"/>
  <c r="CIV51" i="1"/>
  <c r="CIU51" i="1"/>
  <c r="CIT51" i="1"/>
  <c r="CIS51" i="1"/>
  <c r="CIR51" i="1"/>
  <c r="CIQ51" i="1"/>
  <c r="CIP51" i="1"/>
  <c r="CIO51" i="1"/>
  <c r="CIN51" i="1"/>
  <c r="CIM51" i="1"/>
  <c r="CIL51" i="1"/>
  <c r="CIK51" i="1"/>
  <c r="CIJ51" i="1"/>
  <c r="CII51" i="1"/>
  <c r="CIH51" i="1"/>
  <c r="CIG51" i="1"/>
  <c r="CIF51" i="1"/>
  <c r="CIE51" i="1"/>
  <c r="CID51" i="1"/>
  <c r="CIC51" i="1"/>
  <c r="CIB51" i="1"/>
  <c r="CIA51" i="1"/>
  <c r="CHZ51" i="1"/>
  <c r="CHY51" i="1"/>
  <c r="CHX51" i="1"/>
  <c r="CHW51" i="1"/>
  <c r="CHV51" i="1"/>
  <c r="CHU51" i="1"/>
  <c r="CHT51" i="1"/>
  <c r="CHS51" i="1"/>
  <c r="CHR51" i="1"/>
  <c r="CHQ51" i="1"/>
  <c r="CHP51" i="1"/>
  <c r="CHO51" i="1"/>
  <c r="CHN51" i="1"/>
  <c r="CHM51" i="1"/>
  <c r="CHL51" i="1"/>
  <c r="CHK51" i="1"/>
  <c r="CHJ51" i="1"/>
  <c r="CHI51" i="1"/>
  <c r="CHH51" i="1"/>
  <c r="CHG51" i="1"/>
  <c r="CHF51" i="1"/>
  <c r="CHE51" i="1"/>
  <c r="CHD51" i="1"/>
  <c r="CHC51" i="1"/>
  <c r="CHB51" i="1"/>
  <c r="CHA51" i="1"/>
  <c r="CGZ51" i="1"/>
  <c r="CGY51" i="1"/>
  <c r="CGX51" i="1"/>
  <c r="CGW51" i="1"/>
  <c r="CGV51" i="1"/>
  <c r="CGU51" i="1"/>
  <c r="CGT51" i="1"/>
  <c r="CGS51" i="1"/>
  <c r="CGR51" i="1"/>
  <c r="CGQ51" i="1"/>
  <c r="CGP51" i="1"/>
  <c r="CGO51" i="1"/>
  <c r="CGN51" i="1"/>
  <c r="CGM51" i="1"/>
  <c r="CGL51" i="1"/>
  <c r="CGK51" i="1"/>
  <c r="CGJ51" i="1"/>
  <c r="CGI51" i="1"/>
  <c r="CGH51" i="1"/>
  <c r="CGG51" i="1"/>
  <c r="CGF51" i="1"/>
  <c r="CGE51" i="1"/>
  <c r="CGD51" i="1"/>
  <c r="CGC51" i="1"/>
  <c r="CGB51" i="1"/>
  <c r="CGA51" i="1"/>
  <c r="CFZ51" i="1"/>
  <c r="CFY51" i="1"/>
  <c r="CFX51" i="1"/>
  <c r="CFW51" i="1"/>
  <c r="CFV51" i="1"/>
  <c r="CFU51" i="1"/>
  <c r="CFT51" i="1"/>
  <c r="CFS51" i="1"/>
  <c r="CFR51" i="1"/>
  <c r="CFQ51" i="1"/>
  <c r="CFP51" i="1"/>
  <c r="CFO51" i="1"/>
  <c r="CFN51" i="1"/>
  <c r="CFM51" i="1"/>
  <c r="CFL51" i="1"/>
  <c r="CFK51" i="1"/>
  <c r="CFJ51" i="1"/>
  <c r="CFI51" i="1"/>
  <c r="CFH51" i="1"/>
  <c r="CFG51" i="1"/>
  <c r="CFF51" i="1"/>
  <c r="CFE51" i="1"/>
  <c r="CFD51" i="1"/>
  <c r="CFC51" i="1"/>
  <c r="CFB51" i="1"/>
  <c r="CFA51" i="1"/>
  <c r="CEZ51" i="1"/>
  <c r="CEY51" i="1"/>
  <c r="CEX51" i="1"/>
  <c r="CEW51" i="1"/>
  <c r="CEV51" i="1"/>
  <c r="CEU51" i="1"/>
  <c r="CET51" i="1"/>
  <c r="CES51" i="1"/>
  <c r="CER51" i="1"/>
  <c r="CEQ51" i="1"/>
  <c r="CEP51" i="1"/>
  <c r="CEO51" i="1"/>
  <c r="CEN51" i="1"/>
  <c r="CEM51" i="1"/>
  <c r="CEL51" i="1"/>
  <c r="CEK51" i="1"/>
  <c r="CEJ51" i="1"/>
  <c r="CEI51" i="1"/>
  <c r="CEH51" i="1"/>
  <c r="CEG51" i="1"/>
  <c r="CEF51" i="1"/>
  <c r="CEE51" i="1"/>
  <c r="CED51" i="1"/>
  <c r="CEC51" i="1"/>
  <c r="CEB51" i="1"/>
  <c r="CEA51" i="1"/>
  <c r="CDZ51" i="1"/>
  <c r="CDY51" i="1"/>
  <c r="CDX51" i="1"/>
  <c r="CDW51" i="1"/>
  <c r="CDV51" i="1"/>
  <c r="CDU51" i="1"/>
  <c r="CDT51" i="1"/>
  <c r="CDS51" i="1"/>
  <c r="CDR51" i="1"/>
  <c r="CDQ51" i="1"/>
  <c r="CDP51" i="1"/>
  <c r="CDO51" i="1"/>
  <c r="CDN51" i="1"/>
  <c r="CDM51" i="1"/>
  <c r="CDL51" i="1"/>
  <c r="CDK51" i="1"/>
  <c r="CDJ51" i="1"/>
  <c r="CDI51" i="1"/>
  <c r="CDH51" i="1"/>
  <c r="CDG51" i="1"/>
  <c r="CDF51" i="1"/>
  <c r="CDE51" i="1"/>
  <c r="CDD51" i="1"/>
  <c r="CDC51" i="1"/>
  <c r="CDB51" i="1"/>
  <c r="CDA51" i="1"/>
  <c r="CCZ51" i="1"/>
  <c r="CCY51" i="1"/>
  <c r="CCX51" i="1"/>
  <c r="CCW51" i="1"/>
  <c r="CCV51" i="1"/>
  <c r="CCU51" i="1"/>
  <c r="CCT51" i="1"/>
  <c r="CCS51" i="1"/>
  <c r="CCR51" i="1"/>
  <c r="CCQ51" i="1"/>
  <c r="CCP51" i="1"/>
  <c r="CCO51" i="1"/>
  <c r="CCN51" i="1"/>
  <c r="CCM51" i="1"/>
  <c r="CCL51" i="1"/>
  <c r="CCK51" i="1"/>
  <c r="CCJ51" i="1"/>
  <c r="CCI51" i="1"/>
  <c r="CCH51" i="1"/>
  <c r="CCG51" i="1"/>
  <c r="CCF51" i="1"/>
  <c r="CCE51" i="1"/>
  <c r="CCD51" i="1"/>
  <c r="CCC51" i="1"/>
  <c r="CCB51" i="1"/>
  <c r="CCA51" i="1"/>
  <c r="CBZ51" i="1"/>
  <c r="CBY51" i="1"/>
  <c r="CBX51" i="1"/>
  <c r="CBW51" i="1"/>
  <c r="CBV51" i="1"/>
  <c r="CBU51" i="1"/>
  <c r="CBT51" i="1"/>
  <c r="CBS51" i="1"/>
  <c r="CBR51" i="1"/>
  <c r="CBQ51" i="1"/>
  <c r="CBP51" i="1"/>
  <c r="CBO51" i="1"/>
  <c r="CBN51" i="1"/>
  <c r="CBM51" i="1"/>
  <c r="CBL51" i="1"/>
  <c r="CBK51" i="1"/>
  <c r="CBJ51" i="1"/>
  <c r="CBI51" i="1"/>
  <c r="CBH51" i="1"/>
  <c r="CBG51" i="1"/>
  <c r="CBF51" i="1"/>
  <c r="CBE51" i="1"/>
  <c r="CBD51" i="1"/>
  <c r="CBC51" i="1"/>
  <c r="CBB51" i="1"/>
  <c r="CBA51" i="1"/>
  <c r="CAZ51" i="1"/>
  <c r="CAY51" i="1"/>
  <c r="CAX51" i="1"/>
  <c r="CAW51" i="1"/>
  <c r="CAV51" i="1"/>
  <c r="CAU51" i="1"/>
  <c r="CAT51" i="1"/>
  <c r="CAS51" i="1"/>
  <c r="CAR51" i="1"/>
  <c r="CAQ51" i="1"/>
  <c r="CAP51" i="1"/>
  <c r="CAO51" i="1"/>
  <c r="CAN51" i="1"/>
  <c r="CAM51" i="1"/>
  <c r="CAL51" i="1"/>
  <c r="CAK51" i="1"/>
  <c r="CAJ51" i="1"/>
  <c r="CAI51" i="1"/>
  <c r="CAH51" i="1"/>
  <c r="CAG51" i="1"/>
  <c r="CAF51" i="1"/>
  <c r="CAE51" i="1"/>
  <c r="CAD51" i="1"/>
  <c r="CAC51" i="1"/>
  <c r="CAB51" i="1"/>
  <c r="CAA51" i="1"/>
  <c r="BZZ51" i="1"/>
  <c r="BZY51" i="1"/>
  <c r="BZX51" i="1"/>
  <c r="BZW51" i="1"/>
  <c r="BZV51" i="1"/>
  <c r="BZU51" i="1"/>
  <c r="BZT51" i="1"/>
  <c r="BZS51" i="1"/>
  <c r="BZR51" i="1"/>
  <c r="BZQ51" i="1"/>
  <c r="BZP51" i="1"/>
  <c r="BZO51" i="1"/>
  <c r="BZN51" i="1"/>
  <c r="BZM51" i="1"/>
  <c r="BZL51" i="1"/>
  <c r="BZK51" i="1"/>
  <c r="BZJ51" i="1"/>
  <c r="BZI51" i="1"/>
  <c r="BZH51" i="1"/>
  <c r="BZG51" i="1"/>
  <c r="BZF51" i="1"/>
  <c r="BZE51" i="1"/>
  <c r="BZD51" i="1"/>
  <c r="BZC51" i="1"/>
  <c r="BZB51" i="1"/>
  <c r="BZA51" i="1"/>
  <c r="BYZ51" i="1"/>
  <c r="BYY51" i="1"/>
  <c r="BYX51" i="1"/>
  <c r="BYW51" i="1"/>
  <c r="BYV51" i="1"/>
  <c r="BYU51" i="1"/>
  <c r="BYT51" i="1"/>
  <c r="BYS51" i="1"/>
  <c r="BYR51" i="1"/>
  <c r="BYQ51" i="1"/>
  <c r="BYP51" i="1"/>
  <c r="BYO51" i="1"/>
  <c r="BYN51" i="1"/>
  <c r="BYM51" i="1"/>
  <c r="BYL51" i="1"/>
  <c r="BYK51" i="1"/>
  <c r="BYJ51" i="1"/>
  <c r="BYI51" i="1"/>
  <c r="BYH51" i="1"/>
  <c r="BYG51" i="1"/>
  <c r="BYF51" i="1"/>
  <c r="BYE51" i="1"/>
  <c r="BYD51" i="1"/>
  <c r="BYC51" i="1"/>
  <c r="BYB51" i="1"/>
  <c r="BYA51" i="1"/>
  <c r="BXZ51" i="1"/>
  <c r="BXY51" i="1"/>
  <c r="BXX51" i="1"/>
  <c r="BXW51" i="1"/>
  <c r="BXV51" i="1"/>
  <c r="BXU51" i="1"/>
  <c r="BXT51" i="1"/>
  <c r="BXS51" i="1"/>
  <c r="BXR51" i="1"/>
  <c r="BXQ51" i="1"/>
  <c r="BXP51" i="1"/>
  <c r="BXO51" i="1"/>
  <c r="BXN51" i="1"/>
  <c r="BXM51" i="1"/>
  <c r="BXL51" i="1"/>
  <c r="BXK51" i="1"/>
  <c r="BXJ51" i="1"/>
  <c r="BXI51" i="1"/>
  <c r="BXH51" i="1"/>
  <c r="BXG51" i="1"/>
  <c r="BXF51" i="1"/>
  <c r="BXE51" i="1"/>
  <c r="BXD51" i="1"/>
  <c r="BXC51" i="1"/>
  <c r="BXB51" i="1"/>
  <c r="BXA51" i="1"/>
  <c r="BWZ51" i="1"/>
  <c r="BWY51" i="1"/>
  <c r="BWX51" i="1"/>
  <c r="BWW51" i="1"/>
  <c r="BWV51" i="1"/>
  <c r="BWU51" i="1"/>
  <c r="BWT51" i="1"/>
  <c r="BWS51" i="1"/>
  <c r="BWR51" i="1"/>
  <c r="BWQ51" i="1"/>
  <c r="BWP51" i="1"/>
  <c r="BWO51" i="1"/>
  <c r="BWN51" i="1"/>
  <c r="BWM51" i="1"/>
  <c r="BWL51" i="1"/>
  <c r="BWK51" i="1"/>
  <c r="BWJ51" i="1"/>
  <c r="BWI51" i="1"/>
  <c r="BWH51" i="1"/>
  <c r="BWG51" i="1"/>
  <c r="BWF51" i="1"/>
  <c r="BWE51" i="1"/>
  <c r="BWD51" i="1"/>
  <c r="BWC51" i="1"/>
  <c r="BWB51" i="1"/>
  <c r="BWA51" i="1"/>
  <c r="BVZ51" i="1"/>
  <c r="BVY51" i="1"/>
  <c r="BVX51" i="1"/>
  <c r="BVW51" i="1"/>
  <c r="BVV51" i="1"/>
  <c r="BVU51" i="1"/>
  <c r="BVT51" i="1"/>
  <c r="BVS51" i="1"/>
  <c r="BVR51" i="1"/>
  <c r="BVQ51" i="1"/>
  <c r="BVP51" i="1"/>
  <c r="BVO51" i="1"/>
  <c r="BVN51" i="1"/>
  <c r="BVM51" i="1"/>
  <c r="BVL51" i="1"/>
  <c r="BVK51" i="1"/>
  <c r="BVJ51" i="1"/>
  <c r="BVI51" i="1"/>
  <c r="BVH51" i="1"/>
  <c r="BVG51" i="1"/>
  <c r="BVF51" i="1"/>
  <c r="BVE51" i="1"/>
  <c r="BVD51" i="1"/>
  <c r="BVC51" i="1"/>
  <c r="BVB51" i="1"/>
  <c r="BVA51" i="1"/>
  <c r="BUZ51" i="1"/>
  <c r="BUY51" i="1"/>
  <c r="BUX51" i="1"/>
  <c r="BUW51" i="1"/>
  <c r="BUV51" i="1"/>
  <c r="BUU51" i="1"/>
  <c r="BUT51" i="1"/>
  <c r="BUS51" i="1"/>
  <c r="BUR51" i="1"/>
  <c r="BUQ51" i="1"/>
  <c r="BUP51" i="1"/>
  <c r="BUO51" i="1"/>
  <c r="BUN51" i="1"/>
  <c r="BUM51" i="1"/>
  <c r="BUL51" i="1"/>
  <c r="BUK51" i="1"/>
  <c r="BUJ51" i="1"/>
  <c r="BUI51" i="1"/>
  <c r="BUH51" i="1"/>
  <c r="BUG51" i="1"/>
  <c r="BUF51" i="1"/>
  <c r="BUE51" i="1"/>
  <c r="BUD51" i="1"/>
  <c r="BUC51" i="1"/>
  <c r="BUB51" i="1"/>
  <c r="BUA51" i="1"/>
  <c r="BTZ51" i="1"/>
  <c r="BTY51" i="1"/>
  <c r="BTX51" i="1"/>
  <c r="BTW51" i="1"/>
  <c r="BTV51" i="1"/>
  <c r="BTU51" i="1"/>
  <c r="BTT51" i="1"/>
  <c r="BTS51" i="1"/>
  <c r="BTR51" i="1"/>
  <c r="BTQ51" i="1"/>
  <c r="BTP51" i="1"/>
  <c r="BTO51" i="1"/>
  <c r="BTN51" i="1"/>
  <c r="BTM51" i="1"/>
  <c r="BTL51" i="1"/>
  <c r="BTK51" i="1"/>
  <c r="BTJ51" i="1"/>
  <c r="BTI51" i="1"/>
  <c r="BTH51" i="1"/>
  <c r="BTG51" i="1"/>
  <c r="BTF51" i="1"/>
  <c r="BTE51" i="1"/>
  <c r="BTD51" i="1"/>
  <c r="BTC51" i="1"/>
  <c r="BTB51" i="1"/>
  <c r="BTA51" i="1"/>
  <c r="BSZ51" i="1"/>
  <c r="BSY51" i="1"/>
  <c r="BSX51" i="1"/>
  <c r="BSW51" i="1"/>
  <c r="BSV51" i="1"/>
  <c r="BSU51" i="1"/>
  <c r="BST51" i="1"/>
  <c r="BSS51" i="1"/>
  <c r="BSR51" i="1"/>
  <c r="BSQ51" i="1"/>
  <c r="BSP51" i="1"/>
  <c r="BSO51" i="1"/>
  <c r="BSN51" i="1"/>
  <c r="BSM51" i="1"/>
  <c r="BSL51" i="1"/>
  <c r="BSK51" i="1"/>
  <c r="BSJ51" i="1"/>
  <c r="BSI51" i="1"/>
  <c r="BSH51" i="1"/>
  <c r="BSG51" i="1"/>
  <c r="BSF51" i="1"/>
  <c r="BSE51" i="1"/>
  <c r="BSD51" i="1"/>
  <c r="BSC51" i="1"/>
  <c r="BSB51" i="1"/>
  <c r="BSA51" i="1"/>
  <c r="BRZ51" i="1"/>
  <c r="BRY51" i="1"/>
  <c r="BRX51" i="1"/>
  <c r="BRW51" i="1"/>
  <c r="BRV51" i="1"/>
  <c r="BRU51" i="1"/>
  <c r="BRT51" i="1"/>
  <c r="BRS51" i="1"/>
  <c r="BRR51" i="1"/>
  <c r="BRQ51" i="1"/>
  <c r="BRP51" i="1"/>
  <c r="BRO51" i="1"/>
  <c r="BRN51" i="1"/>
  <c r="BRM51" i="1"/>
  <c r="BRL51" i="1"/>
  <c r="BRK51" i="1"/>
  <c r="BRJ51" i="1"/>
  <c r="BRI51" i="1"/>
  <c r="BRH51" i="1"/>
  <c r="BRG51" i="1"/>
  <c r="BRF51" i="1"/>
  <c r="BRE51" i="1"/>
  <c r="BRD51" i="1"/>
  <c r="BRC51" i="1"/>
  <c r="BRB51" i="1"/>
  <c r="BRA51" i="1"/>
  <c r="BQZ51" i="1"/>
  <c r="BQY51" i="1"/>
  <c r="BQX51" i="1"/>
  <c r="BQW51" i="1"/>
  <c r="BQV51" i="1"/>
  <c r="BQU51" i="1"/>
  <c r="BQT51" i="1"/>
  <c r="BQS51" i="1"/>
  <c r="BQR51" i="1"/>
  <c r="BQQ51" i="1"/>
  <c r="BQP51" i="1"/>
  <c r="BQO51" i="1"/>
  <c r="BQN51" i="1"/>
  <c r="BQM51" i="1"/>
  <c r="BQL51" i="1"/>
  <c r="BQK51" i="1"/>
  <c r="BQJ51" i="1"/>
  <c r="BQI51" i="1"/>
  <c r="BQH51" i="1"/>
  <c r="BQG51" i="1"/>
  <c r="BQF51" i="1"/>
  <c r="BQE51" i="1"/>
  <c r="BQD51" i="1"/>
  <c r="BQC51" i="1"/>
  <c r="BQB51" i="1"/>
  <c r="BQA51" i="1"/>
  <c r="BPZ51" i="1"/>
  <c r="BPY51" i="1"/>
  <c r="BPX51" i="1"/>
  <c r="BPW51" i="1"/>
  <c r="BPV51" i="1"/>
  <c r="BPU51" i="1"/>
  <c r="BPT51" i="1"/>
  <c r="BPS51" i="1"/>
  <c r="BPR51" i="1"/>
  <c r="BPQ51" i="1"/>
  <c r="BPP51" i="1"/>
  <c r="BPO51" i="1"/>
  <c r="BPN51" i="1"/>
  <c r="BPM51" i="1"/>
  <c r="BPL51" i="1"/>
  <c r="BPK51" i="1"/>
  <c r="BPJ51" i="1"/>
  <c r="BPI51" i="1"/>
  <c r="BPH51" i="1"/>
  <c r="BPG51" i="1"/>
  <c r="BPF51" i="1"/>
  <c r="BPE51" i="1"/>
  <c r="BPD51" i="1"/>
  <c r="BPC51" i="1"/>
  <c r="BPB51" i="1"/>
  <c r="BPA51" i="1"/>
  <c r="BOZ51" i="1"/>
  <c r="BOY51" i="1"/>
  <c r="BOX51" i="1"/>
  <c r="BOW51" i="1"/>
  <c r="BOV51" i="1"/>
  <c r="BOU51" i="1"/>
  <c r="BOT51" i="1"/>
  <c r="BOS51" i="1"/>
  <c r="BOR51" i="1"/>
  <c r="BOQ51" i="1"/>
  <c r="BOP51" i="1"/>
  <c r="BOO51" i="1"/>
  <c r="BON51" i="1"/>
  <c r="BOM51" i="1"/>
  <c r="BOL51" i="1"/>
  <c r="BOK51" i="1"/>
  <c r="BOJ51" i="1"/>
  <c r="BOI51" i="1"/>
  <c r="BOH51" i="1"/>
  <c r="BOG51" i="1"/>
  <c r="BOF51" i="1"/>
  <c r="BOE51" i="1"/>
  <c r="BOD51" i="1"/>
  <c r="BOC51" i="1"/>
  <c r="BOB51" i="1"/>
  <c r="BOA51" i="1"/>
  <c r="BNZ51" i="1"/>
  <c r="BNY51" i="1"/>
  <c r="BNX51" i="1"/>
  <c r="BNW51" i="1"/>
  <c r="BNV51" i="1"/>
  <c r="BNU51" i="1"/>
  <c r="BNT51" i="1"/>
  <c r="BNS51" i="1"/>
  <c r="BNR51" i="1"/>
  <c r="BNQ51" i="1"/>
  <c r="BNP51" i="1"/>
  <c r="BNO51" i="1"/>
  <c r="BNN51" i="1"/>
  <c r="BNM51" i="1"/>
  <c r="BNL51" i="1"/>
  <c r="BNK51" i="1"/>
  <c r="BNJ51" i="1"/>
  <c r="BNI51" i="1"/>
  <c r="BNH51" i="1"/>
  <c r="BNG51" i="1"/>
  <c r="BNF51" i="1"/>
  <c r="BNE51" i="1"/>
  <c r="BND51" i="1"/>
  <c r="BNC51" i="1"/>
  <c r="BNB51" i="1"/>
  <c r="BNA51" i="1"/>
  <c r="BMZ51" i="1"/>
  <c r="BMY51" i="1"/>
  <c r="BMX51" i="1"/>
  <c r="BMW51" i="1"/>
  <c r="BMV51" i="1"/>
  <c r="BMU51" i="1"/>
  <c r="BMT51" i="1"/>
  <c r="BMS51" i="1"/>
  <c r="BMR51" i="1"/>
  <c r="BMQ51" i="1"/>
  <c r="BMP51" i="1"/>
  <c r="BMO51" i="1"/>
  <c r="BMN51" i="1"/>
  <c r="BMM51" i="1"/>
  <c r="BML51" i="1"/>
  <c r="BMK51" i="1"/>
  <c r="BMJ51" i="1"/>
  <c r="BMI51" i="1"/>
  <c r="BMH51" i="1"/>
  <c r="BMG51" i="1"/>
  <c r="BMF51" i="1"/>
  <c r="BME51" i="1"/>
  <c r="BMD51" i="1"/>
  <c r="BMC51" i="1"/>
  <c r="BMB51" i="1"/>
  <c r="BMA51" i="1"/>
  <c r="BLZ51" i="1"/>
  <c r="BLY51" i="1"/>
  <c r="BLX51" i="1"/>
  <c r="BLW51" i="1"/>
  <c r="BLV51" i="1"/>
  <c r="BLU51" i="1"/>
  <c r="BLT51" i="1"/>
  <c r="BLS51" i="1"/>
  <c r="BLR51" i="1"/>
  <c r="BLQ51" i="1"/>
  <c r="BLP51" i="1"/>
  <c r="BLO51" i="1"/>
  <c r="BLN51" i="1"/>
  <c r="BLM51" i="1"/>
  <c r="BLL51" i="1"/>
  <c r="BLK51" i="1"/>
  <c r="BLJ51" i="1"/>
  <c r="BLI51" i="1"/>
  <c r="BLH51" i="1"/>
  <c r="BLG51" i="1"/>
  <c r="BLF51" i="1"/>
  <c r="BLE51" i="1"/>
  <c r="BLD51" i="1"/>
  <c r="BLC51" i="1"/>
  <c r="BLB51" i="1"/>
  <c r="BLA51" i="1"/>
  <c r="BKZ51" i="1"/>
  <c r="BKY51" i="1"/>
  <c r="BKX51" i="1"/>
  <c r="BKW51" i="1"/>
  <c r="BKV51" i="1"/>
  <c r="BKU51" i="1"/>
  <c r="BKT51" i="1"/>
  <c r="BKS51" i="1"/>
  <c r="BKR51" i="1"/>
  <c r="BKQ51" i="1"/>
  <c r="BKP51" i="1"/>
  <c r="BKO51" i="1"/>
  <c r="BKN51" i="1"/>
  <c r="BKM51" i="1"/>
  <c r="BKL51" i="1"/>
  <c r="BKK51" i="1"/>
  <c r="BKJ51" i="1"/>
  <c r="BKI51" i="1"/>
  <c r="BKH51" i="1"/>
  <c r="BKG51" i="1"/>
  <c r="BKF51" i="1"/>
  <c r="BKE51" i="1"/>
  <c r="BKD51" i="1"/>
  <c r="BKC51" i="1"/>
  <c r="BKB51" i="1"/>
  <c r="BKA51" i="1"/>
  <c r="BJZ51" i="1"/>
  <c r="BJY51" i="1"/>
  <c r="BJX51" i="1"/>
  <c r="BJW51" i="1"/>
  <c r="BJV51" i="1"/>
  <c r="BJU51" i="1"/>
  <c r="BJT51" i="1"/>
  <c r="BJS51" i="1"/>
  <c r="BJR51" i="1"/>
  <c r="BJQ51" i="1"/>
  <c r="BJP51" i="1"/>
  <c r="BJO51" i="1"/>
  <c r="BJN51" i="1"/>
  <c r="BJM51" i="1"/>
  <c r="BJL51" i="1"/>
  <c r="BJK51" i="1"/>
  <c r="BJJ51" i="1"/>
  <c r="BJI51" i="1"/>
  <c r="BJH51" i="1"/>
  <c r="BJG51" i="1"/>
  <c r="BJF51" i="1"/>
  <c r="BJE51" i="1"/>
  <c r="BJD51" i="1"/>
  <c r="BJC51" i="1"/>
  <c r="BJB51" i="1"/>
  <c r="BJA51" i="1"/>
  <c r="BIZ51" i="1"/>
  <c r="BIY51" i="1"/>
  <c r="BIX51" i="1"/>
  <c r="BIW51" i="1"/>
  <c r="BIV51" i="1"/>
  <c r="BIU51" i="1"/>
  <c r="BIT51" i="1"/>
  <c r="BIS51" i="1"/>
  <c r="BIR51" i="1"/>
  <c r="BIQ51" i="1"/>
  <c r="BIP51" i="1"/>
  <c r="BIO51" i="1"/>
  <c r="BIN51" i="1"/>
  <c r="BIM51" i="1"/>
  <c r="BIL51" i="1"/>
  <c r="BIK51" i="1"/>
  <c r="BIJ51" i="1"/>
  <c r="BII51" i="1"/>
  <c r="BIH51" i="1"/>
  <c r="BIG51" i="1"/>
  <c r="BIF51" i="1"/>
  <c r="BIE51" i="1"/>
  <c r="BID51" i="1"/>
  <c r="BIC51" i="1"/>
  <c r="BIB51" i="1"/>
  <c r="BIA51" i="1"/>
  <c r="BHZ51" i="1"/>
  <c r="BHY51" i="1"/>
  <c r="BHX51" i="1"/>
  <c r="BHW51" i="1"/>
  <c r="BHV51" i="1"/>
  <c r="BHU51" i="1"/>
  <c r="BHT51" i="1"/>
  <c r="BHS51" i="1"/>
  <c r="BHR51" i="1"/>
  <c r="BHQ51" i="1"/>
  <c r="BHP51" i="1"/>
  <c r="BHO51" i="1"/>
  <c r="BHN51" i="1"/>
  <c r="BHM51" i="1"/>
  <c r="BHL51" i="1"/>
  <c r="BHK51" i="1"/>
  <c r="BHJ51" i="1"/>
  <c r="BHI51" i="1"/>
  <c r="BHH51" i="1"/>
  <c r="BHG51" i="1"/>
  <c r="BHF51" i="1"/>
  <c r="BHE51" i="1"/>
  <c r="BHD51" i="1"/>
  <c r="BHC51" i="1"/>
  <c r="BHB51" i="1"/>
  <c r="BHA51" i="1"/>
  <c r="BGZ51" i="1"/>
  <c r="BGY51" i="1"/>
  <c r="BGX51" i="1"/>
  <c r="BGW51" i="1"/>
  <c r="BGV51" i="1"/>
  <c r="BGU51" i="1"/>
  <c r="BGT51" i="1"/>
  <c r="BGS51" i="1"/>
  <c r="BGR51" i="1"/>
  <c r="BGQ51" i="1"/>
  <c r="BGP51" i="1"/>
  <c r="BGO51" i="1"/>
  <c r="BGN51" i="1"/>
  <c r="BGM51" i="1"/>
  <c r="BGL51" i="1"/>
  <c r="BGK51" i="1"/>
  <c r="BGJ51" i="1"/>
  <c r="BGI51" i="1"/>
  <c r="BGH51" i="1"/>
  <c r="BGG51" i="1"/>
  <c r="BGF51" i="1"/>
  <c r="BGE51" i="1"/>
  <c r="BGD51" i="1"/>
  <c r="BGC51" i="1"/>
  <c r="BGB51" i="1"/>
  <c r="BGA51" i="1"/>
  <c r="BFZ51" i="1"/>
  <c r="BFY51" i="1"/>
  <c r="BFX51" i="1"/>
  <c r="BFW51" i="1"/>
  <c r="BFV51" i="1"/>
  <c r="BFU51" i="1"/>
  <c r="BFT51" i="1"/>
  <c r="BFS51" i="1"/>
  <c r="BFR51" i="1"/>
  <c r="BFQ51" i="1"/>
  <c r="BFP51" i="1"/>
  <c r="BFO51" i="1"/>
  <c r="BFN51" i="1"/>
  <c r="BFM51" i="1"/>
  <c r="BFL51" i="1"/>
  <c r="BFK51" i="1"/>
  <c r="BFJ51" i="1"/>
  <c r="BFI51" i="1"/>
  <c r="BFH51" i="1"/>
  <c r="BFG51" i="1"/>
  <c r="BFF51" i="1"/>
  <c r="BFE51" i="1"/>
  <c r="BFD51" i="1"/>
  <c r="BFC51" i="1"/>
  <c r="BFB51" i="1"/>
  <c r="BFA51" i="1"/>
  <c r="BEZ51" i="1"/>
  <c r="BEY51" i="1"/>
  <c r="BEX51" i="1"/>
  <c r="BEW51" i="1"/>
  <c r="BEV51" i="1"/>
  <c r="BEU51" i="1"/>
  <c r="BET51" i="1"/>
  <c r="BES51" i="1"/>
  <c r="BER51" i="1"/>
  <c r="BEQ51" i="1"/>
  <c r="BEP51" i="1"/>
  <c r="BEO51" i="1"/>
  <c r="BEN51" i="1"/>
  <c r="BEM51" i="1"/>
  <c r="BEL51" i="1"/>
  <c r="BEK51" i="1"/>
  <c r="BEJ51" i="1"/>
  <c r="BEI51" i="1"/>
  <c r="BEH51" i="1"/>
  <c r="BEG51" i="1"/>
  <c r="BEF51" i="1"/>
  <c r="BEE51" i="1"/>
  <c r="BED51" i="1"/>
  <c r="BEC51" i="1"/>
  <c r="BEB51" i="1"/>
  <c r="BEA51" i="1"/>
  <c r="BDZ51" i="1"/>
  <c r="BDY51" i="1"/>
  <c r="BDX51" i="1"/>
  <c r="BDW51" i="1"/>
  <c r="BDV51" i="1"/>
  <c r="BDU51" i="1"/>
  <c r="BDT51" i="1"/>
  <c r="BDS51" i="1"/>
  <c r="BDR51" i="1"/>
  <c r="BDQ51" i="1"/>
  <c r="BDP51" i="1"/>
  <c r="BDO51" i="1"/>
  <c r="BDN51" i="1"/>
  <c r="BDM51" i="1"/>
  <c r="BDL51" i="1"/>
  <c r="BDK51" i="1"/>
  <c r="BDJ51" i="1"/>
  <c r="BDI51" i="1"/>
  <c r="BDH51" i="1"/>
  <c r="BDG51" i="1"/>
  <c r="BDF51" i="1"/>
  <c r="BDE51" i="1"/>
  <c r="BDD51" i="1"/>
  <c r="BDC51" i="1"/>
  <c r="BDB51" i="1"/>
  <c r="BDA51" i="1"/>
  <c r="BCZ51" i="1"/>
  <c r="BCY51" i="1"/>
  <c r="BCX51" i="1"/>
  <c r="BCW51" i="1"/>
  <c r="BCV51" i="1"/>
  <c r="BCU51" i="1"/>
  <c r="BCT51" i="1"/>
  <c r="BCS51" i="1"/>
  <c r="BCR51" i="1"/>
  <c r="BCQ51" i="1"/>
  <c r="BCP51" i="1"/>
  <c r="BCO51" i="1"/>
  <c r="BCN51" i="1"/>
  <c r="BCM51" i="1"/>
  <c r="BCL51" i="1"/>
  <c r="BCK51" i="1"/>
  <c r="BCJ51" i="1"/>
  <c r="BCI51" i="1"/>
  <c r="BCH51" i="1"/>
  <c r="BCG51" i="1"/>
  <c r="BCF51" i="1"/>
  <c r="BCE51" i="1"/>
  <c r="BCD51" i="1"/>
  <c r="BCC51" i="1"/>
  <c r="BCB51" i="1"/>
  <c r="BCA51" i="1"/>
  <c r="BBZ51" i="1"/>
  <c r="BBY51" i="1"/>
  <c r="BBX51" i="1"/>
  <c r="BBW51" i="1"/>
  <c r="BBV51" i="1"/>
  <c r="BBU51" i="1"/>
  <c r="BBT51" i="1"/>
  <c r="BBS51" i="1"/>
  <c r="BBR51" i="1"/>
  <c r="BBQ51" i="1"/>
  <c r="BBP51" i="1"/>
  <c r="BBO51" i="1"/>
  <c r="BBN51" i="1"/>
  <c r="BBM51" i="1"/>
  <c r="BBL51" i="1"/>
  <c r="BBK51" i="1"/>
  <c r="BBJ51" i="1"/>
  <c r="BBI51" i="1"/>
  <c r="BBH51" i="1"/>
  <c r="BBG51" i="1"/>
  <c r="BBF51" i="1"/>
  <c r="BBE51" i="1"/>
  <c r="BBD51" i="1"/>
  <c r="BBC51" i="1"/>
  <c r="BBB51" i="1"/>
  <c r="BBA51" i="1"/>
  <c r="BAZ51" i="1"/>
  <c r="BAY51" i="1"/>
  <c r="BAX51" i="1"/>
  <c r="BAW51" i="1"/>
  <c r="BAV51" i="1"/>
  <c r="BAU51" i="1"/>
  <c r="BAT51" i="1"/>
  <c r="BAS51" i="1"/>
  <c r="BAR51" i="1"/>
  <c r="BAQ51" i="1"/>
  <c r="BAP51" i="1"/>
  <c r="BAO51" i="1"/>
  <c r="BAN51" i="1"/>
  <c r="BAM51" i="1"/>
  <c r="BAL51" i="1"/>
  <c r="BAK51" i="1"/>
  <c r="BAJ51" i="1"/>
  <c r="BAI51" i="1"/>
  <c r="BAH51" i="1"/>
  <c r="BAG51" i="1"/>
  <c r="BAF51" i="1"/>
  <c r="BAE51" i="1"/>
  <c r="BAD51" i="1"/>
  <c r="BAC51" i="1"/>
  <c r="BAB51" i="1"/>
  <c r="BAA51" i="1"/>
  <c r="AZZ51" i="1"/>
  <c r="AZY51" i="1"/>
  <c r="AZX51" i="1"/>
  <c r="AZW51" i="1"/>
  <c r="AZV51" i="1"/>
  <c r="AZU51" i="1"/>
  <c r="AZT51" i="1"/>
  <c r="AZS51" i="1"/>
  <c r="AZR51" i="1"/>
  <c r="AZQ51" i="1"/>
  <c r="AZP51" i="1"/>
  <c r="AZO51" i="1"/>
  <c r="AZN51" i="1"/>
  <c r="AZM51" i="1"/>
  <c r="AZL51" i="1"/>
  <c r="AZK51" i="1"/>
  <c r="AZJ51" i="1"/>
  <c r="AZI51" i="1"/>
  <c r="AZH51" i="1"/>
  <c r="AZG51" i="1"/>
  <c r="AZF51" i="1"/>
  <c r="AZE51" i="1"/>
  <c r="AZD51" i="1"/>
  <c r="AZC51" i="1"/>
  <c r="AZB51" i="1"/>
  <c r="AZA51" i="1"/>
  <c r="AYZ51" i="1"/>
  <c r="AYY51" i="1"/>
  <c r="AYX51" i="1"/>
  <c r="AYW51" i="1"/>
  <c r="AYV51" i="1"/>
  <c r="AYU51" i="1"/>
  <c r="AYT51" i="1"/>
  <c r="AYS51" i="1"/>
  <c r="AYR51" i="1"/>
  <c r="AYQ51" i="1"/>
  <c r="AYP51" i="1"/>
  <c r="AYO51" i="1"/>
  <c r="AYN51" i="1"/>
  <c r="AYM51" i="1"/>
  <c r="AYL51" i="1"/>
  <c r="AYK51" i="1"/>
  <c r="AYJ51" i="1"/>
  <c r="AYI51" i="1"/>
  <c r="AYH51" i="1"/>
  <c r="AYG51" i="1"/>
  <c r="AYF51" i="1"/>
  <c r="AYE51" i="1"/>
  <c r="AYD51" i="1"/>
  <c r="AYC51" i="1"/>
  <c r="AYB51" i="1"/>
  <c r="AYA51" i="1"/>
  <c r="AXZ51" i="1"/>
  <c r="AXY51" i="1"/>
  <c r="AXX51" i="1"/>
  <c r="AXW51" i="1"/>
  <c r="AXV51" i="1"/>
  <c r="AXU51" i="1"/>
  <c r="AXT51" i="1"/>
  <c r="AXS51" i="1"/>
  <c r="AXR51" i="1"/>
  <c r="AXQ51" i="1"/>
  <c r="AXP51" i="1"/>
  <c r="AXO51" i="1"/>
  <c r="AXN51" i="1"/>
  <c r="AXM51" i="1"/>
  <c r="AXL51" i="1"/>
  <c r="AXK51" i="1"/>
  <c r="AXJ51" i="1"/>
  <c r="AXI51" i="1"/>
  <c r="AXH51" i="1"/>
  <c r="AXG51" i="1"/>
  <c r="AXF51" i="1"/>
  <c r="AXE51" i="1"/>
  <c r="AXD51" i="1"/>
  <c r="AXC51" i="1"/>
  <c r="AXB51" i="1"/>
  <c r="AXA51" i="1"/>
  <c r="AWZ51" i="1"/>
  <c r="AWY51" i="1"/>
  <c r="AWX51" i="1"/>
  <c r="AWW51" i="1"/>
  <c r="AWV51" i="1"/>
  <c r="AWU51" i="1"/>
  <c r="AWT51" i="1"/>
  <c r="AWS51" i="1"/>
  <c r="AWR51" i="1"/>
  <c r="AWQ51" i="1"/>
  <c r="AWP51" i="1"/>
  <c r="AWO51" i="1"/>
  <c r="AWN51" i="1"/>
  <c r="AWM51" i="1"/>
  <c r="AWL51" i="1"/>
  <c r="AWK51" i="1"/>
  <c r="AWJ51" i="1"/>
  <c r="AWI51" i="1"/>
  <c r="AWH51" i="1"/>
  <c r="AWG51" i="1"/>
  <c r="AWF51" i="1"/>
  <c r="AWE51" i="1"/>
  <c r="AWD51" i="1"/>
  <c r="AWC51" i="1"/>
  <c r="AWB51" i="1"/>
  <c r="AWA51" i="1"/>
  <c r="AVZ51" i="1"/>
  <c r="AVY51" i="1"/>
  <c r="AVX51" i="1"/>
  <c r="AVW51" i="1"/>
  <c r="AVV51" i="1"/>
  <c r="AVU51" i="1"/>
  <c r="AVT51" i="1"/>
  <c r="AVS51" i="1"/>
  <c r="AVR51" i="1"/>
  <c r="AVQ51" i="1"/>
  <c r="AVP51" i="1"/>
  <c r="AVO51" i="1"/>
  <c r="AVN51" i="1"/>
  <c r="AVM51" i="1"/>
  <c r="AVL51" i="1"/>
  <c r="AVK51" i="1"/>
  <c r="AVJ51" i="1"/>
  <c r="AVI51" i="1"/>
  <c r="AVH51" i="1"/>
  <c r="AVG51" i="1"/>
  <c r="AVF51" i="1"/>
  <c r="AVE51" i="1"/>
  <c r="AVD51" i="1"/>
  <c r="AVC51" i="1"/>
  <c r="AVB51" i="1"/>
  <c r="AVA51" i="1"/>
  <c r="AUZ51" i="1"/>
  <c r="AUY51" i="1"/>
  <c r="AUX51" i="1"/>
  <c r="AUW51" i="1"/>
  <c r="AUV51" i="1"/>
  <c r="AUU51" i="1"/>
  <c r="AUT51" i="1"/>
  <c r="AUS51" i="1"/>
  <c r="AUR51" i="1"/>
  <c r="AUQ51" i="1"/>
  <c r="AUP51" i="1"/>
  <c r="AUO51" i="1"/>
  <c r="AUN51" i="1"/>
  <c r="AUM51" i="1"/>
  <c r="AUL51" i="1"/>
  <c r="AUK51" i="1"/>
  <c r="AUJ51" i="1"/>
  <c r="AUI51" i="1"/>
  <c r="AUH51" i="1"/>
  <c r="AUG51" i="1"/>
  <c r="AUF51" i="1"/>
  <c r="AUE51" i="1"/>
  <c r="AUD51" i="1"/>
  <c r="AUC51" i="1"/>
  <c r="AUB51" i="1"/>
  <c r="AUA51" i="1"/>
  <c r="ATZ51" i="1"/>
  <c r="ATY51" i="1"/>
  <c r="ATX51" i="1"/>
  <c r="ATW51" i="1"/>
  <c r="ATV51" i="1"/>
  <c r="ATU51" i="1"/>
  <c r="ATT51" i="1"/>
  <c r="ATS51" i="1"/>
  <c r="ATR51" i="1"/>
  <c r="ATQ51" i="1"/>
  <c r="ATP51" i="1"/>
  <c r="ATO51" i="1"/>
  <c r="ATN51" i="1"/>
  <c r="ATM51" i="1"/>
  <c r="ATL51" i="1"/>
  <c r="ATK51" i="1"/>
  <c r="ATJ51" i="1"/>
  <c r="ATI51" i="1"/>
  <c r="ATH51" i="1"/>
  <c r="ATG51" i="1"/>
  <c r="ATF51" i="1"/>
  <c r="ATE51" i="1"/>
  <c r="ATD51" i="1"/>
  <c r="ATC51" i="1"/>
  <c r="ATB51" i="1"/>
  <c r="ATA51" i="1"/>
  <c r="ASZ51" i="1"/>
  <c r="ASY51" i="1"/>
  <c r="ASX51" i="1"/>
  <c r="ASW51" i="1"/>
  <c r="ASV51" i="1"/>
  <c r="ASU51" i="1"/>
  <c r="AST51" i="1"/>
  <c r="ASS51" i="1"/>
  <c r="ASR51" i="1"/>
  <c r="ASQ51" i="1"/>
  <c r="ASP51" i="1"/>
  <c r="ASO51" i="1"/>
  <c r="ASN51" i="1"/>
  <c r="ASM51" i="1"/>
  <c r="ASL51" i="1"/>
  <c r="ASK51" i="1"/>
  <c r="ASJ51" i="1"/>
  <c r="ASI51" i="1"/>
  <c r="ASH51" i="1"/>
  <c r="ASG51" i="1"/>
  <c r="ASF51" i="1"/>
  <c r="ASE51" i="1"/>
  <c r="ASD51" i="1"/>
  <c r="ASC51" i="1"/>
  <c r="ASB51" i="1"/>
  <c r="ASA51" i="1"/>
  <c r="ARZ51" i="1"/>
  <c r="ARY51" i="1"/>
  <c r="ARX51" i="1"/>
  <c r="ARW51" i="1"/>
  <c r="ARV51" i="1"/>
  <c r="ARU51" i="1"/>
  <c r="ART51" i="1"/>
  <c r="ARS51" i="1"/>
  <c r="ARR51" i="1"/>
  <c r="ARQ51" i="1"/>
  <c r="ARP51" i="1"/>
  <c r="ARO51" i="1"/>
  <c r="ARN51" i="1"/>
  <c r="ARM51" i="1"/>
  <c r="ARL51" i="1"/>
  <c r="ARK51" i="1"/>
  <c r="ARJ51" i="1"/>
  <c r="ARI51" i="1"/>
  <c r="ARH51" i="1"/>
  <c r="ARG51" i="1"/>
  <c r="ARF51" i="1"/>
  <c r="ARE51" i="1"/>
  <c r="ARD51" i="1"/>
  <c r="ARC51" i="1"/>
  <c r="ARB51" i="1"/>
  <c r="ARA51" i="1"/>
  <c r="AQZ51" i="1"/>
  <c r="AQY51" i="1"/>
  <c r="AQX51" i="1"/>
  <c r="AQW51" i="1"/>
  <c r="AQV51" i="1"/>
  <c r="AQU51" i="1"/>
  <c r="AQT51" i="1"/>
  <c r="AQS51" i="1"/>
  <c r="AQR51" i="1"/>
  <c r="AQQ51" i="1"/>
  <c r="AQP51" i="1"/>
  <c r="AQO51" i="1"/>
  <c r="AQN51" i="1"/>
  <c r="AQM51" i="1"/>
  <c r="AQL51" i="1"/>
  <c r="AQK51" i="1"/>
  <c r="AQJ51" i="1"/>
  <c r="AQI51" i="1"/>
  <c r="AQH51" i="1"/>
  <c r="AQG51" i="1"/>
  <c r="AQF51" i="1"/>
  <c r="AQE51" i="1"/>
  <c r="AQD51" i="1"/>
  <c r="AQC51" i="1"/>
  <c r="AQB51" i="1"/>
  <c r="AQA51" i="1"/>
  <c r="APZ51" i="1"/>
  <c r="APY51" i="1"/>
  <c r="APX51" i="1"/>
  <c r="APW51" i="1"/>
  <c r="APV51" i="1"/>
  <c r="APU51" i="1"/>
  <c r="APT51" i="1"/>
  <c r="APS51" i="1"/>
  <c r="APR51" i="1"/>
  <c r="APQ51" i="1"/>
  <c r="APP51" i="1"/>
  <c r="APO51" i="1"/>
  <c r="APN51" i="1"/>
  <c r="APM51" i="1"/>
  <c r="APL51" i="1"/>
  <c r="APK51" i="1"/>
  <c r="APJ51" i="1"/>
  <c r="API51" i="1"/>
  <c r="APH51" i="1"/>
  <c r="APG51" i="1"/>
  <c r="APF51" i="1"/>
  <c r="APE51" i="1"/>
  <c r="APD51" i="1"/>
  <c r="APC51" i="1"/>
  <c r="APB51" i="1"/>
  <c r="APA51" i="1"/>
  <c r="AOZ51" i="1"/>
  <c r="AOY51" i="1"/>
  <c r="AOX51" i="1"/>
  <c r="AOW51" i="1"/>
  <c r="AOV51" i="1"/>
  <c r="AOU51" i="1"/>
  <c r="AOT51" i="1"/>
  <c r="AOS51" i="1"/>
  <c r="AOR51" i="1"/>
  <c r="AOQ51" i="1"/>
  <c r="AOP51" i="1"/>
  <c r="AOO51" i="1"/>
  <c r="AON51" i="1"/>
  <c r="AOM51" i="1"/>
  <c r="AOL51" i="1"/>
  <c r="AOK51" i="1"/>
  <c r="AOJ51" i="1"/>
  <c r="AOI51" i="1"/>
  <c r="AOH51" i="1"/>
  <c r="AOG51" i="1"/>
  <c r="AOF51" i="1"/>
  <c r="AOE51" i="1"/>
  <c r="AOD51" i="1"/>
  <c r="AOC51" i="1"/>
  <c r="AOB51" i="1"/>
  <c r="AOA51" i="1"/>
  <c r="ANZ51" i="1"/>
  <c r="ANY51" i="1"/>
  <c r="ANX51" i="1"/>
  <c r="ANW51" i="1"/>
  <c r="ANV51" i="1"/>
  <c r="ANU51" i="1"/>
  <c r="ANT51" i="1"/>
  <c r="ANS51" i="1"/>
  <c r="ANR51" i="1"/>
  <c r="ANQ51" i="1"/>
  <c r="ANP51" i="1"/>
  <c r="ANO51" i="1"/>
  <c r="ANN51" i="1"/>
  <c r="ANM51" i="1"/>
  <c r="ANL51" i="1"/>
  <c r="ANK51" i="1"/>
  <c r="ANJ51" i="1"/>
  <c r="ANI51" i="1"/>
  <c r="ANH51" i="1"/>
  <c r="ANG51" i="1"/>
  <c r="ANF51" i="1"/>
  <c r="ANE51" i="1"/>
  <c r="AND51" i="1"/>
  <c r="ANC51" i="1"/>
  <c r="ANB51" i="1"/>
  <c r="ANA51" i="1"/>
  <c r="AMZ51" i="1"/>
  <c r="AMY51" i="1"/>
  <c r="AMX51" i="1"/>
  <c r="AMW51" i="1"/>
  <c r="AMV51" i="1"/>
  <c r="AMU51" i="1"/>
  <c r="AMT51" i="1"/>
  <c r="AMS51" i="1"/>
  <c r="AMR51" i="1"/>
  <c r="AMQ51" i="1"/>
  <c r="AMP51" i="1"/>
  <c r="AMO51" i="1"/>
  <c r="AMN51" i="1"/>
  <c r="AMM51" i="1"/>
  <c r="AML51" i="1"/>
  <c r="AMK51" i="1"/>
  <c r="AMJ51" i="1"/>
  <c r="AMI51" i="1"/>
  <c r="AMH51" i="1"/>
  <c r="AMG51" i="1"/>
  <c r="AMF51" i="1"/>
  <c r="AME51" i="1"/>
  <c r="AMD51" i="1"/>
  <c r="AMC51" i="1"/>
  <c r="AMB51" i="1"/>
  <c r="AMA51" i="1"/>
  <c r="ALZ51" i="1"/>
  <c r="ALY51" i="1"/>
  <c r="ALX51" i="1"/>
  <c r="ALW51" i="1"/>
  <c r="ALV51" i="1"/>
  <c r="ALU51" i="1"/>
  <c r="ALT51" i="1"/>
  <c r="ALS51" i="1"/>
  <c r="ALR51" i="1"/>
  <c r="ALQ51" i="1"/>
  <c r="ALP51" i="1"/>
  <c r="ALO51" i="1"/>
  <c r="ALN51" i="1"/>
  <c r="ALM51" i="1"/>
  <c r="ALL51" i="1"/>
  <c r="ALK51" i="1"/>
  <c r="ALJ51" i="1"/>
  <c r="ALI51" i="1"/>
  <c r="ALH51" i="1"/>
  <c r="ALG51" i="1"/>
  <c r="ALF51" i="1"/>
  <c r="ALE51" i="1"/>
  <c r="ALD51" i="1"/>
  <c r="ALC51" i="1"/>
  <c r="ALB51" i="1"/>
  <c r="ALA51" i="1"/>
  <c r="AKZ51" i="1"/>
  <c r="AKY51" i="1"/>
  <c r="AKX51" i="1"/>
  <c r="AKW51" i="1"/>
  <c r="AKV51" i="1"/>
  <c r="AKU51" i="1"/>
  <c r="AKT51" i="1"/>
  <c r="AKS51" i="1"/>
  <c r="AKR51" i="1"/>
  <c r="AKQ51" i="1"/>
  <c r="AKP51" i="1"/>
  <c r="AKO51" i="1"/>
  <c r="AKN51" i="1"/>
  <c r="AKM51" i="1"/>
  <c r="AKL51" i="1"/>
  <c r="AKK51" i="1"/>
  <c r="AKJ51" i="1"/>
  <c r="AKI51" i="1"/>
  <c r="AKH51" i="1"/>
  <c r="AKG51" i="1"/>
  <c r="AKF51" i="1"/>
  <c r="AKE51" i="1"/>
  <c r="AKD51" i="1"/>
  <c r="AKC51" i="1"/>
  <c r="AKB51" i="1"/>
  <c r="AKA51" i="1"/>
  <c r="AJZ51" i="1"/>
  <c r="AJY51" i="1"/>
  <c r="AJX51" i="1"/>
  <c r="AJW51" i="1"/>
  <c r="AJV51" i="1"/>
  <c r="AJU51" i="1"/>
  <c r="AJT51" i="1"/>
  <c r="AJS51" i="1"/>
  <c r="AJR51" i="1"/>
  <c r="AJQ51" i="1"/>
  <c r="AJP51" i="1"/>
  <c r="AJO51" i="1"/>
  <c r="AJN51" i="1"/>
  <c r="AJM51" i="1"/>
  <c r="AJL51" i="1"/>
  <c r="AJK51" i="1"/>
  <c r="AJJ51" i="1"/>
  <c r="AJI51" i="1"/>
  <c r="AJH51" i="1"/>
  <c r="AJG51" i="1"/>
  <c r="AJF51" i="1"/>
  <c r="AJE51" i="1"/>
  <c r="AJD51" i="1"/>
  <c r="AJC51" i="1"/>
  <c r="AJB51" i="1"/>
  <c r="AJA51" i="1"/>
  <c r="AIZ51" i="1"/>
  <c r="AIY51" i="1"/>
  <c r="AIX51" i="1"/>
  <c r="AIW51" i="1"/>
  <c r="AIV51" i="1"/>
  <c r="AIU51" i="1"/>
  <c r="AIT51" i="1"/>
  <c r="AIS51" i="1"/>
  <c r="AIR51" i="1"/>
  <c r="AIQ51" i="1"/>
  <c r="AIP51" i="1"/>
  <c r="AIO51" i="1"/>
  <c r="AIN51" i="1"/>
  <c r="AIM51" i="1"/>
  <c r="AIL51" i="1"/>
  <c r="AIK51" i="1"/>
  <c r="AIJ51" i="1"/>
  <c r="AII51" i="1"/>
  <c r="AIH51" i="1"/>
  <c r="AIG51" i="1"/>
  <c r="AIF51" i="1"/>
  <c r="AIE51" i="1"/>
  <c r="AID51" i="1"/>
  <c r="AIC51" i="1"/>
  <c r="AIB51" i="1"/>
  <c r="AIA51" i="1"/>
  <c r="AHZ51" i="1"/>
  <c r="AHY51" i="1"/>
  <c r="AHX51" i="1"/>
  <c r="AHW51" i="1"/>
  <c r="AHV51" i="1"/>
  <c r="AHU51" i="1"/>
  <c r="AHT51" i="1"/>
  <c r="AHS51" i="1"/>
  <c r="AHR51" i="1"/>
  <c r="AHQ51" i="1"/>
  <c r="AHP51" i="1"/>
  <c r="AHO51" i="1"/>
  <c r="AHN51" i="1"/>
  <c r="AHM51" i="1"/>
  <c r="AHL51" i="1"/>
  <c r="AHK51" i="1"/>
  <c r="AHJ51" i="1"/>
  <c r="AHI51" i="1"/>
  <c r="AHH51" i="1"/>
  <c r="AHG51" i="1"/>
  <c r="AHF51" i="1"/>
  <c r="AHE51" i="1"/>
  <c r="AHD51" i="1"/>
  <c r="AHC51" i="1"/>
  <c r="AHB51" i="1"/>
  <c r="AHA51" i="1"/>
  <c r="AGZ51" i="1"/>
  <c r="AGY51" i="1"/>
  <c r="AGX51" i="1"/>
  <c r="AGW51" i="1"/>
  <c r="AGV51" i="1"/>
  <c r="AGU51" i="1"/>
  <c r="AGT51" i="1"/>
  <c r="AGS51" i="1"/>
  <c r="AGR51" i="1"/>
  <c r="AGQ51" i="1"/>
  <c r="AGP51" i="1"/>
  <c r="AGO51" i="1"/>
  <c r="AGN51" i="1"/>
  <c r="AGM51" i="1"/>
  <c r="AGL51" i="1"/>
  <c r="AGK51" i="1"/>
  <c r="AGJ51" i="1"/>
  <c r="AGI51" i="1"/>
  <c r="AGH51" i="1"/>
  <c r="AGG51" i="1"/>
  <c r="AGF51" i="1"/>
  <c r="AGE51" i="1"/>
  <c r="AGD51" i="1"/>
  <c r="AGC51" i="1"/>
  <c r="AGB51" i="1"/>
  <c r="AGA51" i="1"/>
  <c r="AFZ51" i="1"/>
  <c r="AFY51" i="1"/>
  <c r="AFX51" i="1"/>
  <c r="AFW51" i="1"/>
  <c r="AFV51" i="1"/>
  <c r="AFU51" i="1"/>
  <c r="AFT51" i="1"/>
  <c r="AFS51" i="1"/>
  <c r="AFR51" i="1"/>
  <c r="AFQ51" i="1"/>
  <c r="AFP51" i="1"/>
  <c r="AFO51" i="1"/>
  <c r="AFN51" i="1"/>
  <c r="AFM51" i="1"/>
  <c r="AFL51" i="1"/>
  <c r="AFK51" i="1"/>
  <c r="AFJ51" i="1"/>
  <c r="AFI51" i="1"/>
  <c r="AFH51" i="1"/>
  <c r="AFG51" i="1"/>
  <c r="AFF51" i="1"/>
  <c r="AFE51" i="1"/>
  <c r="AFD51" i="1"/>
  <c r="AFC51" i="1"/>
  <c r="AFB51" i="1"/>
  <c r="AFA51" i="1"/>
  <c r="AEZ51" i="1"/>
  <c r="AEY51" i="1"/>
  <c r="AEX51" i="1"/>
  <c r="AEW51" i="1"/>
  <c r="AEV51" i="1"/>
  <c r="AEU51" i="1"/>
  <c r="AET51" i="1"/>
  <c r="AES51" i="1"/>
  <c r="AER51" i="1"/>
  <c r="AEQ51" i="1"/>
  <c r="AEP51" i="1"/>
  <c r="AEO51" i="1"/>
  <c r="AEN51" i="1"/>
  <c r="AEM51" i="1"/>
  <c r="AEL51" i="1"/>
  <c r="AEK51" i="1"/>
  <c r="AEJ51" i="1"/>
  <c r="AEI51" i="1"/>
  <c r="AEH51" i="1"/>
  <c r="AEG51" i="1"/>
  <c r="AEF51" i="1"/>
  <c r="AEE51" i="1"/>
  <c r="AED51" i="1"/>
  <c r="AEC51" i="1"/>
  <c r="AEB51" i="1"/>
  <c r="AEA51" i="1"/>
  <c r="ADZ51" i="1"/>
  <c r="ADY51" i="1"/>
  <c r="ADX51" i="1"/>
  <c r="ADW51" i="1"/>
  <c r="ADV51" i="1"/>
  <c r="ADU51" i="1"/>
  <c r="ADT51" i="1"/>
  <c r="ADS51" i="1"/>
  <c r="ADR51" i="1"/>
  <c r="ADQ51" i="1"/>
  <c r="ADP51" i="1"/>
  <c r="ADO51" i="1"/>
  <c r="ADN51" i="1"/>
  <c r="ADM51" i="1"/>
  <c r="ADL51" i="1"/>
  <c r="ADK51" i="1"/>
  <c r="ADJ51" i="1"/>
  <c r="ADI51" i="1"/>
  <c r="ADH51" i="1"/>
  <c r="ADG51" i="1"/>
  <c r="ADF51" i="1"/>
  <c r="ADE51" i="1"/>
  <c r="ADD51" i="1"/>
  <c r="ADC51" i="1"/>
  <c r="ADB51" i="1"/>
  <c r="ADA51" i="1"/>
  <c r="ACZ51" i="1"/>
  <c r="ACY51" i="1"/>
  <c r="ACX51" i="1"/>
  <c r="ACW51" i="1"/>
  <c r="ACV51" i="1"/>
  <c r="ACU51" i="1"/>
  <c r="ACT51" i="1"/>
  <c r="ACS51" i="1"/>
  <c r="ACR51" i="1"/>
  <c r="ACQ51" i="1"/>
  <c r="ACP51" i="1"/>
  <c r="ACO51" i="1"/>
  <c r="ACN51" i="1"/>
  <c r="ACM51" i="1"/>
  <c r="ACL51" i="1"/>
  <c r="ACK51" i="1"/>
  <c r="ACJ51" i="1"/>
  <c r="ACI51" i="1"/>
  <c r="ACH51" i="1"/>
  <c r="ACG51" i="1"/>
  <c r="ACF51" i="1"/>
  <c r="ACE51" i="1"/>
  <c r="ACD51" i="1"/>
  <c r="ACC51" i="1"/>
  <c r="ACB51" i="1"/>
  <c r="ACA51" i="1"/>
  <c r="ABZ51" i="1"/>
  <c r="ABY51" i="1"/>
  <c r="ABX51" i="1"/>
  <c r="ABW51" i="1"/>
  <c r="ABV51" i="1"/>
  <c r="ABU51" i="1"/>
  <c r="ABT51" i="1"/>
  <c r="ABS51" i="1"/>
  <c r="ABR51" i="1"/>
  <c r="ABQ51" i="1"/>
  <c r="ABP51" i="1"/>
  <c r="ABO51" i="1"/>
  <c r="ABN51" i="1"/>
  <c r="ABM51" i="1"/>
  <c r="ABL51" i="1"/>
  <c r="ABK51" i="1"/>
  <c r="ABJ51" i="1"/>
  <c r="ABI51" i="1"/>
  <c r="ABH51" i="1"/>
  <c r="ABG51" i="1"/>
  <c r="ABF51" i="1"/>
  <c r="ABE51" i="1"/>
  <c r="ABD51" i="1"/>
  <c r="ABC51" i="1"/>
  <c r="ABB51" i="1"/>
  <c r="ABA51" i="1"/>
  <c r="AAZ51" i="1"/>
  <c r="AAY51" i="1"/>
  <c r="AAX51" i="1"/>
  <c r="AAW51" i="1"/>
  <c r="AAV51" i="1"/>
  <c r="AAU51" i="1"/>
  <c r="AAT51" i="1"/>
  <c r="AAS51" i="1"/>
  <c r="AAR51" i="1"/>
  <c r="AAQ51" i="1"/>
  <c r="AAP51" i="1"/>
  <c r="AAO51" i="1"/>
  <c r="AAN51" i="1"/>
  <c r="AAM51" i="1"/>
  <c r="AAL51" i="1"/>
  <c r="AAK51" i="1"/>
  <c r="AAJ51" i="1"/>
  <c r="AAI51" i="1"/>
  <c r="AAH51" i="1"/>
  <c r="AAG51" i="1"/>
  <c r="AAF51" i="1"/>
  <c r="AAE51" i="1"/>
  <c r="AAD51" i="1"/>
  <c r="AAC51" i="1"/>
  <c r="AAB51" i="1"/>
  <c r="AAA51" i="1"/>
  <c r="ZZ51" i="1"/>
  <c r="ZY51" i="1"/>
  <c r="ZX51" i="1"/>
  <c r="ZW51" i="1"/>
  <c r="ZV51" i="1"/>
  <c r="ZU51" i="1"/>
  <c r="ZT51" i="1"/>
  <c r="ZS51" i="1"/>
  <c r="ZR51" i="1"/>
  <c r="ZQ51" i="1"/>
  <c r="ZP51" i="1"/>
  <c r="ZO51" i="1"/>
  <c r="ZN51" i="1"/>
  <c r="ZM51" i="1"/>
  <c r="ZL51" i="1"/>
  <c r="ZK51" i="1"/>
  <c r="ZJ51" i="1"/>
  <c r="ZI51" i="1"/>
  <c r="ZH51" i="1"/>
  <c r="ZG51" i="1"/>
  <c r="ZF51" i="1"/>
  <c r="ZE51" i="1"/>
  <c r="ZD51" i="1"/>
  <c r="ZC51" i="1"/>
  <c r="ZB51" i="1"/>
  <c r="ZA51" i="1"/>
  <c r="YZ51" i="1"/>
  <c r="YY51" i="1"/>
  <c r="YX51" i="1"/>
  <c r="YW51" i="1"/>
  <c r="YV51" i="1"/>
  <c r="YU51" i="1"/>
  <c r="YT51" i="1"/>
  <c r="YS51" i="1"/>
  <c r="YR51" i="1"/>
  <c r="YQ51" i="1"/>
  <c r="YP51" i="1"/>
  <c r="YO51" i="1"/>
  <c r="YN51" i="1"/>
  <c r="YM51" i="1"/>
  <c r="YL51" i="1"/>
  <c r="YK51" i="1"/>
  <c r="YJ51" i="1"/>
  <c r="YI51" i="1"/>
  <c r="YH51" i="1"/>
  <c r="YG51" i="1"/>
  <c r="YF51" i="1"/>
  <c r="YE51" i="1"/>
  <c r="YD51" i="1"/>
  <c r="YC51" i="1"/>
  <c r="YB51" i="1"/>
  <c r="YA51" i="1"/>
  <c r="XZ51" i="1"/>
  <c r="XY51" i="1"/>
  <c r="XX51" i="1"/>
  <c r="XW51" i="1"/>
  <c r="XV51" i="1"/>
  <c r="XU51" i="1"/>
  <c r="XT51" i="1"/>
  <c r="XS51" i="1"/>
  <c r="XR51" i="1"/>
  <c r="XQ51" i="1"/>
  <c r="XP51" i="1"/>
  <c r="XO51" i="1"/>
  <c r="XN51" i="1"/>
  <c r="XM51" i="1"/>
  <c r="XL51" i="1"/>
  <c r="XK51" i="1"/>
  <c r="XJ51" i="1"/>
  <c r="XI51" i="1"/>
  <c r="XH51" i="1"/>
  <c r="XG51" i="1"/>
  <c r="XF51" i="1"/>
  <c r="XE51" i="1"/>
  <c r="XD51" i="1"/>
  <c r="XC51" i="1"/>
  <c r="XB51" i="1"/>
  <c r="XA51" i="1"/>
  <c r="WZ51" i="1"/>
  <c r="WY51" i="1"/>
  <c r="WX51" i="1"/>
  <c r="WW51" i="1"/>
  <c r="WV51" i="1"/>
  <c r="WU51" i="1"/>
  <c r="WT51" i="1"/>
  <c r="WS51" i="1"/>
  <c r="WR51" i="1"/>
  <c r="WQ51" i="1"/>
  <c r="WP51" i="1"/>
  <c r="WO51" i="1"/>
  <c r="WN51" i="1"/>
  <c r="WM51" i="1"/>
  <c r="WL51" i="1"/>
  <c r="WK51" i="1"/>
  <c r="WJ51" i="1"/>
  <c r="WI51" i="1"/>
  <c r="WH51" i="1"/>
  <c r="WG51" i="1"/>
  <c r="WF51" i="1"/>
  <c r="WE51" i="1"/>
  <c r="WD51" i="1"/>
  <c r="WC51" i="1"/>
  <c r="WB51" i="1"/>
  <c r="WA51" i="1"/>
  <c r="VZ51" i="1"/>
  <c r="VY51" i="1"/>
  <c r="VX51" i="1"/>
  <c r="VW51" i="1"/>
  <c r="VV51" i="1"/>
  <c r="VU51" i="1"/>
  <c r="VT51" i="1"/>
  <c r="VS51" i="1"/>
  <c r="VR51" i="1"/>
  <c r="VQ51" i="1"/>
  <c r="VP51" i="1"/>
  <c r="VO51" i="1"/>
  <c r="VN51" i="1"/>
  <c r="VM51" i="1"/>
  <c r="VL51" i="1"/>
  <c r="VK51" i="1"/>
  <c r="VJ51" i="1"/>
  <c r="VI51" i="1"/>
  <c r="VH51" i="1"/>
  <c r="VG51" i="1"/>
  <c r="VF51" i="1"/>
  <c r="VE51" i="1"/>
  <c r="VD51" i="1"/>
  <c r="VC51" i="1"/>
  <c r="VB51" i="1"/>
  <c r="VA51" i="1"/>
  <c r="UZ51" i="1"/>
  <c r="UY51" i="1"/>
  <c r="UX51" i="1"/>
  <c r="UW51" i="1"/>
  <c r="UV51" i="1"/>
  <c r="UU51" i="1"/>
  <c r="UT51" i="1"/>
  <c r="US51" i="1"/>
  <c r="UR51" i="1"/>
  <c r="UQ51" i="1"/>
  <c r="UP51" i="1"/>
  <c r="UO51" i="1"/>
  <c r="UN51" i="1"/>
  <c r="UM51" i="1"/>
  <c r="UL51" i="1"/>
  <c r="UK51" i="1"/>
  <c r="UJ51" i="1"/>
  <c r="UI51" i="1"/>
  <c r="UH51" i="1"/>
  <c r="UG51" i="1"/>
  <c r="UF51" i="1"/>
  <c r="UE51" i="1"/>
  <c r="UD51" i="1"/>
  <c r="UC51" i="1"/>
  <c r="UB51" i="1"/>
  <c r="UA51" i="1"/>
  <c r="TZ51" i="1"/>
  <c r="TY51" i="1"/>
  <c r="TX51" i="1"/>
  <c r="TW51" i="1"/>
  <c r="TV51" i="1"/>
  <c r="TU51" i="1"/>
  <c r="TT51" i="1"/>
  <c r="TS51" i="1"/>
  <c r="TR51" i="1"/>
  <c r="TQ51" i="1"/>
  <c r="TP51" i="1"/>
  <c r="TO51" i="1"/>
  <c r="TN51" i="1"/>
  <c r="TM51" i="1"/>
  <c r="TL51" i="1"/>
  <c r="TK51" i="1"/>
  <c r="TJ51" i="1"/>
  <c r="TI51" i="1"/>
  <c r="TH51" i="1"/>
  <c r="TG51" i="1"/>
  <c r="TF51" i="1"/>
  <c r="TE51" i="1"/>
  <c r="TD51" i="1"/>
  <c r="TC51" i="1"/>
  <c r="TB51" i="1"/>
  <c r="TA51" i="1"/>
  <c r="SZ51" i="1"/>
  <c r="SY51" i="1"/>
  <c r="SX51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KJV49" i="1"/>
  <c r="KJV48" i="1"/>
  <c r="KJV47" i="1"/>
  <c r="KJV46" i="1"/>
  <c r="KJV45" i="1"/>
  <c r="KJV44" i="1"/>
  <c r="KJV43" i="1"/>
  <c r="KJT43" i="1"/>
  <c r="KJV42" i="1"/>
  <c r="KJV41" i="1"/>
  <c r="KJV40" i="1"/>
  <c r="KJV39" i="1"/>
  <c r="KJV38" i="1"/>
  <c r="KJV37" i="1"/>
  <c r="KJV36" i="1"/>
  <c r="KJV35" i="1"/>
  <c r="KJV34" i="1"/>
  <c r="KJV33" i="1"/>
  <c r="KJV32" i="1"/>
  <c r="KJV31" i="1"/>
  <c r="KJV30" i="1"/>
  <c r="KJV29" i="1"/>
  <c r="KJV28" i="1"/>
  <c r="KJV27" i="1"/>
  <c r="KJV26" i="1"/>
  <c r="KJV25" i="1"/>
  <c r="KJV24" i="1"/>
  <c r="KJV23" i="1"/>
  <c r="KJV22" i="1"/>
  <c r="KJV21" i="1"/>
  <c r="KJV20" i="1"/>
  <c r="KJV19" i="1"/>
  <c r="KJV18" i="1"/>
  <c r="KJV17" i="1"/>
  <c r="KJV16" i="1"/>
  <c r="KJV15" i="1"/>
  <c r="KJV14" i="1"/>
  <c r="KJV13" i="1"/>
  <c r="KJV12" i="1"/>
  <c r="KJV11" i="1"/>
  <c r="KJV10" i="1"/>
  <c r="KJU5" i="1"/>
  <c r="KJU4" i="1"/>
  <c r="KJU3" i="1"/>
  <c r="KJV7" i="1" l="1"/>
  <c r="KJV9" i="1"/>
  <c r="KJU2" i="1"/>
  <c r="KJU51" i="1" s="1"/>
  <c r="KJV6" i="1"/>
  <c r="KJV8" i="1"/>
  <c r="KJY43" i="1"/>
  <c r="KJW43" i="1"/>
  <c r="KJT2" i="1"/>
  <c r="KJT3" i="1"/>
  <c r="KJT4" i="1"/>
  <c r="KJT5" i="1"/>
  <c r="KJT6" i="1"/>
  <c r="KJT7" i="1"/>
  <c r="KJT8" i="1"/>
  <c r="KJT9" i="1"/>
  <c r="KJT10" i="1"/>
  <c r="KJT11" i="1"/>
  <c r="KJT12" i="1"/>
  <c r="KJT13" i="1"/>
  <c r="KJT14" i="1"/>
  <c r="KJT15" i="1"/>
  <c r="KJT16" i="1"/>
  <c r="KJT17" i="1"/>
  <c r="KJT18" i="1"/>
  <c r="KJT19" i="1"/>
  <c r="KJT20" i="1"/>
  <c r="KJT21" i="1"/>
  <c r="KJT22" i="1"/>
  <c r="KJT23" i="1"/>
  <c r="KJT24" i="1"/>
  <c r="KJT25" i="1"/>
  <c r="KJT26" i="1"/>
  <c r="KJT27" i="1"/>
  <c r="KJT28" i="1"/>
  <c r="KJT29" i="1"/>
  <c r="KJT30" i="1"/>
  <c r="KJT31" i="1"/>
  <c r="KJT32" i="1"/>
  <c r="KJT33" i="1"/>
  <c r="KJT34" i="1"/>
  <c r="KJT35" i="1"/>
  <c r="KJT36" i="1"/>
  <c r="KJT37" i="1"/>
  <c r="KJT38" i="1"/>
  <c r="KJT39" i="1"/>
  <c r="KJT40" i="1"/>
  <c r="KJT41" i="1"/>
  <c r="KJT42" i="1"/>
  <c r="KJT44" i="1"/>
  <c r="KJT45" i="1"/>
  <c r="KJT46" i="1"/>
  <c r="KJT47" i="1"/>
  <c r="KJT48" i="1"/>
  <c r="KJT49" i="1"/>
  <c r="KJV51" i="1" l="1"/>
  <c r="KJY48" i="1"/>
  <c r="KJW48" i="1"/>
  <c r="KJY44" i="1"/>
  <c r="KJW44" i="1"/>
  <c r="KJY39" i="1"/>
  <c r="KJW39" i="1"/>
  <c r="KJY35" i="1"/>
  <c r="KJW35" i="1"/>
  <c r="KJY31" i="1"/>
  <c r="KJW31" i="1"/>
  <c r="KJY27" i="1"/>
  <c r="KJW27" i="1"/>
  <c r="KJY23" i="1"/>
  <c r="KJW23" i="1"/>
  <c r="KJY19" i="1"/>
  <c r="KJW19" i="1"/>
  <c r="KJY15" i="1"/>
  <c r="KJW15" i="1"/>
  <c r="KJY11" i="1"/>
  <c r="KJW11" i="1"/>
  <c r="KJY7" i="1"/>
  <c r="KJW7" i="1"/>
  <c r="KJX3" i="1"/>
  <c r="KJW3" i="1"/>
  <c r="KJY47" i="1"/>
  <c r="KJW47" i="1"/>
  <c r="KJY42" i="1"/>
  <c r="KJW42" i="1"/>
  <c r="KJY38" i="1"/>
  <c r="KJW38" i="1"/>
  <c r="KJY34" i="1"/>
  <c r="KJW34" i="1"/>
  <c r="KJY30" i="1"/>
  <c r="KJW30" i="1"/>
  <c r="KJY26" i="1"/>
  <c r="KJW26" i="1"/>
  <c r="KJY22" i="1"/>
  <c r="KJW22" i="1"/>
  <c r="KJY18" i="1"/>
  <c r="KJW18" i="1"/>
  <c r="KJY14" i="1"/>
  <c r="KJW14" i="1"/>
  <c r="KJY10" i="1"/>
  <c r="KJW10" i="1"/>
  <c r="KJY6" i="1"/>
  <c r="KJW6" i="1"/>
  <c r="KJX2" i="1"/>
  <c r="KJW2" i="1"/>
  <c r="KJT51" i="1"/>
  <c r="KJY46" i="1"/>
  <c r="KJW46" i="1"/>
  <c r="KJY41" i="1"/>
  <c r="KJW41" i="1"/>
  <c r="KJY37" i="1"/>
  <c r="KJW37" i="1"/>
  <c r="KJY33" i="1"/>
  <c r="KJW33" i="1"/>
  <c r="KJY29" i="1"/>
  <c r="KJW29" i="1"/>
  <c r="KJY25" i="1"/>
  <c r="KJW25" i="1"/>
  <c r="KJY21" i="1"/>
  <c r="KJW21" i="1"/>
  <c r="KJY17" i="1"/>
  <c r="KJW17" i="1"/>
  <c r="KJY13" i="1"/>
  <c r="KJW13" i="1"/>
  <c r="KJY9" i="1"/>
  <c r="KJW9" i="1"/>
  <c r="KJX5" i="1"/>
  <c r="KJW5" i="1"/>
  <c r="KJY49" i="1"/>
  <c r="KJW49" i="1"/>
  <c r="KJY45" i="1"/>
  <c r="KJW45" i="1"/>
  <c r="KJY40" i="1"/>
  <c r="KJW40" i="1"/>
  <c r="KJY36" i="1"/>
  <c r="KJW36" i="1"/>
  <c r="KJY32" i="1"/>
  <c r="KJW32" i="1"/>
  <c r="KJY28" i="1"/>
  <c r="KJW28" i="1"/>
  <c r="KJY24" i="1"/>
  <c r="KJW24" i="1"/>
  <c r="KJY20" i="1"/>
  <c r="KJW20" i="1"/>
  <c r="KJY16" i="1"/>
  <c r="KJW16" i="1"/>
  <c r="KJY12" i="1"/>
  <c r="KJW12" i="1"/>
  <c r="KJY8" i="1"/>
  <c r="KJW8" i="1"/>
  <c r="KJX4" i="1"/>
  <c r="KJW4" i="1"/>
  <c r="KJW51" i="1" l="1"/>
  <c r="KJX51" i="1"/>
  <c r="KJY51" i="1"/>
</calcChain>
</file>

<file path=xl/sharedStrings.xml><?xml version="1.0" encoding="utf-8"?>
<sst xmlns="http://schemas.openxmlformats.org/spreadsheetml/2006/main" count="15265" uniqueCount="7633">
  <si>
    <t>start</t>
  </si>
  <si>
    <t>F1</t>
  </si>
  <si>
    <t>F2</t>
  </si>
  <si>
    <t>F3</t>
  </si>
  <si>
    <t>F4</t>
  </si>
  <si>
    <t>Megy</t>
  </si>
  <si>
    <t>KI_ÁGASK</t>
  </si>
  <si>
    <t>BE_ÁGASK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</si>
  <si>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</si>
  <si>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</si>
  <si>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</si>
  <si>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</si>
  <si>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</si>
  <si>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</si>
  <si>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</si>
  <si>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</si>
  <si>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</si>
  <si>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</si>
  <si>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</si>
  <si>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</si>
  <si>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</si>
  <si>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</si>
  <si>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</si>
  <si>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B_Eszik1</t>
  </si>
  <si>
    <t>B_Eszik2</t>
  </si>
  <si>
    <t>B_Eszik3</t>
  </si>
  <si>
    <t>B_Eszik4</t>
  </si>
  <si>
    <t>B_Eszik5</t>
  </si>
  <si>
    <t>B_Eszik6</t>
  </si>
  <si>
    <t>B_Eszik7</t>
  </si>
  <si>
    <t>B_Eszik8</t>
  </si>
  <si>
    <t>B_Eszik9</t>
  </si>
  <si>
    <t>B_Eszik10</t>
  </si>
  <si>
    <t>B_Eszik11</t>
  </si>
  <si>
    <t>B_Eszik12</t>
  </si>
  <si>
    <t>B_Eszik13</t>
  </si>
  <si>
    <t>B_Eszik14</t>
  </si>
  <si>
    <t>B_Eszik15</t>
  </si>
  <si>
    <t>B_Eszik16</t>
  </si>
  <si>
    <t>pihen</t>
  </si>
  <si>
    <t>áll-figyel</t>
  </si>
  <si>
    <t>F_fordul4</t>
  </si>
  <si>
    <t>F_fordul3</t>
  </si>
  <si>
    <t>F_fordul2</t>
  </si>
  <si>
    <t>F_fordul1</t>
  </si>
  <si>
    <t>Előre_ÁGASK</t>
  </si>
  <si>
    <t>mosakodás</t>
  </si>
  <si>
    <t>0:00:35:10</t>
  </si>
  <si>
    <t>0:00:36:00</t>
  </si>
  <si>
    <t>0:00:36:12</t>
  </si>
  <si>
    <t>0:00:36:17</t>
  </si>
  <si>
    <t>0:00:38:22</t>
  </si>
  <si>
    <t>0:00:35:11</t>
  </si>
  <si>
    <t>0:00:35:12</t>
  </si>
  <si>
    <t>0:00:35:13</t>
  </si>
  <si>
    <t>0:00:35:14</t>
  </si>
  <si>
    <t>0:00:35:15</t>
  </si>
  <si>
    <t>0:00:35:16</t>
  </si>
  <si>
    <t>0:00:35:17</t>
  </si>
  <si>
    <t>0:00:35:18</t>
  </si>
  <si>
    <t>0:00:35:19</t>
  </si>
  <si>
    <t>0:00:35:20</t>
  </si>
  <si>
    <t>0:00:35:21</t>
  </si>
  <si>
    <t>0:00:35:22</t>
  </si>
  <si>
    <t>0:00:35:23</t>
  </si>
  <si>
    <t>0:00:35:24</t>
  </si>
  <si>
    <t>0:00:36:01</t>
  </si>
  <si>
    <t>0:00:36:02</t>
  </si>
  <si>
    <t>0:00:36:03</t>
  </si>
  <si>
    <t>0:00:36:04</t>
  </si>
  <si>
    <t>0:00:36:05</t>
  </si>
  <si>
    <t>0:00:36:06</t>
  </si>
  <si>
    <t>0:00:36:07</t>
  </si>
  <si>
    <t>0:00:36:08</t>
  </si>
  <si>
    <t>0:00:36:09</t>
  </si>
  <si>
    <t>0:00:36:10</t>
  </si>
  <si>
    <t>0:00:36:11</t>
  </si>
  <si>
    <t>0:00:36:13</t>
  </si>
  <si>
    <t>0:00:36:14</t>
  </si>
  <si>
    <t>0:00:36:15</t>
  </si>
  <si>
    <t>0:00:36:16</t>
  </si>
  <si>
    <t>0:00:36:18</t>
  </si>
  <si>
    <t>0:00:36:19</t>
  </si>
  <si>
    <t>0:00:36:20</t>
  </si>
  <si>
    <t>0:00:36:21</t>
  </si>
  <si>
    <t>0:00:36:22</t>
  </si>
  <si>
    <t>0:00:36:23</t>
  </si>
  <si>
    <t>0:00:36:24</t>
  </si>
  <si>
    <t>0:00:37:00</t>
  </si>
  <si>
    <t>0:00:37:01</t>
  </si>
  <si>
    <t>0:00:37:02</t>
  </si>
  <si>
    <t>0:00:37:03</t>
  </si>
  <si>
    <t>0:00:37:04</t>
  </si>
  <si>
    <t>0:00:37:05</t>
  </si>
  <si>
    <t>0:00:37:06</t>
  </si>
  <si>
    <t>0:00:37:07</t>
  </si>
  <si>
    <t>0:00:37:08</t>
  </si>
  <si>
    <t>0:00:37:09</t>
  </si>
  <si>
    <t>0:00:37:10</t>
  </si>
  <si>
    <t>0:00:37:11</t>
  </si>
  <si>
    <t>0:00:37:12</t>
  </si>
  <si>
    <t>0:00:37:13</t>
  </si>
  <si>
    <t>0:00:37:14</t>
  </si>
  <si>
    <t>0:00:37:15</t>
  </si>
  <si>
    <t>0:00:37:16</t>
  </si>
  <si>
    <t>0:00:37:17</t>
  </si>
  <si>
    <t>0:00:37:18</t>
  </si>
  <si>
    <t>0:00:37:19</t>
  </si>
  <si>
    <t>0:00:37:20</t>
  </si>
  <si>
    <t>0:00:37:21</t>
  </si>
  <si>
    <t>0:00:37:22</t>
  </si>
  <si>
    <t>0:00:37:23</t>
  </si>
  <si>
    <t>0:00:37:24</t>
  </si>
  <si>
    <t>0:00:38:00</t>
  </si>
  <si>
    <t>0:00:38:01</t>
  </si>
  <si>
    <t>0:00:38:02</t>
  </si>
  <si>
    <t>0:00:38:03</t>
  </si>
  <si>
    <t>0:00:38:04</t>
  </si>
  <si>
    <t>0:00:38:05</t>
  </si>
  <si>
    <t>0:00:38:06</t>
  </si>
  <si>
    <t>0:00:38:07</t>
  </si>
  <si>
    <t>0:00:38:08</t>
  </si>
  <si>
    <t>0:00:38:09</t>
  </si>
  <si>
    <t>0:00:38:10</t>
  </si>
  <si>
    <t>0:00:38:11</t>
  </si>
  <si>
    <t>0:00:38:12</t>
  </si>
  <si>
    <t>0:00:38:13</t>
  </si>
  <si>
    <t>0:00:38:14</t>
  </si>
  <si>
    <t>0:00:38:15</t>
  </si>
  <si>
    <t>0:00:38:16</t>
  </si>
  <si>
    <t>0:00:38:17</t>
  </si>
  <si>
    <t>0:00:38:18</t>
  </si>
  <si>
    <t>0:00:38:19</t>
  </si>
  <si>
    <t>0:00:38:20</t>
  </si>
  <si>
    <t>0:00:38:21</t>
  </si>
  <si>
    <t>0:00:38:23</t>
  </si>
  <si>
    <t>0:00:38:24</t>
  </si>
  <si>
    <t>0:00:39:00</t>
  </si>
  <si>
    <t>0:00:39:01</t>
  </si>
  <si>
    <t>0:00:39:02</t>
  </si>
  <si>
    <t>0:00:39:03</t>
  </si>
  <si>
    <t>0:00:39:04</t>
  </si>
  <si>
    <t>0:00:39:05</t>
  </si>
  <si>
    <t>0:00:39:06</t>
  </si>
  <si>
    <t>0:00:39:07</t>
  </si>
  <si>
    <t>0:00:39:08</t>
  </si>
  <si>
    <t>0:00:39:09</t>
  </si>
  <si>
    <t>0:00:39:10</t>
  </si>
  <si>
    <t>0:00:39:11</t>
  </si>
  <si>
    <t>0:00:39:12</t>
  </si>
  <si>
    <t>0:00:39:13</t>
  </si>
  <si>
    <t>0:00:39:14</t>
  </si>
  <si>
    <t>0:00:39:15</t>
  </si>
  <si>
    <t>0:00:39:16</t>
  </si>
  <si>
    <t>0:00:39:17</t>
  </si>
  <si>
    <t>0:00:39:18</t>
  </si>
  <si>
    <t>0:00:39:19</t>
  </si>
  <si>
    <t>0:00:39:20</t>
  </si>
  <si>
    <t>0:00:39:21</t>
  </si>
  <si>
    <t>0:00:39:22</t>
  </si>
  <si>
    <t>0:00:39:23</t>
  </si>
  <si>
    <t>0:00:39:24</t>
  </si>
  <si>
    <t>0:00:40:00</t>
  </si>
  <si>
    <t>0:00:40:01</t>
  </si>
  <si>
    <t>0:00:40:02</t>
  </si>
  <si>
    <t>0:00:40:03</t>
  </si>
  <si>
    <t>0:00:40:04</t>
  </si>
  <si>
    <t>0:00:40:05</t>
  </si>
  <si>
    <t>0:00:40:06</t>
  </si>
  <si>
    <t>0:00:40:07</t>
  </si>
  <si>
    <t>0:00:40:08</t>
  </si>
  <si>
    <t>0:00:40:09</t>
  </si>
  <si>
    <t>0:00:40:10</t>
  </si>
  <si>
    <t>0:00:40:11</t>
  </si>
  <si>
    <t>0:00:40:12</t>
  </si>
  <si>
    <t>0:00:40:13</t>
  </si>
  <si>
    <t>0:00:40:14</t>
  </si>
  <si>
    <t>0:00:40:15</t>
  </si>
  <si>
    <t>0:00:40:16</t>
  </si>
  <si>
    <t>0:00:40:17</t>
  </si>
  <si>
    <t>0:00:40:18</t>
  </si>
  <si>
    <t>0:00:40:19</t>
  </si>
  <si>
    <t>0:00:40:20</t>
  </si>
  <si>
    <t>0:00:40:21</t>
  </si>
  <si>
    <t>0:00:40:22</t>
  </si>
  <si>
    <t>0:00:40:23</t>
  </si>
  <si>
    <t>0:00:40:24</t>
  </si>
  <si>
    <t>0:00:41:00</t>
  </si>
  <si>
    <t>0:00:41:01</t>
  </si>
  <si>
    <t>0:00:41:02</t>
  </si>
  <si>
    <t>0:00:41:03</t>
  </si>
  <si>
    <t>0:00:41:04</t>
  </si>
  <si>
    <t>0:00:41:05</t>
  </si>
  <si>
    <t>0:00:41:06</t>
  </si>
  <si>
    <t>0:00:41:07</t>
  </si>
  <si>
    <t>0:00:41:08</t>
  </si>
  <si>
    <t>0:00:41:09</t>
  </si>
  <si>
    <t>0:00:41:10</t>
  </si>
  <si>
    <t>0:00:41:11</t>
  </si>
  <si>
    <t>0:00:41:12</t>
  </si>
  <si>
    <t>0:00:41:13</t>
  </si>
  <si>
    <t>0:00:41:14</t>
  </si>
  <si>
    <t>0:00:41:15</t>
  </si>
  <si>
    <t>0:00:41:16</t>
  </si>
  <si>
    <t>0:00:41:17</t>
  </si>
  <si>
    <t>0:00:41:18</t>
  </si>
  <si>
    <t>0:00:41:19</t>
  </si>
  <si>
    <t>0:00:41:20</t>
  </si>
  <si>
    <t>0:00:41:21</t>
  </si>
  <si>
    <t>0:00:41:22</t>
  </si>
  <si>
    <t>0:00:41:23</t>
  </si>
  <si>
    <t>0:00:41:24</t>
  </si>
  <si>
    <t>0:00:42:00</t>
  </si>
  <si>
    <t>0:00:42:01</t>
  </si>
  <si>
    <t>0:00:42:02</t>
  </si>
  <si>
    <t>0:00:42:03</t>
  </si>
  <si>
    <t>0:00:42:04</t>
  </si>
  <si>
    <t>0:00:42:05</t>
  </si>
  <si>
    <t>0:00:42:06</t>
  </si>
  <si>
    <t>0:00:42:07</t>
  </si>
  <si>
    <t>0:00:42:08</t>
  </si>
  <si>
    <t>0:00:42:09</t>
  </si>
  <si>
    <t>0:00:42:10</t>
  </si>
  <si>
    <t>0:00:42:11</t>
  </si>
  <si>
    <t>0:00:42:12</t>
  </si>
  <si>
    <t>0:00:42:13</t>
  </si>
  <si>
    <t>0:00:42:14</t>
  </si>
  <si>
    <t>0:00:42:15</t>
  </si>
  <si>
    <t>0:00:42:16</t>
  </si>
  <si>
    <t>0:00:42:17</t>
  </si>
  <si>
    <t>0:00:42:18</t>
  </si>
  <si>
    <t>0:00:42:19</t>
  </si>
  <si>
    <t>0:00:42:20</t>
  </si>
  <si>
    <t>0:00:42:21</t>
  </si>
  <si>
    <t>0:00:42:22</t>
  </si>
  <si>
    <t>0:00:42:23</t>
  </si>
  <si>
    <t>0:00:42:24</t>
  </si>
  <si>
    <t>0:00:43:00</t>
  </si>
  <si>
    <t>0:00:43:01</t>
  </si>
  <si>
    <t>0:00:43:02</t>
  </si>
  <si>
    <t>0:00:43:03</t>
  </si>
  <si>
    <t>0:00:43:04</t>
  </si>
  <si>
    <t>0:00:43:05</t>
  </si>
  <si>
    <t>0:00:43:06</t>
  </si>
  <si>
    <t>0:00:43:07</t>
  </si>
  <si>
    <t>0:00:43:08</t>
  </si>
  <si>
    <t>0:00:43:09</t>
  </si>
  <si>
    <t>0:00:43:10</t>
  </si>
  <si>
    <t>0:00:43:11</t>
  </si>
  <si>
    <t>0:00:43:12</t>
  </si>
  <si>
    <t>0:00:43:13</t>
  </si>
  <si>
    <t>0:00:43:14</t>
  </si>
  <si>
    <t>0:00:43:15</t>
  </si>
  <si>
    <t>0:00:43:16</t>
  </si>
  <si>
    <t>0:00:43:17</t>
  </si>
  <si>
    <t>0:00:43:18</t>
  </si>
  <si>
    <t>0:00:43:19</t>
  </si>
  <si>
    <t>0:00:43:20</t>
  </si>
  <si>
    <t>0:00:43:21</t>
  </si>
  <si>
    <t>0:00:43:22</t>
  </si>
  <si>
    <t>0:00:43:23</t>
  </si>
  <si>
    <t>0:00:43:24</t>
  </si>
  <si>
    <t>0:00:44:00</t>
  </si>
  <si>
    <t>0:00:44:01</t>
  </si>
  <si>
    <t>0:00:44:02</t>
  </si>
  <si>
    <t>0:00:44:03</t>
  </si>
  <si>
    <t>0:00:44:04</t>
  </si>
  <si>
    <t>0:00:44:05</t>
  </si>
  <si>
    <t>0:00:44:06</t>
  </si>
  <si>
    <t>0:00:44:07</t>
  </si>
  <si>
    <t>0:00:44:08</t>
  </si>
  <si>
    <t>0:00:44:09</t>
  </si>
  <si>
    <t>0:00:44:10</t>
  </si>
  <si>
    <t>0:00:44:11</t>
  </si>
  <si>
    <t>0:00:44:12</t>
  </si>
  <si>
    <t>0:00:44:13</t>
  </si>
  <si>
    <t>0:00:44:14</t>
  </si>
  <si>
    <t>0:00:44:15</t>
  </si>
  <si>
    <t>0:00:44:16</t>
  </si>
  <si>
    <t>0:00:44:17</t>
  </si>
  <si>
    <t>0:00:44:18</t>
  </si>
  <si>
    <t>0:00:44:19</t>
  </si>
  <si>
    <t>0:00:44:20</t>
  </si>
  <si>
    <t>0:00:44:21</t>
  </si>
  <si>
    <t>0:00:44:22</t>
  </si>
  <si>
    <t>0:00:44:23</t>
  </si>
  <si>
    <t>0:00:44:24</t>
  </si>
  <si>
    <t>0:00:45:00</t>
  </si>
  <si>
    <t>0:00:45:01</t>
  </si>
  <si>
    <t>0:00:45:02</t>
  </si>
  <si>
    <t>0:00:45:03</t>
  </si>
  <si>
    <t>0:00:45:04</t>
  </si>
  <si>
    <t>0:00:45:05</t>
  </si>
  <si>
    <t>0:00:45:06</t>
  </si>
  <si>
    <t>0:00:45:07</t>
  </si>
  <si>
    <t>0:00:45:08</t>
  </si>
  <si>
    <t>0:00:45:09</t>
  </si>
  <si>
    <t>0:00:45:10</t>
  </si>
  <si>
    <t>0:00:45:11</t>
  </si>
  <si>
    <t>0:00:45:12</t>
  </si>
  <si>
    <t>0:00:45:13</t>
  </si>
  <si>
    <t>0:00:45:14</t>
  </si>
  <si>
    <t>0:00:45:15</t>
  </si>
  <si>
    <t>0:00:45:16</t>
  </si>
  <si>
    <t>0:00:45:17</t>
  </si>
  <si>
    <t>0:00:45:18</t>
  </si>
  <si>
    <t>0:00:45:19</t>
  </si>
  <si>
    <t>0:00:45:20</t>
  </si>
  <si>
    <t>0:00:45:21</t>
  </si>
  <si>
    <t>0:00:45:22</t>
  </si>
  <si>
    <t>0:00:45:23</t>
  </si>
  <si>
    <t>0:00:45:24</t>
  </si>
  <si>
    <t>0:00:46:00</t>
  </si>
  <si>
    <t>0:00:46:01</t>
  </si>
  <si>
    <t>0:00:46:02</t>
  </si>
  <si>
    <t>0:00:46:03</t>
  </si>
  <si>
    <t>0:00:46:04</t>
  </si>
  <si>
    <t>0:00:46:05</t>
  </si>
  <si>
    <t>0:00:46:06</t>
  </si>
  <si>
    <t>0:00:46:07</t>
  </si>
  <si>
    <t>0:00:46:08</t>
  </si>
  <si>
    <t>0:00:46:09</t>
  </si>
  <si>
    <t>0:00:46:10</t>
  </si>
  <si>
    <t>0:00:46:11</t>
  </si>
  <si>
    <t>0:00:46:12</t>
  </si>
  <si>
    <t>0:00:46:13</t>
  </si>
  <si>
    <t>0:00:46:14</t>
  </si>
  <si>
    <t>0:00:46:15</t>
  </si>
  <si>
    <t>0:00:46:16</t>
  </si>
  <si>
    <t>0:00:46:17</t>
  </si>
  <si>
    <t>0:00:46:18</t>
  </si>
  <si>
    <t>0:00:46:19</t>
  </si>
  <si>
    <t>0:00:46:20</t>
  </si>
  <si>
    <t>0:00:46:21</t>
  </si>
  <si>
    <t>0:00:46:22</t>
  </si>
  <si>
    <t>0:00:46:23</t>
  </si>
  <si>
    <t>0:00:46:24</t>
  </si>
  <si>
    <t>0:00:47:00</t>
  </si>
  <si>
    <t>0:00:47:01</t>
  </si>
  <si>
    <t>0:00:47:02</t>
  </si>
  <si>
    <t>0:00:47:03</t>
  </si>
  <si>
    <t>0:00:47:04</t>
  </si>
  <si>
    <t>0:00:47:05</t>
  </si>
  <si>
    <t>0:00:47:06</t>
  </si>
  <si>
    <t>0:00:47:07</t>
  </si>
  <si>
    <t>0:00:47:08</t>
  </si>
  <si>
    <t>0:00:47:09</t>
  </si>
  <si>
    <t>0:00:47:10</t>
  </si>
  <si>
    <t>0:00:47:11</t>
  </si>
  <si>
    <t>0:00:47:12</t>
  </si>
  <si>
    <t>0:00:47:13</t>
  </si>
  <si>
    <t>0:00:47:14</t>
  </si>
  <si>
    <t>0:00:47:15</t>
  </si>
  <si>
    <t>0:00:47:16</t>
  </si>
  <si>
    <t>0:00:47:17</t>
  </si>
  <si>
    <t>0:00:47:18</t>
  </si>
  <si>
    <t>0:00:47:19</t>
  </si>
  <si>
    <t>0:00:47:20</t>
  </si>
  <si>
    <t>0:00:47:21</t>
  </si>
  <si>
    <t>0:00:47:22</t>
  </si>
  <si>
    <t>0:00:47:23</t>
  </si>
  <si>
    <t>0:00:47:24</t>
  </si>
  <si>
    <t>0:00:48:00</t>
  </si>
  <si>
    <t>0:00:48:01</t>
  </si>
  <si>
    <t>0:00:48:02</t>
  </si>
  <si>
    <t>0:00:48:03</t>
  </si>
  <si>
    <t>0:00:48:04</t>
  </si>
  <si>
    <t>0:00:48:05</t>
  </si>
  <si>
    <t>0:00:48:06</t>
  </si>
  <si>
    <t>0:00:48:07</t>
  </si>
  <si>
    <t>0:00:48:08</t>
  </si>
  <si>
    <t>0:00:48:09</t>
  </si>
  <si>
    <t>0:00:48:10</t>
  </si>
  <si>
    <t>0:00:48:11</t>
  </si>
  <si>
    <t>0:00:48:12</t>
  </si>
  <si>
    <t>0:00:48:13</t>
  </si>
  <si>
    <t>0:00:48:14</t>
  </si>
  <si>
    <t>0:00:48:15</t>
  </si>
  <si>
    <t>0:00:48:16</t>
  </si>
  <si>
    <t>0:00:48:17</t>
  </si>
  <si>
    <t>0:00:48:18</t>
  </si>
  <si>
    <t>0:00:48:19</t>
  </si>
  <si>
    <t>0:00:48:20</t>
  </si>
  <si>
    <t>0:00:48:21</t>
  </si>
  <si>
    <t>0:00:48:22</t>
  </si>
  <si>
    <t>0:00:48:23</t>
  </si>
  <si>
    <t>0:00:48:24</t>
  </si>
  <si>
    <t>0:00:49:00</t>
  </si>
  <si>
    <t>0:00:49:01</t>
  </si>
  <si>
    <t>0:00:49:02</t>
  </si>
  <si>
    <t>0:00:49:03</t>
  </si>
  <si>
    <t>0:00:49:04</t>
  </si>
  <si>
    <t>0:00:49:05</t>
  </si>
  <si>
    <t>0:00:49:06</t>
  </si>
  <si>
    <t>0:00:49:07</t>
  </si>
  <si>
    <t>0:00:49:08</t>
  </si>
  <si>
    <t>0:00:49:09</t>
  </si>
  <si>
    <t>0:00:49:10</t>
  </si>
  <si>
    <t>0:00:49:11</t>
  </si>
  <si>
    <t>0:00:49:12</t>
  </si>
  <si>
    <t>0:00:49:13</t>
  </si>
  <si>
    <t>0:00:49:14</t>
  </si>
  <si>
    <t>0:00:49:15</t>
  </si>
  <si>
    <t>0:00:49:16</t>
  </si>
  <si>
    <t>0:00:49:17</t>
  </si>
  <si>
    <t>0:00:49:18</t>
  </si>
  <si>
    <t>0:00:49:19</t>
  </si>
  <si>
    <t>0:00:49:20</t>
  </si>
  <si>
    <t>0:00:49:21</t>
  </si>
  <si>
    <t>0:00:49:22</t>
  </si>
  <si>
    <t>0:00:49:23</t>
  </si>
  <si>
    <t>0:00:49:24</t>
  </si>
  <si>
    <t>0:00:50:00</t>
  </si>
  <si>
    <t>0:00:50:01</t>
  </si>
  <si>
    <t>0:00:50:02</t>
  </si>
  <si>
    <t>0:00:50:03</t>
  </si>
  <si>
    <t>0:00:50:04</t>
  </si>
  <si>
    <t>0:00:50:05</t>
  </si>
  <si>
    <t>0:00:50:06</t>
  </si>
  <si>
    <t>0:00:50:07</t>
  </si>
  <si>
    <t>0:00:50:08</t>
  </si>
  <si>
    <t>0:00:50:09</t>
  </si>
  <si>
    <t>0:00:50:10</t>
  </si>
  <si>
    <t>0:00:50:11</t>
  </si>
  <si>
    <t>0:00:50:12</t>
  </si>
  <si>
    <t>0:00:50:13</t>
  </si>
  <si>
    <t>0:00:50:14</t>
  </si>
  <si>
    <t>0:00:50:15</t>
  </si>
  <si>
    <t>0:00:50:16</t>
  </si>
  <si>
    <t>0:00:50:17</t>
  </si>
  <si>
    <t>0:00:50:18</t>
  </si>
  <si>
    <t>0:00:50:19</t>
  </si>
  <si>
    <t>0:00:50:20</t>
  </si>
  <si>
    <t>0:00:50:21</t>
  </si>
  <si>
    <t>0:00:50:22</t>
  </si>
  <si>
    <t>0:00:50:23</t>
  </si>
  <si>
    <t>0:00:50:24</t>
  </si>
  <si>
    <t>0:00:51:00</t>
  </si>
  <si>
    <t>0:00:51:01</t>
  </si>
  <si>
    <t>0:00:51:02</t>
  </si>
  <si>
    <t>0:00:51:03</t>
  </si>
  <si>
    <t>0:00:51:04</t>
  </si>
  <si>
    <t>0:00:51:05</t>
  </si>
  <si>
    <t>0:00:51:06</t>
  </si>
  <si>
    <t>0:00:51:07</t>
  </si>
  <si>
    <t>0:00:51:08</t>
  </si>
  <si>
    <t>0:00:51:09</t>
  </si>
  <si>
    <t>0:00:51:10</t>
  </si>
  <si>
    <t>0:00:51:11</t>
  </si>
  <si>
    <t>0:00:51:12</t>
  </si>
  <si>
    <t>0:00:51:13</t>
  </si>
  <si>
    <t>0:00:51:14</t>
  </si>
  <si>
    <t>0:00:51:15</t>
  </si>
  <si>
    <t>0:00:51:16</t>
  </si>
  <si>
    <t>0:00:51:17</t>
  </si>
  <si>
    <t>0:00:51:18</t>
  </si>
  <si>
    <t>0:00:51:19</t>
  </si>
  <si>
    <t>0:00:51:20</t>
  </si>
  <si>
    <t>0:00:51:21</t>
  </si>
  <si>
    <t>0:00:51:22</t>
  </si>
  <si>
    <t>0:00:51:23</t>
  </si>
  <si>
    <t>0:00:51:24</t>
  </si>
  <si>
    <t>0:00:52:00</t>
  </si>
  <si>
    <t>0:00:52:01</t>
  </si>
  <si>
    <t>0:00:52:02</t>
  </si>
  <si>
    <t>0:00:52:03</t>
  </si>
  <si>
    <t>0:00:52:04</t>
  </si>
  <si>
    <t>0:00:52:05</t>
  </si>
  <si>
    <t>0:00:52:06</t>
  </si>
  <si>
    <t>0:00:52:07</t>
  </si>
  <si>
    <t>0:00:52:08</t>
  </si>
  <si>
    <t>0:00:52:09</t>
  </si>
  <si>
    <t>0:00:52:10</t>
  </si>
  <si>
    <t>0:00:52:11</t>
  </si>
  <si>
    <t>0:00:52:12</t>
  </si>
  <si>
    <t>0:00:52:13</t>
  </si>
  <si>
    <t>0:00:52:14</t>
  </si>
  <si>
    <t>0:00:52:15</t>
  </si>
  <si>
    <t>0:00:52:16</t>
  </si>
  <si>
    <t>0:00:52:17</t>
  </si>
  <si>
    <t>0:00:52:18</t>
  </si>
  <si>
    <t>0:00:52:19</t>
  </si>
  <si>
    <t>0:00:52:20</t>
  </si>
  <si>
    <t>0:00:52:21</t>
  </si>
  <si>
    <t>0:00:52:22</t>
  </si>
  <si>
    <t>0:00:52:23</t>
  </si>
  <si>
    <t>0:00:52:24</t>
  </si>
  <si>
    <t>0:00:53:00</t>
  </si>
  <si>
    <t>0:00:53:01</t>
  </si>
  <si>
    <t>0:00:53:02</t>
  </si>
  <si>
    <t>0:00:53:03</t>
  </si>
  <si>
    <t>0:00:53:04</t>
  </si>
  <si>
    <t>0:00:53:05</t>
  </si>
  <si>
    <t>0:00:53:06</t>
  </si>
  <si>
    <t>0:00:53:07</t>
  </si>
  <si>
    <t>0:00:53:08</t>
  </si>
  <si>
    <t>0:00:53:09</t>
  </si>
  <si>
    <t>0:00:53:10</t>
  </si>
  <si>
    <t>0:00:53:11</t>
  </si>
  <si>
    <t>0:00:53:12</t>
  </si>
  <si>
    <t>0:00:53:13</t>
  </si>
  <si>
    <t>0:00:53:14</t>
  </si>
  <si>
    <t>0:00:53:15</t>
  </si>
  <si>
    <t>0:00:53:16</t>
  </si>
  <si>
    <t>0:00:53:17</t>
  </si>
  <si>
    <t>0:00:53:18</t>
  </si>
  <si>
    <t>0:00:53:19</t>
  </si>
  <si>
    <t>0:00:53:20</t>
  </si>
  <si>
    <t>0:00:53:21</t>
  </si>
  <si>
    <t>0:00:53:22</t>
  </si>
  <si>
    <t>0:00:53:23</t>
  </si>
  <si>
    <t>0:00:53:24</t>
  </si>
  <si>
    <t>0:00:54:00</t>
  </si>
  <si>
    <t>0:00:54:01</t>
  </si>
  <si>
    <t>0:00:54:02</t>
  </si>
  <si>
    <t>0:00:54:03</t>
  </si>
  <si>
    <t>0:00:54:04</t>
  </si>
  <si>
    <t>0:00:54:05</t>
  </si>
  <si>
    <t>0:00:54:06</t>
  </si>
  <si>
    <t>0:00:54:07</t>
  </si>
  <si>
    <t>0:00:54:08</t>
  </si>
  <si>
    <t>0:00:54:09</t>
  </si>
  <si>
    <t>0:00:54:10</t>
  </si>
  <si>
    <t>0:00:54:11</t>
  </si>
  <si>
    <t>0:00:54:12</t>
  </si>
  <si>
    <t>0:00:54:13</t>
  </si>
  <si>
    <t>0:00:54:14</t>
  </si>
  <si>
    <t>0:00:54:15</t>
  </si>
  <si>
    <t>0:00:54:16</t>
  </si>
  <si>
    <t>0:00:54:17</t>
  </si>
  <si>
    <t>0:00:54:18</t>
  </si>
  <si>
    <t>0:00:54:19</t>
  </si>
  <si>
    <t>0:00:54:20</t>
  </si>
  <si>
    <t>0:00:54:21</t>
  </si>
  <si>
    <t>0:00:54:22</t>
  </si>
  <si>
    <t>0:00:54:23</t>
  </si>
  <si>
    <t>0:00:54:24</t>
  </si>
  <si>
    <t>0:00:55:00</t>
  </si>
  <si>
    <t>0:00:55:01</t>
  </si>
  <si>
    <t>0:00:55:02</t>
  </si>
  <si>
    <t>0:00:55:03</t>
  </si>
  <si>
    <t>0:00:55:04</t>
  </si>
  <si>
    <t>0:00:55:05</t>
  </si>
  <si>
    <t>0:00:55:06</t>
  </si>
  <si>
    <t>0:00:55:07</t>
  </si>
  <si>
    <t>0:00:55:08</t>
  </si>
  <si>
    <t>0:00:55:09</t>
  </si>
  <si>
    <t>0:00:55:10</t>
  </si>
  <si>
    <t>0:00:55:11</t>
  </si>
  <si>
    <t>0:00:55:12</t>
  </si>
  <si>
    <t>0:00:55:13</t>
  </si>
  <si>
    <t>0:00:55:14</t>
  </si>
  <si>
    <t>0:00:55:15</t>
  </si>
  <si>
    <t>0:00:55:16</t>
  </si>
  <si>
    <t>0:00:55:17</t>
  </si>
  <si>
    <t>0:00:55:18</t>
  </si>
  <si>
    <t>0:00:55:19</t>
  </si>
  <si>
    <t>0:00:55:20</t>
  </si>
  <si>
    <t>0:00:55:21</t>
  </si>
  <si>
    <t>0:00:55:22</t>
  </si>
  <si>
    <t>0:00:55:23</t>
  </si>
  <si>
    <t>0:00:55:24</t>
  </si>
  <si>
    <t>0:00:56:00</t>
  </si>
  <si>
    <t>0:00:56:01</t>
  </si>
  <si>
    <t>0:00:56:02</t>
  </si>
  <si>
    <t>0:00:56:03</t>
  </si>
  <si>
    <t>0:00:56:04</t>
  </si>
  <si>
    <t>0:00:56:05</t>
  </si>
  <si>
    <t>0:00:56:06</t>
  </si>
  <si>
    <t>0:00:56:07</t>
  </si>
  <si>
    <t>0:00:56:08</t>
  </si>
  <si>
    <t>0:00:56:09</t>
  </si>
  <si>
    <t>0:00:56:10</t>
  </si>
  <si>
    <t>0:00:56:11</t>
  </si>
  <si>
    <t>0:00:56:12</t>
  </si>
  <si>
    <t>0:00:56:13</t>
  </si>
  <si>
    <t>0:00:56:14</t>
  </si>
  <si>
    <t>0:00:56:15</t>
  </si>
  <si>
    <t>0:00:56:16</t>
  </si>
  <si>
    <t>0:00:56:17</t>
  </si>
  <si>
    <t>0:00:56:18</t>
  </si>
  <si>
    <t>0:00:56:19</t>
  </si>
  <si>
    <t>0:00:56:20</t>
  </si>
  <si>
    <t>0:00:56:21</t>
  </si>
  <si>
    <t>0:00:56:22</t>
  </si>
  <si>
    <t>0:00:56:23</t>
  </si>
  <si>
    <t>0:00:56:24</t>
  </si>
  <si>
    <t>0:00:57:00</t>
  </si>
  <si>
    <t>0:00:57:01</t>
  </si>
  <si>
    <t>0:00:57:02</t>
  </si>
  <si>
    <t>0:00:57:03</t>
  </si>
  <si>
    <t>0:00:57:04</t>
  </si>
  <si>
    <t>0:00:57:05</t>
  </si>
  <si>
    <t>0:00:57:06</t>
  </si>
  <si>
    <t>0:00:57:07</t>
  </si>
  <si>
    <t>0:00:57:08</t>
  </si>
  <si>
    <t>0:00:57:09</t>
  </si>
  <si>
    <t>0:00:57:10</t>
  </si>
  <si>
    <t>0:00:57:11</t>
  </si>
  <si>
    <t>0:00:57:12</t>
  </si>
  <si>
    <t>0:00:57:13</t>
  </si>
  <si>
    <t>0:00:57:14</t>
  </si>
  <si>
    <t>0:00:57:15</t>
  </si>
  <si>
    <t>0:00:57:16</t>
  </si>
  <si>
    <t>0:00:57:17</t>
  </si>
  <si>
    <t>0:00:57:18</t>
  </si>
  <si>
    <t>0:00:57:19</t>
  </si>
  <si>
    <t>0:00:57:20</t>
  </si>
  <si>
    <t>0:00:57:21</t>
  </si>
  <si>
    <t>0:00:57:22</t>
  </si>
  <si>
    <t>0:00:57:23</t>
  </si>
  <si>
    <t>0:00:57:24</t>
  </si>
  <si>
    <t>0:00:58:00</t>
  </si>
  <si>
    <t>0:00:58:01</t>
  </si>
  <si>
    <t>0:00:58:02</t>
  </si>
  <si>
    <t>0:00:58:03</t>
  </si>
  <si>
    <t>0:00:58:04</t>
  </si>
  <si>
    <t>0:00:58:05</t>
  </si>
  <si>
    <t>0:00:58:06</t>
  </si>
  <si>
    <t>0:00:58:07</t>
  </si>
  <si>
    <t>0:00:58:08</t>
  </si>
  <si>
    <t>0:00:58:09</t>
  </si>
  <si>
    <t>0:00:58:10</t>
  </si>
  <si>
    <t>0:00:58:11</t>
  </si>
  <si>
    <t>0:00:58:12</t>
  </si>
  <si>
    <t>0:00:58:13</t>
  </si>
  <si>
    <t>0:00:58:14</t>
  </si>
  <si>
    <t>0:00:58:15</t>
  </si>
  <si>
    <t>0:00:58:16</t>
  </si>
  <si>
    <t>0:00:58:17</t>
  </si>
  <si>
    <t>0:00:58:18</t>
  </si>
  <si>
    <t>0:00:58:19</t>
  </si>
  <si>
    <t>0:00:58:20</t>
  </si>
  <si>
    <t>0:00:58:21</t>
  </si>
  <si>
    <t>0:00:58:22</t>
  </si>
  <si>
    <t>0:00:58:23</t>
  </si>
  <si>
    <t>0:00:58:24</t>
  </si>
  <si>
    <t>0:00:59:00</t>
  </si>
  <si>
    <t>0:00:59:01</t>
  </si>
  <si>
    <t>0:00:59:02</t>
  </si>
  <si>
    <t>0:00:59:03</t>
  </si>
  <si>
    <t>0:00:59:04</t>
  </si>
  <si>
    <t>0:00:59:05</t>
  </si>
  <si>
    <t>0:00:59:06</t>
  </si>
  <si>
    <t>0:00:59:07</t>
  </si>
  <si>
    <t>0:00:59:08</t>
  </si>
  <si>
    <t>0:00:59:09</t>
  </si>
  <si>
    <t>0:00:59:10</t>
  </si>
  <si>
    <t>0:00:59:11</t>
  </si>
  <si>
    <t>0:00:59:12</t>
  </si>
  <si>
    <t>0:00:59:13</t>
  </si>
  <si>
    <t>0:00:59:14</t>
  </si>
  <si>
    <t>0:00:59:15</t>
  </si>
  <si>
    <t>0:00:59:16</t>
  </si>
  <si>
    <t>0:00:59:17</t>
  </si>
  <si>
    <t>0:00:59:18</t>
  </si>
  <si>
    <t>0:00:59:19</t>
  </si>
  <si>
    <t>0:00:59:20</t>
  </si>
  <si>
    <t>0:00:59:21</t>
  </si>
  <si>
    <t>0:00:59:22</t>
  </si>
  <si>
    <t>0:00:59:23</t>
  </si>
  <si>
    <t>0:00:59:24</t>
  </si>
  <si>
    <t>0:01:00:00</t>
  </si>
  <si>
    <t>0:01:00:01</t>
  </si>
  <si>
    <t>0:01:00:02</t>
  </si>
  <si>
    <t>0:01:00:03</t>
  </si>
  <si>
    <t>0:01:00:04</t>
  </si>
  <si>
    <t>0:01:00:05</t>
  </si>
  <si>
    <t>0:01:00:06</t>
  </si>
  <si>
    <t>0:01:00:07</t>
  </si>
  <si>
    <t>0:01:00:08</t>
  </si>
  <si>
    <t>0:01:00:09</t>
  </si>
  <si>
    <t>0:01:00:10</t>
  </si>
  <si>
    <t>0:01:00:11</t>
  </si>
  <si>
    <t>0:01:00:12</t>
  </si>
  <si>
    <t>0:01:00:13</t>
  </si>
  <si>
    <t>0:01:00:14</t>
  </si>
  <si>
    <t>0:01:00:15</t>
  </si>
  <si>
    <t>0:01:00:16</t>
  </si>
  <si>
    <t>0:01:00:17</t>
  </si>
  <si>
    <t>0:01:00:18</t>
  </si>
  <si>
    <t>0:01:00:19</t>
  </si>
  <si>
    <t>0:01:00:20</t>
  </si>
  <si>
    <t>0:01:00:21</t>
  </si>
  <si>
    <t>0:01:00:22</t>
  </si>
  <si>
    <t>0:01:00:23</t>
  </si>
  <si>
    <t>0:01:00:24</t>
  </si>
  <si>
    <t>0:01:01:00</t>
  </si>
  <si>
    <t>0:01:01:01</t>
  </si>
  <si>
    <t>0:01:01:02</t>
  </si>
  <si>
    <t>0:01:01:03</t>
  </si>
  <si>
    <t>0:01:01:04</t>
  </si>
  <si>
    <t>0:01:01:05</t>
  </si>
  <si>
    <t>0:01:01:06</t>
  </si>
  <si>
    <t>0:01:01:07</t>
  </si>
  <si>
    <t>0:01:01:08</t>
  </si>
  <si>
    <t>0:01:01:09</t>
  </si>
  <si>
    <t>0:01:01:10</t>
  </si>
  <si>
    <t>0:01:01:11</t>
  </si>
  <si>
    <t>0:01:01:12</t>
  </si>
  <si>
    <t>0:01:01:13</t>
  </si>
  <si>
    <t>0:01:01:14</t>
  </si>
  <si>
    <t>0:01:01:15</t>
  </si>
  <si>
    <t>0:01:01:16</t>
  </si>
  <si>
    <t>0:01:01:17</t>
  </si>
  <si>
    <t>0:01:01:18</t>
  </si>
  <si>
    <t>0:01:01:19</t>
  </si>
  <si>
    <t>0:01:01:20</t>
  </si>
  <si>
    <t>0:01:01:21</t>
  </si>
  <si>
    <t>0:01:01:22</t>
  </si>
  <si>
    <t>0:01:01:23</t>
  </si>
  <si>
    <t>0:01:01:24</t>
  </si>
  <si>
    <t>0:01:02:00</t>
  </si>
  <si>
    <t>0:01:02:01</t>
  </si>
  <si>
    <t>0:01:02:02</t>
  </si>
  <si>
    <t>0:01:02:03</t>
  </si>
  <si>
    <t>0:01:02:04</t>
  </si>
  <si>
    <t>0:01:02:05</t>
  </si>
  <si>
    <t>0:01:02:06</t>
  </si>
  <si>
    <t>0:01:02:07</t>
  </si>
  <si>
    <t>0:01:02:08</t>
  </si>
  <si>
    <t>0:01:02:09</t>
  </si>
  <si>
    <t>0:01:02:10</t>
  </si>
  <si>
    <t>0:01:02:11</t>
  </si>
  <si>
    <t>0:01:02:12</t>
  </si>
  <si>
    <t>0:01:02:13</t>
  </si>
  <si>
    <t>0:01:02:14</t>
  </si>
  <si>
    <t>0:01:02:15</t>
  </si>
  <si>
    <t>0:01:02:16</t>
  </si>
  <si>
    <t>0:01:02:17</t>
  </si>
  <si>
    <t>0:01:02:18</t>
  </si>
  <si>
    <t>0:01:02:19</t>
  </si>
  <si>
    <t>0:01:02:20</t>
  </si>
  <si>
    <t>0:01:02:21</t>
  </si>
  <si>
    <t>0:01:02:22</t>
  </si>
  <si>
    <t>0:01:02:23</t>
  </si>
  <si>
    <t>0:01:02:24</t>
  </si>
  <si>
    <t>0:01:03:00</t>
  </si>
  <si>
    <t>0:01:03:01</t>
  </si>
  <si>
    <t>0:01:03:02</t>
  </si>
  <si>
    <t>0:01:03:03</t>
  </si>
  <si>
    <t>0:01:03:04</t>
  </si>
  <si>
    <t>0:01:03:05</t>
  </si>
  <si>
    <t>0:01:03:06</t>
  </si>
  <si>
    <t>0:01:03:07</t>
  </si>
  <si>
    <t>0:01:03:08</t>
  </si>
  <si>
    <t>0:01:03:09</t>
  </si>
  <si>
    <t>0:01:03:10</t>
  </si>
  <si>
    <t>0:01:03:11</t>
  </si>
  <si>
    <t>0:01:03:12</t>
  </si>
  <si>
    <t>0:01:03:13</t>
  </si>
  <si>
    <t>0:01:03:14</t>
  </si>
  <si>
    <t>0:01:03:15</t>
  </si>
  <si>
    <t>0:01:03:16</t>
  </si>
  <si>
    <t>0:01:03:17</t>
  </si>
  <si>
    <t>0:01:03:18</t>
  </si>
  <si>
    <t>0:01:03:19</t>
  </si>
  <si>
    <t>0:01:03:20</t>
  </si>
  <si>
    <t>0:01:03:21</t>
  </si>
  <si>
    <t>0:01:03:22</t>
  </si>
  <si>
    <t>0:01:03:23</t>
  </si>
  <si>
    <t>0:01:03:24</t>
  </si>
  <si>
    <t>0:01:04:00</t>
  </si>
  <si>
    <t>0:01:04:01</t>
  </si>
  <si>
    <t>0:01:04:02</t>
  </si>
  <si>
    <t>0:01:04:03</t>
  </si>
  <si>
    <t>0:01:04:04</t>
  </si>
  <si>
    <t>0:01:04:05</t>
  </si>
  <si>
    <t>0:01:04:06</t>
  </si>
  <si>
    <t>0:01:04:07</t>
  </si>
  <si>
    <t>0:01:04:08</t>
  </si>
  <si>
    <t>0:01:04:09</t>
  </si>
  <si>
    <t>0:01:04:10</t>
  </si>
  <si>
    <t>0:01:04:11</t>
  </si>
  <si>
    <t>0:01:04:12</t>
  </si>
  <si>
    <t>0:01:04:13</t>
  </si>
  <si>
    <t>0:01:04:14</t>
  </si>
  <si>
    <t>0:01:04:15</t>
  </si>
  <si>
    <t>0:01:04:16</t>
  </si>
  <si>
    <t>0:01:04:17</t>
  </si>
  <si>
    <t>0:01:04:18</t>
  </si>
  <si>
    <t>0:01:04:19</t>
  </si>
  <si>
    <t>0:01:04:20</t>
  </si>
  <si>
    <t>0:01:04:21</t>
  </si>
  <si>
    <t>0:01:04:22</t>
  </si>
  <si>
    <t>0:01:04:23</t>
  </si>
  <si>
    <t>0:01:04:24</t>
  </si>
  <si>
    <t>0:01:05:00</t>
  </si>
  <si>
    <t>0:01:05:01</t>
  </si>
  <si>
    <t>0:01:05:02</t>
  </si>
  <si>
    <t>0:01:05:03</t>
  </si>
  <si>
    <t>0:01:05:04</t>
  </si>
  <si>
    <t>0:01:05:05</t>
  </si>
  <si>
    <t>0:01:05:06</t>
  </si>
  <si>
    <t>0:01:05:07</t>
  </si>
  <si>
    <t>0:01:05:08</t>
  </si>
  <si>
    <t>0:01:05:09</t>
  </si>
  <si>
    <t>0:01:05:10</t>
  </si>
  <si>
    <t>0:01:05:11</t>
  </si>
  <si>
    <t>0:01:05:12</t>
  </si>
  <si>
    <t>0:01:05:13</t>
  </si>
  <si>
    <t>0:01:05:14</t>
  </si>
  <si>
    <t>0:01:05:15</t>
  </si>
  <si>
    <t>0:01:05:16</t>
  </si>
  <si>
    <t>0:01:05:17</t>
  </si>
  <si>
    <t>0:01:05:18</t>
  </si>
  <si>
    <t>0:01:05:19</t>
  </si>
  <si>
    <t>0:01:05:20</t>
  </si>
  <si>
    <t>0:01:05:21</t>
  </si>
  <si>
    <t>0:01:05:22</t>
  </si>
  <si>
    <t>0:01:05:23</t>
  </si>
  <si>
    <t>0:01:05:24</t>
  </si>
  <si>
    <t>0:01:06:00</t>
  </si>
  <si>
    <t>0:01:06:01</t>
  </si>
  <si>
    <t>0:01:06:02</t>
  </si>
  <si>
    <t>0:01:06:03</t>
  </si>
  <si>
    <t>0:01:06:04</t>
  </si>
  <si>
    <t>0:01:06:05</t>
  </si>
  <si>
    <t>0:01:06:06</t>
  </si>
  <si>
    <t>0:01:06:07</t>
  </si>
  <si>
    <t>0:01:06:08</t>
  </si>
  <si>
    <t>0:01:06:09</t>
  </si>
  <si>
    <t>0:01:06:10</t>
  </si>
  <si>
    <t>0:01:06:11</t>
  </si>
  <si>
    <t>0:01:06:12</t>
  </si>
  <si>
    <t>0:01:06:13</t>
  </si>
  <si>
    <t>0:01:06:14</t>
  </si>
  <si>
    <t>0:01:06:15</t>
  </si>
  <si>
    <t>0:01:06:16</t>
  </si>
  <si>
    <t>0:01:06:17</t>
  </si>
  <si>
    <t>0:01:06:18</t>
  </si>
  <si>
    <t>0:01:06:19</t>
  </si>
  <si>
    <t>0:01:06:20</t>
  </si>
  <si>
    <t>0:01:06:21</t>
  </si>
  <si>
    <t>0:01:06:22</t>
  </si>
  <si>
    <t>0:01:06:23</t>
  </si>
  <si>
    <t>0:01:06:24</t>
  </si>
  <si>
    <t>0:01:07:00</t>
  </si>
  <si>
    <t>0:01:07:01</t>
  </si>
  <si>
    <t>0:01:07:02</t>
  </si>
  <si>
    <t>0:01:07:03</t>
  </si>
  <si>
    <t>0:01:07:04</t>
  </si>
  <si>
    <t>0:01:07:05</t>
  </si>
  <si>
    <t>0:01:07:06</t>
  </si>
  <si>
    <t>0:01:07:07</t>
  </si>
  <si>
    <t>0:01:07:08</t>
  </si>
  <si>
    <t>0:01:07:09</t>
  </si>
  <si>
    <t>0:01:07:10</t>
  </si>
  <si>
    <t>0:01:07:11</t>
  </si>
  <si>
    <t>0:01:07:12</t>
  </si>
  <si>
    <t>0:01:07:13</t>
  </si>
  <si>
    <t>0:01:07:14</t>
  </si>
  <si>
    <t>0:01:07:15</t>
  </si>
  <si>
    <t>0:01:07:16</t>
  </si>
  <si>
    <t>0:01:07:17</t>
  </si>
  <si>
    <t>0:01:07:18</t>
  </si>
  <si>
    <t>0:01:07:19</t>
  </si>
  <si>
    <t>0:01:07:20</t>
  </si>
  <si>
    <t>0:01:07:21</t>
  </si>
  <si>
    <t>0:01:07:22</t>
  </si>
  <si>
    <t>0:01:07:23</t>
  </si>
  <si>
    <t>0:01:07:24</t>
  </si>
  <si>
    <t>0:01:08:00</t>
  </si>
  <si>
    <t>0:01:08:01</t>
  </si>
  <si>
    <t>0:01:08:02</t>
  </si>
  <si>
    <t>0:01:08:03</t>
  </si>
  <si>
    <t>0:01:08:04</t>
  </si>
  <si>
    <t>0:01:08:05</t>
  </si>
  <si>
    <t>0:01:08:06</t>
  </si>
  <si>
    <t>0:01:08:07</t>
  </si>
  <si>
    <t>0:01:08:08</t>
  </si>
  <si>
    <t>0:01:08:09</t>
  </si>
  <si>
    <t>0:01:08:10</t>
  </si>
  <si>
    <t>0:01:08:11</t>
  </si>
  <si>
    <t>0:01:08:12</t>
  </si>
  <si>
    <t>0:01:08:13</t>
  </si>
  <si>
    <t>0:01:08:14</t>
  </si>
  <si>
    <t>0:01:08:15</t>
  </si>
  <si>
    <t>0:01:08:16</t>
  </si>
  <si>
    <t>0:01:08:17</t>
  </si>
  <si>
    <t>0:01:08:18</t>
  </si>
  <si>
    <t>0:01:08:19</t>
  </si>
  <si>
    <t>0:01:08:20</t>
  </si>
  <si>
    <t>0:01:08:21</t>
  </si>
  <si>
    <t>0:01:08:22</t>
  </si>
  <si>
    <t>0:01:08:23</t>
  </si>
  <si>
    <t>0:01:08:24</t>
  </si>
  <si>
    <t>0:01:09:00</t>
  </si>
  <si>
    <t>0:01:09:01</t>
  </si>
  <si>
    <t>0:01:09:02</t>
  </si>
  <si>
    <t>0:01:09:03</t>
  </si>
  <si>
    <t>0:01:09:04</t>
  </si>
  <si>
    <t>0:01:09:05</t>
  </si>
  <si>
    <t>0:01:09:06</t>
  </si>
  <si>
    <t>0:01:09:07</t>
  </si>
  <si>
    <t>0:01:09:08</t>
  </si>
  <si>
    <t>0:01:09:09</t>
  </si>
  <si>
    <t>0:01:09:10</t>
  </si>
  <si>
    <t>0:01:09:11</t>
  </si>
  <si>
    <t>0:01:09:12</t>
  </si>
  <si>
    <t>0:01:09:13</t>
  </si>
  <si>
    <t>0:01:09:14</t>
  </si>
  <si>
    <t>0:01:09:15</t>
  </si>
  <si>
    <t>0:01:09:16</t>
  </si>
  <si>
    <t>0:01:09:17</t>
  </si>
  <si>
    <t>0:01:09:18</t>
  </si>
  <si>
    <t>0:01:09:19</t>
  </si>
  <si>
    <t>0:01:09:20</t>
  </si>
  <si>
    <t>0:01:09:21</t>
  </si>
  <si>
    <t>0:01:09:22</t>
  </si>
  <si>
    <t>0:01:09:23</t>
  </si>
  <si>
    <t>0:01:09:24</t>
  </si>
  <si>
    <t>0:01:10:00</t>
  </si>
  <si>
    <t>0:01:10:01</t>
  </si>
  <si>
    <t>0:01:10:02</t>
  </si>
  <si>
    <t>0:01:10:03</t>
  </si>
  <si>
    <t>0:01:10:04</t>
  </si>
  <si>
    <t>0:01:10:05</t>
  </si>
  <si>
    <t>0:01:10:06</t>
  </si>
  <si>
    <t>0:01:10:07</t>
  </si>
  <si>
    <t>0:01:10:08</t>
  </si>
  <si>
    <t>0:01:10:09</t>
  </si>
  <si>
    <t>0:01:10:10</t>
  </si>
  <si>
    <t>0:01:10:11</t>
  </si>
  <si>
    <t>0:01:10:12</t>
  </si>
  <si>
    <t>0:01:10:13</t>
  </si>
  <si>
    <t>0:01:10:14</t>
  </si>
  <si>
    <t>0:01:10:15</t>
  </si>
  <si>
    <t>0:01:10:16</t>
  </si>
  <si>
    <t>0:01:10:17</t>
  </si>
  <si>
    <t>0:01:10:18</t>
  </si>
  <si>
    <t>0:01:10:19</t>
  </si>
  <si>
    <t>0:01:10:20</t>
  </si>
  <si>
    <t>0:01:10:21</t>
  </si>
  <si>
    <t>0:01:10:22</t>
  </si>
  <si>
    <t>0:01:10:23</t>
  </si>
  <si>
    <t>0:01:10:24</t>
  </si>
  <si>
    <t>0:01:11:00</t>
  </si>
  <si>
    <t>0:01:11:01</t>
  </si>
  <si>
    <t>0:01:11:02</t>
  </si>
  <si>
    <t>0:01:11:03</t>
  </si>
  <si>
    <t>0:01:11:04</t>
  </si>
  <si>
    <t>0:01:11:05</t>
  </si>
  <si>
    <t>0:01:11:06</t>
  </si>
  <si>
    <t>0:01:11:07</t>
  </si>
  <si>
    <t>0:01:11:08</t>
  </si>
  <si>
    <t>0:01:11:09</t>
  </si>
  <si>
    <t>0:01:11:10</t>
  </si>
  <si>
    <t>0:01:11:11</t>
  </si>
  <si>
    <t>0:01:11:12</t>
  </si>
  <si>
    <t>0:01:11:13</t>
  </si>
  <si>
    <t>0:01:11:14</t>
  </si>
  <si>
    <t>0:01:11:15</t>
  </si>
  <si>
    <t>0:01:11:16</t>
  </si>
  <si>
    <t>0:01:11:17</t>
  </si>
  <si>
    <t>0:01:11:18</t>
  </si>
  <si>
    <t>0:01:11:19</t>
  </si>
  <si>
    <t>0:01:11:20</t>
  </si>
  <si>
    <t>0:01:11:21</t>
  </si>
  <si>
    <t>0:01:11:22</t>
  </si>
  <si>
    <t>0:01:11:23</t>
  </si>
  <si>
    <t>0:01:11:24</t>
  </si>
  <si>
    <t>0:01:12:00</t>
  </si>
  <si>
    <t>0:01:12:01</t>
  </si>
  <si>
    <t>0:01:12:02</t>
  </si>
  <si>
    <t>0:01:12:03</t>
  </si>
  <si>
    <t>0:01:12:04</t>
  </si>
  <si>
    <t>0:01:12:05</t>
  </si>
  <si>
    <t>0:01:12:06</t>
  </si>
  <si>
    <t>0:01:12:07</t>
  </si>
  <si>
    <t>0:01:12:08</t>
  </si>
  <si>
    <t>0:01:12:09</t>
  </si>
  <si>
    <t>0:01:12:10</t>
  </si>
  <si>
    <t>0:01:12:11</t>
  </si>
  <si>
    <t>0:01:12:12</t>
  </si>
  <si>
    <t>0:01:12:13</t>
  </si>
  <si>
    <t>0:01:12:14</t>
  </si>
  <si>
    <t>0:01:12:15</t>
  </si>
  <si>
    <t>0:01:12:16</t>
  </si>
  <si>
    <t>0:01:12:17</t>
  </si>
  <si>
    <t>0:01:12:18</t>
  </si>
  <si>
    <t>0:01:12:19</t>
  </si>
  <si>
    <t>0:01:12:20</t>
  </si>
  <si>
    <t>0:01:12:21</t>
  </si>
  <si>
    <t>0:01:12:22</t>
  </si>
  <si>
    <t>0:01:12:23</t>
  </si>
  <si>
    <t>0:01:12:24</t>
  </si>
  <si>
    <t>0:01:13:00</t>
  </si>
  <si>
    <t>0:01:13:01</t>
  </si>
  <si>
    <t>0:01:13:02</t>
  </si>
  <si>
    <t>0:01:13:03</t>
  </si>
  <si>
    <t>0:01:13:04</t>
  </si>
  <si>
    <t>0:01:13:05</t>
  </si>
  <si>
    <t>0:01:13:06</t>
  </si>
  <si>
    <t>0:01:13:07</t>
  </si>
  <si>
    <t>0:01:13:08</t>
  </si>
  <si>
    <t>0:01:13:09</t>
  </si>
  <si>
    <t>0:01:13:10</t>
  </si>
  <si>
    <t>0:01:13:11</t>
  </si>
  <si>
    <t>0:01:13:12</t>
  </si>
  <si>
    <t>0:01:13:13</t>
  </si>
  <si>
    <t>0:01:13:14</t>
  </si>
  <si>
    <t>0:01:13:15</t>
  </si>
  <si>
    <t>0:01:13:16</t>
  </si>
  <si>
    <t>0:01:13:17</t>
  </si>
  <si>
    <t>0:01:13:18</t>
  </si>
  <si>
    <t>0:01:13:19</t>
  </si>
  <si>
    <t>0:01:13:20</t>
  </si>
  <si>
    <t>0:01:13:21</t>
  </si>
  <si>
    <t>0:01:13:22</t>
  </si>
  <si>
    <t>0:01:13:23</t>
  </si>
  <si>
    <t>0:01:13:24</t>
  </si>
  <si>
    <t>0:01:14:00</t>
  </si>
  <si>
    <t>0:01:14:01</t>
  </si>
  <si>
    <t>0:01:14:02</t>
  </si>
  <si>
    <t>0:01:14:03</t>
  </si>
  <si>
    <t>0:01:14:04</t>
  </si>
  <si>
    <t>0:01:14:05</t>
  </si>
  <si>
    <t>0:01:14:06</t>
  </si>
  <si>
    <t>0:01:14:07</t>
  </si>
  <si>
    <t>0:01:14:08</t>
  </si>
  <si>
    <t>0:01:14:09</t>
  </si>
  <si>
    <t>0:01:14:10</t>
  </si>
  <si>
    <t>0:01:14:11</t>
  </si>
  <si>
    <t>0:01:14:12</t>
  </si>
  <si>
    <t>0:01:14:13</t>
  </si>
  <si>
    <t>0:01:14:14</t>
  </si>
  <si>
    <t>0:01:14:15</t>
  </si>
  <si>
    <t>0:01:14:16</t>
  </si>
  <si>
    <t>0:01:14:17</t>
  </si>
  <si>
    <t>0:01:14:18</t>
  </si>
  <si>
    <t>0:01:14:19</t>
  </si>
  <si>
    <t>0:01:14:20</t>
  </si>
  <si>
    <t>0:01:14:21</t>
  </si>
  <si>
    <t>0:01:14:22</t>
  </si>
  <si>
    <t>0:01:14:23</t>
  </si>
  <si>
    <t>0:01:14:24</t>
  </si>
  <si>
    <t>0:01:15:00</t>
  </si>
  <si>
    <t>0:01:15:01</t>
  </si>
  <si>
    <t>0:01:15:02</t>
  </si>
  <si>
    <t>0:01:15:03</t>
  </si>
  <si>
    <t>0:01:15:04</t>
  </si>
  <si>
    <t>0:01:15:05</t>
  </si>
  <si>
    <t>0:01:15:06</t>
  </si>
  <si>
    <t>0:01:15:07</t>
  </si>
  <si>
    <t>0:01:15:08</t>
  </si>
  <si>
    <t>0:01:15:09</t>
  </si>
  <si>
    <t>0:01:15:10</t>
  </si>
  <si>
    <t>0:01:15:11</t>
  </si>
  <si>
    <t>0:01:15:12</t>
  </si>
  <si>
    <t>0:01:15:13</t>
  </si>
  <si>
    <t>0:01:15:14</t>
  </si>
  <si>
    <t>0:01:15:15</t>
  </si>
  <si>
    <t>0:01:15:16</t>
  </si>
  <si>
    <t>0:01:15:17</t>
  </si>
  <si>
    <t>0:01:15:18</t>
  </si>
  <si>
    <t>0:01:15:19</t>
  </si>
  <si>
    <t>0:01:15:20</t>
  </si>
  <si>
    <t>0:01:15:21</t>
  </si>
  <si>
    <t>0:01:15:22</t>
  </si>
  <si>
    <t>0:01:15:23</t>
  </si>
  <si>
    <t>0:01:15:24</t>
  </si>
  <si>
    <t>0:01:16:00</t>
  </si>
  <si>
    <t>0:01:16:01</t>
  </si>
  <si>
    <t>0:01:16:02</t>
  </si>
  <si>
    <t>0:01:16:03</t>
  </si>
  <si>
    <t>0:01:16:04</t>
  </si>
  <si>
    <t>0:01:16:05</t>
  </si>
  <si>
    <t>0:01:16:06</t>
  </si>
  <si>
    <t>0:01:16:07</t>
  </si>
  <si>
    <t>0:01:16:08</t>
  </si>
  <si>
    <t>0:01:16:09</t>
  </si>
  <si>
    <t>0:01:16:10</t>
  </si>
  <si>
    <t>0:01:16:11</t>
  </si>
  <si>
    <t>0:01:16:12</t>
  </si>
  <si>
    <t>0:01:16:13</t>
  </si>
  <si>
    <t>0:01:16:14</t>
  </si>
  <si>
    <t>0:01:16:15</t>
  </si>
  <si>
    <t>0:01:16:16</t>
  </si>
  <si>
    <t>0:01:16:17</t>
  </si>
  <si>
    <t>0:01:16:18</t>
  </si>
  <si>
    <t>0:01:16:19</t>
  </si>
  <si>
    <t>0:01:16:20</t>
  </si>
  <si>
    <t>0:01:16:21</t>
  </si>
  <si>
    <t>0:01:16:22</t>
  </si>
  <si>
    <t>0:01:16:23</t>
  </si>
  <si>
    <t>0:01:16:24</t>
  </si>
  <si>
    <t>0:01:17:00</t>
  </si>
  <si>
    <t>0:01:17:01</t>
  </si>
  <si>
    <t>0:01:17:02</t>
  </si>
  <si>
    <t>0:01:17:03</t>
  </si>
  <si>
    <t>0:01:17:04</t>
  </si>
  <si>
    <t>0:01:17:05</t>
  </si>
  <si>
    <t>0:01:17:06</t>
  </si>
  <si>
    <t>0:01:17:07</t>
  </si>
  <si>
    <t>0:01:17:08</t>
  </si>
  <si>
    <t>0:01:17:09</t>
  </si>
  <si>
    <t>0:01:17:10</t>
  </si>
  <si>
    <t>0:01:17:11</t>
  </si>
  <si>
    <t>0:01:17:12</t>
  </si>
  <si>
    <t>0:01:17:13</t>
  </si>
  <si>
    <t>0:01:17:14</t>
  </si>
  <si>
    <t>0:01:17:15</t>
  </si>
  <si>
    <t>0:01:17:16</t>
  </si>
  <si>
    <t>0:01:17:17</t>
  </si>
  <si>
    <t>0:01:17:18</t>
  </si>
  <si>
    <t>0:01:17:19</t>
  </si>
  <si>
    <t>0:01:17:20</t>
  </si>
  <si>
    <t>0:01:17:21</t>
  </si>
  <si>
    <t>0:01:17:22</t>
  </si>
  <si>
    <t>0:01:17:23</t>
  </si>
  <si>
    <t>0:01:17:24</t>
  </si>
  <si>
    <t>0:01:18:00</t>
  </si>
  <si>
    <t>0:01:18:01</t>
  </si>
  <si>
    <t>0:01:18:02</t>
  </si>
  <si>
    <t>0:01:18:03</t>
  </si>
  <si>
    <t>0:01:18:04</t>
  </si>
  <si>
    <t>0:01:18:05</t>
  </si>
  <si>
    <t>0:01:18:06</t>
  </si>
  <si>
    <t>0:01:18:07</t>
  </si>
  <si>
    <t>0:01:18:08</t>
  </si>
  <si>
    <t>0:01:18:09</t>
  </si>
  <si>
    <t>0:01:18:10</t>
  </si>
  <si>
    <t>0:01:18:11</t>
  </si>
  <si>
    <t>0:01:18:12</t>
  </si>
  <si>
    <t>0:01:18:13</t>
  </si>
  <si>
    <t>0:01:18:14</t>
  </si>
  <si>
    <t>0:01:18:15</t>
  </si>
  <si>
    <t>0:01:18:16</t>
  </si>
  <si>
    <t>0:01:18:17</t>
  </si>
  <si>
    <t>0:01:18:18</t>
  </si>
  <si>
    <t>0:01:18:19</t>
  </si>
  <si>
    <t>0:01:18:20</t>
  </si>
  <si>
    <t>0:01:18:21</t>
  </si>
  <si>
    <t>0:01:18:22</t>
  </si>
  <si>
    <t>0:01:18:23</t>
  </si>
  <si>
    <t>0:01:18:24</t>
  </si>
  <si>
    <t>0:01:19:00</t>
  </si>
  <si>
    <t>0:01:19:01</t>
  </si>
  <si>
    <t>0:01:19:02</t>
  </si>
  <si>
    <t>0:01:19:03</t>
  </si>
  <si>
    <t>0:01:19:04</t>
  </si>
  <si>
    <t>0:01:19:05</t>
  </si>
  <si>
    <t>0:01:19:06</t>
  </si>
  <si>
    <t>0:01:19:07</t>
  </si>
  <si>
    <t>0:01:19:08</t>
  </si>
  <si>
    <t>0:01:19:09</t>
  </si>
  <si>
    <t>0:01:19:10</t>
  </si>
  <si>
    <t>0:01:19:11</t>
  </si>
  <si>
    <t>0:01:19:12</t>
  </si>
  <si>
    <t>0:01:19:13</t>
  </si>
  <si>
    <t>0:01:19:14</t>
  </si>
  <si>
    <t>0:01:19:15</t>
  </si>
  <si>
    <t>0:01:19:16</t>
  </si>
  <si>
    <t>0:01:19:17</t>
  </si>
  <si>
    <t>0:01:19:18</t>
  </si>
  <si>
    <t>0:01:19:19</t>
  </si>
  <si>
    <t>0:01:19:20</t>
  </si>
  <si>
    <t>0:01:19:21</t>
  </si>
  <si>
    <t>0:01:19:22</t>
  </si>
  <si>
    <t>0:01:19:23</t>
  </si>
  <si>
    <t>0:01:19:24</t>
  </si>
  <si>
    <t>0:01:20:00</t>
  </si>
  <si>
    <t>0:01:20:01</t>
  </si>
  <si>
    <t>0:01:20:02</t>
  </si>
  <si>
    <t>0:01:20:03</t>
  </si>
  <si>
    <t>0:01:20:04</t>
  </si>
  <si>
    <t>0:01:20:05</t>
  </si>
  <si>
    <t>0:01:20:06</t>
  </si>
  <si>
    <t>0:01:20:07</t>
  </si>
  <si>
    <t>0:01:20:08</t>
  </si>
  <si>
    <t>0:01:20:09</t>
  </si>
  <si>
    <t>0:01:20:10</t>
  </si>
  <si>
    <t>0:01:20:11</t>
  </si>
  <si>
    <t>0:01:20:12</t>
  </si>
  <si>
    <t>0:01:20:13</t>
  </si>
  <si>
    <t>0:01:20:14</t>
  </si>
  <si>
    <t>0:01:20:15</t>
  </si>
  <si>
    <t>0:01:20:16</t>
  </si>
  <si>
    <t>0:01:20:17</t>
  </si>
  <si>
    <t>0:01:20:18</t>
  </si>
  <si>
    <t>0:01:20:19</t>
  </si>
  <si>
    <t>0:01:20:20</t>
  </si>
  <si>
    <t>0:01:20:21</t>
  </si>
  <si>
    <t>0:01:20:22</t>
  </si>
  <si>
    <t>0:01:20:23</t>
  </si>
  <si>
    <t>0:01:20:24</t>
  </si>
  <si>
    <t>0:01:21:00</t>
  </si>
  <si>
    <t>0:01:21:01</t>
  </si>
  <si>
    <t>0:01:21:02</t>
  </si>
  <si>
    <t>0:01:21:03</t>
  </si>
  <si>
    <t>0:01:21:04</t>
  </si>
  <si>
    <t>0:01:21:05</t>
  </si>
  <si>
    <t>0:01:21:06</t>
  </si>
  <si>
    <t>0:01:21:07</t>
  </si>
  <si>
    <t>0:01:21:08</t>
  </si>
  <si>
    <t>0:01:21:09</t>
  </si>
  <si>
    <t>0:01:21:10</t>
  </si>
  <si>
    <t>0:01:21:11</t>
  </si>
  <si>
    <t>0:01:21:12</t>
  </si>
  <si>
    <t>0:01:21:13</t>
  </si>
  <si>
    <t>0:01:21:14</t>
  </si>
  <si>
    <t>0:01:21:15</t>
  </si>
  <si>
    <t>0:01:21:16</t>
  </si>
  <si>
    <t>0:01:21:17</t>
  </si>
  <si>
    <t>0:01:21:18</t>
  </si>
  <si>
    <t>0:01:21:19</t>
  </si>
  <si>
    <t>0:01:21:20</t>
  </si>
  <si>
    <t>0:01:21:21</t>
  </si>
  <si>
    <t>0:01:21:22</t>
  </si>
  <si>
    <t>0:01:21:23</t>
  </si>
  <si>
    <t>0:01:21:24</t>
  </si>
  <si>
    <t>0:01:22:00</t>
  </si>
  <si>
    <t>0:01:22:01</t>
  </si>
  <si>
    <t>0:01:22:02</t>
  </si>
  <si>
    <t>0:01:22:03</t>
  </si>
  <si>
    <t>0:01:22:04</t>
  </si>
  <si>
    <t>0:01:22:05</t>
  </si>
  <si>
    <t>0:01:22:06</t>
  </si>
  <si>
    <t>0:01:22:07</t>
  </si>
  <si>
    <t>0:01:22:08</t>
  </si>
  <si>
    <t>0:01:22:09</t>
  </si>
  <si>
    <t>0:01:22:10</t>
  </si>
  <si>
    <t>0:01:22:11</t>
  </si>
  <si>
    <t>0:01:22:12</t>
  </si>
  <si>
    <t>0:01:22:13</t>
  </si>
  <si>
    <t>0:01:22:14</t>
  </si>
  <si>
    <t>0:01:22:15</t>
  </si>
  <si>
    <t>0:01:22:16</t>
  </si>
  <si>
    <t>0:01:22:17</t>
  </si>
  <si>
    <t>0:01:22:18</t>
  </si>
  <si>
    <t>0:01:22:19</t>
  </si>
  <si>
    <t>0:01:22:20</t>
  </si>
  <si>
    <t>0:01:22:21</t>
  </si>
  <si>
    <t>0:01:22:22</t>
  </si>
  <si>
    <t>0:01:22:23</t>
  </si>
  <si>
    <t>0:01:22:24</t>
  </si>
  <si>
    <t>0:01:23:00</t>
  </si>
  <si>
    <t>0:01:23:01</t>
  </si>
  <si>
    <t>0:01:23:02</t>
  </si>
  <si>
    <t>0:01:23:03</t>
  </si>
  <si>
    <t>0:01:23:04</t>
  </si>
  <si>
    <t>0:01:23:05</t>
  </si>
  <si>
    <t>0:01:23:06</t>
  </si>
  <si>
    <t>0:01:23:07</t>
  </si>
  <si>
    <t>0:01:23:08</t>
  </si>
  <si>
    <t>0:01:23:09</t>
  </si>
  <si>
    <t>0:01:23:10</t>
  </si>
  <si>
    <t>0:01:23:11</t>
  </si>
  <si>
    <t>0:01:23:12</t>
  </si>
  <si>
    <t>0:01:23:13</t>
  </si>
  <si>
    <t>0:01:23:14</t>
  </si>
  <si>
    <t>0:01:23:15</t>
  </si>
  <si>
    <t>0:01:23:16</t>
  </si>
  <si>
    <t>0:01:23:17</t>
  </si>
  <si>
    <t>0:01:23:18</t>
  </si>
  <si>
    <t>0:01:23:19</t>
  </si>
  <si>
    <t>0:01:23:20</t>
  </si>
  <si>
    <t>0:01:23:21</t>
  </si>
  <si>
    <t>0:01:23:22</t>
  </si>
  <si>
    <t>0:01:23:23</t>
  </si>
  <si>
    <t>0:01:23:24</t>
  </si>
  <si>
    <t>0:01:24:00</t>
  </si>
  <si>
    <t>0:01:24:01</t>
  </si>
  <si>
    <t>0:01:24:02</t>
  </si>
  <si>
    <t>0:01:24:03</t>
  </si>
  <si>
    <t>0:01:24:04</t>
  </si>
  <si>
    <t>0:01:24:05</t>
  </si>
  <si>
    <t>0:01:24:06</t>
  </si>
  <si>
    <t>0:01:24:07</t>
  </si>
  <si>
    <t>0:01:24:08</t>
  </si>
  <si>
    <t>0:01:24:09</t>
  </si>
  <si>
    <t>0:01:24:10</t>
  </si>
  <si>
    <t>0:01:24:11</t>
  </si>
  <si>
    <t>0:01:24:12</t>
  </si>
  <si>
    <t>0:01:24:13</t>
  </si>
  <si>
    <t>0:01:24:14</t>
  </si>
  <si>
    <t>0:01:24:15</t>
  </si>
  <si>
    <t>0:01:24:16</t>
  </si>
  <si>
    <t>0:01:24:17</t>
  </si>
  <si>
    <t>0:01:24:18</t>
  </si>
  <si>
    <t>0:01:24:19</t>
  </si>
  <si>
    <t>0:01:24:20</t>
  </si>
  <si>
    <t>0:01:24:21</t>
  </si>
  <si>
    <t>0:01:24:22</t>
  </si>
  <si>
    <t>0:01:24:23</t>
  </si>
  <si>
    <t>0:01:24:24</t>
  </si>
  <si>
    <t>0:01:25:00</t>
  </si>
  <si>
    <t>0:01:25:01</t>
  </si>
  <si>
    <t>0:01:25:02</t>
  </si>
  <si>
    <t>0:01:25:03</t>
  </si>
  <si>
    <t>0:01:25:04</t>
  </si>
  <si>
    <t>0:01:25:05</t>
  </si>
  <si>
    <t>0:01:25:06</t>
  </si>
  <si>
    <t>0:01:25:07</t>
  </si>
  <si>
    <t>0:01:25:08</t>
  </si>
  <si>
    <t>0:01:25:09</t>
  </si>
  <si>
    <t>0:01:25:10</t>
  </si>
  <si>
    <t>0:01:25:11</t>
  </si>
  <si>
    <t>0:01:25:12</t>
  </si>
  <si>
    <t>0:01:25:13</t>
  </si>
  <si>
    <t>0:01:25:14</t>
  </si>
  <si>
    <t>0:01:25:15</t>
  </si>
  <si>
    <t>0:01:25:16</t>
  </si>
  <si>
    <t>0:01:25:17</t>
  </si>
  <si>
    <t>0:01:25:18</t>
  </si>
  <si>
    <t>0:01:25:19</t>
  </si>
  <si>
    <t>0:01:25:20</t>
  </si>
  <si>
    <t>0:01:25:21</t>
  </si>
  <si>
    <t>0:01:25:22</t>
  </si>
  <si>
    <t>0:01:25:23</t>
  </si>
  <si>
    <t>0:01:25:24</t>
  </si>
  <si>
    <t>0:01:26:00</t>
  </si>
  <si>
    <t>0:01:26:01</t>
  </si>
  <si>
    <t>0:01:26:02</t>
  </si>
  <si>
    <t>0:01:26:03</t>
  </si>
  <si>
    <t>0:01:26:04</t>
  </si>
  <si>
    <t>0:01:26:05</t>
  </si>
  <si>
    <t>0:01:26:06</t>
  </si>
  <si>
    <t>0:01:26:07</t>
  </si>
  <si>
    <t>0:01:26:08</t>
  </si>
  <si>
    <t>0:01:26:09</t>
  </si>
  <si>
    <t>0:01:26:10</t>
  </si>
  <si>
    <t>0:01:26:11</t>
  </si>
  <si>
    <t>0:01:26:12</t>
  </si>
  <si>
    <t>0:01:26:13</t>
  </si>
  <si>
    <t>0:01:26:14</t>
  </si>
  <si>
    <t>0:01:26:15</t>
  </si>
  <si>
    <t>0:01:26:16</t>
  </si>
  <si>
    <t>0:01:26:17</t>
  </si>
  <si>
    <t>0:01:26:18</t>
  </si>
  <si>
    <t>0:01:26:19</t>
  </si>
  <si>
    <t>0:01:26:20</t>
  </si>
  <si>
    <t>0:01:26:21</t>
  </si>
  <si>
    <t>0:01:26:22</t>
  </si>
  <si>
    <t>0:01:26:23</t>
  </si>
  <si>
    <t>0:01:26:24</t>
  </si>
  <si>
    <t>0:01:27:00</t>
  </si>
  <si>
    <t>0:01:27:01</t>
  </si>
  <si>
    <t>0:01:27:02</t>
  </si>
  <si>
    <t>0:01:27:03</t>
  </si>
  <si>
    <t>0:01:27:04</t>
  </si>
  <si>
    <t>0:01:27:05</t>
  </si>
  <si>
    <t>0:01:27:06</t>
  </si>
  <si>
    <t>0:01:27:07</t>
  </si>
  <si>
    <t>0:01:27:08</t>
  </si>
  <si>
    <t>0:01:27:09</t>
  </si>
  <si>
    <t>0:01:27:10</t>
  </si>
  <si>
    <t>0:01:27:11</t>
  </si>
  <si>
    <t>0:01:27:12</t>
  </si>
  <si>
    <t>0:01:27:13</t>
  </si>
  <si>
    <t>0:01:27:14</t>
  </si>
  <si>
    <t>0:01:27:15</t>
  </si>
  <si>
    <t>0:01:27:16</t>
  </si>
  <si>
    <t>0:01:27:17</t>
  </si>
  <si>
    <t>0:01:27:18</t>
  </si>
  <si>
    <t>0:01:27:19</t>
  </si>
  <si>
    <t>0:01:27:20</t>
  </si>
  <si>
    <t>0:01:27:21</t>
  </si>
  <si>
    <t>0:01:27:22</t>
  </si>
  <si>
    <t>0:01:27:23</t>
  </si>
  <si>
    <t>0:01:27:24</t>
  </si>
  <si>
    <t>0:01:28:00</t>
  </si>
  <si>
    <t>0:01:28:01</t>
  </si>
  <si>
    <t>0:01:28:02</t>
  </si>
  <si>
    <t>0:01:28:03</t>
  </si>
  <si>
    <t>0:01:28:04</t>
  </si>
  <si>
    <t>0:01:28:05</t>
  </si>
  <si>
    <t>0:01:28:06</t>
  </si>
  <si>
    <t>0:01:28:07</t>
  </si>
  <si>
    <t>0:01:28:08</t>
  </si>
  <si>
    <t>0:01:28:09</t>
  </si>
  <si>
    <t>0:01:28:10</t>
  </si>
  <si>
    <t>0:01:28:11</t>
  </si>
  <si>
    <t>0:01:28:12</t>
  </si>
  <si>
    <t>0:01:28:13</t>
  </si>
  <si>
    <t>0:01:28:14</t>
  </si>
  <si>
    <t>0:01:28:15</t>
  </si>
  <si>
    <t>0:01:28:16</t>
  </si>
  <si>
    <t>0:01:28:17</t>
  </si>
  <si>
    <t>0:01:28:18</t>
  </si>
  <si>
    <t>0:01:28:19</t>
  </si>
  <si>
    <t>0:01:28:20</t>
  </si>
  <si>
    <t>0:01:28:21</t>
  </si>
  <si>
    <t>0:01:28:22</t>
  </si>
  <si>
    <t>0:01:28:23</t>
  </si>
  <si>
    <t>0:01:28:24</t>
  </si>
  <si>
    <t>0:01:29:00</t>
  </si>
  <si>
    <t>0:01:29:01</t>
  </si>
  <si>
    <t>0:01:29:02</t>
  </si>
  <si>
    <t>0:01:29:03</t>
  </si>
  <si>
    <t>0:01:29:04</t>
  </si>
  <si>
    <t>0:01:29:05</t>
  </si>
  <si>
    <t>0:01:29:06</t>
  </si>
  <si>
    <t>0:01:29:07</t>
  </si>
  <si>
    <t>0:01:29:08</t>
  </si>
  <si>
    <t>0:01:29:09</t>
  </si>
  <si>
    <t>0:01:29:10</t>
  </si>
  <si>
    <t>0:01:29:11</t>
  </si>
  <si>
    <t>0:01:29:12</t>
  </si>
  <si>
    <t>0:01:29:13</t>
  </si>
  <si>
    <t>0:01:29:14</t>
  </si>
  <si>
    <t>0:01:29:15</t>
  </si>
  <si>
    <t>0:01:29:16</t>
  </si>
  <si>
    <t>0:01:29:17</t>
  </si>
  <si>
    <t>0:01:29:18</t>
  </si>
  <si>
    <t>0:01:29:19</t>
  </si>
  <si>
    <t>0:01:29:20</t>
  </si>
  <si>
    <t>0:01:29:21</t>
  </si>
  <si>
    <t>0:01:29:22</t>
  </si>
  <si>
    <t>0:01:29:23</t>
  </si>
  <si>
    <t>0:01:29:24</t>
  </si>
  <si>
    <t>0:01:30:00</t>
  </si>
  <si>
    <t>0:01:30:01</t>
  </si>
  <si>
    <t>0:01:30:02</t>
  </si>
  <si>
    <t>0:01:30:03</t>
  </si>
  <si>
    <t>0:01:30:04</t>
  </si>
  <si>
    <t>0:01:30:05</t>
  </si>
  <si>
    <t>0:01:30:06</t>
  </si>
  <si>
    <t>0:01:30:07</t>
  </si>
  <si>
    <t>0:01:30:08</t>
  </si>
  <si>
    <t>0:01:30:09</t>
  </si>
  <si>
    <t>0:01:30:10</t>
  </si>
  <si>
    <t>0:01:30:11</t>
  </si>
  <si>
    <t>0:01:30:12</t>
  </si>
  <si>
    <t>0:01:30:13</t>
  </si>
  <si>
    <t>0:01:30:14</t>
  </si>
  <si>
    <t>0:01:30:15</t>
  </si>
  <si>
    <t>0:01:30:16</t>
  </si>
  <si>
    <t>0:01:30:17</t>
  </si>
  <si>
    <t>0:01:30:18</t>
  </si>
  <si>
    <t>0:01:30:19</t>
  </si>
  <si>
    <t>0:01:30:20</t>
  </si>
  <si>
    <t>0:01:30:21</t>
  </si>
  <si>
    <t>0:01:30:22</t>
  </si>
  <si>
    <t>0:01:30:23</t>
  </si>
  <si>
    <t>0:01:30:24</t>
  </si>
  <si>
    <t>0:01:31:00</t>
  </si>
  <si>
    <t>0:01:31:01</t>
  </si>
  <si>
    <t>0:01:31:02</t>
  </si>
  <si>
    <t>0:01:31:03</t>
  </si>
  <si>
    <t>0:01:31:04</t>
  </si>
  <si>
    <t>0:01:31:05</t>
  </si>
  <si>
    <t>0:01:31:06</t>
  </si>
  <si>
    <t>0:01:31:07</t>
  </si>
  <si>
    <t>0:01:31:08</t>
  </si>
  <si>
    <t>0:01:31:09</t>
  </si>
  <si>
    <t>0:01:31:10</t>
  </si>
  <si>
    <t>0:01:31:11</t>
  </si>
  <si>
    <t>0:01:31:12</t>
  </si>
  <si>
    <t>0:01:31:13</t>
  </si>
  <si>
    <t>0:01:31:14</t>
  </si>
  <si>
    <t>0:01:31:15</t>
  </si>
  <si>
    <t>0:01:31:16</t>
  </si>
  <si>
    <t>0:01:31:17</t>
  </si>
  <si>
    <t>0:01:31:18</t>
  </si>
  <si>
    <t>0:01:31:19</t>
  </si>
  <si>
    <t>0:01:31:20</t>
  </si>
  <si>
    <t>0:01:31:21</t>
  </si>
  <si>
    <t>0:01:31:22</t>
  </si>
  <si>
    <t>0:01:31:23</t>
  </si>
  <si>
    <t>0:01:31:24</t>
  </si>
  <si>
    <t>0:01:32:00</t>
  </si>
  <si>
    <t>0:01:32:01</t>
  </si>
  <si>
    <t>0:01:32:02</t>
  </si>
  <si>
    <t>0:01:32:03</t>
  </si>
  <si>
    <t>0:01:32:04</t>
  </si>
  <si>
    <t>0:01:32:05</t>
  </si>
  <si>
    <t>0:01:32:06</t>
  </si>
  <si>
    <t>0:01:32:07</t>
  </si>
  <si>
    <t>0:01:32:08</t>
  </si>
  <si>
    <t>0:01:32:09</t>
  </si>
  <si>
    <t>0:01:32:10</t>
  </si>
  <si>
    <t>0:01:32:11</t>
  </si>
  <si>
    <t>0:01:32:12</t>
  </si>
  <si>
    <t>0:01:32:13</t>
  </si>
  <si>
    <t>0:01:32:14</t>
  </si>
  <si>
    <t>0:01:32:15</t>
  </si>
  <si>
    <t>0:01:32:16</t>
  </si>
  <si>
    <t>0:01:32:17</t>
  </si>
  <si>
    <t>0:01:32:18</t>
  </si>
  <si>
    <t>0:01:32:19</t>
  </si>
  <si>
    <t>0:01:32:20</t>
  </si>
  <si>
    <t>0:01:32:21</t>
  </si>
  <si>
    <t>0:01:32:22</t>
  </si>
  <si>
    <t>0:01:32:23</t>
  </si>
  <si>
    <t>0:01:32:24</t>
  </si>
  <si>
    <t>0:01:33:00</t>
  </si>
  <si>
    <t>0:01:33:01</t>
  </si>
  <si>
    <t>0:01:33:02</t>
  </si>
  <si>
    <t>0:01:33:03</t>
  </si>
  <si>
    <t>0:01:33:04</t>
  </si>
  <si>
    <t>0:01:33:05</t>
  </si>
  <si>
    <t>0:01:33:06</t>
  </si>
  <si>
    <t>0:01:33:07</t>
  </si>
  <si>
    <t>0:01:33:08</t>
  </si>
  <si>
    <t>0:01:33:09</t>
  </si>
  <si>
    <t>0:01:33:10</t>
  </si>
  <si>
    <t>0:01:33:11</t>
  </si>
  <si>
    <t>0:01:33:12</t>
  </si>
  <si>
    <t>0:01:33:13</t>
  </si>
  <si>
    <t>0:01:33:14</t>
  </si>
  <si>
    <t>0:01:33:15</t>
  </si>
  <si>
    <t>0:01:33:16</t>
  </si>
  <si>
    <t>0:01:33:17</t>
  </si>
  <si>
    <t>0:01:33:18</t>
  </si>
  <si>
    <t>0:01:33:19</t>
  </si>
  <si>
    <t>0:01:33:20</t>
  </si>
  <si>
    <t>0:01:33:21</t>
  </si>
  <si>
    <t>0:01:33:22</t>
  </si>
  <si>
    <t>0:01:33:23</t>
  </si>
  <si>
    <t>0:01:33:24</t>
  </si>
  <si>
    <t>0:01:34:00</t>
  </si>
  <si>
    <t>0:01:34:01</t>
  </si>
  <si>
    <t>0:01:34:02</t>
  </si>
  <si>
    <t>0:01:34:03</t>
  </si>
  <si>
    <t>0:01:34:04</t>
  </si>
  <si>
    <t>0:01:34:05</t>
  </si>
  <si>
    <t>0:01:34:06</t>
  </si>
  <si>
    <t>0:01:34:07</t>
  </si>
  <si>
    <t>0:01:34:08</t>
  </si>
  <si>
    <t>0:01:34:09</t>
  </si>
  <si>
    <t>0:01:34:10</t>
  </si>
  <si>
    <t>0:01:34:11</t>
  </si>
  <si>
    <t>0:01:34:12</t>
  </si>
  <si>
    <t>0:01:34:13</t>
  </si>
  <si>
    <t>0:01:34:14</t>
  </si>
  <si>
    <t>0:01:34:15</t>
  </si>
  <si>
    <t>0:01:34:16</t>
  </si>
  <si>
    <t>0:01:34:17</t>
  </si>
  <si>
    <t>0:01:34:18</t>
  </si>
  <si>
    <t>0:01:34:19</t>
  </si>
  <si>
    <t>0:01:34:20</t>
  </si>
  <si>
    <t>0:01:34:21</t>
  </si>
  <si>
    <t>0:01:34:22</t>
  </si>
  <si>
    <t>0:01:34:23</t>
  </si>
  <si>
    <t>0:01:34:24</t>
  </si>
  <si>
    <t>0:01:35:00</t>
  </si>
  <si>
    <t>0:01:35:01</t>
  </si>
  <si>
    <t>0:01:35:02</t>
  </si>
  <si>
    <t>0:01:35:03</t>
  </si>
  <si>
    <t>0:01:35:04</t>
  </si>
  <si>
    <t>0:01:35:05</t>
  </si>
  <si>
    <t>0:01:35:06</t>
  </si>
  <si>
    <t>0:01:35:07</t>
  </si>
  <si>
    <t>0:01:35:08</t>
  </si>
  <si>
    <t>0:01:35:09</t>
  </si>
  <si>
    <t>0:01:35:10</t>
  </si>
  <si>
    <t>0:01:35:11</t>
  </si>
  <si>
    <t>0:01:35:12</t>
  </si>
  <si>
    <t>0:01:35:13</t>
  </si>
  <si>
    <t>0:01:35:14</t>
  </si>
  <si>
    <t>0:01:35:15</t>
  </si>
  <si>
    <t>0:01:35:16</t>
  </si>
  <si>
    <t>0:01:35:17</t>
  </si>
  <si>
    <t>0:01:35:18</t>
  </si>
  <si>
    <t>0:01:35:19</t>
  </si>
  <si>
    <t>0:01:35:20</t>
  </si>
  <si>
    <t>0:01:35:21</t>
  </si>
  <si>
    <t>0:01:35:22</t>
  </si>
  <si>
    <t>0:01:35:23</t>
  </si>
  <si>
    <t>0:01:35:24</t>
  </si>
  <si>
    <t>0:01:36:00</t>
  </si>
  <si>
    <t>0:01:36:01</t>
  </si>
  <si>
    <t>0:01:36:02</t>
  </si>
  <si>
    <t>0:01:36:03</t>
  </si>
  <si>
    <t>0:01:36:04</t>
  </si>
  <si>
    <t>0:01:36:05</t>
  </si>
  <si>
    <t>0:01:36:06</t>
  </si>
  <si>
    <t>0:01:36:07</t>
  </si>
  <si>
    <t>0:01:36:08</t>
  </si>
  <si>
    <t>0:01:36:09</t>
  </si>
  <si>
    <t>0:01:36:10</t>
  </si>
  <si>
    <t>0:01:36:11</t>
  </si>
  <si>
    <t>0:01:36:12</t>
  </si>
  <si>
    <t>0:01:36:13</t>
  </si>
  <si>
    <t>0:01:36:14</t>
  </si>
  <si>
    <t>0:01:36:15</t>
  </si>
  <si>
    <t>0:01:36:16</t>
  </si>
  <si>
    <t>0:01:36:17</t>
  </si>
  <si>
    <t>0:01:36:18</t>
  </si>
  <si>
    <t>0:01:36:19</t>
  </si>
  <si>
    <t>0:01:36:20</t>
  </si>
  <si>
    <t>0:01:36:21</t>
  </si>
  <si>
    <t>0:01:36:22</t>
  </si>
  <si>
    <t>0:01:36:23</t>
  </si>
  <si>
    <t>0:01:36:24</t>
  </si>
  <si>
    <t>0:01:37:00</t>
  </si>
  <si>
    <t>0:01:37:01</t>
  </si>
  <si>
    <t>0:01:37:02</t>
  </si>
  <si>
    <t>0:01:37:03</t>
  </si>
  <si>
    <t>0:01:37:04</t>
  </si>
  <si>
    <t>0:01:37:05</t>
  </si>
  <si>
    <t>0:01:37:06</t>
  </si>
  <si>
    <t>0:01:37:07</t>
  </si>
  <si>
    <t>0:01:37:08</t>
  </si>
  <si>
    <t>0:01:37:09</t>
  </si>
  <si>
    <t>0:01:37:10</t>
  </si>
  <si>
    <t>0:01:37:11</t>
  </si>
  <si>
    <t>0:01:37:12</t>
  </si>
  <si>
    <t>0:01:37:13</t>
  </si>
  <si>
    <t>0:01:37:14</t>
  </si>
  <si>
    <t>0:01:37:15</t>
  </si>
  <si>
    <t>0:01:37:16</t>
  </si>
  <si>
    <t>0:01:37:17</t>
  </si>
  <si>
    <t>0:01:37:18</t>
  </si>
  <si>
    <t>0:01:37:19</t>
  </si>
  <si>
    <t>0:01:37:20</t>
  </si>
  <si>
    <t>0:01:37:21</t>
  </si>
  <si>
    <t>0:01:37:22</t>
  </si>
  <si>
    <t>0:01:37:23</t>
  </si>
  <si>
    <t>0:01:37:24</t>
  </si>
  <si>
    <t>0:01:38:00</t>
  </si>
  <si>
    <t>0:01:38:01</t>
  </si>
  <si>
    <t>0:01:38:02</t>
  </si>
  <si>
    <t>0:01:38:03</t>
  </si>
  <si>
    <t>0:01:38:04</t>
  </si>
  <si>
    <t>0:01:38:05</t>
  </si>
  <si>
    <t>0:01:38:06</t>
  </si>
  <si>
    <t>0:01:38:07</t>
  </si>
  <si>
    <t>0:01:38:08</t>
  </si>
  <si>
    <t>0:01:38:09</t>
  </si>
  <si>
    <t>0:01:38:10</t>
  </si>
  <si>
    <t>0:01:38:11</t>
  </si>
  <si>
    <t>0:01:38:12</t>
  </si>
  <si>
    <t>0:01:38:13</t>
  </si>
  <si>
    <t>0:01:38:14</t>
  </si>
  <si>
    <t>0:01:38:15</t>
  </si>
  <si>
    <t>0:01:38:16</t>
  </si>
  <si>
    <t>0:01:38:17</t>
  </si>
  <si>
    <t>0:01:38:18</t>
  </si>
  <si>
    <t>0:01:38:19</t>
  </si>
  <si>
    <t>0:01:38:20</t>
  </si>
  <si>
    <t>0:01:38:21</t>
  </si>
  <si>
    <t>0:01:38:22</t>
  </si>
  <si>
    <t>0:01:38:23</t>
  </si>
  <si>
    <t>0:01:38:24</t>
  </si>
  <si>
    <t>0:01:39:00</t>
  </si>
  <si>
    <t>0:01:39:01</t>
  </si>
  <si>
    <t>0:01:39:02</t>
  </si>
  <si>
    <t>0:01:39:03</t>
  </si>
  <si>
    <t>0:01:39:04</t>
  </si>
  <si>
    <t>0:01:39:05</t>
  </si>
  <si>
    <t>0:01:39:06</t>
  </si>
  <si>
    <t>0:01:39:07</t>
  </si>
  <si>
    <t>0:01:39:08</t>
  </si>
  <si>
    <t>0:01:39:09</t>
  </si>
  <si>
    <t>0:01:39:10</t>
  </si>
  <si>
    <t>0:01:39:11</t>
  </si>
  <si>
    <t>0:01:39:12</t>
  </si>
  <si>
    <t>0:01:39:13</t>
  </si>
  <si>
    <t>0:01:39:14</t>
  </si>
  <si>
    <t>0:01:39:15</t>
  </si>
  <si>
    <t>0:01:39:16</t>
  </si>
  <si>
    <t>0:01:39:17</t>
  </si>
  <si>
    <t>0:01:39:18</t>
  </si>
  <si>
    <t>0:01:39:19</t>
  </si>
  <si>
    <t>0:01:39:20</t>
  </si>
  <si>
    <t>0:01:39:21</t>
  </si>
  <si>
    <t>0:01:39:22</t>
  </si>
  <si>
    <t>0:01:39:23</t>
  </si>
  <si>
    <t>0:01:39:24</t>
  </si>
  <si>
    <t>0:01:40:00</t>
  </si>
  <si>
    <t>0:01:40:01</t>
  </si>
  <si>
    <t>0:01:40:02</t>
  </si>
  <si>
    <t>0:01:40:03</t>
  </si>
  <si>
    <t>0:01:40:04</t>
  </si>
  <si>
    <t>0:01:40:05</t>
  </si>
  <si>
    <t>0:01:40:06</t>
  </si>
  <si>
    <t>0:01:40:07</t>
  </si>
  <si>
    <t>0:01:40:08</t>
  </si>
  <si>
    <t>0:01:40:09</t>
  </si>
  <si>
    <t>0:01:40:10</t>
  </si>
  <si>
    <t>0:01:40:11</t>
  </si>
  <si>
    <t>0:01:40:12</t>
  </si>
  <si>
    <t>0:01:40:13</t>
  </si>
  <si>
    <t>0:01:40:14</t>
  </si>
  <si>
    <t>0:01:40:15</t>
  </si>
  <si>
    <t>0:01:40:16</t>
  </si>
  <si>
    <t>0:01:40:17</t>
  </si>
  <si>
    <t>0:01:40:18</t>
  </si>
  <si>
    <t>0:01:40:19</t>
  </si>
  <si>
    <t>0:01:40:20</t>
  </si>
  <si>
    <t>0:01:40:21</t>
  </si>
  <si>
    <t>0:01:40:22</t>
  </si>
  <si>
    <t>0:01:40:23</t>
  </si>
  <si>
    <t>0:01:40:24</t>
  </si>
  <si>
    <t>0:01:41:00</t>
  </si>
  <si>
    <t>0:01:41:01</t>
  </si>
  <si>
    <t>0:01:41:02</t>
  </si>
  <si>
    <t>0:01:41:03</t>
  </si>
  <si>
    <t>0:01:41:04</t>
  </si>
  <si>
    <t>0:01:41:05</t>
  </si>
  <si>
    <t>0:01:41:06</t>
  </si>
  <si>
    <t>0:01:41:07</t>
  </si>
  <si>
    <t>0:01:41:08</t>
  </si>
  <si>
    <t>0:01:41:09</t>
  </si>
  <si>
    <t>0:01:41:10</t>
  </si>
  <si>
    <t>0:01:41:11</t>
  </si>
  <si>
    <t>0:01:41:12</t>
  </si>
  <si>
    <t>0:01:41:13</t>
  </si>
  <si>
    <t>0:01:41:14</t>
  </si>
  <si>
    <t>0:01:41:15</t>
  </si>
  <si>
    <t>0:01:41:16</t>
  </si>
  <si>
    <t>0:01:41:17</t>
  </si>
  <si>
    <t>0:01:41:18</t>
  </si>
  <si>
    <t>0:01:41:19</t>
  </si>
  <si>
    <t>0:01:41:20</t>
  </si>
  <si>
    <t>0:01:41:21</t>
  </si>
  <si>
    <t>0:01:41:22</t>
  </si>
  <si>
    <t>0:01:41:23</t>
  </si>
  <si>
    <t>0:01:41:24</t>
  </si>
  <si>
    <t>0:01:42:00</t>
  </si>
  <si>
    <t>0:01:42:01</t>
  </si>
  <si>
    <t>0:01:42:02</t>
  </si>
  <si>
    <t>0:01:42:03</t>
  </si>
  <si>
    <t>0:01:42:04</t>
  </si>
  <si>
    <t>0:01:42:05</t>
  </si>
  <si>
    <t>0:01:42:06</t>
  </si>
  <si>
    <t>0:01:42:07</t>
  </si>
  <si>
    <t>0:01:42:08</t>
  </si>
  <si>
    <t>0:01:42:09</t>
  </si>
  <si>
    <t>0:01:42:10</t>
  </si>
  <si>
    <t>0:01:42:11</t>
  </si>
  <si>
    <t>0:01:42:12</t>
  </si>
  <si>
    <t>0:01:42:13</t>
  </si>
  <si>
    <t>0:01:42:14</t>
  </si>
  <si>
    <t>0:01:42:15</t>
  </si>
  <si>
    <t>0:01:42:16</t>
  </si>
  <si>
    <t>0:01:42:17</t>
  </si>
  <si>
    <t>0:01:42:18</t>
  </si>
  <si>
    <t>0:01:42:19</t>
  </si>
  <si>
    <t>0:01:42:20</t>
  </si>
  <si>
    <t>0:01:42:21</t>
  </si>
  <si>
    <t>0:01:42:22</t>
  </si>
  <si>
    <t>0:01:42:23</t>
  </si>
  <si>
    <t>0:01:42:24</t>
  </si>
  <si>
    <t>0:01:43:00</t>
  </si>
  <si>
    <t>0:01:43:01</t>
  </si>
  <si>
    <t>0:01:43:02</t>
  </si>
  <si>
    <t>0:01:43:03</t>
  </si>
  <si>
    <t>0:01:43:04</t>
  </si>
  <si>
    <t>0:01:43:05</t>
  </si>
  <si>
    <t>0:01:43:06</t>
  </si>
  <si>
    <t>0:01:43:07</t>
  </si>
  <si>
    <t>0:01:43:08</t>
  </si>
  <si>
    <t>0:01:43:09</t>
  </si>
  <si>
    <t>0:01:43:10</t>
  </si>
  <si>
    <t>0:01:43:11</t>
  </si>
  <si>
    <t>0:01:43:12</t>
  </si>
  <si>
    <t>0:01:43:13</t>
  </si>
  <si>
    <t>0:01:43:14</t>
  </si>
  <si>
    <t>0:01:43:15</t>
  </si>
  <si>
    <t>0:01:43:16</t>
  </si>
  <si>
    <t>0:01:43:17</t>
  </si>
  <si>
    <t>0:01:43:18</t>
  </si>
  <si>
    <t>0:01:43:19</t>
  </si>
  <si>
    <t>0:01:43:20</t>
  </si>
  <si>
    <t>0:01:43:21</t>
  </si>
  <si>
    <t>0:01:43:22</t>
  </si>
  <si>
    <t>0:01:43:23</t>
  </si>
  <si>
    <t>0:01:43:24</t>
  </si>
  <si>
    <t>0:01:44:00</t>
  </si>
  <si>
    <t>0:01:44:01</t>
  </si>
  <si>
    <t>0:01:44:02</t>
  </si>
  <si>
    <t>0:01:44:03</t>
  </si>
  <si>
    <t>0:01:44:04</t>
  </si>
  <si>
    <t>0:01:44:05</t>
  </si>
  <si>
    <t>0:01:44:06</t>
  </si>
  <si>
    <t>0:01:44:07</t>
  </si>
  <si>
    <t>0:01:44:08</t>
  </si>
  <si>
    <t>0:01:44:09</t>
  </si>
  <si>
    <t>0:01:44:10</t>
  </si>
  <si>
    <t>0:01:44:11</t>
  </si>
  <si>
    <t>0:01:44:12</t>
  </si>
  <si>
    <t>0:01:44:13</t>
  </si>
  <si>
    <t>0:01:44:14</t>
  </si>
  <si>
    <t>0:01:44:15</t>
  </si>
  <si>
    <t>0:01:44:16</t>
  </si>
  <si>
    <t>0:01:44:17</t>
  </si>
  <si>
    <t>0:01:44:18</t>
  </si>
  <si>
    <t>0:01:44:19</t>
  </si>
  <si>
    <t>0:01:44:20</t>
  </si>
  <si>
    <t>0:01:44:21</t>
  </si>
  <si>
    <t>0:01:44:22</t>
  </si>
  <si>
    <t>0:01:44:23</t>
  </si>
  <si>
    <t>0:01:44:24</t>
  </si>
  <si>
    <t>0:01:45:00</t>
  </si>
  <si>
    <t>0:01:45:01</t>
  </si>
  <si>
    <t>0:01:45:02</t>
  </si>
  <si>
    <t>0:01:45:03</t>
  </si>
  <si>
    <t>0:01:45:04</t>
  </si>
  <si>
    <t>0:01:45:05</t>
  </si>
  <si>
    <t>0:01:45:06</t>
  </si>
  <si>
    <t>0:01:45:07</t>
  </si>
  <si>
    <t>0:01:45:08</t>
  </si>
  <si>
    <t>0:01:45:09</t>
  </si>
  <si>
    <t>0:01:45:10</t>
  </si>
  <si>
    <t>0:01:45:11</t>
  </si>
  <si>
    <t>0:01:45:12</t>
  </si>
  <si>
    <t>0:01:45:13</t>
  </si>
  <si>
    <t>0:01:45:14</t>
  </si>
  <si>
    <t>0:01:45:15</t>
  </si>
  <si>
    <t>0:01:45:16</t>
  </si>
  <si>
    <t>0:01:45:17</t>
  </si>
  <si>
    <t>0:01:45:18</t>
  </si>
  <si>
    <t>0:01:45:19</t>
  </si>
  <si>
    <t>0:01:45:20</t>
  </si>
  <si>
    <t>0:01:45:21</t>
  </si>
  <si>
    <t>0:01:45:22</t>
  </si>
  <si>
    <t>0:01:45:23</t>
  </si>
  <si>
    <t>0:01:45:24</t>
  </si>
  <si>
    <t>0:01:46:00</t>
  </si>
  <si>
    <t>0:01:46:01</t>
  </si>
  <si>
    <t>0:01:46:02</t>
  </si>
  <si>
    <t>0:01:46:03</t>
  </si>
  <si>
    <t>0:01:46:04</t>
  </si>
  <si>
    <t>0:01:46:05</t>
  </si>
  <si>
    <t>0:01:46:06</t>
  </si>
  <si>
    <t>0:01:46:07</t>
  </si>
  <si>
    <t>0:01:46:08</t>
  </si>
  <si>
    <t>0:01:46:09</t>
  </si>
  <si>
    <t>0:01:46:10</t>
  </si>
  <si>
    <t>0:01:46:11</t>
  </si>
  <si>
    <t>0:01:46:12</t>
  </si>
  <si>
    <t>0:01:46:13</t>
  </si>
  <si>
    <t>0:01:46:14</t>
  </si>
  <si>
    <t>0:01:46:15</t>
  </si>
  <si>
    <t>0:01:46:16</t>
  </si>
  <si>
    <t>0:01:46:17</t>
  </si>
  <si>
    <t>0:01:46:18</t>
  </si>
  <si>
    <t>0:01:46:19</t>
  </si>
  <si>
    <t>0:01:46:20</t>
  </si>
  <si>
    <t>0:01:46:21</t>
  </si>
  <si>
    <t>0:01:46:22</t>
  </si>
  <si>
    <t>0:01:46:23</t>
  </si>
  <si>
    <t>0:01:46:24</t>
  </si>
  <si>
    <t>0:01:47:00</t>
  </si>
  <si>
    <t>0:01:47:01</t>
  </si>
  <si>
    <t>0:01:47:02</t>
  </si>
  <si>
    <t>0:01:47:03</t>
  </si>
  <si>
    <t>0:01:47:04</t>
  </si>
  <si>
    <t>0:01:47:05</t>
  </si>
  <si>
    <t>0:01:47:06</t>
  </si>
  <si>
    <t>0:01:47:07</t>
  </si>
  <si>
    <t>0:01:47:08</t>
  </si>
  <si>
    <t>0:01:47:09</t>
  </si>
  <si>
    <t>0:01:47:10</t>
  </si>
  <si>
    <t>0:01:47:11</t>
  </si>
  <si>
    <t>0:01:47:12</t>
  </si>
  <si>
    <t>0:01:47:13</t>
  </si>
  <si>
    <t>0:01:47:14</t>
  </si>
  <si>
    <t>0:01:47:15</t>
  </si>
  <si>
    <t>0:01:47:16</t>
  </si>
  <si>
    <t>0:01:47:17</t>
  </si>
  <si>
    <t>0:01:47:18</t>
  </si>
  <si>
    <t>0:01:47:19</t>
  </si>
  <si>
    <t>0:01:47:20</t>
  </si>
  <si>
    <t>0:01:47:21</t>
  </si>
  <si>
    <t>0:01:47:22</t>
  </si>
  <si>
    <t>0:01:47:23</t>
  </si>
  <si>
    <t>0:01:47:24</t>
  </si>
  <si>
    <t>0:01:48:00</t>
  </si>
  <si>
    <t>0:01:48:01</t>
  </si>
  <si>
    <t>0:01:48:02</t>
  </si>
  <si>
    <t>0:01:48:03</t>
  </si>
  <si>
    <t>0:01:48:04</t>
  </si>
  <si>
    <t>0:01:48:05</t>
  </si>
  <si>
    <t>0:01:48:06</t>
  </si>
  <si>
    <t>0:01:48:07</t>
  </si>
  <si>
    <t>0:01:48:08</t>
  </si>
  <si>
    <t>0:01:48:09</t>
  </si>
  <si>
    <t>0:01:48:10</t>
  </si>
  <si>
    <t>0:01:48:11</t>
  </si>
  <si>
    <t>0:01:48:12</t>
  </si>
  <si>
    <t>0:01:48:13</t>
  </si>
  <si>
    <t>0:01:48:14</t>
  </si>
  <si>
    <t>0:01:48:15</t>
  </si>
  <si>
    <t>0:01:48:16</t>
  </si>
  <si>
    <t>0:01:48:17</t>
  </si>
  <si>
    <t>0:01:48:18</t>
  </si>
  <si>
    <t>0:01:48:19</t>
  </si>
  <si>
    <t>0:01:48:20</t>
  </si>
  <si>
    <t>0:01:48:21</t>
  </si>
  <si>
    <t>0:01:48:22</t>
  </si>
  <si>
    <t>0:01:48:23</t>
  </si>
  <si>
    <t>0:01:48:24</t>
  </si>
  <si>
    <t>0:01:49:00</t>
  </si>
  <si>
    <t>0:01:49:01</t>
  </si>
  <si>
    <t>0:01:49:02</t>
  </si>
  <si>
    <t>0:01:49:03</t>
  </si>
  <si>
    <t>0:01:49:04</t>
  </si>
  <si>
    <t>0:01:49:05</t>
  </si>
  <si>
    <t>0:01:49:06</t>
  </si>
  <si>
    <t>0:01:49:07</t>
  </si>
  <si>
    <t>0:01:49:08</t>
  </si>
  <si>
    <t>0:01:49:09</t>
  </si>
  <si>
    <t>0:01:49:10</t>
  </si>
  <si>
    <t>0:01:49:11</t>
  </si>
  <si>
    <t>0:01:49:12</t>
  </si>
  <si>
    <t>0:01:49:13</t>
  </si>
  <si>
    <t>0:01:49:14</t>
  </si>
  <si>
    <t>0:01:49:15</t>
  </si>
  <si>
    <t>0:01:49:16</t>
  </si>
  <si>
    <t>0:01:49:17</t>
  </si>
  <si>
    <t>0:01:49:18</t>
  </si>
  <si>
    <t>0:01:49:19</t>
  </si>
  <si>
    <t>0:01:49:20</t>
  </si>
  <si>
    <t>0:01:49:21</t>
  </si>
  <si>
    <t>0:01:49:22</t>
  </si>
  <si>
    <t>0:01:49:23</t>
  </si>
  <si>
    <t>0:01:49:24</t>
  </si>
  <si>
    <t>0:01:50:00</t>
  </si>
  <si>
    <t>0:01:50:01</t>
  </si>
  <si>
    <t>0:01:50:02</t>
  </si>
  <si>
    <t>0:01:50:03</t>
  </si>
  <si>
    <t>0:01:50:04</t>
  </si>
  <si>
    <t>0:01:50:05</t>
  </si>
  <si>
    <t>0:01:50:06</t>
  </si>
  <si>
    <t>0:01:50:07</t>
  </si>
  <si>
    <t>0:01:50:08</t>
  </si>
  <si>
    <t>0:01:50:09</t>
  </si>
  <si>
    <t>0:01:50:10</t>
  </si>
  <si>
    <t>0:01:50:11</t>
  </si>
  <si>
    <t>0:01:50:12</t>
  </si>
  <si>
    <t>0:01:50:13</t>
  </si>
  <si>
    <t>0:01:50:14</t>
  </si>
  <si>
    <t>0:01:50:15</t>
  </si>
  <si>
    <t>0:01:50:16</t>
  </si>
  <si>
    <t>0:01:50:17</t>
  </si>
  <si>
    <t>0:01:50:18</t>
  </si>
  <si>
    <t>0:01:50:19</t>
  </si>
  <si>
    <t>0:01:50:20</t>
  </si>
  <si>
    <t>0:01:50:21</t>
  </si>
  <si>
    <t>0:01:50:22</t>
  </si>
  <si>
    <t>0:01:50:23</t>
  </si>
  <si>
    <t>0:01:50:24</t>
  </si>
  <si>
    <t>0:01:51:00</t>
  </si>
  <si>
    <t>0:01:51:01</t>
  </si>
  <si>
    <t>0:01:51:02</t>
  </si>
  <si>
    <t>0:01:51:03</t>
  </si>
  <si>
    <t>0:01:51:04</t>
  </si>
  <si>
    <t>0:01:51:05</t>
  </si>
  <si>
    <t>0:01:51:06</t>
  </si>
  <si>
    <t>0:01:51:07</t>
  </si>
  <si>
    <t>0:01:51:08</t>
  </si>
  <si>
    <t>0:01:51:09</t>
  </si>
  <si>
    <t>0:01:51:10</t>
  </si>
  <si>
    <t>0:01:51:11</t>
  </si>
  <si>
    <t>0:01:51:12</t>
  </si>
  <si>
    <t>0:01:51:13</t>
  </si>
  <si>
    <t>0:01:51:14</t>
  </si>
  <si>
    <t>0:01:51:15</t>
  </si>
  <si>
    <t>0:01:51:16</t>
  </si>
  <si>
    <t>0:01:51:17</t>
  </si>
  <si>
    <t>0:01:51:18</t>
  </si>
  <si>
    <t>0:01:51:19</t>
  </si>
  <si>
    <t>0:01:51:20</t>
  </si>
  <si>
    <t>0:01:51:21</t>
  </si>
  <si>
    <t>0:01:51:22</t>
  </si>
  <si>
    <t>0:01:51:23</t>
  </si>
  <si>
    <t>0:01:51:24</t>
  </si>
  <si>
    <t>0:01:52:00</t>
  </si>
  <si>
    <t>0:01:52:01</t>
  </si>
  <si>
    <t>0:01:52:02</t>
  </si>
  <si>
    <t>0:01:52:03</t>
  </si>
  <si>
    <t>0:01:52:04</t>
  </si>
  <si>
    <t>0:01:52:05</t>
  </si>
  <si>
    <t>0:01:52:06</t>
  </si>
  <si>
    <t>0:01:52:07</t>
  </si>
  <si>
    <t>0:01:52:08</t>
  </si>
  <si>
    <t>0:01:52:09</t>
  </si>
  <si>
    <t>0:01:52:10</t>
  </si>
  <si>
    <t>0:01:52:11</t>
  </si>
  <si>
    <t>0:01:52:12</t>
  </si>
  <si>
    <t>0:01:52:13</t>
  </si>
  <si>
    <t>0:01:52:14</t>
  </si>
  <si>
    <t>0:01:52:15</t>
  </si>
  <si>
    <t>0:01:52:16</t>
  </si>
  <si>
    <t>0:01:52:17</t>
  </si>
  <si>
    <t>0:01:52:18</t>
  </si>
  <si>
    <t>0:01:52:19</t>
  </si>
  <si>
    <t>0:01:52:20</t>
  </si>
  <si>
    <t>0:01:52:21</t>
  </si>
  <si>
    <t>0:01:52:22</t>
  </si>
  <si>
    <t>0:01:52:23</t>
  </si>
  <si>
    <t>0:01:52:24</t>
  </si>
  <si>
    <t>0:01:53:00</t>
  </si>
  <si>
    <t>0:01:53:01</t>
  </si>
  <si>
    <t>0:01:53:02</t>
  </si>
  <si>
    <t>0:01:53:03</t>
  </si>
  <si>
    <t>0:01:53:04</t>
  </si>
  <si>
    <t>0:01:53:05</t>
  </si>
  <si>
    <t>0:01:53:06</t>
  </si>
  <si>
    <t>0:01:53:07</t>
  </si>
  <si>
    <t>0:01:53:08</t>
  </si>
  <si>
    <t>0:01:53:09</t>
  </si>
  <si>
    <t>0:01:53:10</t>
  </si>
  <si>
    <t>0:01:53:11</t>
  </si>
  <si>
    <t>0:01:53:12</t>
  </si>
  <si>
    <t>0:01:53:13</t>
  </si>
  <si>
    <t>0:01:53:14</t>
  </si>
  <si>
    <t>0:01:53:15</t>
  </si>
  <si>
    <t>0:01:53:16</t>
  </si>
  <si>
    <t>0:01:53:17</t>
  </si>
  <si>
    <t>0:01:53:18</t>
  </si>
  <si>
    <t>0:01:53:19</t>
  </si>
  <si>
    <t>0:01:53:20</t>
  </si>
  <si>
    <t>0:01:53:21</t>
  </si>
  <si>
    <t>0:01:53:22</t>
  </si>
  <si>
    <t>0:01:53:23</t>
  </si>
  <si>
    <t>0:01:53:24</t>
  </si>
  <si>
    <t>0:01:54:00</t>
  </si>
  <si>
    <t>0:01:54:01</t>
  </si>
  <si>
    <t>0:01:54:02</t>
  </si>
  <si>
    <t>0:01:54:03</t>
  </si>
  <si>
    <t>0:01:54:04</t>
  </si>
  <si>
    <t>0:01:54:05</t>
  </si>
  <si>
    <t>0:01:54:06</t>
  </si>
  <si>
    <t>0:01:54:07</t>
  </si>
  <si>
    <t>0:01:54:08</t>
  </si>
  <si>
    <t>0:01:54:09</t>
  </si>
  <si>
    <t>0:01:54:10</t>
  </si>
  <si>
    <t>0:01:54:11</t>
  </si>
  <si>
    <t>0:01:54:12</t>
  </si>
  <si>
    <t>0:01:54:13</t>
  </si>
  <si>
    <t>0:01:54:14</t>
  </si>
  <si>
    <t>0:01:54:15</t>
  </si>
  <si>
    <t>0:01:54:16</t>
  </si>
  <si>
    <t>0:01:54:17</t>
  </si>
  <si>
    <t>0:01:54:18</t>
  </si>
  <si>
    <t>0:01:54:19</t>
  </si>
  <si>
    <t>0:01:54:20</t>
  </si>
  <si>
    <t>0:01:54:21</t>
  </si>
  <si>
    <t>0:01:54:22</t>
  </si>
  <si>
    <t>0:01:54:23</t>
  </si>
  <si>
    <t>0:01:54:24</t>
  </si>
  <si>
    <t>0:01:55:00</t>
  </si>
  <si>
    <t>0:01:55:01</t>
  </si>
  <si>
    <t>0:01:55:02</t>
  </si>
  <si>
    <t>0:01:55:03</t>
  </si>
  <si>
    <t>0:01:55:04</t>
  </si>
  <si>
    <t>0:01:55:05</t>
  </si>
  <si>
    <t>0:01:55:06</t>
  </si>
  <si>
    <t>0:01:55:07</t>
  </si>
  <si>
    <t>0:01:55:08</t>
  </si>
  <si>
    <t>0:01:55:09</t>
  </si>
  <si>
    <t>0:01:55:10</t>
  </si>
  <si>
    <t>0:01:55:11</t>
  </si>
  <si>
    <t>0:01:55:12</t>
  </si>
  <si>
    <t>0:01:55:13</t>
  </si>
  <si>
    <t>0:01:55:14</t>
  </si>
  <si>
    <t>0:01:55:15</t>
  </si>
  <si>
    <t>0:01:55:16</t>
  </si>
  <si>
    <t>0:01:55:17</t>
  </si>
  <si>
    <t>0:01:55:18</t>
  </si>
  <si>
    <t>0:01:55:19</t>
  </si>
  <si>
    <t>0:01:55:20</t>
  </si>
  <si>
    <t>0:01:55:21</t>
  </si>
  <si>
    <t>0:01:55:22</t>
  </si>
  <si>
    <t>0:01:55:23</t>
  </si>
  <si>
    <t>0:01:55:24</t>
  </si>
  <si>
    <t>0:01:56:00</t>
  </si>
  <si>
    <t>0:01:56:01</t>
  </si>
  <si>
    <t>0:01:56:02</t>
  </si>
  <si>
    <t>0:01:56:03</t>
  </si>
  <si>
    <t>0:01:56:04</t>
  </si>
  <si>
    <t>0:01:56:05</t>
  </si>
  <si>
    <t>0:01:56:06</t>
  </si>
  <si>
    <t>0:01:56:07</t>
  </si>
  <si>
    <t>0:01:56:08</t>
  </si>
  <si>
    <t>0:01:56:09</t>
  </si>
  <si>
    <t>0:01:56:10</t>
  </si>
  <si>
    <t>0:01:56:11</t>
  </si>
  <si>
    <t>0:01:56:12</t>
  </si>
  <si>
    <t>0:01:56:13</t>
  </si>
  <si>
    <t>0:01:56:14</t>
  </si>
  <si>
    <t>0:01:56:15</t>
  </si>
  <si>
    <t>0:01:56:16</t>
  </si>
  <si>
    <t>0:01:56:17</t>
  </si>
  <si>
    <t>0:01:56:18</t>
  </si>
  <si>
    <t>0:01:56:19</t>
  </si>
  <si>
    <t>0:01:56:20</t>
  </si>
  <si>
    <t>0:01:56:21</t>
  </si>
  <si>
    <t>0:01:56:22</t>
  </si>
  <si>
    <t>0:01:56:23</t>
  </si>
  <si>
    <t>0:01:56:24</t>
  </si>
  <si>
    <t>0:01:57:00</t>
  </si>
  <si>
    <t>0:01:57:01</t>
  </si>
  <si>
    <t>0:01:57:02</t>
  </si>
  <si>
    <t>0:01:57:03</t>
  </si>
  <si>
    <t>0:01:57:04</t>
  </si>
  <si>
    <t>0:01:57:05</t>
  </si>
  <si>
    <t>0:01:57:06</t>
  </si>
  <si>
    <t>0:01:57:07</t>
  </si>
  <si>
    <t>0:01:57:08</t>
  </si>
  <si>
    <t>0:01:57:09</t>
  </si>
  <si>
    <t>0:01:57:10</t>
  </si>
  <si>
    <t>0:01:57:11</t>
  </si>
  <si>
    <t>0:01:57:12</t>
  </si>
  <si>
    <t>0:01:57:13</t>
  </si>
  <si>
    <t>0:01:57:14</t>
  </si>
  <si>
    <t>0:01:57:15</t>
  </si>
  <si>
    <t>0:01:57:16</t>
  </si>
  <si>
    <t>0:01:57:17</t>
  </si>
  <si>
    <t>0:01:57:18</t>
  </si>
  <si>
    <t>0:01:57:19</t>
  </si>
  <si>
    <t>0:01:57:20</t>
  </si>
  <si>
    <t>0:01:57:21</t>
  </si>
  <si>
    <t>0:01:57:22</t>
  </si>
  <si>
    <t>0:01:57:23</t>
  </si>
  <si>
    <t>0:01:57:24</t>
  </si>
  <si>
    <t>0:01:58:00</t>
  </si>
  <si>
    <t>0:01:58:01</t>
  </si>
  <si>
    <t>0:01:58:02</t>
  </si>
  <si>
    <t>0:01:58:03</t>
  </si>
  <si>
    <t>0:01:58:04</t>
  </si>
  <si>
    <t>0:01:58:05</t>
  </si>
  <si>
    <t>0:01:58:06</t>
  </si>
  <si>
    <t>0:01:58:07</t>
  </si>
  <si>
    <t>0:01:58:08</t>
  </si>
  <si>
    <t>0:01:58:09</t>
  </si>
  <si>
    <t>0:01:58:10</t>
  </si>
  <si>
    <t>0:01:58:11</t>
  </si>
  <si>
    <t>0:01:58:12</t>
  </si>
  <si>
    <t>0:01:58:13</t>
  </si>
  <si>
    <t>0:01:58:14</t>
  </si>
  <si>
    <t>0:01:58:15</t>
  </si>
  <si>
    <t>0:01:58:16</t>
  </si>
  <si>
    <t>0:01:58:17</t>
  </si>
  <si>
    <t>0:01:58:18</t>
  </si>
  <si>
    <t>0:01:58:19</t>
  </si>
  <si>
    <t>0:01:58:20</t>
  </si>
  <si>
    <t>0:01:58:21</t>
  </si>
  <si>
    <t>0:01:58:22</t>
  </si>
  <si>
    <t>0:01:58:23</t>
  </si>
  <si>
    <t>0:01:58:24</t>
  </si>
  <si>
    <t>0:01:59:00</t>
  </si>
  <si>
    <t>0:01:59:01</t>
  </si>
  <si>
    <t>0:01:59:02</t>
  </si>
  <si>
    <t>0:01:59:03</t>
  </si>
  <si>
    <t>0:01:59:04</t>
  </si>
  <si>
    <t>0:01:59:05</t>
  </si>
  <si>
    <t>0:01:59:06</t>
  </si>
  <si>
    <t>0:01:59:07</t>
  </si>
  <si>
    <t>0:01:59:08</t>
  </si>
  <si>
    <t>0:01:59:09</t>
  </si>
  <si>
    <t>0:01:59:10</t>
  </si>
  <si>
    <t>0:01:59:11</t>
  </si>
  <si>
    <t>0:01:59:12</t>
  </si>
  <si>
    <t>0:01:59:13</t>
  </si>
  <si>
    <t>0:01:59:14</t>
  </si>
  <si>
    <t>0:01:59:15</t>
  </si>
  <si>
    <t>0:01:59:16</t>
  </si>
  <si>
    <t>0:01:59:17</t>
  </si>
  <si>
    <t>0:01:59:18</t>
  </si>
  <si>
    <t>0:01:59:19</t>
  </si>
  <si>
    <t>0:01:59:20</t>
  </si>
  <si>
    <t>0:01:59:21</t>
  </si>
  <si>
    <t>0:01:59:22</t>
  </si>
  <si>
    <t>0:01:59:23</t>
  </si>
  <si>
    <t>0:01:59:24</t>
  </si>
  <si>
    <t>0:02:00:00</t>
  </si>
  <si>
    <t>0:02:00:01</t>
  </si>
  <si>
    <t>0:02:00:02</t>
  </si>
  <si>
    <t>0:02:00:03</t>
  </si>
  <si>
    <t>0:02:00:04</t>
  </si>
  <si>
    <t>0:02:00:05</t>
  </si>
  <si>
    <t>0:02:00:06</t>
  </si>
  <si>
    <t>0:02:00:07</t>
  </si>
  <si>
    <t>0:02:00:08</t>
  </si>
  <si>
    <t>0:02:00:09</t>
  </si>
  <si>
    <t>0:02:00:10</t>
  </si>
  <si>
    <t>0:02:00:11</t>
  </si>
  <si>
    <t>0:02:00:12</t>
  </si>
  <si>
    <t>0:02:00:13</t>
  </si>
  <si>
    <t>0:02:00:14</t>
  </si>
  <si>
    <t>0:02:00:15</t>
  </si>
  <si>
    <t>0:02:00:16</t>
  </si>
  <si>
    <t>0:02:00:17</t>
  </si>
  <si>
    <t>0:02:00:18</t>
  </si>
  <si>
    <t>0:02:00:19</t>
  </si>
  <si>
    <t>0:02:00:20</t>
  </si>
  <si>
    <t>0:02:00:21</t>
  </si>
  <si>
    <t>0:02:00:22</t>
  </si>
  <si>
    <t>0:02:00:23</t>
  </si>
  <si>
    <t>0:02:00:24</t>
  </si>
  <si>
    <t>0:02:01:00</t>
  </si>
  <si>
    <t>0:02:01:01</t>
  </si>
  <si>
    <t>0:02:01:02</t>
  </si>
  <si>
    <t>0:02:01:03</t>
  </si>
  <si>
    <t>0:02:01:04</t>
  </si>
  <si>
    <t>0:02:01:05</t>
  </si>
  <si>
    <t>0:02:01:06</t>
  </si>
  <si>
    <t>0:02:01:07</t>
  </si>
  <si>
    <t>0:02:01:08</t>
  </si>
  <si>
    <t>0:02:01:09</t>
  </si>
  <si>
    <t>0:02:01:10</t>
  </si>
  <si>
    <t>0:02:01:11</t>
  </si>
  <si>
    <t>0:02:01:12</t>
  </si>
  <si>
    <t>0:02:01:13</t>
  </si>
  <si>
    <t>0:02:01:14</t>
  </si>
  <si>
    <t>0:02:01:15</t>
  </si>
  <si>
    <t>0:02:01:16</t>
  </si>
  <si>
    <t>0:02:01:17</t>
  </si>
  <si>
    <t>0:02:01:18</t>
  </si>
  <si>
    <t>0:02:01:19</t>
  </si>
  <si>
    <t>0:02:01:20</t>
  </si>
  <si>
    <t>0:02:01:21</t>
  </si>
  <si>
    <t>0:02:01:22</t>
  </si>
  <si>
    <t>0:02:01:23</t>
  </si>
  <si>
    <t>0:02:01:24</t>
  </si>
  <si>
    <t>0:02:02:00</t>
  </si>
  <si>
    <t>0:02:02:01</t>
  </si>
  <si>
    <t>0:02:02:02</t>
  </si>
  <si>
    <t>0:02:02:03</t>
  </si>
  <si>
    <t>0:02:02:04</t>
  </si>
  <si>
    <t>0:02:02:05</t>
  </si>
  <si>
    <t>0:02:02:06</t>
  </si>
  <si>
    <t>0:02:02:07</t>
  </si>
  <si>
    <t>0:02:02:08</t>
  </si>
  <si>
    <t>0:02:02:09</t>
  </si>
  <si>
    <t>0:02:02:10</t>
  </si>
  <si>
    <t>0:02:02:11</t>
  </si>
  <si>
    <t>0:02:02:12</t>
  </si>
  <si>
    <t>0:02:02:13</t>
  </si>
  <si>
    <t>0:02:02:14</t>
  </si>
  <si>
    <t>0:02:02:15</t>
  </si>
  <si>
    <t>0:02:02:16</t>
  </si>
  <si>
    <t>0:02:02:17</t>
  </si>
  <si>
    <t>0:02:02:18</t>
  </si>
  <si>
    <t>0:02:02:19</t>
  </si>
  <si>
    <t>0:02:02:20</t>
  </si>
  <si>
    <t>0:02:02:21</t>
  </si>
  <si>
    <t>0:02:02:22</t>
  </si>
  <si>
    <t>0:02:02:23</t>
  </si>
  <si>
    <t>0:02:02:24</t>
  </si>
  <si>
    <t>0:02:03:00</t>
  </si>
  <si>
    <t>0:02:03:01</t>
  </si>
  <si>
    <t>0:02:03:02</t>
  </si>
  <si>
    <t>0:02:03:03</t>
  </si>
  <si>
    <t>0:02:03:04</t>
  </si>
  <si>
    <t>0:02:03:05</t>
  </si>
  <si>
    <t>0:02:03:06</t>
  </si>
  <si>
    <t>0:02:03:07</t>
  </si>
  <si>
    <t>0:02:03:08</t>
  </si>
  <si>
    <t>0:02:03:09</t>
  </si>
  <si>
    <t>0:02:03:10</t>
  </si>
  <si>
    <t>0:02:03:11</t>
  </si>
  <si>
    <t>0:02:03:12</t>
  </si>
  <si>
    <t>0:02:03:13</t>
  </si>
  <si>
    <t>0:02:03:14</t>
  </si>
  <si>
    <t>0:02:03:15</t>
  </si>
  <si>
    <t>0:02:03:16</t>
  </si>
  <si>
    <t>0:02:03:17</t>
  </si>
  <si>
    <t>0:02:03:18</t>
  </si>
  <si>
    <t>0:02:03:19</t>
  </si>
  <si>
    <t>0:02:03:20</t>
  </si>
  <si>
    <t>0:02:03:21</t>
  </si>
  <si>
    <t>0:02:03:22</t>
  </si>
  <si>
    <t>0:02:03:23</t>
  </si>
  <si>
    <t>0:02:03:24</t>
  </si>
  <si>
    <t>0:02:04:00</t>
  </si>
  <si>
    <t>0:02:04:01</t>
  </si>
  <si>
    <t>0:02:04:02</t>
  </si>
  <si>
    <t>0:02:04:03</t>
  </si>
  <si>
    <t>0:02:04:04</t>
  </si>
  <si>
    <t>0:02:04:05</t>
  </si>
  <si>
    <t>0:02:04:06</t>
  </si>
  <si>
    <t>0:02:04:07</t>
  </si>
  <si>
    <t>0:02:04:08</t>
  </si>
  <si>
    <t>0:02:04:09</t>
  </si>
  <si>
    <t>0:02:04:10</t>
  </si>
  <si>
    <t>0:02:04:11</t>
  </si>
  <si>
    <t>0:02:04:12</t>
  </si>
  <si>
    <t>0:02:04:13</t>
  </si>
  <si>
    <t>0:02:04:14</t>
  </si>
  <si>
    <t>0:02:04:15</t>
  </si>
  <si>
    <t>0:02:04:16</t>
  </si>
  <si>
    <t>0:02:04:17</t>
  </si>
  <si>
    <t>0:02:04:18</t>
  </si>
  <si>
    <t>0:02:04:19</t>
  </si>
  <si>
    <t>0:02:04:20</t>
  </si>
  <si>
    <t>0:02:04:21</t>
  </si>
  <si>
    <t>0:02:04:22</t>
  </si>
  <si>
    <t>0:02:04:23</t>
  </si>
  <si>
    <t>0:02:04:24</t>
  </si>
  <si>
    <t>0:02:05:00</t>
  </si>
  <si>
    <t>0:02:05:01</t>
  </si>
  <si>
    <t>0:02:05:02</t>
  </si>
  <si>
    <t>0:02:05:03</t>
  </si>
  <si>
    <t>0:02:05:04</t>
  </si>
  <si>
    <t>0:02:05:05</t>
  </si>
  <si>
    <t>0:02:05:06</t>
  </si>
  <si>
    <t>0:02:05:07</t>
  </si>
  <si>
    <t>0:02:05:08</t>
  </si>
  <si>
    <t>0:02:05:09</t>
  </si>
  <si>
    <t>0:02:05:10</t>
  </si>
  <si>
    <t>0:02:05:11</t>
  </si>
  <si>
    <t>0:02:05:12</t>
  </si>
  <si>
    <t>0:02:05:13</t>
  </si>
  <si>
    <t>0:02:05:14</t>
  </si>
  <si>
    <t>0:02:05:15</t>
  </si>
  <si>
    <t>0:02:05:16</t>
  </si>
  <si>
    <t>0:02:05:17</t>
  </si>
  <si>
    <t>0:02:05:18</t>
  </si>
  <si>
    <t>0:02:05:19</t>
  </si>
  <si>
    <t>0:02:05:20</t>
  </si>
  <si>
    <t>0:02:05:21</t>
  </si>
  <si>
    <t>0:02:05:22</t>
  </si>
  <si>
    <t>0:02:05:23</t>
  </si>
  <si>
    <t>0:02:05:24</t>
  </si>
  <si>
    <t>0:02:06:00</t>
  </si>
  <si>
    <t>0:02:06:01</t>
  </si>
  <si>
    <t>0:02:06:02</t>
  </si>
  <si>
    <t>0:02:06:03</t>
  </si>
  <si>
    <t>0:02:06:04</t>
  </si>
  <si>
    <t>0:02:06:05</t>
  </si>
  <si>
    <t>0:02:06:06</t>
  </si>
  <si>
    <t>0:02:06:07</t>
  </si>
  <si>
    <t>0:02:06:08</t>
  </si>
  <si>
    <t>0:02:06:09</t>
  </si>
  <si>
    <t>0:02:06:10</t>
  </si>
  <si>
    <t>0:02:06:11</t>
  </si>
  <si>
    <t>0:02:06:12</t>
  </si>
  <si>
    <t>0:02:06:13</t>
  </si>
  <si>
    <t>0:02:06:14</t>
  </si>
  <si>
    <t>0:02:06:15</t>
  </si>
  <si>
    <t>0:02:06:16</t>
  </si>
  <si>
    <t>0:02:06:17</t>
  </si>
  <si>
    <t>0:02:06:18</t>
  </si>
  <si>
    <t>0:02:06:19</t>
  </si>
  <si>
    <t>0:02:06:20</t>
  </si>
  <si>
    <t>0:02:06:21</t>
  </si>
  <si>
    <t>0:02:06:22</t>
  </si>
  <si>
    <t>0:02:06:23</t>
  </si>
  <si>
    <t>0:02:06:24</t>
  </si>
  <si>
    <t>0:02:07:00</t>
  </si>
  <si>
    <t>0:02:07:01</t>
  </si>
  <si>
    <t>0:02:07:02</t>
  </si>
  <si>
    <t>0:02:07:03</t>
  </si>
  <si>
    <t>0:02:07:04</t>
  </si>
  <si>
    <t>0:02:07:05</t>
  </si>
  <si>
    <t>0:02:07:06</t>
  </si>
  <si>
    <t>0:02:07:07</t>
  </si>
  <si>
    <t>0:02:07:08</t>
  </si>
  <si>
    <t>0:02:07:09</t>
  </si>
  <si>
    <t>0:02:07:10</t>
  </si>
  <si>
    <t>0:02:07:11</t>
  </si>
  <si>
    <t>0:02:07:12</t>
  </si>
  <si>
    <t>0:02:07:13</t>
  </si>
  <si>
    <t>0:02:07:14</t>
  </si>
  <si>
    <t>0:02:07:15</t>
  </si>
  <si>
    <t>0:02:07:16</t>
  </si>
  <si>
    <t>0:02:07:17</t>
  </si>
  <si>
    <t>0:02:07:18</t>
  </si>
  <si>
    <t>0:02:07:19</t>
  </si>
  <si>
    <t>0:02:07:20</t>
  </si>
  <si>
    <t>0:02:07:21</t>
  </si>
  <si>
    <t>0:02:07:22</t>
  </si>
  <si>
    <t>0:02:07:23</t>
  </si>
  <si>
    <t>0:02:07:24</t>
  </si>
  <si>
    <t>0:02:08:00</t>
  </si>
  <si>
    <t>0:02:08:01</t>
  </si>
  <si>
    <t>0:02:08:02</t>
  </si>
  <si>
    <t>0:02:08:03</t>
  </si>
  <si>
    <t>0:02:08:04</t>
  </si>
  <si>
    <t>0:02:08:05</t>
  </si>
  <si>
    <t>0:02:08:06</t>
  </si>
  <si>
    <t>0:02:08:07</t>
  </si>
  <si>
    <t>0:02:08:08</t>
  </si>
  <si>
    <t>0:02:08:09</t>
  </si>
  <si>
    <t>0:02:08:10</t>
  </si>
  <si>
    <t>0:02:08:11</t>
  </si>
  <si>
    <t>0:02:08:12</t>
  </si>
  <si>
    <t>0:02:08:13</t>
  </si>
  <si>
    <t>0:02:08:14</t>
  </si>
  <si>
    <t>0:02:08:15</t>
  </si>
  <si>
    <t>0:02:08:16</t>
  </si>
  <si>
    <t>0:02:08:17</t>
  </si>
  <si>
    <t>0:02:08:18</t>
  </si>
  <si>
    <t>0:02:08:19</t>
  </si>
  <si>
    <t>0:02:08:20</t>
  </si>
  <si>
    <t>0:02:08:21</t>
  </si>
  <si>
    <t>0:02:08:22</t>
  </si>
  <si>
    <t>0:02:08:23</t>
  </si>
  <si>
    <t>0:02:08:24</t>
  </si>
  <si>
    <t>0:02:09:00</t>
  </si>
  <si>
    <t>0:02:09:01</t>
  </si>
  <si>
    <t>0:02:09:02</t>
  </si>
  <si>
    <t>0:02:09:03</t>
  </si>
  <si>
    <t>0:02:09:04</t>
  </si>
  <si>
    <t>0:02:09:05</t>
  </si>
  <si>
    <t>0:02:09:06</t>
  </si>
  <si>
    <t>0:02:09:07</t>
  </si>
  <si>
    <t>0:02:09:08</t>
  </si>
  <si>
    <t>0:02:09:09</t>
  </si>
  <si>
    <t>0:02:09:10</t>
  </si>
  <si>
    <t>0:02:09:11</t>
  </si>
  <si>
    <t>0:02:09:12</t>
  </si>
  <si>
    <t>0:02:09:13</t>
  </si>
  <si>
    <t>0:02:09:14</t>
  </si>
  <si>
    <t>0:02:09:15</t>
  </si>
  <si>
    <t>0:02:09:16</t>
  </si>
  <si>
    <t>0:02:09:17</t>
  </si>
  <si>
    <t>0:02:09:18</t>
  </si>
  <si>
    <t>0:02:09:19</t>
  </si>
  <si>
    <t>0:02:09:20</t>
  </si>
  <si>
    <t>0:02:09:21</t>
  </si>
  <si>
    <t>0:02:09:22</t>
  </si>
  <si>
    <t>0:02:09:23</t>
  </si>
  <si>
    <t>0:02:09:24</t>
  </si>
  <si>
    <t>0:02:10:00</t>
  </si>
  <si>
    <t>0:02:10:01</t>
  </si>
  <si>
    <t>0:02:10:02</t>
  </si>
  <si>
    <t>0:02:10:03</t>
  </si>
  <si>
    <t>0:02:10:04</t>
  </si>
  <si>
    <t>0:02:10:05</t>
  </si>
  <si>
    <t>0:02:10:06</t>
  </si>
  <si>
    <t>0:02:10:07</t>
  </si>
  <si>
    <t>0:02:10:08</t>
  </si>
  <si>
    <t>0:02:10:09</t>
  </si>
  <si>
    <t>0:02:10:10</t>
  </si>
  <si>
    <t>0:02:10:11</t>
  </si>
  <si>
    <t>0:02:10:12</t>
  </si>
  <si>
    <t>0:02:10:13</t>
  </si>
  <si>
    <t>0:02:10:14</t>
  </si>
  <si>
    <t>0:02:10:15</t>
  </si>
  <si>
    <t>0:02:10:16</t>
  </si>
  <si>
    <t>0:02:10:17</t>
  </si>
  <si>
    <t>0:02:10:18</t>
  </si>
  <si>
    <t>0:02:10:19</t>
  </si>
  <si>
    <t>0:02:10:20</t>
  </si>
  <si>
    <t>0:02:10:21</t>
  </si>
  <si>
    <t>0:02:10:22</t>
  </si>
  <si>
    <t>0:02:10:23</t>
  </si>
  <si>
    <t>0:02:10:24</t>
  </si>
  <si>
    <t>0:02:11:00</t>
  </si>
  <si>
    <t>0:02:11:01</t>
  </si>
  <si>
    <t>0:02:11:02</t>
  </si>
  <si>
    <t>0:02:11:03</t>
  </si>
  <si>
    <t>0:02:11:04</t>
  </si>
  <si>
    <t>0:02:11:05</t>
  </si>
  <si>
    <t>0:02:11:06</t>
  </si>
  <si>
    <t>0:02:11:07</t>
  </si>
  <si>
    <t>0:02:11:08</t>
  </si>
  <si>
    <t>0:02:11:09</t>
  </si>
  <si>
    <t>0:02:11:10</t>
  </si>
  <si>
    <t>0:02:11:11</t>
  </si>
  <si>
    <t>0:02:11:12</t>
  </si>
  <si>
    <t>0:02:11:13</t>
  </si>
  <si>
    <t>0:02:11:14</t>
  </si>
  <si>
    <t>0:02:11:15</t>
  </si>
  <si>
    <t>0:02:11:16</t>
  </si>
  <si>
    <t>0:02:11:17</t>
  </si>
  <si>
    <t>0:02:11:18</t>
  </si>
  <si>
    <t>0:02:11:19</t>
  </si>
  <si>
    <t>0:02:11:20</t>
  </si>
  <si>
    <t>0:02:11:21</t>
  </si>
  <si>
    <t>0:02:11:22</t>
  </si>
  <si>
    <t>0:02:11:23</t>
  </si>
  <si>
    <t>0:02:11:24</t>
  </si>
  <si>
    <t>0:02:12:00</t>
  </si>
  <si>
    <t>0:02:12:01</t>
  </si>
  <si>
    <t>0:02:12:02</t>
  </si>
  <si>
    <t>0:02:12:03</t>
  </si>
  <si>
    <t>0:02:12:04</t>
  </si>
  <si>
    <t>0:02:12:05</t>
  </si>
  <si>
    <t>0:02:12:06</t>
  </si>
  <si>
    <t>0:02:12:07</t>
  </si>
  <si>
    <t>0:02:12:08</t>
  </si>
  <si>
    <t>0:02:12:09</t>
  </si>
  <si>
    <t>0:02:12:10</t>
  </si>
  <si>
    <t>0:02:12:11</t>
  </si>
  <si>
    <t>0:02:12:12</t>
  </si>
  <si>
    <t>0:02:12:13</t>
  </si>
  <si>
    <t>0:02:12:14</t>
  </si>
  <si>
    <t>0:02:12:15</t>
  </si>
  <si>
    <t>0:02:12:16</t>
  </si>
  <si>
    <t>0:02:12:17</t>
  </si>
  <si>
    <t>0:02:12:18</t>
  </si>
  <si>
    <t>0:02:12:19</t>
  </si>
  <si>
    <t>0:02:12:20</t>
  </si>
  <si>
    <t>0:02:12:21</t>
  </si>
  <si>
    <t>0:02:12:22</t>
  </si>
  <si>
    <t>0:02:12:23</t>
  </si>
  <si>
    <t>0:02:12:24</t>
  </si>
  <si>
    <t>0:02:13:00</t>
  </si>
  <si>
    <t>0:02:13:01</t>
  </si>
  <si>
    <t>0:02:13:02</t>
  </si>
  <si>
    <t>0:02:13:03</t>
  </si>
  <si>
    <t>0:02:13:04</t>
  </si>
  <si>
    <t>0:02:13:05</t>
  </si>
  <si>
    <t>0:02:13:06</t>
  </si>
  <si>
    <t>0:02:13:07</t>
  </si>
  <si>
    <t>0:02:13:08</t>
  </si>
  <si>
    <t>0:02:13:09</t>
  </si>
  <si>
    <t>0:02:13:10</t>
  </si>
  <si>
    <t>0:02:13:11</t>
  </si>
  <si>
    <t>0:02:13:12</t>
  </si>
  <si>
    <t>0:02:13:13</t>
  </si>
  <si>
    <t>0:02:13:14</t>
  </si>
  <si>
    <t>0:02:13:15</t>
  </si>
  <si>
    <t>0:02:13:16</t>
  </si>
  <si>
    <t>0:02:13:17</t>
  </si>
  <si>
    <t>0:02:13:18</t>
  </si>
  <si>
    <t>0:02:13:19</t>
  </si>
  <si>
    <t>0:02:13:20</t>
  </si>
  <si>
    <t>0:02:13:21</t>
  </si>
  <si>
    <t>0:02:13:22</t>
  </si>
  <si>
    <t>0:02:13:23</t>
  </si>
  <si>
    <t>0:02:13:24</t>
  </si>
  <si>
    <t>0:02:14:00</t>
  </si>
  <si>
    <t>0:02:14:01</t>
  </si>
  <si>
    <t>0:02:14:02</t>
  </si>
  <si>
    <t>0:02:14:03</t>
  </si>
  <si>
    <t>0:02:14:04</t>
  </si>
  <si>
    <t>0:02:14:05</t>
  </si>
  <si>
    <t>0:02:14:06</t>
  </si>
  <si>
    <t>0:02:14:07</t>
  </si>
  <si>
    <t>0:02:14:08</t>
  </si>
  <si>
    <t>0:02:14:09</t>
  </si>
  <si>
    <t>0:02:14:10</t>
  </si>
  <si>
    <t>0:02:14:11</t>
  </si>
  <si>
    <t>0:02:14:12</t>
  </si>
  <si>
    <t>0:02:14:13</t>
  </si>
  <si>
    <t>0:02:14:14</t>
  </si>
  <si>
    <t>0:02:14:15</t>
  </si>
  <si>
    <t>0:02:14:16</t>
  </si>
  <si>
    <t>0:02:14:17</t>
  </si>
  <si>
    <t>0:02:14:18</t>
  </si>
  <si>
    <t>0:02:14:19</t>
  </si>
  <si>
    <t>0:02:14:20</t>
  </si>
  <si>
    <t>0:02:14:21</t>
  </si>
  <si>
    <t>0:02:14:22</t>
  </si>
  <si>
    <t>0:02:14:23</t>
  </si>
  <si>
    <t>0:02:14:24</t>
  </si>
  <si>
    <t>0:02:15:00</t>
  </si>
  <si>
    <t>0:02:15:01</t>
  </si>
  <si>
    <t>0:02:15:02</t>
  </si>
  <si>
    <t>0:02:15:03</t>
  </si>
  <si>
    <t>0:02:15:04</t>
  </si>
  <si>
    <t>0:02:15:05</t>
  </si>
  <si>
    <t>0:02:15:06</t>
  </si>
  <si>
    <t>0:02:15:07</t>
  </si>
  <si>
    <t>0:02:15:08</t>
  </si>
  <si>
    <t>0:02:15:09</t>
  </si>
  <si>
    <t>0:02:15:10</t>
  </si>
  <si>
    <t>0:02:15:11</t>
  </si>
  <si>
    <t>0:02:15:12</t>
  </si>
  <si>
    <t>0:02:15:13</t>
  </si>
  <si>
    <t>0:02:15:14</t>
  </si>
  <si>
    <t>0:02:15:15</t>
  </si>
  <si>
    <t>0:02:15:16</t>
  </si>
  <si>
    <t>0:02:15:17</t>
  </si>
  <si>
    <t>0:02:15:18</t>
  </si>
  <si>
    <t>0:02:15:19</t>
  </si>
  <si>
    <t>0:02:15:20</t>
  </si>
  <si>
    <t>0:02:15:21</t>
  </si>
  <si>
    <t>0:02:15:22</t>
  </si>
  <si>
    <t>0:02:15:23</t>
  </si>
  <si>
    <t>0:02:15:24</t>
  </si>
  <si>
    <t>0:02:16:00</t>
  </si>
  <si>
    <t>0:02:16:01</t>
  </si>
  <si>
    <t>0:02:16:02</t>
  </si>
  <si>
    <t>0:02:16:03</t>
  </si>
  <si>
    <t>0:02:16:04</t>
  </si>
  <si>
    <t>0:02:16:05</t>
  </si>
  <si>
    <t>0:02:16:06</t>
  </si>
  <si>
    <t>0:02:16:07</t>
  </si>
  <si>
    <t>0:02:16:08</t>
  </si>
  <si>
    <t>0:02:16:09</t>
  </si>
  <si>
    <t>0:02:16:10</t>
  </si>
  <si>
    <t>0:02:16:11</t>
  </si>
  <si>
    <t>0:02:16:12</t>
  </si>
  <si>
    <t>0:02:16:13</t>
  </si>
  <si>
    <t>0:02:16:14</t>
  </si>
  <si>
    <t>0:02:16:15</t>
  </si>
  <si>
    <t>0:02:16:16</t>
  </si>
  <si>
    <t>0:02:16:17</t>
  </si>
  <si>
    <t>0:02:16:18</t>
  </si>
  <si>
    <t>0:02:16:19</t>
  </si>
  <si>
    <t>0:02:16:20</t>
  </si>
  <si>
    <t>0:02:16:21</t>
  </si>
  <si>
    <t>0:02:16:22</t>
  </si>
  <si>
    <t>0:02:16:23</t>
  </si>
  <si>
    <t>0:02:16:24</t>
  </si>
  <si>
    <t>0:02:17:00</t>
  </si>
  <si>
    <t>0:02:17:01</t>
  </si>
  <si>
    <t>0:02:17:02</t>
  </si>
  <si>
    <t>0:02:17:03</t>
  </si>
  <si>
    <t>0:02:17:04</t>
  </si>
  <si>
    <t>0:02:17:05</t>
  </si>
  <si>
    <t>0:02:17:06</t>
  </si>
  <si>
    <t>0:02:17:07</t>
  </si>
  <si>
    <t>0:02:17:08</t>
  </si>
  <si>
    <t>0:02:17:09</t>
  </si>
  <si>
    <t>0:02:17:10</t>
  </si>
  <si>
    <t>0:02:17:11</t>
  </si>
  <si>
    <t>0:02:17:12</t>
  </si>
  <si>
    <t>0:02:17:13</t>
  </si>
  <si>
    <t>0:02:17:14</t>
  </si>
  <si>
    <t>0:02:17:15</t>
  </si>
  <si>
    <t>0:02:17:16</t>
  </si>
  <si>
    <t>0:02:17:17</t>
  </si>
  <si>
    <t>0:02:17:18</t>
  </si>
  <si>
    <t>0:02:17:19</t>
  </si>
  <si>
    <t>0:02:17:20</t>
  </si>
  <si>
    <t>0:02:17:21</t>
  </si>
  <si>
    <t>0:02:17:22</t>
  </si>
  <si>
    <t>0:02:17:23</t>
  </si>
  <si>
    <t>0:02:17:24</t>
  </si>
  <si>
    <t>0:02:18:00</t>
  </si>
  <si>
    <t>0:02:18:01</t>
  </si>
  <si>
    <t>0:02:18:02</t>
  </si>
  <si>
    <t>0:02:18:03</t>
  </si>
  <si>
    <t>0:02:18:04</t>
  </si>
  <si>
    <t>0:02:18:05</t>
  </si>
  <si>
    <t>0:02:18:06</t>
  </si>
  <si>
    <t>0:02:18:07</t>
  </si>
  <si>
    <t>0:02:18:08</t>
  </si>
  <si>
    <t>0:02:18:09</t>
  </si>
  <si>
    <t>0:02:18:10</t>
  </si>
  <si>
    <t>0:02:18:11</t>
  </si>
  <si>
    <t>0:02:18:12</t>
  </si>
  <si>
    <t>0:02:18:13</t>
  </si>
  <si>
    <t>0:02:18:14</t>
  </si>
  <si>
    <t>0:02:18:15</t>
  </si>
  <si>
    <t>0:02:18:16</t>
  </si>
  <si>
    <t>0:02:18:17</t>
  </si>
  <si>
    <t>0:02:18:18</t>
  </si>
  <si>
    <t>0:02:18:19</t>
  </si>
  <si>
    <t>0:02:18:20</t>
  </si>
  <si>
    <t>0:02:18:21</t>
  </si>
  <si>
    <t>0:02:18:22</t>
  </si>
  <si>
    <t>0:02:18:23</t>
  </si>
  <si>
    <t>0:02:18:24</t>
  </si>
  <si>
    <t>0:02:19:00</t>
  </si>
  <si>
    <t>0:02:19:01</t>
  </si>
  <si>
    <t>0:02:19:02</t>
  </si>
  <si>
    <t>0:02:19:03</t>
  </si>
  <si>
    <t>0:02:19:04</t>
  </si>
  <si>
    <t>0:02:19:05</t>
  </si>
  <si>
    <t>0:02:19:06</t>
  </si>
  <si>
    <t>0:02:19:07</t>
  </si>
  <si>
    <t>0:02:19:08</t>
  </si>
  <si>
    <t>0:02:19:09</t>
  </si>
  <si>
    <t>0:02:19:10</t>
  </si>
  <si>
    <t>0:02:19:11</t>
  </si>
  <si>
    <t>0:02:19:12</t>
  </si>
  <si>
    <t>0:02:19:13</t>
  </si>
  <si>
    <t>0:02:19:14</t>
  </si>
  <si>
    <t>0:02:19:15</t>
  </si>
  <si>
    <t>0:02:19:16</t>
  </si>
  <si>
    <t>0:02:19:17</t>
  </si>
  <si>
    <t>0:02:19:18</t>
  </si>
  <si>
    <t>0:02:19:19</t>
  </si>
  <si>
    <t>0:02:19:20</t>
  </si>
  <si>
    <t>0:02:19:21</t>
  </si>
  <si>
    <t>0:02:19:22</t>
  </si>
  <si>
    <t>0:02:19:23</t>
  </si>
  <si>
    <t>0:02:19:24</t>
  </si>
  <si>
    <t>0:02:20:00</t>
  </si>
  <si>
    <t>0:02:20:01</t>
  </si>
  <si>
    <t>0:02:20:02</t>
  </si>
  <si>
    <t>0:02:20:03</t>
  </si>
  <si>
    <t>0:02:20:04</t>
  </si>
  <si>
    <t>0:02:20:05</t>
  </si>
  <si>
    <t>0:02:20:06</t>
  </si>
  <si>
    <t>0:02:20:07</t>
  </si>
  <si>
    <t>0:02:20:08</t>
  </si>
  <si>
    <t>0:02:20:09</t>
  </si>
  <si>
    <t>0:02:20:10</t>
  </si>
  <si>
    <t>0:02:20:11</t>
  </si>
  <si>
    <t>0:02:20:12</t>
  </si>
  <si>
    <t>0:02:20:13</t>
  </si>
  <si>
    <t>0:02:20:14</t>
  </si>
  <si>
    <t>0:02:20:15</t>
  </si>
  <si>
    <t>0:02:20:16</t>
  </si>
  <si>
    <t>0:02:20:17</t>
  </si>
  <si>
    <t>0:02:20:18</t>
  </si>
  <si>
    <t>0:02:20:19</t>
  </si>
  <si>
    <t>0:02:20:20</t>
  </si>
  <si>
    <t>0:02:20:21</t>
  </si>
  <si>
    <t>0:02:20:22</t>
  </si>
  <si>
    <t>0:02:20:23</t>
  </si>
  <si>
    <t>0:02:20:24</t>
  </si>
  <si>
    <t>0:02:21:00</t>
  </si>
  <si>
    <t>0:02:21:01</t>
  </si>
  <si>
    <t>0:02:21:02</t>
  </si>
  <si>
    <t>0:02:21:03</t>
  </si>
  <si>
    <t>0:02:21:04</t>
  </si>
  <si>
    <t>0:02:21:05</t>
  </si>
  <si>
    <t>0:02:21:06</t>
  </si>
  <si>
    <t>0:02:21:07</t>
  </si>
  <si>
    <t>0:02:21:08</t>
  </si>
  <si>
    <t>0:02:21:09</t>
  </si>
  <si>
    <t>0:02:21:10</t>
  </si>
  <si>
    <t>0:02:21:11</t>
  </si>
  <si>
    <t>0:02:21:12</t>
  </si>
  <si>
    <t>0:02:21:13</t>
  </si>
  <si>
    <t>0:02:21:14</t>
  </si>
  <si>
    <t>0:02:21:15</t>
  </si>
  <si>
    <t>0:02:21:16</t>
  </si>
  <si>
    <t>0:02:21:17</t>
  </si>
  <si>
    <t>0:02:21:18</t>
  </si>
  <si>
    <t>0:02:21:19</t>
  </si>
  <si>
    <t>0:02:21:20</t>
  </si>
  <si>
    <t>0:02:21:21</t>
  </si>
  <si>
    <t>0:02:21:22</t>
  </si>
  <si>
    <t>0:02:21:23</t>
  </si>
  <si>
    <t>0:02:21:24</t>
  </si>
  <si>
    <t>0:02:22:00</t>
  </si>
  <si>
    <t>0:02:22:01</t>
  </si>
  <si>
    <t>0:02:22:02</t>
  </si>
  <si>
    <t>0:02:22:03</t>
  </si>
  <si>
    <t>0:02:22:04</t>
  </si>
  <si>
    <t>0:02:22:05</t>
  </si>
  <si>
    <t>0:02:22:06</t>
  </si>
  <si>
    <t>0:02:22:07</t>
  </si>
  <si>
    <t>0:02:22:08</t>
  </si>
  <si>
    <t>0:02:22:09</t>
  </si>
  <si>
    <t>0:02:22:10</t>
  </si>
  <si>
    <t>0:02:22:11</t>
  </si>
  <si>
    <t>0:02:22:12</t>
  </si>
  <si>
    <t>0:02:22:13</t>
  </si>
  <si>
    <t>0:02:22:14</t>
  </si>
  <si>
    <t>0:02:22:15</t>
  </si>
  <si>
    <t>0:02:22:16</t>
  </si>
  <si>
    <t>0:02:22:17</t>
  </si>
  <si>
    <t>0:02:22:18</t>
  </si>
  <si>
    <t>0:02:22:19</t>
  </si>
  <si>
    <t>0:02:22:20</t>
  </si>
  <si>
    <t>0:02:22:21</t>
  </si>
  <si>
    <t>0:02:22:22</t>
  </si>
  <si>
    <t>0:02:22:23</t>
  </si>
  <si>
    <t>0:02:22:24</t>
  </si>
  <si>
    <t>0:02:23:00</t>
  </si>
  <si>
    <t>0:02:23:01</t>
  </si>
  <si>
    <t>0:02:23:02</t>
  </si>
  <si>
    <t>0:02:23:03</t>
  </si>
  <si>
    <t>0:02:23:04</t>
  </si>
  <si>
    <t>0:02:23:05</t>
  </si>
  <si>
    <t>0:02:23:06</t>
  </si>
  <si>
    <t>0:02:23:07</t>
  </si>
  <si>
    <t>0:02:23:08</t>
  </si>
  <si>
    <t>0:02:23:09</t>
  </si>
  <si>
    <t>0:02:23:10</t>
  </si>
  <si>
    <t>0:02:23:11</t>
  </si>
  <si>
    <t>0:02:23:12</t>
  </si>
  <si>
    <t>0:02:23:13</t>
  </si>
  <si>
    <t>0:02:23:14</t>
  </si>
  <si>
    <t>0:02:23:15</t>
  </si>
  <si>
    <t>0:02:23:16</t>
  </si>
  <si>
    <t>0:02:23:17</t>
  </si>
  <si>
    <t>0:02:23:18</t>
  </si>
  <si>
    <t>0:02:23:19</t>
  </si>
  <si>
    <t>0:02:23:20</t>
  </si>
  <si>
    <t>0:02:23:21</t>
  </si>
  <si>
    <t>0:02:23:22</t>
  </si>
  <si>
    <t>0:02:23:23</t>
  </si>
  <si>
    <t>0:02:23:24</t>
  </si>
  <si>
    <t>0:02:24:00</t>
  </si>
  <si>
    <t>0:02:24:01</t>
  </si>
  <si>
    <t>0:02:24:02</t>
  </si>
  <si>
    <t>0:02:24:03</t>
  </si>
  <si>
    <t>0:02:24:04</t>
  </si>
  <si>
    <t>0:02:24:05</t>
  </si>
  <si>
    <t>0:02:24:06</t>
  </si>
  <si>
    <t>0:02:24:07</t>
  </si>
  <si>
    <t>0:02:24:08</t>
  </si>
  <si>
    <t>0:02:24:09</t>
  </si>
  <si>
    <t>0:02:24:10</t>
  </si>
  <si>
    <t>0:02:24:11</t>
  </si>
  <si>
    <t>0:02:24:12</t>
  </si>
  <si>
    <t>0:02:24:13</t>
  </si>
  <si>
    <t>0:02:24:14</t>
  </si>
  <si>
    <t>0:02:24:15</t>
  </si>
  <si>
    <t>0:02:24:16</t>
  </si>
  <si>
    <t>0:02:24:17</t>
  </si>
  <si>
    <t>0:02:24:18</t>
  </si>
  <si>
    <t>0:02:24:19</t>
  </si>
  <si>
    <t>0:02:24:20</t>
  </si>
  <si>
    <t>0:02:24:21</t>
  </si>
  <si>
    <t>0:02:24:22</t>
  </si>
  <si>
    <t>0:02:24:23</t>
  </si>
  <si>
    <t>0:02:24:24</t>
  </si>
  <si>
    <t>0:02:25:00</t>
  </si>
  <si>
    <t>0:02:25:01</t>
  </si>
  <si>
    <t>0:02:25:02</t>
  </si>
  <si>
    <t>0:02:25:03</t>
  </si>
  <si>
    <t>0:02:25:04</t>
  </si>
  <si>
    <t>0:02:25:05</t>
  </si>
  <si>
    <t>0:02:25:06</t>
  </si>
  <si>
    <t>0:02:25:07</t>
  </si>
  <si>
    <t>0:02:25:08</t>
  </si>
  <si>
    <t>0:02:25:09</t>
  </si>
  <si>
    <t>0:02:25:10</t>
  </si>
  <si>
    <t>0:02:25:11</t>
  </si>
  <si>
    <t>0:02:25:12</t>
  </si>
  <si>
    <t>0:02:25:13</t>
  </si>
  <si>
    <t>0:02:25:14</t>
  </si>
  <si>
    <t>0:02:25:15</t>
  </si>
  <si>
    <t>0:02:25:16</t>
  </si>
  <si>
    <t>0:02:25:17</t>
  </si>
  <si>
    <t>0:02:25:18</t>
  </si>
  <si>
    <t>0:02:25:19</t>
  </si>
  <si>
    <t>0:02:25:20</t>
  </si>
  <si>
    <t>0:02:25:21</t>
  </si>
  <si>
    <t>0:02:25:22</t>
  </si>
  <si>
    <t>0:02:25:23</t>
  </si>
  <si>
    <t>0:02:25:24</t>
  </si>
  <si>
    <t>0:02:26:00</t>
  </si>
  <si>
    <t>0:02:26:01</t>
  </si>
  <si>
    <t>0:02:26:02</t>
  </si>
  <si>
    <t>0:02:26:03</t>
  </si>
  <si>
    <t>0:02:26:04</t>
  </si>
  <si>
    <t>0:02:26:05</t>
  </si>
  <si>
    <t>0:02:26:06</t>
  </si>
  <si>
    <t>0:02:26:07</t>
  </si>
  <si>
    <t>0:02:26:08</t>
  </si>
  <si>
    <t>0:02:26:09</t>
  </si>
  <si>
    <t>0:02:26:10</t>
  </si>
  <si>
    <t>0:02:26:11</t>
  </si>
  <si>
    <t>0:02:26:12</t>
  </si>
  <si>
    <t>0:02:26:13</t>
  </si>
  <si>
    <t>0:02:26:14</t>
  </si>
  <si>
    <t>0:02:26:15</t>
  </si>
  <si>
    <t>0:02:26:16</t>
  </si>
  <si>
    <t>0:02:26:17</t>
  </si>
  <si>
    <t>0:02:26:18</t>
  </si>
  <si>
    <t>0:02:26:19</t>
  </si>
  <si>
    <t>0:02:26:20</t>
  </si>
  <si>
    <t>0:02:26:21</t>
  </si>
  <si>
    <t>0:02:26:22</t>
  </si>
  <si>
    <t>0:02:26:23</t>
  </si>
  <si>
    <t>0:02:26:24</t>
  </si>
  <si>
    <t>0:02:27:00</t>
  </si>
  <si>
    <t>0:02:27:01</t>
  </si>
  <si>
    <t>0:02:27:02</t>
  </si>
  <si>
    <t>0:02:27:03</t>
  </si>
  <si>
    <t>0:02:27:04</t>
  </si>
  <si>
    <t>0:02:27:05</t>
  </si>
  <si>
    <t>0:02:27:06</t>
  </si>
  <si>
    <t>0:02:27:07</t>
  </si>
  <si>
    <t>0:02:27:08</t>
  </si>
  <si>
    <t>0:02:27:09</t>
  </si>
  <si>
    <t>0:02:27:10</t>
  </si>
  <si>
    <t>0:02:27:11</t>
  </si>
  <si>
    <t>0:02:27:12</t>
  </si>
  <si>
    <t>0:02:27:13</t>
  </si>
  <si>
    <t>0:02:27:14</t>
  </si>
  <si>
    <t>0:02:27:15</t>
  </si>
  <si>
    <t>0:02:27:16</t>
  </si>
  <si>
    <t>0:02:27:17</t>
  </si>
  <si>
    <t>0:02:27:18</t>
  </si>
  <si>
    <t>0:02:27:19</t>
  </si>
  <si>
    <t>0:02:27:20</t>
  </si>
  <si>
    <t>0:02:27:21</t>
  </si>
  <si>
    <t>0:02:27:22</t>
  </si>
  <si>
    <t>0:02:27:23</t>
  </si>
  <si>
    <t>0:02:27:24</t>
  </si>
  <si>
    <t>0:02:28:00</t>
  </si>
  <si>
    <t>0:02:28:01</t>
  </si>
  <si>
    <t>0:02:28:02</t>
  </si>
  <si>
    <t>0:02:28:03</t>
  </si>
  <si>
    <t>0:02:28:04</t>
  </si>
  <si>
    <t>0:02:28:05</t>
  </si>
  <si>
    <t>0:02:28:06</t>
  </si>
  <si>
    <t>0:02:28:07</t>
  </si>
  <si>
    <t>0:02:28:08</t>
  </si>
  <si>
    <t>0:02:28:09</t>
  </si>
  <si>
    <t>0:02:28:10</t>
  </si>
  <si>
    <t>0:02:28:11</t>
  </si>
  <si>
    <t>0:02:28:12</t>
  </si>
  <si>
    <t>0:02:28:13</t>
  </si>
  <si>
    <t>0:02:28:14</t>
  </si>
  <si>
    <t>0:02:28:15</t>
  </si>
  <si>
    <t>0:02:28:16</t>
  </si>
  <si>
    <t>0:02:28:17</t>
  </si>
  <si>
    <t>0:02:28:18</t>
  </si>
  <si>
    <t>0:02:28:19</t>
  </si>
  <si>
    <t>0:02:28:20</t>
  </si>
  <si>
    <t>0:02:28:21</t>
  </si>
  <si>
    <t>0:02:28:22</t>
  </si>
  <si>
    <t>0:02:28:23</t>
  </si>
  <si>
    <t>0:02:28:24</t>
  </si>
  <si>
    <t>0:02:29:00</t>
  </si>
  <si>
    <t>0:02:29:01</t>
  </si>
  <si>
    <t>0:02:29:02</t>
  </si>
  <si>
    <t>0:02:29:03</t>
  </si>
  <si>
    <t>0:02:29:04</t>
  </si>
  <si>
    <t>0:02:29:05</t>
  </si>
  <si>
    <t>0:02:29:06</t>
  </si>
  <si>
    <t>0:02:29:07</t>
  </si>
  <si>
    <t>0:02:29:08</t>
  </si>
  <si>
    <t>0:02:29:09</t>
  </si>
  <si>
    <t>0:02:29:10</t>
  </si>
  <si>
    <t>0:02:29:11</t>
  </si>
  <si>
    <t>0:02:29:12</t>
  </si>
  <si>
    <t>0:02:29:13</t>
  </si>
  <si>
    <t>0:02:29:14</t>
  </si>
  <si>
    <t>0:02:29:15</t>
  </si>
  <si>
    <t>0:02:29:16</t>
  </si>
  <si>
    <t>0:02:29:17</t>
  </si>
  <si>
    <t>0:02:29:18</t>
  </si>
  <si>
    <t>0:02:29:19</t>
  </si>
  <si>
    <t>0:02:29:20</t>
  </si>
  <si>
    <t>0:02:29:21</t>
  </si>
  <si>
    <t>0:02:29:22</t>
  </si>
  <si>
    <t>0:02:29:23</t>
  </si>
  <si>
    <t>0:02:29:24</t>
  </si>
  <si>
    <t>0:02:30:00</t>
  </si>
  <si>
    <t>0:02:30:01</t>
  </si>
  <si>
    <t>0:02:30:02</t>
  </si>
  <si>
    <t>0:02:30:03</t>
  </si>
  <si>
    <t>0:02:30:04</t>
  </si>
  <si>
    <t>0:02:30:05</t>
  </si>
  <si>
    <t>0:02:30:06</t>
  </si>
  <si>
    <t>0:02:30:07</t>
  </si>
  <si>
    <t>0:02:30:08</t>
  </si>
  <si>
    <t>0:02:30:09</t>
  </si>
  <si>
    <t>0:02:30:10</t>
  </si>
  <si>
    <t>0:02:30:11</t>
  </si>
  <si>
    <t>0:02:30:12</t>
  </si>
  <si>
    <t>0:02:30:13</t>
  </si>
  <si>
    <t>0:02:30:14</t>
  </si>
  <si>
    <t>0:02:30:15</t>
  </si>
  <si>
    <t>0:02:30:16</t>
  </si>
  <si>
    <t>0:02:30:17</t>
  </si>
  <si>
    <t>0:02:30:18</t>
  </si>
  <si>
    <t>0:02:30:19</t>
  </si>
  <si>
    <t>0:02:30:20</t>
  </si>
  <si>
    <t>0:02:30:21</t>
  </si>
  <si>
    <t>0:02:30:22</t>
  </si>
  <si>
    <t>0:02:30:23</t>
  </si>
  <si>
    <t>0:02:30:24</t>
  </si>
  <si>
    <t>0:02:31:00</t>
  </si>
  <si>
    <t>0:02:31:01</t>
  </si>
  <si>
    <t>0:02:31:02</t>
  </si>
  <si>
    <t>0:02:31:03</t>
  </si>
  <si>
    <t>0:02:31:04</t>
  </si>
  <si>
    <t>0:02:31:05</t>
  </si>
  <si>
    <t>0:02:31:06</t>
  </si>
  <si>
    <t>0:02:31:07</t>
  </si>
  <si>
    <t>0:02:31:08</t>
  </si>
  <si>
    <t>0:02:31:09</t>
  </si>
  <si>
    <t>0:02:31:10</t>
  </si>
  <si>
    <t>0:02:31:11</t>
  </si>
  <si>
    <t>0:02:31:12</t>
  </si>
  <si>
    <t>0:02:31:13</t>
  </si>
  <si>
    <t>0:02:31:14</t>
  </si>
  <si>
    <t>0:02:31:15</t>
  </si>
  <si>
    <t>0:02:31:16</t>
  </si>
  <si>
    <t>0:02:31:17</t>
  </si>
  <si>
    <t>0:02:31:18</t>
  </si>
  <si>
    <t>0:02:31:19</t>
  </si>
  <si>
    <t>0:02:31:20</t>
  </si>
  <si>
    <t>0:02:31:21</t>
  </si>
  <si>
    <t>0:02:31:22</t>
  </si>
  <si>
    <t>0:02:31:23</t>
  </si>
  <si>
    <t>0:02:31:24</t>
  </si>
  <si>
    <t>0:02:32:00</t>
  </si>
  <si>
    <t>0:02:32:01</t>
  </si>
  <si>
    <t>0:02:32:02</t>
  </si>
  <si>
    <t>0:02:32:03</t>
  </si>
  <si>
    <t>0:02:32:04</t>
  </si>
  <si>
    <t>0:02:32:05</t>
  </si>
  <si>
    <t>0:02:32:06</t>
  </si>
  <si>
    <t>0:02:32:07</t>
  </si>
  <si>
    <t>0:02:32:08</t>
  </si>
  <si>
    <t>0:02:32:09</t>
  </si>
  <si>
    <t>0:02:32:10</t>
  </si>
  <si>
    <t>0:02:32:11</t>
  </si>
  <si>
    <t>0:02:32:12</t>
  </si>
  <si>
    <t>0:02:32:13</t>
  </si>
  <si>
    <t>0:02:32:14</t>
  </si>
  <si>
    <t>0:02:32:15</t>
  </si>
  <si>
    <t>0:02:32:16</t>
  </si>
  <si>
    <t>0:02:32:17</t>
  </si>
  <si>
    <t>0:02:32:18</t>
  </si>
  <si>
    <t>0:02:32:19</t>
  </si>
  <si>
    <t>0:02:32:20</t>
  </si>
  <si>
    <t>0:02:32:21</t>
  </si>
  <si>
    <t>0:02:32:22</t>
  </si>
  <si>
    <t>0:02:32:23</t>
  </si>
  <si>
    <t>0:02:32:24</t>
  </si>
  <si>
    <t>0:02:33:00</t>
  </si>
  <si>
    <t>0:02:33:01</t>
  </si>
  <si>
    <t>0:02:33:02</t>
  </si>
  <si>
    <t>0:02:33:03</t>
  </si>
  <si>
    <t>0:02:33:04</t>
  </si>
  <si>
    <t>0:02:33:05</t>
  </si>
  <si>
    <t>0:02:33:06</t>
  </si>
  <si>
    <t>0:02:33:07</t>
  </si>
  <si>
    <t>0:02:33:08</t>
  </si>
  <si>
    <t>0:02:33:09</t>
  </si>
  <si>
    <t>0:02:33:10</t>
  </si>
  <si>
    <t>0:02:33:11</t>
  </si>
  <si>
    <t>0:02:33:12</t>
  </si>
  <si>
    <t>0:02:33:13</t>
  </si>
  <si>
    <t>0:02:33:14</t>
  </si>
  <si>
    <t>0:02:33:15</t>
  </si>
  <si>
    <t>0:02:33:16</t>
  </si>
  <si>
    <t>0:02:33:17</t>
  </si>
  <si>
    <t>0:02:33:18</t>
  </si>
  <si>
    <t>0:02:33:19</t>
  </si>
  <si>
    <t>0:02:33:20</t>
  </si>
  <si>
    <t>0:02:33:21</t>
  </si>
  <si>
    <t>0:02:33:22</t>
  </si>
  <si>
    <t>0:02:33:23</t>
  </si>
  <si>
    <t>0:02:33:24</t>
  </si>
  <si>
    <t>0:02:34:00</t>
  </si>
  <si>
    <t>0:02:34:01</t>
  </si>
  <si>
    <t>0:02:34:02</t>
  </si>
  <si>
    <t>0:02:34:03</t>
  </si>
  <si>
    <t>0:02:34:04</t>
  </si>
  <si>
    <t>0:02:34:05</t>
  </si>
  <si>
    <t>0:02:34:06</t>
  </si>
  <si>
    <t>0:02:34:07</t>
  </si>
  <si>
    <t>0:02:34:08</t>
  </si>
  <si>
    <t>0:02:34:09</t>
  </si>
  <si>
    <t>0:02:34:10</t>
  </si>
  <si>
    <t>0:02:34:11</t>
  </si>
  <si>
    <t>0:02:34:12</t>
  </si>
  <si>
    <t>0:02:34:13</t>
  </si>
  <si>
    <t>0:02:34:14</t>
  </si>
  <si>
    <t>0:02:34:15</t>
  </si>
  <si>
    <t>0:02:34:16</t>
  </si>
  <si>
    <t>0:02:34:17</t>
  </si>
  <si>
    <t>0:02:34:18</t>
  </si>
  <si>
    <t>0:02:34:19</t>
  </si>
  <si>
    <t>0:02:34:20</t>
  </si>
  <si>
    <t>0:02:34:21</t>
  </si>
  <si>
    <t>0:02:34:22</t>
  </si>
  <si>
    <t>0:02:34:23</t>
  </si>
  <si>
    <t>0:02:34:24</t>
  </si>
  <si>
    <t>0:02:35:00</t>
  </si>
  <si>
    <t>0:02:35:01</t>
  </si>
  <si>
    <t>0:02:35:02</t>
  </si>
  <si>
    <t>0:02:35:03</t>
  </si>
  <si>
    <t>0:02:35:04</t>
  </si>
  <si>
    <t>0:02:35:05</t>
  </si>
  <si>
    <t>0:02:35:06</t>
  </si>
  <si>
    <t>0:02:35:07</t>
  </si>
  <si>
    <t>0:02:35:08</t>
  </si>
  <si>
    <t>0:02:35:09</t>
  </si>
  <si>
    <t>0:02:35:10</t>
  </si>
  <si>
    <t>0:02:35:11</t>
  </si>
  <si>
    <t>0:02:35:12</t>
  </si>
  <si>
    <t>0:02:35:13</t>
  </si>
  <si>
    <t>0:02:35:14</t>
  </si>
  <si>
    <t>0:02:35:15</t>
  </si>
  <si>
    <t>0:02:35:16</t>
  </si>
  <si>
    <t>0:02:35:17</t>
  </si>
  <si>
    <t>0:02:35:18</t>
  </si>
  <si>
    <t>0:02:35:19</t>
  </si>
  <si>
    <t>0:02:35:20</t>
  </si>
  <si>
    <t>0:02:35:21</t>
  </si>
  <si>
    <t>0:02:35:22</t>
  </si>
  <si>
    <t>0:02:35:23</t>
  </si>
  <si>
    <t>0:02:35:24</t>
  </si>
  <si>
    <t>0:02:36:00</t>
  </si>
  <si>
    <t>0:02:36:01</t>
  </si>
  <si>
    <t>0:02:36:02</t>
  </si>
  <si>
    <t>0:02:36:03</t>
  </si>
  <si>
    <t>0:02:36:04</t>
  </si>
  <si>
    <t>0:02:36:05</t>
  </si>
  <si>
    <t>0:02:36:06</t>
  </si>
  <si>
    <t>0:02:36:07</t>
  </si>
  <si>
    <t>0:02:36:08</t>
  </si>
  <si>
    <t>0:02:36:09</t>
  </si>
  <si>
    <t>0:02:36:10</t>
  </si>
  <si>
    <t>0:02:36:11</t>
  </si>
  <si>
    <t>0:02:36:12</t>
  </si>
  <si>
    <t>0:02:36:13</t>
  </si>
  <si>
    <t>0:02:36:14</t>
  </si>
  <si>
    <t>0:02:36:15</t>
  </si>
  <si>
    <t>0:02:36:16</t>
  </si>
  <si>
    <t>0:02:36:17</t>
  </si>
  <si>
    <t>0:02:36:18</t>
  </si>
  <si>
    <t>0:02:36:19</t>
  </si>
  <si>
    <t>0:02:36:20</t>
  </si>
  <si>
    <t>0:02:36:21</t>
  </si>
  <si>
    <t>0:02:36:22</t>
  </si>
  <si>
    <t>0:02:36:23</t>
  </si>
  <si>
    <t>0:02:36:24</t>
  </si>
  <si>
    <t>0:02:37:00</t>
  </si>
  <si>
    <t>0:02:37:01</t>
  </si>
  <si>
    <t>0:02:37:02</t>
  </si>
  <si>
    <t>0:02:37:03</t>
  </si>
  <si>
    <t>0:02:37:04</t>
  </si>
  <si>
    <t>0:02:37:05</t>
  </si>
  <si>
    <t>0:02:37:06</t>
  </si>
  <si>
    <t>0:02:37:07</t>
  </si>
  <si>
    <t>0:02:37:08</t>
  </si>
  <si>
    <t>0:02:37:09</t>
  </si>
  <si>
    <t>0:02:37:10</t>
  </si>
  <si>
    <t>0:02:37:11</t>
  </si>
  <si>
    <t>0:02:37:12</t>
  </si>
  <si>
    <t>0:02:37:13</t>
  </si>
  <si>
    <t>0:02:37:14</t>
  </si>
  <si>
    <t>0:02:37:15</t>
  </si>
  <si>
    <t>0:02:37:16</t>
  </si>
  <si>
    <t>0:02:37:17</t>
  </si>
  <si>
    <t>0:02:37:18</t>
  </si>
  <si>
    <t>0:02:37:19</t>
  </si>
  <si>
    <t>0:02:37:20</t>
  </si>
  <si>
    <t>0:02:37:21</t>
  </si>
  <si>
    <t>0:02:37:22</t>
  </si>
  <si>
    <t>0:02:37:23</t>
  </si>
  <si>
    <t>0:02:37:24</t>
  </si>
  <si>
    <t>0:02:38:00</t>
  </si>
  <si>
    <t>0:02:38:01</t>
  </si>
  <si>
    <t>0:02:38:02</t>
  </si>
  <si>
    <t>0:02:38:03</t>
  </si>
  <si>
    <t>0:02:38:04</t>
  </si>
  <si>
    <t>0:02:38:05</t>
  </si>
  <si>
    <t>0:02:38:06</t>
  </si>
  <si>
    <t>0:02:38:07</t>
  </si>
  <si>
    <t>0:02:38:08</t>
  </si>
  <si>
    <t>0:02:38:09</t>
  </si>
  <si>
    <t>0:02:38:10</t>
  </si>
  <si>
    <t>0:02:38:11</t>
  </si>
  <si>
    <t>0:02:38:12</t>
  </si>
  <si>
    <t>0:02:38:13</t>
  </si>
  <si>
    <t>0:02:38:14</t>
  </si>
  <si>
    <t>0:02:38:15</t>
  </si>
  <si>
    <t>0:02:38:16</t>
  </si>
  <si>
    <t>0:02:38:17</t>
  </si>
  <si>
    <t>0:02:38:18</t>
  </si>
  <si>
    <t>0:02:38:19</t>
  </si>
  <si>
    <t>0:02:38:20</t>
  </si>
  <si>
    <t>0:02:38:21</t>
  </si>
  <si>
    <t>0:02:38:22</t>
  </si>
  <si>
    <t>0:02:38:23</t>
  </si>
  <si>
    <t>0:02:38:24</t>
  </si>
  <si>
    <t>0:02:39:00</t>
  </si>
  <si>
    <t>0:02:39:01</t>
  </si>
  <si>
    <t>0:02:39:02</t>
  </si>
  <si>
    <t>0:02:39:03</t>
  </si>
  <si>
    <t>0:02:39:04</t>
  </si>
  <si>
    <t>0:02:39:05</t>
  </si>
  <si>
    <t>0:02:39:06</t>
  </si>
  <si>
    <t>0:02:39:07</t>
  </si>
  <si>
    <t>0:02:39:08</t>
  </si>
  <si>
    <t>0:02:39:09</t>
  </si>
  <si>
    <t>0:02:39:10</t>
  </si>
  <si>
    <t>0:02:39:11</t>
  </si>
  <si>
    <t>0:02:39:12</t>
  </si>
  <si>
    <t>0:02:39:13</t>
  </si>
  <si>
    <t>0:02:39:14</t>
  </si>
  <si>
    <t>0:02:39:15</t>
  </si>
  <si>
    <t>0:02:39:16</t>
  </si>
  <si>
    <t>0:02:39:17</t>
  </si>
  <si>
    <t>0:02:39:18</t>
  </si>
  <si>
    <t>0:02:39:19</t>
  </si>
  <si>
    <t>0:02:39:20</t>
  </si>
  <si>
    <t>0:02:39:21</t>
  </si>
  <si>
    <t>0:02:39:22</t>
  </si>
  <si>
    <t>0:02:39:23</t>
  </si>
  <si>
    <t>0:02:39:24</t>
  </si>
  <si>
    <t>0:02:40:00</t>
  </si>
  <si>
    <t>0:02:40:01</t>
  </si>
  <si>
    <t>0:02:40:02</t>
  </si>
  <si>
    <t>0:02:40:03</t>
  </si>
  <si>
    <t>0:02:40:04</t>
  </si>
  <si>
    <t>0:02:40:05</t>
  </si>
  <si>
    <t>0:02:40:06</t>
  </si>
  <si>
    <t>0:02:40:07</t>
  </si>
  <si>
    <t>0:02:40:08</t>
  </si>
  <si>
    <t>0:02:40:09</t>
  </si>
  <si>
    <t>0:02:40:10</t>
  </si>
  <si>
    <t>0:02:40:11</t>
  </si>
  <si>
    <t>0:02:40:12</t>
  </si>
  <si>
    <t>0:02:40:13</t>
  </si>
  <si>
    <t>0:02:40:14</t>
  </si>
  <si>
    <t>0:02:40:15</t>
  </si>
  <si>
    <t>0:02:40:16</t>
  </si>
  <si>
    <t>0:02:40:17</t>
  </si>
  <si>
    <t>0:02:40:18</t>
  </si>
  <si>
    <t>0:02:40:19</t>
  </si>
  <si>
    <t>0:02:40:20</t>
  </si>
  <si>
    <t>0:02:40:21</t>
  </si>
  <si>
    <t>0:02:40:22</t>
  </si>
  <si>
    <t>0:02:40:23</t>
  </si>
  <si>
    <t>0:02:40:24</t>
  </si>
  <si>
    <t>0:02:41:00</t>
  </si>
  <si>
    <t>0:02:41:01</t>
  </si>
  <si>
    <t>0:02:41:02</t>
  </si>
  <si>
    <t>0:02:41:03</t>
  </si>
  <si>
    <t>0:02:41:04</t>
  </si>
  <si>
    <t>0:02:41:05</t>
  </si>
  <si>
    <t>0:02:41:06</t>
  </si>
  <si>
    <t>0:02:41:07</t>
  </si>
  <si>
    <t>0:02:41:08</t>
  </si>
  <si>
    <t>0:02:41:09</t>
  </si>
  <si>
    <t>0:02:41:10</t>
  </si>
  <si>
    <t>0:02:41:11</t>
  </si>
  <si>
    <t>0:02:41:12</t>
  </si>
  <si>
    <t>0:02:41:13</t>
  </si>
  <si>
    <t>0:02:41:14</t>
  </si>
  <si>
    <t>0:02:41:15</t>
  </si>
  <si>
    <t>0:02:41:16</t>
  </si>
  <si>
    <t>0:02:41:17</t>
  </si>
  <si>
    <t>0:02:41:18</t>
  </si>
  <si>
    <t>0:02:41:19</t>
  </si>
  <si>
    <t>0:02:41:20</t>
  </si>
  <si>
    <t>0:02:41:21</t>
  </si>
  <si>
    <t>0:02:41:22</t>
  </si>
  <si>
    <t>0:02:41:23</t>
  </si>
  <si>
    <t>0:02:41:24</t>
  </si>
  <si>
    <t>0:02:42:00</t>
  </si>
  <si>
    <t>0:02:42:01</t>
  </si>
  <si>
    <t>0:02:42:02</t>
  </si>
  <si>
    <t>0:02:42:03</t>
  </si>
  <si>
    <t>0:02:42:04</t>
  </si>
  <si>
    <t>0:02:42:05</t>
  </si>
  <si>
    <t>0:02:42:06</t>
  </si>
  <si>
    <t>0:02:42:07</t>
  </si>
  <si>
    <t>0:02:42:08</t>
  </si>
  <si>
    <t>0:02:42:09</t>
  </si>
  <si>
    <t>0:02:42:10</t>
  </si>
  <si>
    <t>0:02:42:11</t>
  </si>
  <si>
    <t>0:02:42:12</t>
  </si>
  <si>
    <t>0:02:42:13</t>
  </si>
  <si>
    <t>0:02:42:14</t>
  </si>
  <si>
    <t>0:02:42:15</t>
  </si>
  <si>
    <t>0:02:42:16</t>
  </si>
  <si>
    <t>0:02:42:17</t>
  </si>
  <si>
    <t>0:02:42:18</t>
  </si>
  <si>
    <t>0:02:42:19</t>
  </si>
  <si>
    <t>0:02:42:20</t>
  </si>
  <si>
    <t>0:02:42:21</t>
  </si>
  <si>
    <t>0:02:42:22</t>
  </si>
  <si>
    <t>0:02:42:23</t>
  </si>
  <si>
    <t>0:02:42:24</t>
  </si>
  <si>
    <t>0:02:43:00</t>
  </si>
  <si>
    <t>0:02:43:01</t>
  </si>
  <si>
    <t>0:02:43:02</t>
  </si>
  <si>
    <t>0:02:43:03</t>
  </si>
  <si>
    <t>0:02:43:04</t>
  </si>
  <si>
    <t>0:02:43:05</t>
  </si>
  <si>
    <t>0:02:43:06</t>
  </si>
  <si>
    <t>0:02:43:07</t>
  </si>
  <si>
    <t>0:02:43:08</t>
  </si>
  <si>
    <t>0:02:43:09</t>
  </si>
  <si>
    <t>0:02:43:10</t>
  </si>
  <si>
    <t>0:02:43:11</t>
  </si>
  <si>
    <t>0:02:43:12</t>
  </si>
  <si>
    <t>0:02:43:13</t>
  </si>
  <si>
    <t>0:02:43:14</t>
  </si>
  <si>
    <t>0:02:43:15</t>
  </si>
  <si>
    <t>0:02:43:16</t>
  </si>
  <si>
    <t>0:02:43:17</t>
  </si>
  <si>
    <t>0:02:43:18</t>
  </si>
  <si>
    <t>0:02:43:19</t>
  </si>
  <si>
    <t>0:02:43:20</t>
  </si>
  <si>
    <t>0:02:43:21</t>
  </si>
  <si>
    <t>0:02:43:22</t>
  </si>
  <si>
    <t>0:02:43:23</t>
  </si>
  <si>
    <t>0:02:43:24</t>
  </si>
  <si>
    <t>0:02:44:00</t>
  </si>
  <si>
    <t>0:02:44:01</t>
  </si>
  <si>
    <t>0:02:44:02</t>
  </si>
  <si>
    <t>0:02:44:03</t>
  </si>
  <si>
    <t>0:02:44:04</t>
  </si>
  <si>
    <t>0:02:44:05</t>
  </si>
  <si>
    <t>0:02:44:06</t>
  </si>
  <si>
    <t>0:02:44:07</t>
  </si>
  <si>
    <t>0:02:44:08</t>
  </si>
  <si>
    <t>0:02:44:09</t>
  </si>
  <si>
    <t>0:02:44:10</t>
  </si>
  <si>
    <t>0:02:44:11</t>
  </si>
  <si>
    <t>0:02:44:12</t>
  </si>
  <si>
    <t>0:02:44:13</t>
  </si>
  <si>
    <t>0:02:44:14</t>
  </si>
  <si>
    <t>0:02:44:15</t>
  </si>
  <si>
    <t>0:02:44:16</t>
  </si>
  <si>
    <t>0:02:44:17</t>
  </si>
  <si>
    <t>0:02:44:18</t>
  </si>
  <si>
    <t>0:02:44:19</t>
  </si>
  <si>
    <t>0:02:44:20</t>
  </si>
  <si>
    <t>0:02:44:21</t>
  </si>
  <si>
    <t>0:02:44:22</t>
  </si>
  <si>
    <t>0:02:44:23</t>
  </si>
  <si>
    <t>0:02:44:24</t>
  </si>
  <si>
    <t>0:02:45:00</t>
  </si>
  <si>
    <t>0:02:45:01</t>
  </si>
  <si>
    <t>0:02:45:02</t>
  </si>
  <si>
    <t>0:02:45:03</t>
  </si>
  <si>
    <t>0:02:45:04</t>
  </si>
  <si>
    <t>0:02:45:05</t>
  </si>
  <si>
    <t>0:02:45:06</t>
  </si>
  <si>
    <t>0:02:45:07</t>
  </si>
  <si>
    <t>0:02:45:08</t>
  </si>
  <si>
    <t>0:02:45:09</t>
  </si>
  <si>
    <t>0:02:45:10</t>
  </si>
  <si>
    <t>0:02:45:11</t>
  </si>
  <si>
    <t>0:02:45:12</t>
  </si>
  <si>
    <t>0:02:45:13</t>
  </si>
  <si>
    <t>0:02:45:14</t>
  </si>
  <si>
    <t>0:02:45:15</t>
  </si>
  <si>
    <t>0:02:45:16</t>
  </si>
  <si>
    <t>0:02:45:17</t>
  </si>
  <si>
    <t>0:02:45:18</t>
  </si>
  <si>
    <t>0:02:45:19</t>
  </si>
  <si>
    <t>0:02:45:20</t>
  </si>
  <si>
    <t>0:02:45:21</t>
  </si>
  <si>
    <t>0:02:45:22</t>
  </si>
  <si>
    <t>0:02:45:23</t>
  </si>
  <si>
    <t>0:02:45:24</t>
  </si>
  <si>
    <t>0:02:46:00</t>
  </si>
  <si>
    <t>0:02:46:01</t>
  </si>
  <si>
    <t>0:02:46:02</t>
  </si>
  <si>
    <t>0:02:46:03</t>
  </si>
  <si>
    <t>0:02:46:04</t>
  </si>
  <si>
    <t>0:02:46:05</t>
  </si>
  <si>
    <t>0:02:46:06</t>
  </si>
  <si>
    <t>0:02:46:07</t>
  </si>
  <si>
    <t>0:02:46:08</t>
  </si>
  <si>
    <t>0:02:46:09</t>
  </si>
  <si>
    <t>0:02:46:10</t>
  </si>
  <si>
    <t>0:02:46:11</t>
  </si>
  <si>
    <t>0:02:46:12</t>
  </si>
  <si>
    <t>0:02:46:13</t>
  </si>
  <si>
    <t>0:02:46:14</t>
  </si>
  <si>
    <t>0:02:46:15</t>
  </si>
  <si>
    <t>0:02:46:16</t>
  </si>
  <si>
    <t>0:02:46:17</t>
  </si>
  <si>
    <t>0:02:46:18</t>
  </si>
  <si>
    <t>0:02:46:19</t>
  </si>
  <si>
    <t>0:02:46:20</t>
  </si>
  <si>
    <t>0:02:46:21</t>
  </si>
  <si>
    <t>0:02:46:22</t>
  </si>
  <si>
    <t>0:02:46:23</t>
  </si>
  <si>
    <t>0:02:46:24</t>
  </si>
  <si>
    <t>0:02:47:00</t>
  </si>
  <si>
    <t>0:02:47:01</t>
  </si>
  <si>
    <t>0:02:47:02</t>
  </si>
  <si>
    <t>0:02:47:03</t>
  </si>
  <si>
    <t>0:02:47:04</t>
  </si>
  <si>
    <t>0:02:47:05</t>
  </si>
  <si>
    <t>0:02:47:06</t>
  </si>
  <si>
    <t>0:02:47:07</t>
  </si>
  <si>
    <t>0:02:47:08</t>
  </si>
  <si>
    <t>0:02:47:09</t>
  </si>
  <si>
    <t>0:02:47:10</t>
  </si>
  <si>
    <t>0:02:47:11</t>
  </si>
  <si>
    <t>0:02:47:12</t>
  </si>
  <si>
    <t>0:02:47:13</t>
  </si>
  <si>
    <t>0:02:47:14</t>
  </si>
  <si>
    <t>0:02:47:15</t>
  </si>
  <si>
    <t>0:02:47:16</t>
  </si>
  <si>
    <t>0:02:47:17</t>
  </si>
  <si>
    <t>0:02:47:18</t>
  </si>
  <si>
    <t>0:02:47:19</t>
  </si>
  <si>
    <t>0:02:47:20</t>
  </si>
  <si>
    <t>0:02:47:21</t>
  </si>
  <si>
    <t>0:02:47:22</t>
  </si>
  <si>
    <t>0:02:47:23</t>
  </si>
  <si>
    <t>0:02:47:24</t>
  </si>
  <si>
    <t>0:02:48:00</t>
  </si>
  <si>
    <t>0:02:48:01</t>
  </si>
  <si>
    <t>0:02:48:02</t>
  </si>
  <si>
    <t>0:02:48:03</t>
  </si>
  <si>
    <t>0:02:48:04</t>
  </si>
  <si>
    <t>0:02:48:05</t>
  </si>
  <si>
    <t>0:02:48:06</t>
  </si>
  <si>
    <t>0:02:48:07</t>
  </si>
  <si>
    <t>0:02:48:08</t>
  </si>
  <si>
    <t>0:02:48:09</t>
  </si>
  <si>
    <t>0:02:48:10</t>
  </si>
  <si>
    <t>0:02:48:11</t>
  </si>
  <si>
    <t>0:02:48:12</t>
  </si>
  <si>
    <t>0:02:48:13</t>
  </si>
  <si>
    <t>0:02:48:14</t>
  </si>
  <si>
    <t>0:02:48:15</t>
  </si>
  <si>
    <t>0:02:48:16</t>
  </si>
  <si>
    <t>0:02:48:17</t>
  </si>
  <si>
    <t>0:02:48:18</t>
  </si>
  <si>
    <t>0:02:48:19</t>
  </si>
  <si>
    <t>0:02:48:20</t>
  </si>
  <si>
    <t>0:02:48:21</t>
  </si>
  <si>
    <t>0:02:48:22</t>
  </si>
  <si>
    <t>0:02:48:23</t>
  </si>
  <si>
    <t>0:02:48:24</t>
  </si>
  <si>
    <t>0:02:49:00</t>
  </si>
  <si>
    <t>0:02:49:01</t>
  </si>
  <si>
    <t>0:02:49:02</t>
  </si>
  <si>
    <t>0:02:49:03</t>
  </si>
  <si>
    <t>0:02:49:04</t>
  </si>
  <si>
    <t>0:02:49:05</t>
  </si>
  <si>
    <t>0:02:49:06</t>
  </si>
  <si>
    <t>0:02:49:07</t>
  </si>
  <si>
    <t>0:02:49:08</t>
  </si>
  <si>
    <t>0:02:49:09</t>
  </si>
  <si>
    <t>0:02:49:10</t>
  </si>
  <si>
    <t>0:02:49:11</t>
  </si>
  <si>
    <t>0:02:49:12</t>
  </si>
  <si>
    <t>0:02:49:13</t>
  </si>
  <si>
    <t>0:02:49:14</t>
  </si>
  <si>
    <t>0:02:49:15</t>
  </si>
  <si>
    <t>0:02:49:16</t>
  </si>
  <si>
    <t>0:02:49:17</t>
  </si>
  <si>
    <t>0:02:49:18</t>
  </si>
  <si>
    <t>0:02:49:19</t>
  </si>
  <si>
    <t>0:02:49:20</t>
  </si>
  <si>
    <t>0:02:49:21</t>
  </si>
  <si>
    <t>0:02:49:22</t>
  </si>
  <si>
    <t>0:02:49:23</t>
  </si>
  <si>
    <t>0:02:49:24</t>
  </si>
  <si>
    <t>0:02:50:00</t>
  </si>
  <si>
    <t>0:02:50:01</t>
  </si>
  <si>
    <t>0:02:50:02</t>
  </si>
  <si>
    <t>0:02:50:03</t>
  </si>
  <si>
    <t>0:02:50:04</t>
  </si>
  <si>
    <t>0:02:50:05</t>
  </si>
  <si>
    <t>0:02:50:06</t>
  </si>
  <si>
    <t>0:02:50:07</t>
  </si>
  <si>
    <t>0:02:50:08</t>
  </si>
  <si>
    <t>0:02:50:09</t>
  </si>
  <si>
    <t>0:02:50:10</t>
  </si>
  <si>
    <t>0:02:50:11</t>
  </si>
  <si>
    <t>0:02:50:12</t>
  </si>
  <si>
    <t>0:02:50:13</t>
  </si>
  <si>
    <t>0:02:50:14</t>
  </si>
  <si>
    <t>0:02:50:15</t>
  </si>
  <si>
    <t>0:02:50:16</t>
  </si>
  <si>
    <t>0:02:50:17</t>
  </si>
  <si>
    <t>0:02:50:18</t>
  </si>
  <si>
    <t>0:02:50:19</t>
  </si>
  <si>
    <t>0:02:50:20</t>
  </si>
  <si>
    <t>0:02:50:21</t>
  </si>
  <si>
    <t>0:02:50:22</t>
  </si>
  <si>
    <t>0:02:50:23</t>
  </si>
  <si>
    <t>0:02:50:24</t>
  </si>
  <si>
    <t>0:02:51:00</t>
  </si>
  <si>
    <t>0:02:51:01</t>
  </si>
  <si>
    <t>0:02:51:02</t>
  </si>
  <si>
    <t>0:02:51:03</t>
  </si>
  <si>
    <t>0:02:51:04</t>
  </si>
  <si>
    <t>0:02:51:05</t>
  </si>
  <si>
    <t>0:02:51:06</t>
  </si>
  <si>
    <t>0:02:51:07</t>
  </si>
  <si>
    <t>0:02:51:08</t>
  </si>
  <si>
    <t>0:02:51:09</t>
  </si>
  <si>
    <t>0:02:51:10</t>
  </si>
  <si>
    <t>0:02:51:11</t>
  </si>
  <si>
    <t>0:02:51:12</t>
  </si>
  <si>
    <t>0:02:51:13</t>
  </si>
  <si>
    <t>0:02:51:14</t>
  </si>
  <si>
    <t>0:02:51:15</t>
  </si>
  <si>
    <t>0:02:51:16</t>
  </si>
  <si>
    <t>0:02:51:17</t>
  </si>
  <si>
    <t>0:02:51:18</t>
  </si>
  <si>
    <t>0:02:51:19</t>
  </si>
  <si>
    <t>0:02:51:20</t>
  </si>
  <si>
    <t>0:02:51:21</t>
  </si>
  <si>
    <t>0:02:51:22</t>
  </si>
  <si>
    <t>0:02:51:23</t>
  </si>
  <si>
    <t>0:02:51:24</t>
  </si>
  <si>
    <t>0:02:52:00</t>
  </si>
  <si>
    <t>0:02:52:01</t>
  </si>
  <si>
    <t>0:02:52:02</t>
  </si>
  <si>
    <t>0:02:52:03</t>
  </si>
  <si>
    <t>0:02:52:04</t>
  </si>
  <si>
    <t>0:02:52:05</t>
  </si>
  <si>
    <t>0:02:52:06</t>
  </si>
  <si>
    <t>0:02:52:07</t>
  </si>
  <si>
    <t>0:02:52:08</t>
  </si>
  <si>
    <t>0:02:52:09</t>
  </si>
  <si>
    <t>0:02:52:10</t>
  </si>
  <si>
    <t>0:02:52:11</t>
  </si>
  <si>
    <t>0:02:52:12</t>
  </si>
  <si>
    <t>0:02:52:13</t>
  </si>
  <si>
    <t>0:02:52:14</t>
  </si>
  <si>
    <t>0:02:52:15</t>
  </si>
  <si>
    <t>0:02:52:16</t>
  </si>
  <si>
    <t>0:02:52:17</t>
  </si>
  <si>
    <t>0:02:52:18</t>
  </si>
  <si>
    <t>0:02:52:19</t>
  </si>
  <si>
    <t>0:02:52:20</t>
  </si>
  <si>
    <t>0:02:52:21</t>
  </si>
  <si>
    <t>0:02:52:22</t>
  </si>
  <si>
    <t>0:02:52:23</t>
  </si>
  <si>
    <t>0:02:52:24</t>
  </si>
  <si>
    <t>0:02:53:00</t>
  </si>
  <si>
    <t>0:02:53:01</t>
  </si>
  <si>
    <t>0:02:53:02</t>
  </si>
  <si>
    <t>0:02:53:03</t>
  </si>
  <si>
    <t>0:02:53:04</t>
  </si>
  <si>
    <t>0:02:53:05</t>
  </si>
  <si>
    <t>0:02:53:06</t>
  </si>
  <si>
    <t>0:02:53:07</t>
  </si>
  <si>
    <t>0:02:53:08</t>
  </si>
  <si>
    <t>0:02:53:09</t>
  </si>
  <si>
    <t>0:02:53:10</t>
  </si>
  <si>
    <t>0:02:53:11</t>
  </si>
  <si>
    <t>0:02:53:12</t>
  </si>
  <si>
    <t>0:02:53:13</t>
  </si>
  <si>
    <t>0:02:53:14</t>
  </si>
  <si>
    <t>0:02:53:15</t>
  </si>
  <si>
    <t>0:02:53:16</t>
  </si>
  <si>
    <t>0:02:53:17</t>
  </si>
  <si>
    <t>0:02:53:18</t>
  </si>
  <si>
    <t>0:02:53:19</t>
  </si>
  <si>
    <t>0:02:53:20</t>
  </si>
  <si>
    <t>0:02:53:21</t>
  </si>
  <si>
    <t>0:02:53:22</t>
  </si>
  <si>
    <t>0:02:53:23</t>
  </si>
  <si>
    <t>0:02:53:24</t>
  </si>
  <si>
    <t>0:02:54:00</t>
  </si>
  <si>
    <t>0:02:54:01</t>
  </si>
  <si>
    <t>0:02:54:02</t>
  </si>
  <si>
    <t>0:02:54:03</t>
  </si>
  <si>
    <t>0:02:54:04</t>
  </si>
  <si>
    <t>0:02:54:05</t>
  </si>
  <si>
    <t>0:02:54:06</t>
  </si>
  <si>
    <t>0:02:54:07</t>
  </si>
  <si>
    <t>0:02:54:08</t>
  </si>
  <si>
    <t>0:02:54:09</t>
  </si>
  <si>
    <t>0:02:54:10</t>
  </si>
  <si>
    <t>0:02:54:11</t>
  </si>
  <si>
    <t>0:02:54:12</t>
  </si>
  <si>
    <t>0:02:54:13</t>
  </si>
  <si>
    <t>0:02:54:14</t>
  </si>
  <si>
    <t>0:02:54:15</t>
  </si>
  <si>
    <t>0:02:54:16</t>
  </si>
  <si>
    <t>0:02:54:17</t>
  </si>
  <si>
    <t>0:02:54:18</t>
  </si>
  <si>
    <t>0:02:54:19</t>
  </si>
  <si>
    <t>0:02:54:20</t>
  </si>
  <si>
    <t>0:02:54:21</t>
  </si>
  <si>
    <t>0:02:54:22</t>
  </si>
  <si>
    <t>0:02:54:23</t>
  </si>
  <si>
    <t>0:02:54:24</t>
  </si>
  <si>
    <t>0:02:55:00</t>
  </si>
  <si>
    <t>0:02:55:01</t>
  </si>
  <si>
    <t>0:02:55:02</t>
  </si>
  <si>
    <t>0:02:55:03</t>
  </si>
  <si>
    <t>0:02:55:04</t>
  </si>
  <si>
    <t>0:02:55:05</t>
  </si>
  <si>
    <t>0:02:55:06</t>
  </si>
  <si>
    <t>0:02:55:07</t>
  </si>
  <si>
    <t>0:02:55:08</t>
  </si>
  <si>
    <t>0:02:55:09</t>
  </si>
  <si>
    <t>0:02:55:10</t>
  </si>
  <si>
    <t>0:02:55:11</t>
  </si>
  <si>
    <t>0:02:55:12</t>
  </si>
  <si>
    <t>0:02:55:13</t>
  </si>
  <si>
    <t>0:02:55:14</t>
  </si>
  <si>
    <t>0:02:55:15</t>
  </si>
  <si>
    <t>0:02:55:16</t>
  </si>
  <si>
    <t>0:02:55:17</t>
  </si>
  <si>
    <t>0:02:55:18</t>
  </si>
  <si>
    <t>0:02:55:19</t>
  </si>
  <si>
    <t>0:02:55:20</t>
  </si>
  <si>
    <t>0:02:55:21</t>
  </si>
  <si>
    <t>0:02:55:22</t>
  </si>
  <si>
    <t>0:02:55:23</t>
  </si>
  <si>
    <t>0:02:55:24</t>
  </si>
  <si>
    <t>0:02:56:00</t>
  </si>
  <si>
    <t>0:02:56:01</t>
  </si>
  <si>
    <t>0:02:56:02</t>
  </si>
  <si>
    <t>0:02:56:03</t>
  </si>
  <si>
    <t>0:02:56:04</t>
  </si>
  <si>
    <t>0:02:56:05</t>
  </si>
  <si>
    <t>0:02:56:06</t>
  </si>
  <si>
    <t>0:02:56:07</t>
  </si>
  <si>
    <t>0:02:56:08</t>
  </si>
  <si>
    <t>0:02:56:09</t>
  </si>
  <si>
    <t>0:02:56:10</t>
  </si>
  <si>
    <t>0:02:56:11</t>
  </si>
  <si>
    <t>0:02:56:12</t>
  </si>
  <si>
    <t>0:02:56:13</t>
  </si>
  <si>
    <t>0:02:56:14</t>
  </si>
  <si>
    <t>0:02:56:15</t>
  </si>
  <si>
    <t>0:02:56:16</t>
  </si>
  <si>
    <t>0:02:56:17</t>
  </si>
  <si>
    <t>0:02:56:18</t>
  </si>
  <si>
    <t>0:02:56:19</t>
  </si>
  <si>
    <t>0:02:56:20</t>
  </si>
  <si>
    <t>0:02:56:21</t>
  </si>
  <si>
    <t>0:02:56:22</t>
  </si>
  <si>
    <t>0:02:56:23</t>
  </si>
  <si>
    <t>0:02:56:24</t>
  </si>
  <si>
    <t>0:02:57:00</t>
  </si>
  <si>
    <t>0:02:57:01</t>
  </si>
  <si>
    <t>0:02:57:02</t>
  </si>
  <si>
    <t>0:02:57:03</t>
  </si>
  <si>
    <t>0:02:57:04</t>
  </si>
  <si>
    <t>0:02:57:05</t>
  </si>
  <si>
    <t>0:02:57:06</t>
  </si>
  <si>
    <t>0:02:57:07</t>
  </si>
  <si>
    <t>0:02:57:08</t>
  </si>
  <si>
    <t>0:02:57:09</t>
  </si>
  <si>
    <t>0:02:57:10</t>
  </si>
  <si>
    <t>0:02:57:11</t>
  </si>
  <si>
    <t>0:02:57:12</t>
  </si>
  <si>
    <t>0:02:57:13</t>
  </si>
  <si>
    <t>0:02:57:14</t>
  </si>
  <si>
    <t>0:02:57:15</t>
  </si>
  <si>
    <t>0:02:57:16</t>
  </si>
  <si>
    <t>0:02:57:17</t>
  </si>
  <si>
    <t>0:02:57:18</t>
  </si>
  <si>
    <t>0:02:57:19</t>
  </si>
  <si>
    <t>0:02:57:20</t>
  </si>
  <si>
    <t>0:02:57:21</t>
  </si>
  <si>
    <t>0:02:57:22</t>
  </si>
  <si>
    <t>0:02:57:23</t>
  </si>
  <si>
    <t>0:02:57:24</t>
  </si>
  <si>
    <t>0:02:58:00</t>
  </si>
  <si>
    <t>0:02:58:01</t>
  </si>
  <si>
    <t>0:02:58:02</t>
  </si>
  <si>
    <t>0:02:58:03</t>
  </si>
  <si>
    <t>0:02:58:04</t>
  </si>
  <si>
    <t>0:02:58:05</t>
  </si>
  <si>
    <t>0:02:58:06</t>
  </si>
  <si>
    <t>0:02:58:07</t>
  </si>
  <si>
    <t>0:02:58:08</t>
  </si>
  <si>
    <t>0:02:58:09</t>
  </si>
  <si>
    <t>0:02:58:10</t>
  </si>
  <si>
    <t>0:02:58:11</t>
  </si>
  <si>
    <t>0:02:58:12</t>
  </si>
  <si>
    <t>0:02:58:13</t>
  </si>
  <si>
    <t>0:02:58:14</t>
  </si>
  <si>
    <t>0:02:58:15</t>
  </si>
  <si>
    <t>0:02:58:16</t>
  </si>
  <si>
    <t>0:02:58:17</t>
  </si>
  <si>
    <t>0:02:58:18</t>
  </si>
  <si>
    <t>0:02:58:19</t>
  </si>
  <si>
    <t>0:02:58:20</t>
  </si>
  <si>
    <t>0:02:58:21</t>
  </si>
  <si>
    <t>0:02:58:22</t>
  </si>
  <si>
    <t>0:02:58:23</t>
  </si>
  <si>
    <t>0:02:58:24</t>
  </si>
  <si>
    <t>0:02:59:00</t>
  </si>
  <si>
    <t>0:02:59:01</t>
  </si>
  <si>
    <t>0:02:59:02</t>
  </si>
  <si>
    <t>0:02:59:03</t>
  </si>
  <si>
    <t>0:02:59:04</t>
  </si>
  <si>
    <t>0:02:59:05</t>
  </si>
  <si>
    <t>0:02:59:06</t>
  </si>
  <si>
    <t>0:02:59:07</t>
  </si>
  <si>
    <t>0:02:59:08</t>
  </si>
  <si>
    <t>0:02:59:09</t>
  </si>
  <si>
    <t>0:02:59:10</t>
  </si>
  <si>
    <t>0:02:59:11</t>
  </si>
  <si>
    <t>0:02:59:12</t>
  </si>
  <si>
    <t>0:02:59:13</t>
  </si>
  <si>
    <t>0:02:59:14</t>
  </si>
  <si>
    <t>0:02:59:15</t>
  </si>
  <si>
    <t>0:02:59:16</t>
  </si>
  <si>
    <t>0:02:59:17</t>
  </si>
  <si>
    <t>0:02:59:18</t>
  </si>
  <si>
    <t>0:02:59:19</t>
  </si>
  <si>
    <t>0:02:59:20</t>
  </si>
  <si>
    <t>0:02:59:21</t>
  </si>
  <si>
    <t>0:02:59:22</t>
  </si>
  <si>
    <t>0:02:59:23</t>
  </si>
  <si>
    <t>0:02:59:24</t>
  </si>
  <si>
    <t>0:03:00:00</t>
  </si>
  <si>
    <t>0:03:00:01</t>
  </si>
  <si>
    <t>0:03:00:02</t>
  </si>
  <si>
    <t>0:03:00:03</t>
  </si>
  <si>
    <t>0:03:00:04</t>
  </si>
  <si>
    <t>0:03:00:05</t>
  </si>
  <si>
    <t>0:03:00:06</t>
  </si>
  <si>
    <t>0:03:00:07</t>
  </si>
  <si>
    <t>0:03:00:08</t>
  </si>
  <si>
    <t>0:03:00:09</t>
  </si>
  <si>
    <t>0:03:00:10</t>
  </si>
  <si>
    <t>0:03:00:11</t>
  </si>
  <si>
    <t>0:03:00:12</t>
  </si>
  <si>
    <t>0:03:00:13</t>
  </si>
  <si>
    <t>0:03:00:14</t>
  </si>
  <si>
    <t>0:03:00:15</t>
  </si>
  <si>
    <t>0:03:00:16</t>
  </si>
  <si>
    <t>0:03:00:17</t>
  </si>
  <si>
    <t>0:03:00:18</t>
  </si>
  <si>
    <t>0:03:00:19</t>
  </si>
  <si>
    <t>0:03:00:20</t>
  </si>
  <si>
    <t>0:03:00:21</t>
  </si>
  <si>
    <t>0:03:00:22</t>
  </si>
  <si>
    <t>0:03:00:23</t>
  </si>
  <si>
    <t>0:03:00:24</t>
  </si>
  <si>
    <t>0:03:01:00</t>
  </si>
  <si>
    <t>0:03:01:01</t>
  </si>
  <si>
    <t>0:03:01:02</t>
  </si>
  <si>
    <t>0:03:01:03</t>
  </si>
  <si>
    <t>0:03:01:04</t>
  </si>
  <si>
    <t>0:03:01:05</t>
  </si>
  <si>
    <t>0:03:01:06</t>
  </si>
  <si>
    <t>0:03:01:07</t>
  </si>
  <si>
    <t>0:03:01:08</t>
  </si>
  <si>
    <t>0:03:01:09</t>
  </si>
  <si>
    <t>0:03:01:10</t>
  </si>
  <si>
    <t>0:03:01:11</t>
  </si>
  <si>
    <t>0:03:01:12</t>
  </si>
  <si>
    <t>0:03:01:13</t>
  </si>
  <si>
    <t>0:03:01:14</t>
  </si>
  <si>
    <t>0:03:01:15</t>
  </si>
  <si>
    <t>0:03:01:16</t>
  </si>
  <si>
    <t>0:03:01:17</t>
  </si>
  <si>
    <t>0:03:01:18</t>
  </si>
  <si>
    <t>0:03:01:19</t>
  </si>
  <si>
    <t>0:03:01:20</t>
  </si>
  <si>
    <t>0:03:01:21</t>
  </si>
  <si>
    <t>0:03:01:22</t>
  </si>
  <si>
    <t>0:03:01:23</t>
  </si>
  <si>
    <t>0:03:01:24</t>
  </si>
  <si>
    <t>0:03:02:00</t>
  </si>
  <si>
    <t>0:03:02:01</t>
  </si>
  <si>
    <t>0:03:02:02</t>
  </si>
  <si>
    <t>0:03:02:03</t>
  </si>
  <si>
    <t>0:03:02:04</t>
  </si>
  <si>
    <t>0:03:02:05</t>
  </si>
  <si>
    <t>0:03:02:06</t>
  </si>
  <si>
    <t>0:03:02:07</t>
  </si>
  <si>
    <t>0:03:02:08</t>
  </si>
  <si>
    <t>0:03:02:09</t>
  </si>
  <si>
    <t>0:03:02:10</t>
  </si>
  <si>
    <t>0:03:02:11</t>
  </si>
  <si>
    <t>0:03:02:12</t>
  </si>
  <si>
    <t>0:03:02:13</t>
  </si>
  <si>
    <t>0:03:02:14</t>
  </si>
  <si>
    <t>0:03:02:15</t>
  </si>
  <si>
    <t>0:03:02:16</t>
  </si>
  <si>
    <t>0:03:02:17</t>
  </si>
  <si>
    <t>0:03:02:18</t>
  </si>
  <si>
    <t>0:03:02:19</t>
  </si>
  <si>
    <t>0:03:02:20</t>
  </si>
  <si>
    <t>0:03:02:21</t>
  </si>
  <si>
    <t>0:03:02:22</t>
  </si>
  <si>
    <t>0:03:02:23</t>
  </si>
  <si>
    <t>0:03:02:24</t>
  </si>
  <si>
    <t>0:03:03:00</t>
  </si>
  <si>
    <t>0:03:03:01</t>
  </si>
  <si>
    <t>0:03:03:02</t>
  </si>
  <si>
    <t>0:03:03:03</t>
  </si>
  <si>
    <t>0:03:03:04</t>
  </si>
  <si>
    <t>0:03:03:05</t>
  </si>
  <si>
    <t>0:03:03:06</t>
  </si>
  <si>
    <t>0:03:03:07</t>
  </si>
  <si>
    <t>0:03:03:08</t>
  </si>
  <si>
    <t>0:03:03:09</t>
  </si>
  <si>
    <t>0:03:03:10</t>
  </si>
  <si>
    <t>0:03:03:11</t>
  </si>
  <si>
    <t>0:03:03:12</t>
  </si>
  <si>
    <t>0:03:03:13</t>
  </si>
  <si>
    <t>0:03:03:14</t>
  </si>
  <si>
    <t>0:03:03:15</t>
  </si>
  <si>
    <t>0:03:03:16</t>
  </si>
  <si>
    <t>0:03:03:17</t>
  </si>
  <si>
    <t>0:03:03:18</t>
  </si>
  <si>
    <t>0:03:03:19</t>
  </si>
  <si>
    <t>0:03:03:20</t>
  </si>
  <si>
    <t>0:03:03:21</t>
  </si>
  <si>
    <t>0:03:03:22</t>
  </si>
  <si>
    <t>0:03:03:23</t>
  </si>
  <si>
    <t>0:03:03:24</t>
  </si>
  <si>
    <t>0:03:04:00</t>
  </si>
  <si>
    <t>0:03:04:01</t>
  </si>
  <si>
    <t>0:03:04:02</t>
  </si>
  <si>
    <t>0:03:04:03</t>
  </si>
  <si>
    <t>0:03:04:04</t>
  </si>
  <si>
    <t>0:03:04:05</t>
  </si>
  <si>
    <t>0:03:04:06</t>
  </si>
  <si>
    <t>0:03:04:07</t>
  </si>
  <si>
    <t>0:03:04:08</t>
  </si>
  <si>
    <t>0:03:04:09</t>
  </si>
  <si>
    <t>0:03:04:10</t>
  </si>
  <si>
    <t>0:03:04:11</t>
  </si>
  <si>
    <t>0:03:04:12</t>
  </si>
  <si>
    <t>0:03:04:13</t>
  </si>
  <si>
    <t>0:03:04:14</t>
  </si>
  <si>
    <t>0:03:04:15</t>
  </si>
  <si>
    <t>0:03:04:16</t>
  </si>
  <si>
    <t>0:03:04:17</t>
  </si>
  <si>
    <t>0:03:04:18</t>
  </si>
  <si>
    <t>0:03:04:19</t>
  </si>
  <si>
    <t>0:03:04:20</t>
  </si>
  <si>
    <t>0:03:04:21</t>
  </si>
  <si>
    <t>0:03:04:22</t>
  </si>
  <si>
    <t>0:03:04:23</t>
  </si>
  <si>
    <t>0:03:04:24</t>
  </si>
  <si>
    <t>0:03:05:00</t>
  </si>
  <si>
    <t>0:03:05:01</t>
  </si>
  <si>
    <t>0:03:05:02</t>
  </si>
  <si>
    <t>0:03:05:03</t>
  </si>
  <si>
    <t>0:03:05:04</t>
  </si>
  <si>
    <t>0:03:05:05</t>
  </si>
  <si>
    <t>0:03:05:06</t>
  </si>
  <si>
    <t>0:03:05:07</t>
  </si>
  <si>
    <t>0:03:05:08</t>
  </si>
  <si>
    <t>0:03:05:09</t>
  </si>
  <si>
    <t>0:03:05:10</t>
  </si>
  <si>
    <t>0:03:05:11</t>
  </si>
  <si>
    <t>0:03:05:12</t>
  </si>
  <si>
    <t>0:03:05:13</t>
  </si>
  <si>
    <t>0:03:05:14</t>
  </si>
  <si>
    <t>0:03:05:15</t>
  </si>
  <si>
    <t>0:03:05:16</t>
  </si>
  <si>
    <t>0:03:05:17</t>
  </si>
  <si>
    <t>0:03:05:18</t>
  </si>
  <si>
    <t>0:03:05:19</t>
  </si>
  <si>
    <t>0:03:05:20</t>
  </si>
  <si>
    <t>0:03:05:21</t>
  </si>
  <si>
    <t>0:03:05:22</t>
  </si>
  <si>
    <t>0:03:05:23</t>
  </si>
  <si>
    <t>0:03:05:24</t>
  </si>
  <si>
    <t>0:03:06:00</t>
  </si>
  <si>
    <t>0:03:06:01</t>
  </si>
  <si>
    <t>0:03:06:02</t>
  </si>
  <si>
    <t>0:03:06:03</t>
  </si>
  <si>
    <t>0:03:06:04</t>
  </si>
  <si>
    <t>0:03:06:05</t>
  </si>
  <si>
    <t>0:03:06:06</t>
  </si>
  <si>
    <t>0:03:06:07</t>
  </si>
  <si>
    <t>0:03:06:08</t>
  </si>
  <si>
    <t>0:03:06:09</t>
  </si>
  <si>
    <t>0:03:06:10</t>
  </si>
  <si>
    <t>0:03:06:11</t>
  </si>
  <si>
    <t>0:03:06:12</t>
  </si>
  <si>
    <t>0:03:06:13</t>
  </si>
  <si>
    <t>0:03:06:14</t>
  </si>
  <si>
    <t>0:03:06:15</t>
  </si>
  <si>
    <t>0:03:06:16</t>
  </si>
  <si>
    <t>0:03:06:17</t>
  </si>
  <si>
    <t>0:03:06:18</t>
  </si>
  <si>
    <t>0:03:06:19</t>
  </si>
  <si>
    <t>0:03:06:20</t>
  </si>
  <si>
    <t>0:03:06:21</t>
  </si>
  <si>
    <t>0:03:06:22</t>
  </si>
  <si>
    <t>0:03:06:23</t>
  </si>
  <si>
    <t>0:03:06:24</t>
  </si>
  <si>
    <t>0:03:07:00</t>
  </si>
  <si>
    <t>0:03:07:01</t>
  </si>
  <si>
    <t>0:03:07:02</t>
  </si>
  <si>
    <t>0:03:07:03</t>
  </si>
  <si>
    <t>0:03:07:04</t>
  </si>
  <si>
    <t>0:03:07:05</t>
  </si>
  <si>
    <t>0:03:07:06</t>
  </si>
  <si>
    <t>0:03:07:07</t>
  </si>
  <si>
    <t>0:03:07:08</t>
  </si>
  <si>
    <t>0:03:07:09</t>
  </si>
  <si>
    <t>0:03:07:10</t>
  </si>
  <si>
    <t>0:03:07:11</t>
  </si>
  <si>
    <t>0:03:07:12</t>
  </si>
  <si>
    <t>0:03:07:13</t>
  </si>
  <si>
    <t>0:03:07:14</t>
  </si>
  <si>
    <t>0:03:07:15</t>
  </si>
  <si>
    <t>0:03:07:16</t>
  </si>
  <si>
    <t>0:03:07:17</t>
  </si>
  <si>
    <t>0:03:07:18</t>
  </si>
  <si>
    <t>0:03:07:19</t>
  </si>
  <si>
    <t>0:03:07:20</t>
  </si>
  <si>
    <t>0:03:07:21</t>
  </si>
  <si>
    <t>0:03:07:22</t>
  </si>
  <si>
    <t>0:03:07:23</t>
  </si>
  <si>
    <t>0:03:07:24</t>
  </si>
  <si>
    <t>0:03:08:00</t>
  </si>
  <si>
    <t>0:03:08:01</t>
  </si>
  <si>
    <t>0:03:08:02</t>
  </si>
  <si>
    <t>0:03:08:03</t>
  </si>
  <si>
    <t>0:03:08:04</t>
  </si>
  <si>
    <t>0:03:08:05</t>
  </si>
  <si>
    <t>0:03:08:06</t>
  </si>
  <si>
    <t>0:03:08:07</t>
  </si>
  <si>
    <t>0:03:08:08</t>
  </si>
  <si>
    <t>0:03:08:09</t>
  </si>
  <si>
    <t>0:03:08:10</t>
  </si>
  <si>
    <t>0:03:08:11</t>
  </si>
  <si>
    <t>0:03:08:12</t>
  </si>
  <si>
    <t>0:03:08:13</t>
  </si>
  <si>
    <t>0:03:08:14</t>
  </si>
  <si>
    <t>0:03:08:15</t>
  </si>
  <si>
    <t>0:03:08:16</t>
  </si>
  <si>
    <t>0:03:08:17</t>
  </si>
  <si>
    <t>0:03:08:18</t>
  </si>
  <si>
    <t>0:03:08:19</t>
  </si>
  <si>
    <t>0:03:08:20</t>
  </si>
  <si>
    <t>0:03:08:21</t>
  </si>
  <si>
    <t>0:03:08:22</t>
  </si>
  <si>
    <t>0:03:08:23</t>
  </si>
  <si>
    <t>0:03:08:24</t>
  </si>
  <si>
    <t>0:03:09:00</t>
  </si>
  <si>
    <t>0:03:09:01</t>
  </si>
  <si>
    <t>0:03:09:02</t>
  </si>
  <si>
    <t>0:03:09:03</t>
  </si>
  <si>
    <t>0:03:09:04</t>
  </si>
  <si>
    <t>0:03:09:05</t>
  </si>
  <si>
    <t>0:03:09:06</t>
  </si>
  <si>
    <t>0:03:09:07</t>
  </si>
  <si>
    <t>0:03:09:08</t>
  </si>
  <si>
    <t>0:03:09:09</t>
  </si>
  <si>
    <t>0:03:09:10</t>
  </si>
  <si>
    <t>0:03:09:11</t>
  </si>
  <si>
    <t>0:03:09:12</t>
  </si>
  <si>
    <t>0:03:09:13</t>
  </si>
  <si>
    <t>0:03:09:14</t>
  </si>
  <si>
    <t>0:03:09:15</t>
  </si>
  <si>
    <t>0:03:09:16</t>
  </si>
  <si>
    <t>0:03:09:17</t>
  </si>
  <si>
    <t>0:03:09:18</t>
  </si>
  <si>
    <t>0:03:09:19</t>
  </si>
  <si>
    <t>0:03:09:20</t>
  </si>
  <si>
    <t>0:03:09:21</t>
  </si>
  <si>
    <t>0:03:09:22</t>
  </si>
  <si>
    <t>0:03:09:23</t>
  </si>
  <si>
    <t>0:03:09:24</t>
  </si>
  <si>
    <t>0:03:10:00</t>
  </si>
  <si>
    <t>0:03:10:01</t>
  </si>
  <si>
    <t>0:03:10:02</t>
  </si>
  <si>
    <t>0:03:10:03</t>
  </si>
  <si>
    <t>0:03:10:04</t>
  </si>
  <si>
    <t>0:03:10:05</t>
  </si>
  <si>
    <t>0:03:10:06</t>
  </si>
  <si>
    <t>0:03:10:07</t>
  </si>
  <si>
    <t>0:03:10:08</t>
  </si>
  <si>
    <t>0:03:10:09</t>
  </si>
  <si>
    <t>0:03:10:10</t>
  </si>
  <si>
    <t>0:03:10:11</t>
  </si>
  <si>
    <t>0:03:10:12</t>
  </si>
  <si>
    <t>0:03:10:13</t>
  </si>
  <si>
    <t>0:03:10:14</t>
  </si>
  <si>
    <t>0:03:10:15</t>
  </si>
  <si>
    <t>0:03:10:16</t>
  </si>
  <si>
    <t>0:03:10:17</t>
  </si>
  <si>
    <t>0:03:10:18</t>
  </si>
  <si>
    <t>0:03:10:19</t>
  </si>
  <si>
    <t>0:03:10:20</t>
  </si>
  <si>
    <t>0:03:10:21</t>
  </si>
  <si>
    <t>0:03:10:22</t>
  </si>
  <si>
    <t>0:03:10:23</t>
  </si>
  <si>
    <t>0:03:10:24</t>
  </si>
  <si>
    <t>0:03:11:00</t>
  </si>
  <si>
    <t>0:03:11:01</t>
  </si>
  <si>
    <t>0:03:11:02</t>
  </si>
  <si>
    <t>0:03:11:03</t>
  </si>
  <si>
    <t>0:03:11:04</t>
  </si>
  <si>
    <t>0:03:11:05</t>
  </si>
  <si>
    <t>0:03:11:06</t>
  </si>
  <si>
    <t>0:03:11:07</t>
  </si>
  <si>
    <t>0:03:11:08</t>
  </si>
  <si>
    <t>0:03:11:09</t>
  </si>
  <si>
    <t>0:03:11:10</t>
  </si>
  <si>
    <t>0:03:11:11</t>
  </si>
  <si>
    <t>0:03:11:12</t>
  </si>
  <si>
    <t>0:03:11:13</t>
  </si>
  <si>
    <t>0:03:11:14</t>
  </si>
  <si>
    <t>0:03:11:15</t>
  </si>
  <si>
    <t>0:03:11:16</t>
  </si>
  <si>
    <t>0:03:11:17</t>
  </si>
  <si>
    <t>0:03:11:18</t>
  </si>
  <si>
    <t>0:03:11:19</t>
  </si>
  <si>
    <t>0:03:11:20</t>
  </si>
  <si>
    <t>0:03:11:21</t>
  </si>
  <si>
    <t>0:03:11:22</t>
  </si>
  <si>
    <t>0:03:11:23</t>
  </si>
  <si>
    <t>0:03:11:24</t>
  </si>
  <si>
    <t>0:03:12:00</t>
  </si>
  <si>
    <t>0:03:12:01</t>
  </si>
  <si>
    <t>0:03:12:02</t>
  </si>
  <si>
    <t>0:03:12:03</t>
  </si>
  <si>
    <t>0:03:12:04</t>
  </si>
  <si>
    <t>0:03:12:05</t>
  </si>
  <si>
    <t>0:03:12:06</t>
  </si>
  <si>
    <t>0:03:12:07</t>
  </si>
  <si>
    <t>0:03:12:08</t>
  </si>
  <si>
    <t>0:03:12:09</t>
  </si>
  <si>
    <t>0:03:12:10</t>
  </si>
  <si>
    <t>0:03:12:11</t>
  </si>
  <si>
    <t>0:03:12:12</t>
  </si>
  <si>
    <t>0:03:12:13</t>
  </si>
  <si>
    <t>0:03:12:14</t>
  </si>
  <si>
    <t>0:03:12:15</t>
  </si>
  <si>
    <t>0:03:12:16</t>
  </si>
  <si>
    <t>0:03:12:17</t>
  </si>
  <si>
    <t>0:03:12:18</t>
  </si>
  <si>
    <t>0:03:12:19</t>
  </si>
  <si>
    <t>0:03:12:20</t>
  </si>
  <si>
    <t>0:03:12:21</t>
  </si>
  <si>
    <t>0:03:12:22</t>
  </si>
  <si>
    <t>0:03:12:23</t>
  </si>
  <si>
    <t>0:03:12:24</t>
  </si>
  <si>
    <t>0:03:13:00</t>
  </si>
  <si>
    <t>0:03:13:01</t>
  </si>
  <si>
    <t>0:03:13:02</t>
  </si>
  <si>
    <t>0:03:13:03</t>
  </si>
  <si>
    <t>0:03:13:04</t>
  </si>
  <si>
    <t>0:03:13:05</t>
  </si>
  <si>
    <t>0:03:13:06</t>
  </si>
  <si>
    <t>0:03:13:07</t>
  </si>
  <si>
    <t>0:03:13:08</t>
  </si>
  <si>
    <t>0:03:13:09</t>
  </si>
  <si>
    <t>0:03:13:10</t>
  </si>
  <si>
    <t>0:03:13:11</t>
  </si>
  <si>
    <t>0:03:13:12</t>
  </si>
  <si>
    <t>0:03:13:13</t>
  </si>
  <si>
    <t>0:03:13:14</t>
  </si>
  <si>
    <t>0:03:13:15</t>
  </si>
  <si>
    <t>0:03:13:16</t>
  </si>
  <si>
    <t>0:03:13:17</t>
  </si>
  <si>
    <t>0:03:13:18</t>
  </si>
  <si>
    <t>0:03:13:19</t>
  </si>
  <si>
    <t>0:03:13:20</t>
  </si>
  <si>
    <t>0:03:13:21</t>
  </si>
  <si>
    <t>0:03:13:22</t>
  </si>
  <si>
    <t>0:03:13:23</t>
  </si>
  <si>
    <t>0:03:13:24</t>
  </si>
  <si>
    <t>0:03:14:00</t>
  </si>
  <si>
    <t>0:03:14:01</t>
  </si>
  <si>
    <t>0:03:14:02</t>
  </si>
  <si>
    <t>0:03:14:03</t>
  </si>
  <si>
    <t>0:03:14:04</t>
  </si>
  <si>
    <t>0:03:14:05</t>
  </si>
  <si>
    <t>0:03:14:06</t>
  </si>
  <si>
    <t>0:03:14:07</t>
  </si>
  <si>
    <t>0:03:14:08</t>
  </si>
  <si>
    <t>0:03:14:09</t>
  </si>
  <si>
    <t>0:03:14:10</t>
  </si>
  <si>
    <t>0:03:14:11</t>
  </si>
  <si>
    <t>0:03:14:12</t>
  </si>
  <si>
    <t>0:03:14:13</t>
  </si>
  <si>
    <t>0:03:14:14</t>
  </si>
  <si>
    <t>0:03:14:15</t>
  </si>
  <si>
    <t>0:03:14:16</t>
  </si>
  <si>
    <t>0:03:14:17</t>
  </si>
  <si>
    <t>0:03:14:18</t>
  </si>
  <si>
    <t>0:03:14:19</t>
  </si>
  <si>
    <t>0:03:14:20</t>
  </si>
  <si>
    <t>0:03:14:21</t>
  </si>
  <si>
    <t>0:03:14:22</t>
  </si>
  <si>
    <t>0:03:14:23</t>
  </si>
  <si>
    <t>0:03:14:24</t>
  </si>
  <si>
    <t>0:03:15:00</t>
  </si>
  <si>
    <t>0:03:15:01</t>
  </si>
  <si>
    <t>0:03:15:02</t>
  </si>
  <si>
    <t>0:03:15:03</t>
  </si>
  <si>
    <t>0:03:15:04</t>
  </si>
  <si>
    <t>0:03:15:05</t>
  </si>
  <si>
    <t>0:03:15:06</t>
  </si>
  <si>
    <t>0:03:15:07</t>
  </si>
  <si>
    <t>0:03:15:08</t>
  </si>
  <si>
    <t>0:03:15:09</t>
  </si>
  <si>
    <t>0:03:15:10</t>
  </si>
  <si>
    <t>0:03:15:11</t>
  </si>
  <si>
    <t>0:03:15:12</t>
  </si>
  <si>
    <t>0:03:15:13</t>
  </si>
  <si>
    <t>0:03:15:14</t>
  </si>
  <si>
    <t>0:03:15:15</t>
  </si>
  <si>
    <t>0:03:15:16</t>
  </si>
  <si>
    <t>0:03:15:17</t>
  </si>
  <si>
    <t>0:03:15:18</t>
  </si>
  <si>
    <t>0:03:15:19</t>
  </si>
  <si>
    <t>0:03:15:20</t>
  </si>
  <si>
    <t>0:03:15:21</t>
  </si>
  <si>
    <t>0:03:15:22</t>
  </si>
  <si>
    <t>0:03:15:23</t>
  </si>
  <si>
    <t>0:03:15:24</t>
  </si>
  <si>
    <t>0:03:16:00</t>
  </si>
  <si>
    <t>0:03:16:01</t>
  </si>
  <si>
    <t>0:03:16:02</t>
  </si>
  <si>
    <t>0:03:16:03</t>
  </si>
  <si>
    <t>0:03:16:04</t>
  </si>
  <si>
    <t>0:03:16:05</t>
  </si>
  <si>
    <t>0:03:16:06</t>
  </si>
  <si>
    <t>0:03:16:07</t>
  </si>
  <si>
    <t>0:03:16:08</t>
  </si>
  <si>
    <t>0:03:16:09</t>
  </si>
  <si>
    <t>0:03:16:10</t>
  </si>
  <si>
    <t>0:03:16:11</t>
  </si>
  <si>
    <t>0:03:16:12</t>
  </si>
  <si>
    <t>0:03:16:13</t>
  </si>
  <si>
    <t>0:03:16:14</t>
  </si>
  <si>
    <t>0:03:16:15</t>
  </si>
  <si>
    <t>0:03:16:16</t>
  </si>
  <si>
    <t>0:03:16:17</t>
  </si>
  <si>
    <t>0:03:16:18</t>
  </si>
  <si>
    <t>0:03:16:19</t>
  </si>
  <si>
    <t>0:03:16:20</t>
  </si>
  <si>
    <t>0:03:16:21</t>
  </si>
  <si>
    <t>0:03:16:22</t>
  </si>
  <si>
    <t>0:03:16:23</t>
  </si>
  <si>
    <t>0:03:16:24</t>
  </si>
  <si>
    <t>0:03:17:00</t>
  </si>
  <si>
    <t>0:03:17:01</t>
  </si>
  <si>
    <t>0:03:17:02</t>
  </si>
  <si>
    <t>0:03:17:03</t>
  </si>
  <si>
    <t>0:03:17:04</t>
  </si>
  <si>
    <t>0:03:17:05</t>
  </si>
  <si>
    <t>0:03:17:06</t>
  </si>
  <si>
    <t>0:03:17:07</t>
  </si>
  <si>
    <t>0:03:17:08</t>
  </si>
  <si>
    <t>0:03:17:09</t>
  </si>
  <si>
    <t>0:03:17:10</t>
  </si>
  <si>
    <t>0:03:17:11</t>
  </si>
  <si>
    <t>0:03:17:12</t>
  </si>
  <si>
    <t>0:03:17:13</t>
  </si>
  <si>
    <t>0:03:17:14</t>
  </si>
  <si>
    <t>0:03:17:15</t>
  </si>
  <si>
    <t>0:03:17:16</t>
  </si>
  <si>
    <t>0:03:17:17</t>
  </si>
  <si>
    <t>0:03:17:18</t>
  </si>
  <si>
    <t>0:03:17:19</t>
  </si>
  <si>
    <t>0:03:17:20</t>
  </si>
  <si>
    <t>0:03:17:21</t>
  </si>
  <si>
    <t>0:03:17:22</t>
  </si>
  <si>
    <t>0:03:17:23</t>
  </si>
  <si>
    <t>0:03:17:24</t>
  </si>
  <si>
    <t>0:03:18:00</t>
  </si>
  <si>
    <t>0:03:18:01</t>
  </si>
  <si>
    <t>0:03:18:02</t>
  </si>
  <si>
    <t>0:03:18:03</t>
  </si>
  <si>
    <t>0:03:18:04</t>
  </si>
  <si>
    <t>0:03:18:05</t>
  </si>
  <si>
    <t>0:03:18:06</t>
  </si>
  <si>
    <t>0:03:18:07</t>
  </si>
  <si>
    <t>0:03:18:08</t>
  </si>
  <si>
    <t>0:03:18:09</t>
  </si>
  <si>
    <t>0:03:18:10</t>
  </si>
  <si>
    <t>0:03:18:11</t>
  </si>
  <si>
    <t>0:03:18:12</t>
  </si>
  <si>
    <t>0:03:18:13</t>
  </si>
  <si>
    <t>0:03:18:14</t>
  </si>
  <si>
    <t>0:03:18:15</t>
  </si>
  <si>
    <t>0:03:18:16</t>
  </si>
  <si>
    <t>0:03:18:17</t>
  </si>
  <si>
    <t>0:03:18:18</t>
  </si>
  <si>
    <t>0:03:18:19</t>
  </si>
  <si>
    <t>0:03:18:20</t>
  </si>
  <si>
    <t>0:03:18:21</t>
  </si>
  <si>
    <t>0:03:18:22</t>
  </si>
  <si>
    <t>0:03:18:23</t>
  </si>
  <si>
    <t>0:03:18:24</t>
  </si>
  <si>
    <t>0:03:19:00</t>
  </si>
  <si>
    <t>0:03:19:01</t>
  </si>
  <si>
    <t>0:03:19:02</t>
  </si>
  <si>
    <t>0:03:19:03</t>
  </si>
  <si>
    <t>0:03:19:04</t>
  </si>
  <si>
    <t>0:03:19:05</t>
  </si>
  <si>
    <t>0:03:19:06</t>
  </si>
  <si>
    <t>0:03:19:07</t>
  </si>
  <si>
    <t>0:03:19:08</t>
  </si>
  <si>
    <t>0:03:19:09</t>
  </si>
  <si>
    <t>0:03:19:10</t>
  </si>
  <si>
    <t>0:03:19:11</t>
  </si>
  <si>
    <t>0:03:19:12</t>
  </si>
  <si>
    <t>0:03:19:13</t>
  </si>
  <si>
    <t>0:03:19:14</t>
  </si>
  <si>
    <t>0:03:19:15</t>
  </si>
  <si>
    <t>0:03:19:16</t>
  </si>
  <si>
    <t>0:03:19:17</t>
  </si>
  <si>
    <t>0:03:19:18</t>
  </si>
  <si>
    <t>0:03:19:19</t>
  </si>
  <si>
    <t>0:03:19:20</t>
  </si>
  <si>
    <t>0:03:19:21</t>
  </si>
  <si>
    <t>0:03:19:22</t>
  </si>
  <si>
    <t>0:03:19:23</t>
  </si>
  <si>
    <t>0:03:19:24</t>
  </si>
  <si>
    <t>0:03:20:00</t>
  </si>
  <si>
    <t>0:03:20:01</t>
  </si>
  <si>
    <t>0:03:20:02</t>
  </si>
  <si>
    <t>0:03:20:03</t>
  </si>
  <si>
    <t>0:03:20:04</t>
  </si>
  <si>
    <t>0:03:20:05</t>
  </si>
  <si>
    <t>0:03:20:06</t>
  </si>
  <si>
    <t>0:03:20:07</t>
  </si>
  <si>
    <t>0:03:20:08</t>
  </si>
  <si>
    <t>0:03:20:09</t>
  </si>
  <si>
    <t>0:03:20:10</t>
  </si>
  <si>
    <t>0:03:20:11</t>
  </si>
  <si>
    <t>0:03:20:12</t>
  </si>
  <si>
    <t>0:03:20:13</t>
  </si>
  <si>
    <t>0:03:20:14</t>
  </si>
  <si>
    <t>0:03:20:15</t>
  </si>
  <si>
    <t>0:03:20:16</t>
  </si>
  <si>
    <t>0:03:20:17</t>
  </si>
  <si>
    <t>0:03:20:18</t>
  </si>
  <si>
    <t>0:03:20:19</t>
  </si>
  <si>
    <t>0:03:20:20</t>
  </si>
  <si>
    <t>0:03:20:21</t>
  </si>
  <si>
    <t>0:03:20:22</t>
  </si>
  <si>
    <t>0:03:20:23</t>
  </si>
  <si>
    <t>0:03:20:24</t>
  </si>
  <si>
    <t>0:03:21:00</t>
  </si>
  <si>
    <t>0:03:21:01</t>
  </si>
  <si>
    <t>0:03:21:02</t>
  </si>
  <si>
    <t>0:03:21:03</t>
  </si>
  <si>
    <t>0:03:21:04</t>
  </si>
  <si>
    <t>0:03:21:05</t>
  </si>
  <si>
    <t>0:03:21:06</t>
  </si>
  <si>
    <t>0:03:21:07</t>
  </si>
  <si>
    <t>0:03:21:08</t>
  </si>
  <si>
    <t>0:03:21:09</t>
  </si>
  <si>
    <t>0:03:21:10</t>
  </si>
  <si>
    <t>0:03:21:11</t>
  </si>
  <si>
    <t>0:03:21:12</t>
  </si>
  <si>
    <t>0:03:21:13</t>
  </si>
  <si>
    <t>0:03:21:14</t>
  </si>
  <si>
    <t>0:03:21:15</t>
  </si>
  <si>
    <t>0:03:21:16</t>
  </si>
  <si>
    <t>0:03:21:17</t>
  </si>
  <si>
    <t>0:03:21:18</t>
  </si>
  <si>
    <t>0:03:21:19</t>
  </si>
  <si>
    <t>0:03:21:20</t>
  </si>
  <si>
    <t>0:03:21:21</t>
  </si>
  <si>
    <t>0:03:21:22</t>
  </si>
  <si>
    <t>0:03:21:23</t>
  </si>
  <si>
    <t>0:03:21:24</t>
  </si>
  <si>
    <t>0:03:22:00</t>
  </si>
  <si>
    <t>0:03:22:01</t>
  </si>
  <si>
    <t>0:03:22:02</t>
  </si>
  <si>
    <t>0:03:22:03</t>
  </si>
  <si>
    <t>0:03:22:04</t>
  </si>
  <si>
    <t>0:03:22:05</t>
  </si>
  <si>
    <t>0:03:22:06</t>
  </si>
  <si>
    <t>0:03:22:07</t>
  </si>
  <si>
    <t>0:03:22:08</t>
  </si>
  <si>
    <t>0:03:22:09</t>
  </si>
  <si>
    <t>0:03:22:10</t>
  </si>
  <si>
    <t>0:03:22:11</t>
  </si>
  <si>
    <t>0:03:22:12</t>
  </si>
  <si>
    <t>0:03:22:13</t>
  </si>
  <si>
    <t>0:03:22:14</t>
  </si>
  <si>
    <t>0:03:22:15</t>
  </si>
  <si>
    <t>0:03:22:16</t>
  </si>
  <si>
    <t>0:03:22:17</t>
  </si>
  <si>
    <t>0:03:22:18</t>
  </si>
  <si>
    <t>0:03:22:19</t>
  </si>
  <si>
    <t>0:03:22:20</t>
  </si>
  <si>
    <t>0:03:22:21</t>
  </si>
  <si>
    <t>0:03:22:22</t>
  </si>
  <si>
    <t>0:03:22:23</t>
  </si>
  <si>
    <t>0:03:22:24</t>
  </si>
  <si>
    <t>0:03:23:00</t>
  </si>
  <si>
    <t>0:03:23:01</t>
  </si>
  <si>
    <t>0:03:23:02</t>
  </si>
  <si>
    <t>0:03:23:03</t>
  </si>
  <si>
    <t>0:03:23:04</t>
  </si>
  <si>
    <t>0:03:23:05</t>
  </si>
  <si>
    <t>0:03:23:06</t>
  </si>
  <si>
    <t>0:03:23:07</t>
  </si>
  <si>
    <t>0:03:23:08</t>
  </si>
  <si>
    <t>0:03:23:09</t>
  </si>
  <si>
    <t>0:03:23:10</t>
  </si>
  <si>
    <t>0:03:23:11</t>
  </si>
  <si>
    <t>0:03:23:12</t>
  </si>
  <si>
    <t>0:03:23:13</t>
  </si>
  <si>
    <t>0:03:23:14</t>
  </si>
  <si>
    <t>0:03:23:15</t>
  </si>
  <si>
    <t>0:03:23:16</t>
  </si>
  <si>
    <t>0:03:23:17</t>
  </si>
  <si>
    <t>0:03:23:18</t>
  </si>
  <si>
    <t>0:03:23:19</t>
  </si>
  <si>
    <t>0:03:23:20</t>
  </si>
  <si>
    <t>0:03:23:21</t>
  </si>
  <si>
    <t>0:03:23:22</t>
  </si>
  <si>
    <t>0:03:23:23</t>
  </si>
  <si>
    <t>0:03:23:24</t>
  </si>
  <si>
    <t>0:03:24:00</t>
  </si>
  <si>
    <t>0:03:24:01</t>
  </si>
  <si>
    <t>0:03:24:02</t>
  </si>
  <si>
    <t>0:03:24:03</t>
  </si>
  <si>
    <t>0:03:24:04</t>
  </si>
  <si>
    <t>0:03:24:05</t>
  </si>
  <si>
    <t>0:03:24:06</t>
  </si>
  <si>
    <t>0:03:24:07</t>
  </si>
  <si>
    <t>0:03:24:08</t>
  </si>
  <si>
    <t>0:03:24:09</t>
  </si>
  <si>
    <t>0:03:24:10</t>
  </si>
  <si>
    <t>0:03:24:11</t>
  </si>
  <si>
    <t>0:03:24:12</t>
  </si>
  <si>
    <t>0:03:24:13</t>
  </si>
  <si>
    <t>0:03:24:14</t>
  </si>
  <si>
    <t>0:03:24:15</t>
  </si>
  <si>
    <t>0:03:24:16</t>
  </si>
  <si>
    <t>0:03:24:17</t>
  </si>
  <si>
    <t>0:03:24:18</t>
  </si>
  <si>
    <t>0:03:24:19</t>
  </si>
  <si>
    <t>0:03:24:20</t>
  </si>
  <si>
    <t>0:03:24:21</t>
  </si>
  <si>
    <t>0:03:24:22</t>
  </si>
  <si>
    <t>0:03:24:23</t>
  </si>
  <si>
    <t>0:03:24:24</t>
  </si>
  <si>
    <t>0:03:25:00</t>
  </si>
  <si>
    <t>0:03:25:01</t>
  </si>
  <si>
    <t>0:03:25:02</t>
  </si>
  <si>
    <t>0:03:25:03</t>
  </si>
  <si>
    <t>0:03:25:04</t>
  </si>
  <si>
    <t>0:03:25:05</t>
  </si>
  <si>
    <t>0:03:25:06</t>
  </si>
  <si>
    <t>0:03:25:07</t>
  </si>
  <si>
    <t>0:03:25:08</t>
  </si>
  <si>
    <t>0:03:25:09</t>
  </si>
  <si>
    <t>0:03:25:10</t>
  </si>
  <si>
    <t>0:03:25:11</t>
  </si>
  <si>
    <t>0:03:25:12</t>
  </si>
  <si>
    <t>0:03:25:13</t>
  </si>
  <si>
    <t>0:03:25:14</t>
  </si>
  <si>
    <t>0:03:25:15</t>
  </si>
  <si>
    <t>0:03:25:16</t>
  </si>
  <si>
    <t>0:03:25:17</t>
  </si>
  <si>
    <t>0:03:25:18</t>
  </si>
  <si>
    <t>0:03:25:19</t>
  </si>
  <si>
    <t>0:03:25:20</t>
  </si>
  <si>
    <t>0:03:25:21</t>
  </si>
  <si>
    <t>0:03:25:22</t>
  </si>
  <si>
    <t>0:03:25:23</t>
  </si>
  <si>
    <t>0:03:25:24</t>
  </si>
  <si>
    <t>0:03:26:00</t>
  </si>
  <si>
    <t>0:03:26:01</t>
  </si>
  <si>
    <t>0:03:26:02</t>
  </si>
  <si>
    <t>0:03:26:03</t>
  </si>
  <si>
    <t>0:03:26:04</t>
  </si>
  <si>
    <t>0:03:26:05</t>
  </si>
  <si>
    <t>0:03:26:06</t>
  </si>
  <si>
    <t>0:03:26:07</t>
  </si>
  <si>
    <t>0:03:26:08</t>
  </si>
  <si>
    <t>0:03:26:09</t>
  </si>
  <si>
    <t>0:03:26:10</t>
  </si>
  <si>
    <t>0:03:26:11</t>
  </si>
  <si>
    <t>0:03:26:12</t>
  </si>
  <si>
    <t>0:03:26:13</t>
  </si>
  <si>
    <t>0:03:26:14</t>
  </si>
  <si>
    <t>0:03:26:15</t>
  </si>
  <si>
    <t>0:03:26:16</t>
  </si>
  <si>
    <t>0:03:26:17</t>
  </si>
  <si>
    <t>0:03:26:18</t>
  </si>
  <si>
    <t>0:03:26:19</t>
  </si>
  <si>
    <t>0:03:26:20</t>
  </si>
  <si>
    <t>0:03:26:21</t>
  </si>
  <si>
    <t>0:03:26:22</t>
  </si>
  <si>
    <t>0:03:26:23</t>
  </si>
  <si>
    <t>0:03:26:24</t>
  </si>
  <si>
    <t>0:03:27:00</t>
  </si>
  <si>
    <t>0:03:27:01</t>
  </si>
  <si>
    <t>0:03:27:02</t>
  </si>
  <si>
    <t>0:03:27:03</t>
  </si>
  <si>
    <t>0:03:27:04</t>
  </si>
  <si>
    <t>0:03:27:05</t>
  </si>
  <si>
    <t>0:03:27:06</t>
  </si>
  <si>
    <t>0:03:27:07</t>
  </si>
  <si>
    <t>0:03:27:08</t>
  </si>
  <si>
    <t>0:03:27:09</t>
  </si>
  <si>
    <t>0:03:27:10</t>
  </si>
  <si>
    <t>0:03:27:11</t>
  </si>
  <si>
    <t>0:03:27:12</t>
  </si>
  <si>
    <t>0:03:27:13</t>
  </si>
  <si>
    <t>0:03:27:14</t>
  </si>
  <si>
    <t>0:03:27:15</t>
  </si>
  <si>
    <t>0:03:27:16</t>
  </si>
  <si>
    <t>0:03:27:17</t>
  </si>
  <si>
    <t>0:03:27:18</t>
  </si>
  <si>
    <t>0:03:27:19</t>
  </si>
  <si>
    <t>0:03:27:20</t>
  </si>
  <si>
    <t>0:03:27:21</t>
  </si>
  <si>
    <t>0:03:27:22</t>
  </si>
  <si>
    <t>0:03:27:23</t>
  </si>
  <si>
    <t>0:03:27:24</t>
  </si>
  <si>
    <t>0:03:28:00</t>
  </si>
  <si>
    <t>0:03:28:01</t>
  </si>
  <si>
    <t>0:03:28:02</t>
  </si>
  <si>
    <t>0:03:28:03</t>
  </si>
  <si>
    <t>0:03:28:04</t>
  </si>
  <si>
    <t>0:03:28:05</t>
  </si>
  <si>
    <t>0:03:28:06</t>
  </si>
  <si>
    <t>0:03:28:07</t>
  </si>
  <si>
    <t>0:03:28:08</t>
  </si>
  <si>
    <t>0:03:28:09</t>
  </si>
  <si>
    <t>0:03:28:10</t>
  </si>
  <si>
    <t>0:03:28:11</t>
  </si>
  <si>
    <t>0:03:28:12</t>
  </si>
  <si>
    <t>0:03:28:13</t>
  </si>
  <si>
    <t>0:03:28:14</t>
  </si>
  <si>
    <t>0:03:28:15</t>
  </si>
  <si>
    <t>0:03:28:16</t>
  </si>
  <si>
    <t>0:03:28:17</t>
  </si>
  <si>
    <t>0:03:28:18</t>
  </si>
  <si>
    <t>0:03:28:19</t>
  </si>
  <si>
    <t>0:03:28:20</t>
  </si>
  <si>
    <t>0:03:28:21</t>
  </si>
  <si>
    <t>0:03:28:22</t>
  </si>
  <si>
    <t>0:03:28:23</t>
  </si>
  <si>
    <t>0:03:28:24</t>
  </si>
  <si>
    <t>0:03:29:00</t>
  </si>
  <si>
    <t>0:03:29:01</t>
  </si>
  <si>
    <t>0:03:29:02</t>
  </si>
  <si>
    <t>0:03:29:03</t>
  </si>
  <si>
    <t>0:03:29:04</t>
  </si>
  <si>
    <t>0:03:29:05</t>
  </si>
  <si>
    <t>0:03:29:06</t>
  </si>
  <si>
    <t>0:03:29:07</t>
  </si>
  <si>
    <t>0:03:29:08</t>
  </si>
  <si>
    <t>0:03:29:09</t>
  </si>
  <si>
    <t>0:03:29:10</t>
  </si>
  <si>
    <t>0:03:29:11</t>
  </si>
  <si>
    <t>0:03:29:12</t>
  </si>
  <si>
    <t>0:03:29:13</t>
  </si>
  <si>
    <t>0:03:29:14</t>
  </si>
  <si>
    <t>0:03:29:15</t>
  </si>
  <si>
    <t>0:03:29:16</t>
  </si>
  <si>
    <t>0:03:29:17</t>
  </si>
  <si>
    <t>0:03:29:18</t>
  </si>
  <si>
    <t>0:03:29:19</t>
  </si>
  <si>
    <t>0:03:29:20</t>
  </si>
  <si>
    <t>0:03:29:21</t>
  </si>
  <si>
    <t>0:03:29:22</t>
  </si>
  <si>
    <t>0:03:29:23</t>
  </si>
  <si>
    <t>0:03:29:24</t>
  </si>
  <si>
    <t>0:03:30:00</t>
  </si>
  <si>
    <t>0:03:30:01</t>
  </si>
  <si>
    <t>0:03:30:02</t>
  </si>
  <si>
    <t>0:03:30:03</t>
  </si>
  <si>
    <t>0:03:30:04</t>
  </si>
  <si>
    <t>0:03:30:05</t>
  </si>
  <si>
    <t>0:03:30:06</t>
  </si>
  <si>
    <t>0:03:30:07</t>
  </si>
  <si>
    <t>0:03:30:08</t>
  </si>
  <si>
    <t>0:03:30:09</t>
  </si>
  <si>
    <t>0:03:30:10</t>
  </si>
  <si>
    <t>0:03:30:11</t>
  </si>
  <si>
    <t>0:03:30:12</t>
  </si>
  <si>
    <t>0:03:30:13</t>
  </si>
  <si>
    <t>0:03:30:14</t>
  </si>
  <si>
    <t>0:03:30:15</t>
  </si>
  <si>
    <t>0:03:30:16</t>
  </si>
  <si>
    <t>0:03:30:17</t>
  </si>
  <si>
    <t>0:03:30:18</t>
  </si>
  <si>
    <t>0:03:30:19</t>
  </si>
  <si>
    <t>0:03:30:20</t>
  </si>
  <si>
    <t>0:03:30:21</t>
  </si>
  <si>
    <t>0:03:30:22</t>
  </si>
  <si>
    <t>0:03:30:23</t>
  </si>
  <si>
    <t>0:03:30:24</t>
  </si>
  <si>
    <t>0:03:31:00</t>
  </si>
  <si>
    <t>0:03:31:01</t>
  </si>
  <si>
    <t>0:03:31:02</t>
  </si>
  <si>
    <t>0:03:31:03</t>
  </si>
  <si>
    <t>0:03:31:04</t>
  </si>
  <si>
    <t>0:03:31:05</t>
  </si>
  <si>
    <t>0:03:31:06</t>
  </si>
  <si>
    <t>0:03:31:07</t>
  </si>
  <si>
    <t>0:03:31:08</t>
  </si>
  <si>
    <t>0:03:31:09</t>
  </si>
  <si>
    <t>0:03:31:10</t>
  </si>
  <si>
    <t>0:03:31:11</t>
  </si>
  <si>
    <t>0:03:31:12</t>
  </si>
  <si>
    <t>0:03:31:13</t>
  </si>
  <si>
    <t>0:03:31:14</t>
  </si>
  <si>
    <t>0:03:31:15</t>
  </si>
  <si>
    <t>0:03:31:16</t>
  </si>
  <si>
    <t>0:03:31:17</t>
  </si>
  <si>
    <t>0:03:31:18</t>
  </si>
  <si>
    <t>0:03:31:19</t>
  </si>
  <si>
    <t>0:03:31:20</t>
  </si>
  <si>
    <t>0:03:31:21</t>
  </si>
  <si>
    <t>0:03:31:22</t>
  </si>
  <si>
    <t>0:03:31:23</t>
  </si>
  <si>
    <t>0:03:31:24</t>
  </si>
  <si>
    <t>0:03:32:00</t>
  </si>
  <si>
    <t>0:03:32:01</t>
  </si>
  <si>
    <t>0:03:32:02</t>
  </si>
  <si>
    <t>0:03:32:03</t>
  </si>
  <si>
    <t>0:03:32:04</t>
  </si>
  <si>
    <t>0:03:32:05</t>
  </si>
  <si>
    <t>0:03:32:06</t>
  </si>
  <si>
    <t>0:03:32:07</t>
  </si>
  <si>
    <t>0:03:32:08</t>
  </si>
  <si>
    <t>0:03:32:09</t>
  </si>
  <si>
    <t>0:03:32:10</t>
  </si>
  <si>
    <t>0:03:32:11</t>
  </si>
  <si>
    <t>0:03:32:12</t>
  </si>
  <si>
    <t>0:03:32:13</t>
  </si>
  <si>
    <t>0:03:32:14</t>
  </si>
  <si>
    <t>0:03:32:15</t>
  </si>
  <si>
    <t>0:03:32:16</t>
  </si>
  <si>
    <t>0:03:32:17</t>
  </si>
  <si>
    <t>0:03:32:18</t>
  </si>
  <si>
    <t>0:03:32:19</t>
  </si>
  <si>
    <t>0:03:32:20</t>
  </si>
  <si>
    <t>0:03:32:21</t>
  </si>
  <si>
    <t>0:03:32:22</t>
  </si>
  <si>
    <t>0:03:32:23</t>
  </si>
  <si>
    <t>0:03:32:24</t>
  </si>
  <si>
    <t>0:03:33:00</t>
  </si>
  <si>
    <t>0:03:33:01</t>
  </si>
  <si>
    <t>0:03:33:02</t>
  </si>
  <si>
    <t>0:03:33:03</t>
  </si>
  <si>
    <t>0:03:33:04</t>
  </si>
  <si>
    <t>0:03:33:05</t>
  </si>
  <si>
    <t>0:03:33:06</t>
  </si>
  <si>
    <t>0:03:33:07</t>
  </si>
  <si>
    <t>0:03:33:08</t>
  </si>
  <si>
    <t>0:03:33:09</t>
  </si>
  <si>
    <t>0:03:33:10</t>
  </si>
  <si>
    <t>0:03:33:11</t>
  </si>
  <si>
    <t>0:03:33:12</t>
  </si>
  <si>
    <t>0:03:33:13</t>
  </si>
  <si>
    <t>0:03:33:14</t>
  </si>
  <si>
    <t>0:03:33:15</t>
  </si>
  <si>
    <t>0:03:33:16</t>
  </si>
  <si>
    <t>0:03:33:17</t>
  </si>
  <si>
    <t>0:03:33:18</t>
  </si>
  <si>
    <t>0:03:33:19</t>
  </si>
  <si>
    <t>0:03:33:20</t>
  </si>
  <si>
    <t>0:03:33:21</t>
  </si>
  <si>
    <t>0:03:33:22</t>
  </si>
  <si>
    <t>0:03:33:23</t>
  </si>
  <si>
    <t>0:03:33:24</t>
  </si>
  <si>
    <t>0:03:34:00</t>
  </si>
  <si>
    <t>0:03:34:01</t>
  </si>
  <si>
    <t>0:03:34:02</t>
  </si>
  <si>
    <t>0:03:34:03</t>
  </si>
  <si>
    <t>0:03:34:04</t>
  </si>
  <si>
    <t>0:03:34:05</t>
  </si>
  <si>
    <t>0:03:34:06</t>
  </si>
  <si>
    <t>0:03:34:07</t>
  </si>
  <si>
    <t>0:03:34:08</t>
  </si>
  <si>
    <t>0:03:34:09</t>
  </si>
  <si>
    <t>0:03:34:10</t>
  </si>
  <si>
    <t>0:03:34:11</t>
  </si>
  <si>
    <t>0:03:34:12</t>
  </si>
  <si>
    <t>0:03:34:13</t>
  </si>
  <si>
    <t>0:03:34:14</t>
  </si>
  <si>
    <t>0:03:34:15</t>
  </si>
  <si>
    <t>0:03:34:16</t>
  </si>
  <si>
    <t>0:03:34:17</t>
  </si>
  <si>
    <t>0:03:34:18</t>
  </si>
  <si>
    <t>0:03:34:19</t>
  </si>
  <si>
    <t>0:03:34:20</t>
  </si>
  <si>
    <t>0:03:34:21</t>
  </si>
  <si>
    <t>0:03:34:22</t>
  </si>
  <si>
    <t>0:03:34:23</t>
  </si>
  <si>
    <t>0:03:34:24</t>
  </si>
  <si>
    <t>0:03:35:00</t>
  </si>
  <si>
    <t>0:03:35:01</t>
  </si>
  <si>
    <t>0:03:35:02</t>
  </si>
  <si>
    <t>0:03:35:03</t>
  </si>
  <si>
    <t>0:03:35:04</t>
  </si>
  <si>
    <t>0:03:35:05</t>
  </si>
  <si>
    <t>0:03:35:06</t>
  </si>
  <si>
    <t>0:03:35:07</t>
  </si>
  <si>
    <t>0:03:35:08</t>
  </si>
  <si>
    <t>0:03:35:09</t>
  </si>
  <si>
    <t>0:03:35:10</t>
  </si>
  <si>
    <t>0:03:35:11</t>
  </si>
  <si>
    <t>0:03:35:12</t>
  </si>
  <si>
    <t>0:03:35:13</t>
  </si>
  <si>
    <t>0:03:35:14</t>
  </si>
  <si>
    <t>0:03:35:15</t>
  </si>
  <si>
    <t>0:03:35:16</t>
  </si>
  <si>
    <t>0:03:35:17</t>
  </si>
  <si>
    <t>0:03:35:18</t>
  </si>
  <si>
    <t>0:03:35:19</t>
  </si>
  <si>
    <t>0:03:35:20</t>
  </si>
  <si>
    <t>0:03:35:21</t>
  </si>
  <si>
    <t>0:03:35:22</t>
  </si>
  <si>
    <t>0:03:35:23</t>
  </si>
  <si>
    <t>0:03:35:24</t>
  </si>
  <si>
    <t>0:03:36:00</t>
  </si>
  <si>
    <t>0:03:36:01</t>
  </si>
  <si>
    <t>0:03:36:02</t>
  </si>
  <si>
    <t>0:03:36:03</t>
  </si>
  <si>
    <t>0:03:36:04</t>
  </si>
  <si>
    <t>0:03:36:05</t>
  </si>
  <si>
    <t>0:03:36:06</t>
  </si>
  <si>
    <t>0:03:36:07</t>
  </si>
  <si>
    <t>0:03:36:08</t>
  </si>
  <si>
    <t>0:03:36:09</t>
  </si>
  <si>
    <t>0:03:36:10</t>
  </si>
  <si>
    <t>0:03:36:11</t>
  </si>
  <si>
    <t>0:03:36:12</t>
  </si>
  <si>
    <t>0:03:36:13</t>
  </si>
  <si>
    <t>0:03:36:14</t>
  </si>
  <si>
    <t>0:03:36:15</t>
  </si>
  <si>
    <t>0:03:36:16</t>
  </si>
  <si>
    <t>0:03:36:17</t>
  </si>
  <si>
    <t>0:03:36:18</t>
  </si>
  <si>
    <t>0:03:36:19</t>
  </si>
  <si>
    <t>0:03:36:20</t>
  </si>
  <si>
    <t>0:03:36:21</t>
  </si>
  <si>
    <t>0:03:36:22</t>
  </si>
  <si>
    <t>0:03:36:23</t>
  </si>
  <si>
    <t>0:03:36:24</t>
  </si>
  <si>
    <t>0:03:37:00</t>
  </si>
  <si>
    <t>0:03:37:01</t>
  </si>
  <si>
    <t>0:03:37:02</t>
  </si>
  <si>
    <t>0:03:37:03</t>
  </si>
  <si>
    <t>0:03:37:04</t>
  </si>
  <si>
    <t>0:03:37:05</t>
  </si>
  <si>
    <t>0:03:37:06</t>
  </si>
  <si>
    <t>0:03:37:07</t>
  </si>
  <si>
    <t>0:03:37:08</t>
  </si>
  <si>
    <t>0:03:37:09</t>
  </si>
  <si>
    <t>0:03:37:10</t>
  </si>
  <si>
    <t>0:03:37:11</t>
  </si>
  <si>
    <t>0:03:37:12</t>
  </si>
  <si>
    <t>0:03:37:13</t>
  </si>
  <si>
    <t>0:03:37:14</t>
  </si>
  <si>
    <t>0:03:37:15</t>
  </si>
  <si>
    <t>0:03:37:16</t>
  </si>
  <si>
    <t>0:03:37:17</t>
  </si>
  <si>
    <t>0:03:37:18</t>
  </si>
  <si>
    <t>0:03:37:19</t>
  </si>
  <si>
    <t>0:03:37:20</t>
  </si>
  <si>
    <t>0:03:37:21</t>
  </si>
  <si>
    <t>0:03:37:22</t>
  </si>
  <si>
    <t>0:03:37:23</t>
  </si>
  <si>
    <t>0:03:37:24</t>
  </si>
  <si>
    <t>0:03:38:00</t>
  </si>
  <si>
    <t>0:03:38:01</t>
  </si>
  <si>
    <t>0:03:38:02</t>
  </si>
  <si>
    <t>0:03:38:03</t>
  </si>
  <si>
    <t>0:03:38:04</t>
  </si>
  <si>
    <t>0:03:38:05</t>
  </si>
  <si>
    <t>0:03:38:06</t>
  </si>
  <si>
    <t>0:03:38:07</t>
  </si>
  <si>
    <t>0:03:38:08</t>
  </si>
  <si>
    <t>0:03:38:09</t>
  </si>
  <si>
    <t>0:03:38:10</t>
  </si>
  <si>
    <t>0:03:38:11</t>
  </si>
  <si>
    <t>0:03:38:12</t>
  </si>
  <si>
    <t>0:03:38:13</t>
  </si>
  <si>
    <t>0:03:38:14</t>
  </si>
  <si>
    <t>0:03:38:15</t>
  </si>
  <si>
    <t>0:03:38:16</t>
  </si>
  <si>
    <t>0:03:38:17</t>
  </si>
  <si>
    <t>0:03:38:18</t>
  </si>
  <si>
    <t>0:03:38:19</t>
  </si>
  <si>
    <t>0:03:38:20</t>
  </si>
  <si>
    <t>0:03:38:21</t>
  </si>
  <si>
    <t>0:03:38:22</t>
  </si>
  <si>
    <t>0:03:38:23</t>
  </si>
  <si>
    <t>0:03:38:24</t>
  </si>
  <si>
    <t>0:03:39:00</t>
  </si>
  <si>
    <t>0:03:39:01</t>
  </si>
  <si>
    <t>0:03:39:02</t>
  </si>
  <si>
    <t>0:03:39:03</t>
  </si>
  <si>
    <t>0:03:39:04</t>
  </si>
  <si>
    <t>0:03:39:05</t>
  </si>
  <si>
    <t>0:03:39:06</t>
  </si>
  <si>
    <t>0:03:39:07</t>
  </si>
  <si>
    <t>0:03:39:08</t>
  </si>
  <si>
    <t>0:03:39:09</t>
  </si>
  <si>
    <t>0:03:39:10</t>
  </si>
  <si>
    <t>0:03:39:11</t>
  </si>
  <si>
    <t>0:03:39:12</t>
  </si>
  <si>
    <t>0:03:39:13</t>
  </si>
  <si>
    <t>0:03:39:14</t>
  </si>
  <si>
    <t>0:03:39:15</t>
  </si>
  <si>
    <t>0:03:39:16</t>
  </si>
  <si>
    <t>0:03:39:17</t>
  </si>
  <si>
    <t>0:03:39:18</t>
  </si>
  <si>
    <t>0:03:39:19</t>
  </si>
  <si>
    <t>0:03:39:20</t>
  </si>
  <si>
    <t>0:03:39:21</t>
  </si>
  <si>
    <t>0:03:39:22</t>
  </si>
  <si>
    <t>0:03:39:23</t>
  </si>
  <si>
    <t>0:03:39:24</t>
  </si>
  <si>
    <t>0:03:40:00</t>
  </si>
  <si>
    <t>0:03:40:01</t>
  </si>
  <si>
    <t>0:03:40:02</t>
  </si>
  <si>
    <t>0:03:40:03</t>
  </si>
  <si>
    <t>0:03:40:04</t>
  </si>
  <si>
    <t>0:03:40:05</t>
  </si>
  <si>
    <t>0:03:40:06</t>
  </si>
  <si>
    <t>0:03:40:07</t>
  </si>
  <si>
    <t>0:03:40:08</t>
  </si>
  <si>
    <t>0:03:40:09</t>
  </si>
  <si>
    <t>0:03:40:10</t>
  </si>
  <si>
    <t>0:03:40:11</t>
  </si>
  <si>
    <t>0:03:40:12</t>
  </si>
  <si>
    <t>0:03:40:13</t>
  </si>
  <si>
    <t>0:03:40:14</t>
  </si>
  <si>
    <t>0:03:40:15</t>
  </si>
  <si>
    <t>0:03:40:16</t>
  </si>
  <si>
    <t>0:03:40:17</t>
  </si>
  <si>
    <t>0:03:40:18</t>
  </si>
  <si>
    <t>0:03:40:19</t>
  </si>
  <si>
    <t>0:03:40:20</t>
  </si>
  <si>
    <t>0:03:40:21</t>
  </si>
  <si>
    <t>0:03:40:22</t>
  </si>
  <si>
    <t>0:03:40:23</t>
  </si>
  <si>
    <t>0:03:40:24</t>
  </si>
  <si>
    <t>0:03:41:00</t>
  </si>
  <si>
    <t>0:03:41:01</t>
  </si>
  <si>
    <t>0:03:41:02</t>
  </si>
  <si>
    <t>0:03:41:03</t>
  </si>
  <si>
    <t>0:03:41:04</t>
  </si>
  <si>
    <t>0:03:41:05</t>
  </si>
  <si>
    <t>0:03:41:06</t>
  </si>
  <si>
    <t>0:03:41:07</t>
  </si>
  <si>
    <t>0:03:41:08</t>
  </si>
  <si>
    <t>0:03:41:09</t>
  </si>
  <si>
    <t>0:03:41:10</t>
  </si>
  <si>
    <t>0:03:41:11</t>
  </si>
  <si>
    <t>0:03:41:12</t>
  </si>
  <si>
    <t>0:03:41:13</t>
  </si>
  <si>
    <t>0:03:41:14</t>
  </si>
  <si>
    <t>0:03:41:15</t>
  </si>
  <si>
    <t>0:03:41:16</t>
  </si>
  <si>
    <t>0:03:41:17</t>
  </si>
  <si>
    <t>0:03:41:18</t>
  </si>
  <si>
    <t>0:03:41:19</t>
  </si>
  <si>
    <t>0:03:41:20</t>
  </si>
  <si>
    <t>0:03:41:21</t>
  </si>
  <si>
    <t>0:03:41:22</t>
  </si>
  <si>
    <t>0:03:41:23</t>
  </si>
  <si>
    <t>0:03:41:24</t>
  </si>
  <si>
    <t>0:03:42:00</t>
  </si>
  <si>
    <t>0:03:42:01</t>
  </si>
  <si>
    <t>0:03:42:02</t>
  </si>
  <si>
    <t>0:03:42:03</t>
  </si>
  <si>
    <t>0:03:42:04</t>
  </si>
  <si>
    <t>0:03:42:05</t>
  </si>
  <si>
    <t>0:03:42:06</t>
  </si>
  <si>
    <t>0:03:42:07</t>
  </si>
  <si>
    <t>0:03:42:08</t>
  </si>
  <si>
    <t>0:03:42:09</t>
  </si>
  <si>
    <t>0:03:42:10</t>
  </si>
  <si>
    <t>0:03:42:11</t>
  </si>
  <si>
    <t>0:03:42:12</t>
  </si>
  <si>
    <t>0:03:42:13</t>
  </si>
  <si>
    <t>0:03:42:14</t>
  </si>
  <si>
    <t>0:03:42:15</t>
  </si>
  <si>
    <t>0:03:42:16</t>
  </si>
  <si>
    <t>0:03:42:17</t>
  </si>
  <si>
    <t>0:03:42:18</t>
  </si>
  <si>
    <t>0:03:42:19</t>
  </si>
  <si>
    <t>0:03:42:20</t>
  </si>
  <si>
    <t>0:03:42:21</t>
  </si>
  <si>
    <t>0:03:42:22</t>
  </si>
  <si>
    <t>0:03:42:23</t>
  </si>
  <si>
    <t>0:03:42:24</t>
  </si>
  <si>
    <t>0:03:43:00</t>
  </si>
  <si>
    <t>0:03:43:01</t>
  </si>
  <si>
    <t>0:03:43:02</t>
  </si>
  <si>
    <t>0:03:43:03</t>
  </si>
  <si>
    <t>0:03:43:04</t>
  </si>
  <si>
    <t>0:03:43:05</t>
  </si>
  <si>
    <t>0:03:43:06</t>
  </si>
  <si>
    <t>0:03:43:07</t>
  </si>
  <si>
    <t>0:03:43:08</t>
  </si>
  <si>
    <t>0:03:43:09</t>
  </si>
  <si>
    <t>0:03:43:10</t>
  </si>
  <si>
    <t>0:03:43:11</t>
  </si>
  <si>
    <t>0:03:43:12</t>
  </si>
  <si>
    <t>0:03:43:13</t>
  </si>
  <si>
    <t>0:03:43:14</t>
  </si>
  <si>
    <t>0:03:43:15</t>
  </si>
  <si>
    <t>0:03:43:16</t>
  </si>
  <si>
    <t>0:03:43:17</t>
  </si>
  <si>
    <t>0:03:43:18</t>
  </si>
  <si>
    <t>0:03:43:19</t>
  </si>
  <si>
    <t>0:03:43:20</t>
  </si>
  <si>
    <t>0:03:43:21</t>
  </si>
  <si>
    <t>0:03:43:22</t>
  </si>
  <si>
    <t>0:03:43:23</t>
  </si>
  <si>
    <t>0:03:43:24</t>
  </si>
  <si>
    <t>0:03:44:00</t>
  </si>
  <si>
    <t>0:03:44:01</t>
  </si>
  <si>
    <t>0:03:44:02</t>
  </si>
  <si>
    <t>0:03:44:03</t>
  </si>
  <si>
    <t>0:03:44:04</t>
  </si>
  <si>
    <t>0:03:44:05</t>
  </si>
  <si>
    <t>0:03:44:06</t>
  </si>
  <si>
    <t>0:03:44:07</t>
  </si>
  <si>
    <t>0:03:44:08</t>
  </si>
  <si>
    <t>0:03:44:09</t>
  </si>
  <si>
    <t>0:03:44:10</t>
  </si>
  <si>
    <t>0:03:44:11</t>
  </si>
  <si>
    <t>0:03:44:12</t>
  </si>
  <si>
    <t>0:03:44:13</t>
  </si>
  <si>
    <t>0:03:44:14</t>
  </si>
  <si>
    <t>0:03:44:15</t>
  </si>
  <si>
    <t>0:03:44:16</t>
  </si>
  <si>
    <t>0:03:44:17</t>
  </si>
  <si>
    <t>0:03:44:18</t>
  </si>
  <si>
    <t>0:03:44:19</t>
  </si>
  <si>
    <t>0:03:44:20</t>
  </si>
  <si>
    <t>0:03:44:21</t>
  </si>
  <si>
    <t>0:03:44:22</t>
  </si>
  <si>
    <t>0:03:44:23</t>
  </si>
  <si>
    <t>0:03:44:24</t>
  </si>
  <si>
    <t>0:03:45:00</t>
  </si>
  <si>
    <t>0:03:45:01</t>
  </si>
  <si>
    <t>0:03:45:02</t>
  </si>
  <si>
    <t>0:03:45:03</t>
  </si>
  <si>
    <t>0:03:45:04</t>
  </si>
  <si>
    <t>0:03:45:05</t>
  </si>
  <si>
    <t>0:03:45:06</t>
  </si>
  <si>
    <t>0:03:45:07</t>
  </si>
  <si>
    <t>0:03:45:08</t>
  </si>
  <si>
    <t>0:03:45:09</t>
  </si>
  <si>
    <t>0:03:45:10</t>
  </si>
  <si>
    <t>0:03:45:11</t>
  </si>
  <si>
    <t>0:03:45:12</t>
  </si>
  <si>
    <t>0:03:45:13</t>
  </si>
  <si>
    <t>0:03:45:14</t>
  </si>
  <si>
    <t>0:03:45:15</t>
  </si>
  <si>
    <t>0:03:45:16</t>
  </si>
  <si>
    <t>0:03:45:17</t>
  </si>
  <si>
    <t>0:03:45:18</t>
  </si>
  <si>
    <t>0:03:45:19</t>
  </si>
  <si>
    <t>0:03:45:20</t>
  </si>
  <si>
    <t>0:03:45:21</t>
  </si>
  <si>
    <t>0:03:45:22</t>
  </si>
  <si>
    <t>0:03:45:23</t>
  </si>
  <si>
    <t>0:03:45:24</t>
  </si>
  <si>
    <t>0:03:46:00</t>
  </si>
  <si>
    <t>0:03:46:01</t>
  </si>
  <si>
    <t>0:03:46:02</t>
  </si>
  <si>
    <t>0:03:46:03</t>
  </si>
  <si>
    <t>0:03:46:04</t>
  </si>
  <si>
    <t>0:03:46:05</t>
  </si>
  <si>
    <t>0:03:46:06</t>
  </si>
  <si>
    <t>0:03:46:07</t>
  </si>
  <si>
    <t>0:03:46:08</t>
  </si>
  <si>
    <t>0:03:46:09</t>
  </si>
  <si>
    <t>0:03:46:10</t>
  </si>
  <si>
    <t>0:03:46:11</t>
  </si>
  <si>
    <t>0:03:46:12</t>
  </si>
  <si>
    <t>0:03:46:13</t>
  </si>
  <si>
    <t>0:03:46:14</t>
  </si>
  <si>
    <t>0:03:46:15</t>
  </si>
  <si>
    <t>0:03:46:16</t>
  </si>
  <si>
    <t>0:03:46:17</t>
  </si>
  <si>
    <t>0:03:46:18</t>
  </si>
  <si>
    <t>0:03:46:19</t>
  </si>
  <si>
    <t>0:03:46:20</t>
  </si>
  <si>
    <t>0:03:46:21</t>
  </si>
  <si>
    <t>0:03:46:22</t>
  </si>
  <si>
    <t>0:03:46:23</t>
  </si>
  <si>
    <t>0:03:46:24</t>
  </si>
  <si>
    <t>0:03:47:00</t>
  </si>
  <si>
    <t>0:03:47:01</t>
  </si>
  <si>
    <t>0:03:47:02</t>
  </si>
  <si>
    <t>0:03:47:03</t>
  </si>
  <si>
    <t>0:03:47:04</t>
  </si>
  <si>
    <t>0:03:47:05</t>
  </si>
  <si>
    <t>0:03:47:06</t>
  </si>
  <si>
    <t>0:03:47:07</t>
  </si>
  <si>
    <t>0:03:47:08</t>
  </si>
  <si>
    <t>0:03:47:09</t>
  </si>
  <si>
    <t>0:03:47:10</t>
  </si>
  <si>
    <t>0:03:47:11</t>
  </si>
  <si>
    <t>0:03:47:12</t>
  </si>
  <si>
    <t>0:03:47:13</t>
  </si>
  <si>
    <t>0:03:47:14</t>
  </si>
  <si>
    <t>0:03:47:15</t>
  </si>
  <si>
    <t>0:03:47:16</t>
  </si>
  <si>
    <t>0:03:47:17</t>
  </si>
  <si>
    <t>0:03:47:18</t>
  </si>
  <si>
    <t>0:03:47:19</t>
  </si>
  <si>
    <t>0:03:47:20</t>
  </si>
  <si>
    <t>0:03:47:21</t>
  </si>
  <si>
    <t>0:03:47:22</t>
  </si>
  <si>
    <t>0:03:47:23</t>
  </si>
  <si>
    <t>0:03:47:24</t>
  </si>
  <si>
    <t>0:03:48:00</t>
  </si>
  <si>
    <t>0:03:48:01</t>
  </si>
  <si>
    <t>0:03:48:02</t>
  </si>
  <si>
    <t>0:03:48:03</t>
  </si>
  <si>
    <t>0:03:48:04</t>
  </si>
  <si>
    <t>0:03:48:05</t>
  </si>
  <si>
    <t>0:03:48:06</t>
  </si>
  <si>
    <t>0:03:48:07</t>
  </si>
  <si>
    <t>0:03:48:08</t>
  </si>
  <si>
    <t>0:03:48:09</t>
  </si>
  <si>
    <t>0:03:48:10</t>
  </si>
  <si>
    <t>0:03:48:11</t>
  </si>
  <si>
    <t>0:03:48:12</t>
  </si>
  <si>
    <t>0:03:48:13</t>
  </si>
  <si>
    <t>0:03:48:14</t>
  </si>
  <si>
    <t>0:03:48:15</t>
  </si>
  <si>
    <t>0:03:48:16</t>
  </si>
  <si>
    <t>0:03:48:17</t>
  </si>
  <si>
    <t>0:03:48:18</t>
  </si>
  <si>
    <t>0:03:48:19</t>
  </si>
  <si>
    <t>0:03:48:20</t>
  </si>
  <si>
    <t>0:03:48:21</t>
  </si>
  <si>
    <t>0:03:48:22</t>
  </si>
  <si>
    <t>0:03:48:23</t>
  </si>
  <si>
    <t>0:03:48:24</t>
  </si>
  <si>
    <t>0:03:49:00</t>
  </si>
  <si>
    <t>0:03:49:01</t>
  </si>
  <si>
    <t>0:03:49:02</t>
  </si>
  <si>
    <t>0:03:49:03</t>
  </si>
  <si>
    <t>0:03:49:04</t>
  </si>
  <si>
    <t>0:03:49:05</t>
  </si>
  <si>
    <t>0:03:49:06</t>
  </si>
  <si>
    <t>0:03:49:07</t>
  </si>
  <si>
    <t>0:03:49:08</t>
  </si>
  <si>
    <t>0:03:49:09</t>
  </si>
  <si>
    <t>0:03:49:10</t>
  </si>
  <si>
    <t>0:03:49:11</t>
  </si>
  <si>
    <t>0:03:49:12</t>
  </si>
  <si>
    <t>0:03:49:13</t>
  </si>
  <si>
    <t>0:03:49:14</t>
  </si>
  <si>
    <t>0:03:49:15</t>
  </si>
  <si>
    <t>0:03:49:16</t>
  </si>
  <si>
    <t>0:03:49:17</t>
  </si>
  <si>
    <t>0:03:49:18</t>
  </si>
  <si>
    <t>0:03:49:19</t>
  </si>
  <si>
    <t>0:03:49:20</t>
  </si>
  <si>
    <t>0:03:49:21</t>
  </si>
  <si>
    <t>0:03:49:22</t>
  </si>
  <si>
    <t>0:03:49:23</t>
  </si>
  <si>
    <t>0:03:49:24</t>
  </si>
  <si>
    <t>0:03:50:00</t>
  </si>
  <si>
    <t>0:03:50:01</t>
  </si>
  <si>
    <t>0:03:50:02</t>
  </si>
  <si>
    <t>0:03:50:03</t>
  </si>
  <si>
    <t>0:03:50:04</t>
  </si>
  <si>
    <t>0:03:50:05</t>
  </si>
  <si>
    <t>0:03:50:06</t>
  </si>
  <si>
    <t>0:03:50:07</t>
  </si>
  <si>
    <t>0:03:50:08</t>
  </si>
  <si>
    <t>0:03:50:09</t>
  </si>
  <si>
    <t>0:03:50:10</t>
  </si>
  <si>
    <t>0:03:50:11</t>
  </si>
  <si>
    <t>0:03:50:12</t>
  </si>
  <si>
    <t>0:03:50:13</t>
  </si>
  <si>
    <t>0:03:50:14</t>
  </si>
  <si>
    <t>0:03:50:15</t>
  </si>
  <si>
    <t>0:03:50:16</t>
  </si>
  <si>
    <t>0:03:50:17</t>
  </si>
  <si>
    <t>0:03:50:18</t>
  </si>
  <si>
    <t>0:03:50:19</t>
  </si>
  <si>
    <t>0:03:50:20</t>
  </si>
  <si>
    <t>0:03:50:21</t>
  </si>
  <si>
    <t>0:03:50:22</t>
  </si>
  <si>
    <t>0:03:50:23</t>
  </si>
  <si>
    <t>0:03:50:24</t>
  </si>
  <si>
    <t>0:03:51:00</t>
  </si>
  <si>
    <t>0:03:51:01</t>
  </si>
  <si>
    <t>0:03:51:02</t>
  </si>
  <si>
    <t>0:03:51:03</t>
  </si>
  <si>
    <t>0:03:51:04</t>
  </si>
  <si>
    <t>0:03:51:05</t>
  </si>
  <si>
    <t>0:03:51:06</t>
  </si>
  <si>
    <t>0:03:51:07</t>
  </si>
  <si>
    <t>0:03:51:08</t>
  </si>
  <si>
    <t>0:03:51:09</t>
  </si>
  <si>
    <t>0:03:51:10</t>
  </si>
  <si>
    <t>0:03:51:11</t>
  </si>
  <si>
    <t>0:03:51:12</t>
  </si>
  <si>
    <t>0:03:51:13</t>
  </si>
  <si>
    <t>0:03:51:14</t>
  </si>
  <si>
    <t>0:03:51:15</t>
  </si>
  <si>
    <t>0:03:51:16</t>
  </si>
  <si>
    <t>0:03:51:17</t>
  </si>
  <si>
    <t>0:03:51:18</t>
  </si>
  <si>
    <t>0:03:51:19</t>
  </si>
  <si>
    <t>0:03:51:20</t>
  </si>
  <si>
    <t>0:03:51:21</t>
  </si>
  <si>
    <t>0:03:51:22</t>
  </si>
  <si>
    <t>0:03:51:23</t>
  </si>
  <si>
    <t>0:03:51:24</t>
  </si>
  <si>
    <t>0:03:52:00</t>
  </si>
  <si>
    <t>0:03:52:01</t>
  </si>
  <si>
    <t>0:03:52:02</t>
  </si>
  <si>
    <t>0:03:52:03</t>
  </si>
  <si>
    <t>0:03:52:04</t>
  </si>
  <si>
    <t>0:03:52:05</t>
  </si>
  <si>
    <t>0:03:52:06</t>
  </si>
  <si>
    <t>0:03:52:07</t>
  </si>
  <si>
    <t>0:03:52:08</t>
  </si>
  <si>
    <t>0:03:52:09</t>
  </si>
  <si>
    <t>0:03:52:10</t>
  </si>
  <si>
    <t>0:03:52:11</t>
  </si>
  <si>
    <t>0:03:52:12</t>
  </si>
  <si>
    <t>0:03:52:13</t>
  </si>
  <si>
    <t>0:03:52:14</t>
  </si>
  <si>
    <t>0:03:52:15</t>
  </si>
  <si>
    <t>0:03:52:16</t>
  </si>
  <si>
    <t>0:03:52:17</t>
  </si>
  <si>
    <t>0:03:52:18</t>
  </si>
  <si>
    <t>0:03:52:19</t>
  </si>
  <si>
    <t>0:03:52:20</t>
  </si>
  <si>
    <t>0:03:52:21</t>
  </si>
  <si>
    <t>0:03:52:22</t>
  </si>
  <si>
    <t>0:03:52:23</t>
  </si>
  <si>
    <t>0:03:52:24</t>
  </si>
  <si>
    <t>0:03:53:00</t>
  </si>
  <si>
    <t>0:03:53:01</t>
  </si>
  <si>
    <t>0:03:53:02</t>
  </si>
  <si>
    <t>0:03:53:03</t>
  </si>
  <si>
    <t>0:03:53:04</t>
  </si>
  <si>
    <t>0:03:53:05</t>
  </si>
  <si>
    <t>0:03:53:06</t>
  </si>
  <si>
    <t>0:03:53:07</t>
  </si>
  <si>
    <t>0:03:53:08</t>
  </si>
  <si>
    <t>0:03:53:09</t>
  </si>
  <si>
    <t>0:03:53:10</t>
  </si>
  <si>
    <t>0:03:53:11</t>
  </si>
  <si>
    <t>0:03:53:12</t>
  </si>
  <si>
    <t>0:03:53:13</t>
  </si>
  <si>
    <t>0:03:53:14</t>
  </si>
  <si>
    <t>0:03:53:15</t>
  </si>
  <si>
    <t>0:03:53:16</t>
  </si>
  <si>
    <t>0:03:53:17</t>
  </si>
  <si>
    <t>0:03:53:18</t>
  </si>
  <si>
    <t>0:03:53:19</t>
  </si>
  <si>
    <t>0:03:53:20</t>
  </si>
  <si>
    <t>0:03:53:21</t>
  </si>
  <si>
    <t>0:03:53:22</t>
  </si>
  <si>
    <t>0:03:53:23</t>
  </si>
  <si>
    <t>0:03:53:24</t>
  </si>
  <si>
    <t>0:03:54:00</t>
  </si>
  <si>
    <t>0:03:54:01</t>
  </si>
  <si>
    <t>0:03:54:02</t>
  </si>
  <si>
    <t>0:03:54:03</t>
  </si>
  <si>
    <t>0:03:54:04</t>
  </si>
  <si>
    <t>0:03:54:05</t>
  </si>
  <si>
    <t>0:03:54:06</t>
  </si>
  <si>
    <t>0:03:54:07</t>
  </si>
  <si>
    <t>0:03:54:08</t>
  </si>
  <si>
    <t>0:03:54:09</t>
  </si>
  <si>
    <t>0:03:54:10</t>
  </si>
  <si>
    <t>0:03:54:11</t>
  </si>
  <si>
    <t>0:03:54:12</t>
  </si>
  <si>
    <t>0:03:54:13</t>
  </si>
  <si>
    <t>0:03:54:14</t>
  </si>
  <si>
    <t>0:03:54:15</t>
  </si>
  <si>
    <t>0:03:54:16</t>
  </si>
  <si>
    <t>0:03:54:17</t>
  </si>
  <si>
    <t>0:03:54:18</t>
  </si>
  <si>
    <t>0:03:54:19</t>
  </si>
  <si>
    <t>0:03:54:20</t>
  </si>
  <si>
    <t>0:03:54:21</t>
  </si>
  <si>
    <t>0:03:54:22</t>
  </si>
  <si>
    <t>0:03:54:23</t>
  </si>
  <si>
    <t>0:03:54:24</t>
  </si>
  <si>
    <t>0:03:55:00</t>
  </si>
  <si>
    <t>0:03:55:01</t>
  </si>
  <si>
    <t>0:03:55:02</t>
  </si>
  <si>
    <t>0:03:55:03</t>
  </si>
  <si>
    <t>0:03:55:04</t>
  </si>
  <si>
    <t>0:03:55:05</t>
  </si>
  <si>
    <t>0:03:55:06</t>
  </si>
  <si>
    <t>0:03:55:07</t>
  </si>
  <si>
    <t>0:03:55:08</t>
  </si>
  <si>
    <t>0:03:55:09</t>
  </si>
  <si>
    <t>0:03:55:10</t>
  </si>
  <si>
    <t>0:03:55:11</t>
  </si>
  <si>
    <t>0:03:55:12</t>
  </si>
  <si>
    <t>0:03:55:13</t>
  </si>
  <si>
    <t>0:03:55:14</t>
  </si>
  <si>
    <t>0:03:55:15</t>
  </si>
  <si>
    <t>0:03:55:16</t>
  </si>
  <si>
    <t>0:03:55:17</t>
  </si>
  <si>
    <t>0:03:55:18</t>
  </si>
  <si>
    <t>0:03:55:19</t>
  </si>
  <si>
    <t>0:03:55:20</t>
  </si>
  <si>
    <t>0:03:55:21</t>
  </si>
  <si>
    <t>0:03:55:22</t>
  </si>
  <si>
    <t>0:03:55:23</t>
  </si>
  <si>
    <t>0:03:55:24</t>
  </si>
  <si>
    <t>0:03:56:00</t>
  </si>
  <si>
    <t>0:03:56:01</t>
  </si>
  <si>
    <t>0:03:56:02</t>
  </si>
  <si>
    <t>0:03:56:03</t>
  </si>
  <si>
    <t>0:03:56:04</t>
  </si>
  <si>
    <t>0:03:56:05</t>
  </si>
  <si>
    <t>0:03:56:06</t>
  </si>
  <si>
    <t>0:03:56:07</t>
  </si>
  <si>
    <t>0:03:56:08</t>
  </si>
  <si>
    <t>0:03:56:09</t>
  </si>
  <si>
    <t>0:03:56:10</t>
  </si>
  <si>
    <t>0:03:56:11</t>
  </si>
  <si>
    <t>0:03:56:12</t>
  </si>
  <si>
    <t>0:03:56:13</t>
  </si>
  <si>
    <t>0:03:56:14</t>
  </si>
  <si>
    <t>0:03:56:15</t>
  </si>
  <si>
    <t>0:03:56:16</t>
  </si>
  <si>
    <t>0:03:56:17</t>
  </si>
  <si>
    <t>0:03:56:18</t>
  </si>
  <si>
    <t>0:03:56:19</t>
  </si>
  <si>
    <t>0:03:56:20</t>
  </si>
  <si>
    <t>0:03:56:21</t>
  </si>
  <si>
    <t>0:03:56:22</t>
  </si>
  <si>
    <t>0:03:56:23</t>
  </si>
  <si>
    <t>0:03:56:24</t>
  </si>
  <si>
    <t>0:03:57:00</t>
  </si>
  <si>
    <t>0:03:57:01</t>
  </si>
  <si>
    <t>0:03:57:02</t>
  </si>
  <si>
    <t>0:03:57:03</t>
  </si>
  <si>
    <t>0:03:57:04</t>
  </si>
  <si>
    <t>0:03:57:05</t>
  </si>
  <si>
    <t>0:03:57:06</t>
  </si>
  <si>
    <t>0:03:57:07</t>
  </si>
  <si>
    <t>0:03:57:08</t>
  </si>
  <si>
    <t>0:03:57:09</t>
  </si>
  <si>
    <t>0:03:57:10</t>
  </si>
  <si>
    <t>0:03:57:11</t>
  </si>
  <si>
    <t>0:03:57:12</t>
  </si>
  <si>
    <t>0:03:57:13</t>
  </si>
  <si>
    <t>0:03:57:14</t>
  </si>
  <si>
    <t>0:03:57:15</t>
  </si>
  <si>
    <t>0:03:57:16</t>
  </si>
  <si>
    <t>0:03:57:17</t>
  </si>
  <si>
    <t>0:03:57:18</t>
  </si>
  <si>
    <t>0:03:57:19</t>
  </si>
  <si>
    <t>0:03:57:20</t>
  </si>
  <si>
    <t>0:03:57:21</t>
  </si>
  <si>
    <t>0:03:57:22</t>
  </si>
  <si>
    <t>0:03:57:23</t>
  </si>
  <si>
    <t>0:03:57:24</t>
  </si>
  <si>
    <t>0:03:58:00</t>
  </si>
  <si>
    <t>0:03:58:01</t>
  </si>
  <si>
    <t>0:03:58:02</t>
  </si>
  <si>
    <t>0:03:58:03</t>
  </si>
  <si>
    <t>0:03:58:04</t>
  </si>
  <si>
    <t>0:03:58:05</t>
  </si>
  <si>
    <t>0:03:58:06</t>
  </si>
  <si>
    <t>0:03:58:07</t>
  </si>
  <si>
    <t>0:03:58:08</t>
  </si>
  <si>
    <t>0:03:58:09</t>
  </si>
  <si>
    <t>0:03:58:10</t>
  </si>
  <si>
    <t>0:03:58:11</t>
  </si>
  <si>
    <t>0:03:58:12</t>
  </si>
  <si>
    <t>0:03:58:13</t>
  </si>
  <si>
    <t>0:03:58:14</t>
  </si>
  <si>
    <t>0:03:58:15</t>
  </si>
  <si>
    <t>0:03:58:16</t>
  </si>
  <si>
    <t>0:03:58:17</t>
  </si>
  <si>
    <t>0:03:58:18</t>
  </si>
  <si>
    <t>0:03:58:19</t>
  </si>
  <si>
    <t>0:03:58:20</t>
  </si>
  <si>
    <t>0:03:58:21</t>
  </si>
  <si>
    <t>0:03:58:22</t>
  </si>
  <si>
    <t>0:03:58:23</t>
  </si>
  <si>
    <t>0:03:58:24</t>
  </si>
  <si>
    <t>0:03:59:00</t>
  </si>
  <si>
    <t>0:03:59:01</t>
  </si>
  <si>
    <t>0:03:59:02</t>
  </si>
  <si>
    <t>0:03:59:03</t>
  </si>
  <si>
    <t>0:03:59:04</t>
  </si>
  <si>
    <t>0:03:59:05</t>
  </si>
  <si>
    <t>0:03:59:06</t>
  </si>
  <si>
    <t>0:03:59:07</t>
  </si>
  <si>
    <t>0:03:59:08</t>
  </si>
  <si>
    <t>0:03:59:09</t>
  </si>
  <si>
    <t>0:03:59:10</t>
  </si>
  <si>
    <t>0:03:59:11</t>
  </si>
  <si>
    <t>0:03:59:12</t>
  </si>
  <si>
    <t>0:03:59:13</t>
  </si>
  <si>
    <t>0:03:59:14</t>
  </si>
  <si>
    <t>0:03:59:15</t>
  </si>
  <si>
    <t>0:03:59:16</t>
  </si>
  <si>
    <t>0:03:59:17</t>
  </si>
  <si>
    <t>0:03:59:18</t>
  </si>
  <si>
    <t>0:03:59:19</t>
  </si>
  <si>
    <t>0:03:59:20</t>
  </si>
  <si>
    <t>0:03:59:21</t>
  </si>
  <si>
    <t>0:03:59:22</t>
  </si>
  <si>
    <t>0:03:59:23</t>
  </si>
  <si>
    <t>0:03:59:24</t>
  </si>
  <si>
    <t>0:04:00:00</t>
  </si>
  <si>
    <t>0:04:00:01</t>
  </si>
  <si>
    <t>0:04:00:02</t>
  </si>
  <si>
    <t>0:04:00:03</t>
  </si>
  <si>
    <t>0:04:00:04</t>
  </si>
  <si>
    <t>0:04:00:05</t>
  </si>
  <si>
    <t>0:04:00:06</t>
  </si>
  <si>
    <t>0:04:00:07</t>
  </si>
  <si>
    <t>0:04:00:08</t>
  </si>
  <si>
    <t>0:04:00:09</t>
  </si>
  <si>
    <t>0:04:00:10</t>
  </si>
  <si>
    <t>0:04:00:11</t>
  </si>
  <si>
    <t>0:04:00:12</t>
  </si>
  <si>
    <t>0:04:00:13</t>
  </si>
  <si>
    <t>0:04:00:14</t>
  </si>
  <si>
    <t>0:04:00:15</t>
  </si>
  <si>
    <t>0:04:00:16</t>
  </si>
  <si>
    <t>0:04:00:17</t>
  </si>
  <si>
    <t>0:04:00:18</t>
  </si>
  <si>
    <t>0:04:00:19</t>
  </si>
  <si>
    <t>0:04:00:20</t>
  </si>
  <si>
    <t>0:04:00:21</t>
  </si>
  <si>
    <t>0:04:00:22</t>
  </si>
  <si>
    <t>0:04:00:23</t>
  </si>
  <si>
    <t>0:04:00:24</t>
  </si>
  <si>
    <t>0:04:01:00</t>
  </si>
  <si>
    <t>0:04:01:01</t>
  </si>
  <si>
    <t>0:04:01:02</t>
  </si>
  <si>
    <t>0:04:01:03</t>
  </si>
  <si>
    <t>0:04:01:04</t>
  </si>
  <si>
    <t>0:04:01:05</t>
  </si>
  <si>
    <t>0:04:01:06</t>
  </si>
  <si>
    <t>0:04:01:07</t>
  </si>
  <si>
    <t>0:04:01:08</t>
  </si>
  <si>
    <t>0:04:01:09</t>
  </si>
  <si>
    <t>0:04:01:10</t>
  </si>
  <si>
    <t>0:04:01:11</t>
  </si>
  <si>
    <t>0:04:01:12</t>
  </si>
  <si>
    <t>0:04:01:13</t>
  </si>
  <si>
    <t>0:04:01:14</t>
  </si>
  <si>
    <t>0:04:01:15</t>
  </si>
  <si>
    <t>0:04:01:16</t>
  </si>
  <si>
    <t>0:04:01:17</t>
  </si>
  <si>
    <t>0:04:01:18</t>
  </si>
  <si>
    <t>0:04:01:19</t>
  </si>
  <si>
    <t>0:04:01:20</t>
  </si>
  <si>
    <t>0:04:01:21</t>
  </si>
  <si>
    <t>0:04:01:22</t>
  </si>
  <si>
    <t>0:04:01:23</t>
  </si>
  <si>
    <t>0:04:01:24</t>
  </si>
  <si>
    <t>0:04:02:00</t>
  </si>
  <si>
    <t>0:04:02:01</t>
  </si>
  <si>
    <t>0:04:02:02</t>
  </si>
  <si>
    <t>0:04:02:03</t>
  </si>
  <si>
    <t>0:04:02:04</t>
  </si>
  <si>
    <t>0:04:02:05</t>
  </si>
  <si>
    <t>0:04:02:06</t>
  </si>
  <si>
    <t>0:04:02:07</t>
  </si>
  <si>
    <t>0:04:02:08</t>
  </si>
  <si>
    <t>0:04:02:09</t>
  </si>
  <si>
    <t>0:04:02:10</t>
  </si>
  <si>
    <t>0:04:02:11</t>
  </si>
  <si>
    <t>0:04:02:12</t>
  </si>
  <si>
    <t>0:04:02:13</t>
  </si>
  <si>
    <t>0:04:02:14</t>
  </si>
  <si>
    <t>0:04:02:15</t>
  </si>
  <si>
    <t>0:04:02:16</t>
  </si>
  <si>
    <t>0:04:02:17</t>
  </si>
  <si>
    <t>0:04:02:18</t>
  </si>
  <si>
    <t>0:04:02:19</t>
  </si>
  <si>
    <t>0:04:02:20</t>
  </si>
  <si>
    <t>0:04:02:21</t>
  </si>
  <si>
    <t>0:04:02:22</t>
  </si>
  <si>
    <t>0:04:02:23</t>
  </si>
  <si>
    <t>0:04:02:24</t>
  </si>
  <si>
    <t>0:04:03:00</t>
  </si>
  <si>
    <t>0:04:03:01</t>
  </si>
  <si>
    <t>0:04:03:02</t>
  </si>
  <si>
    <t>0:04:03:03</t>
  </si>
  <si>
    <t>0:04:03:04</t>
  </si>
  <si>
    <t>0:04:03:05</t>
  </si>
  <si>
    <t>0:04:03:06</t>
  </si>
  <si>
    <t>0:04:03:07</t>
  </si>
  <si>
    <t>0:04:03:08</t>
  </si>
  <si>
    <t>0:04:03:09</t>
  </si>
  <si>
    <t>0:04:03:10</t>
  </si>
  <si>
    <t>0:04:03:11</t>
  </si>
  <si>
    <t>0:04:03:12</t>
  </si>
  <si>
    <t>0:04:03:13</t>
  </si>
  <si>
    <t>0:04:03:14</t>
  </si>
  <si>
    <t>0:04:03:15</t>
  </si>
  <si>
    <t>0:04:03:16</t>
  </si>
  <si>
    <t>0:04:03:17</t>
  </si>
  <si>
    <t>0:04:03:18</t>
  </si>
  <si>
    <t>0:04:03:19</t>
  </si>
  <si>
    <t>0:04:03:20</t>
  </si>
  <si>
    <t>0:04:03:21</t>
  </si>
  <si>
    <t>0:04:03:22</t>
  </si>
  <si>
    <t>0:04:03:23</t>
  </si>
  <si>
    <t>0:04:03:24</t>
  </si>
  <si>
    <t>0:04:04:00</t>
  </si>
  <si>
    <t>0:04:04:01</t>
  </si>
  <si>
    <t>0:04:04:02</t>
  </si>
  <si>
    <t>0:04:04:03</t>
  </si>
  <si>
    <t>0:04:04:04</t>
  </si>
  <si>
    <t>0:04:04:05</t>
  </si>
  <si>
    <t>0:04:04:06</t>
  </si>
  <si>
    <t>0:04:04:07</t>
  </si>
  <si>
    <t>0:04:04:08</t>
  </si>
  <si>
    <t>0:04:04:09</t>
  </si>
  <si>
    <t>0:04:04:10</t>
  </si>
  <si>
    <t>0:04:04:11</t>
  </si>
  <si>
    <t>0:04:04:12</t>
  </si>
  <si>
    <t>0:04:04:13</t>
  </si>
  <si>
    <t>0:04:04:14</t>
  </si>
  <si>
    <t>0:04:04:15</t>
  </si>
  <si>
    <t>0:04:04:16</t>
  </si>
  <si>
    <t>0:04:04:17</t>
  </si>
  <si>
    <t>0:04:04:18</t>
  </si>
  <si>
    <t>0:04:04:19</t>
  </si>
  <si>
    <t>0:04:04:20</t>
  </si>
  <si>
    <t>0:04:04:21</t>
  </si>
  <si>
    <t>0:04:04:22</t>
  </si>
  <si>
    <t>0:04:04:23</t>
  </si>
  <si>
    <t>0:04:04:24</t>
  </si>
  <si>
    <t>0:04:05:00</t>
  </si>
  <si>
    <t>0:04:05:01</t>
  </si>
  <si>
    <t>0:04:05:02</t>
  </si>
  <si>
    <t>0:04:05:03</t>
  </si>
  <si>
    <t>0:04:05:04</t>
  </si>
  <si>
    <t>0:04:05:05</t>
  </si>
  <si>
    <t>0:04:05:06</t>
  </si>
  <si>
    <t>0:04:05:07</t>
  </si>
  <si>
    <t>0:04:05:08</t>
  </si>
  <si>
    <t>0:04:05:09</t>
  </si>
  <si>
    <t>0:04:05:10</t>
  </si>
  <si>
    <t>0:04:05:11</t>
  </si>
  <si>
    <t>0:04:05:12</t>
  </si>
  <si>
    <t>0:04:05:13</t>
  </si>
  <si>
    <t>0:04:05:14</t>
  </si>
  <si>
    <t>0:04:05:15</t>
  </si>
  <si>
    <t>0:04:05:16</t>
  </si>
  <si>
    <t>0:04:05:17</t>
  </si>
  <si>
    <t>0:04:05:18</t>
  </si>
  <si>
    <t>0:04:05:19</t>
  </si>
  <si>
    <t>0:04:05:20</t>
  </si>
  <si>
    <t>0:04:05:21</t>
  </si>
  <si>
    <t>0:04:05:22</t>
  </si>
  <si>
    <t>0:04:05:23</t>
  </si>
  <si>
    <t>0:04:05:24</t>
  </si>
  <si>
    <t>0:04:06:00</t>
  </si>
  <si>
    <t>0:04:06:01</t>
  </si>
  <si>
    <t>0:04:06:02</t>
  </si>
  <si>
    <t>0:04:06:03</t>
  </si>
  <si>
    <t>0:04:06:04</t>
  </si>
  <si>
    <t>0:04:06:05</t>
  </si>
  <si>
    <t>0:04:06:06</t>
  </si>
  <si>
    <t>0:04:06:07</t>
  </si>
  <si>
    <t>0:04:06:08</t>
  </si>
  <si>
    <t>0:04:06:09</t>
  </si>
  <si>
    <t>0:04:06:10</t>
  </si>
  <si>
    <t>0:04:06:11</t>
  </si>
  <si>
    <t>0:04:06:12</t>
  </si>
  <si>
    <t>0:04:06:13</t>
  </si>
  <si>
    <t>0:04:06:14</t>
  </si>
  <si>
    <t>0:04:06:15</t>
  </si>
  <si>
    <t>0:04:06:16</t>
  </si>
  <si>
    <t>0:04:06:17</t>
  </si>
  <si>
    <t>0:04:06:18</t>
  </si>
  <si>
    <t>0:04:06:19</t>
  </si>
  <si>
    <t>0:04:06:20</t>
  </si>
  <si>
    <t>0:04:06:21</t>
  </si>
  <si>
    <t>0:04:06:22</t>
  </si>
  <si>
    <t>0:04:06:23</t>
  </si>
  <si>
    <t>0:04:06:24</t>
  </si>
  <si>
    <t>0:04:07:00</t>
  </si>
  <si>
    <t>0:04:07:01</t>
  </si>
  <si>
    <t>0:04:07:02</t>
  </si>
  <si>
    <t>0:04:07:03</t>
  </si>
  <si>
    <t>0:04:07:04</t>
  </si>
  <si>
    <t>0:04:07:05</t>
  </si>
  <si>
    <t>0:04:07:06</t>
  </si>
  <si>
    <t>0:04:07:07</t>
  </si>
  <si>
    <t>0:04:07:08</t>
  </si>
  <si>
    <t>0:04:07:09</t>
  </si>
  <si>
    <t>0:04:07:10</t>
  </si>
  <si>
    <t>0:04:07:11</t>
  </si>
  <si>
    <t>0:04:07:12</t>
  </si>
  <si>
    <t>0:04:07:13</t>
  </si>
  <si>
    <t>0:04:07:14</t>
  </si>
  <si>
    <t>0:04:07:15</t>
  </si>
  <si>
    <t>0:04:07:16</t>
  </si>
  <si>
    <t>0:04:07:17</t>
  </si>
  <si>
    <t>0:04:07:18</t>
  </si>
  <si>
    <t>0:04:07:19</t>
  </si>
  <si>
    <t>0:04:07:20</t>
  </si>
  <si>
    <t>0:04:07:21</t>
  </si>
  <si>
    <t>0:04:07:22</t>
  </si>
  <si>
    <t>0:04:07:23</t>
  </si>
  <si>
    <t>0:04:07:24</t>
  </si>
  <si>
    <t>0:04:08:00</t>
  </si>
  <si>
    <t>0:04:08:01</t>
  </si>
  <si>
    <t>0:04:08:02</t>
  </si>
  <si>
    <t>0:04:08:03</t>
  </si>
  <si>
    <t>0:04:08:04</t>
  </si>
  <si>
    <t>0:04:08:05</t>
  </si>
  <si>
    <t>0:04:08:06</t>
  </si>
  <si>
    <t>0:04:08:07</t>
  </si>
  <si>
    <t>0:04:08:08</t>
  </si>
  <si>
    <t>0:04:08:09</t>
  </si>
  <si>
    <t>0:04:08:10</t>
  </si>
  <si>
    <t>0:04:08:11</t>
  </si>
  <si>
    <t>0:04:08:12</t>
  </si>
  <si>
    <t>0:04:08:13</t>
  </si>
  <si>
    <t>0:04:08:14</t>
  </si>
  <si>
    <t>0:04:08:15</t>
  </si>
  <si>
    <t>0:04:08:16</t>
  </si>
  <si>
    <t>0:04:08:17</t>
  </si>
  <si>
    <t>0:04:08:18</t>
  </si>
  <si>
    <t>0:04:08:19</t>
  </si>
  <si>
    <t>0:04:08:20</t>
  </si>
  <si>
    <t>0:04:08:21</t>
  </si>
  <si>
    <t>0:04:08:22</t>
  </si>
  <si>
    <t>0:04:08:23</t>
  </si>
  <si>
    <t>0:04:08:24</t>
  </si>
  <si>
    <t>0:04:09:00</t>
  </si>
  <si>
    <t>0:04:09:01</t>
  </si>
  <si>
    <t>0:04:09:02</t>
  </si>
  <si>
    <t>0:04:09:03</t>
  </si>
  <si>
    <t>0:04:09:04</t>
  </si>
  <si>
    <t>0:04:09:05</t>
  </si>
  <si>
    <t>0:04:09:06</t>
  </si>
  <si>
    <t>0:04:09:07</t>
  </si>
  <si>
    <t>0:04:09:08</t>
  </si>
  <si>
    <t>0:04:09:09</t>
  </si>
  <si>
    <t>0:04:09:10</t>
  </si>
  <si>
    <t>0:04:09:11</t>
  </si>
  <si>
    <t>0:04:09:12</t>
  </si>
  <si>
    <t>0:04:09:13</t>
  </si>
  <si>
    <t>0:04:09:14</t>
  </si>
  <si>
    <t>0:04:09:15</t>
  </si>
  <si>
    <t>0:04:09:16</t>
  </si>
  <si>
    <t>0:04:09:17</t>
  </si>
  <si>
    <t>0:04:09:18</t>
  </si>
  <si>
    <t>0:04:09:19</t>
  </si>
  <si>
    <t>0:04:09:20</t>
  </si>
  <si>
    <t>0:04:09:21</t>
  </si>
  <si>
    <t>0:04:09:22</t>
  </si>
  <si>
    <t>0:04:09:23</t>
  </si>
  <si>
    <t>0:04:09:24</t>
  </si>
  <si>
    <t>0:04:10:00</t>
  </si>
  <si>
    <t>0:04:10:01</t>
  </si>
  <si>
    <t>0:04:10:02</t>
  </si>
  <si>
    <t>0:04:10:03</t>
  </si>
  <si>
    <t>0:04:10:04</t>
  </si>
  <si>
    <t>0:04:10:05</t>
  </si>
  <si>
    <t>0:04:10:06</t>
  </si>
  <si>
    <t>0:04:10:07</t>
  </si>
  <si>
    <t>0:04:10:08</t>
  </si>
  <si>
    <t>0:04:10:09</t>
  </si>
  <si>
    <t>0:04:10:10</t>
  </si>
  <si>
    <t>0:04:10:11</t>
  </si>
  <si>
    <t>0:04:10:12</t>
  </si>
  <si>
    <t>0:04:10:13</t>
  </si>
  <si>
    <t>0:04:10:14</t>
  </si>
  <si>
    <t>0:04:10:15</t>
  </si>
  <si>
    <t>0:04:10:16</t>
  </si>
  <si>
    <t>0:04:10:17</t>
  </si>
  <si>
    <t>0:04:10:18</t>
  </si>
  <si>
    <t>0:04:10:19</t>
  </si>
  <si>
    <t>0:04:10:20</t>
  </si>
  <si>
    <t>0:04:10:21</t>
  </si>
  <si>
    <t>0:04:10:22</t>
  </si>
  <si>
    <t>0:04:10:23</t>
  </si>
  <si>
    <t>0:04:10:24</t>
  </si>
  <si>
    <t>0:04:11:00</t>
  </si>
  <si>
    <t>0:04:11:01</t>
  </si>
  <si>
    <t>0:04:11:02</t>
  </si>
  <si>
    <t>0:04:11:03</t>
  </si>
  <si>
    <t>0:04:11:04</t>
  </si>
  <si>
    <t>0:04:11:05</t>
  </si>
  <si>
    <t>0:04:11:06</t>
  </si>
  <si>
    <t>0:04:11:07</t>
  </si>
  <si>
    <t>0:04:11:08</t>
  </si>
  <si>
    <t>0:04:11:09</t>
  </si>
  <si>
    <t>0:04:11:10</t>
  </si>
  <si>
    <t>0:04:11:11</t>
  </si>
  <si>
    <t>0:04:11:12</t>
  </si>
  <si>
    <t>0:04:11:13</t>
  </si>
  <si>
    <t>0:04:11:14</t>
  </si>
  <si>
    <t>0:04:11:15</t>
  </si>
  <si>
    <t>0:04:11:16</t>
  </si>
  <si>
    <t>0:04:11:17</t>
  </si>
  <si>
    <t>0:04:11:18</t>
  </si>
  <si>
    <t>0:04:11:19</t>
  </si>
  <si>
    <t>0:04:11:20</t>
  </si>
  <si>
    <t>0:04:11:21</t>
  </si>
  <si>
    <t>0:04:11:22</t>
  </si>
  <si>
    <t>0:04:11:23</t>
  </si>
  <si>
    <t>0:04:11:24</t>
  </si>
  <si>
    <t>0:04:12:00</t>
  </si>
  <si>
    <t>0:04:12:01</t>
  </si>
  <si>
    <t>0:04:12:02</t>
  </si>
  <si>
    <t>0:04:12:03</t>
  </si>
  <si>
    <t>0:04:12:04</t>
  </si>
  <si>
    <t>0:04:12:05</t>
  </si>
  <si>
    <t>0:04:12:06</t>
  </si>
  <si>
    <t>0:04:12:07</t>
  </si>
  <si>
    <t>0:04:12:08</t>
  </si>
  <si>
    <t>0:04:12:09</t>
  </si>
  <si>
    <t>0:04:12:10</t>
  </si>
  <si>
    <t>0:04:12:11</t>
  </si>
  <si>
    <t>0:04:12:12</t>
  </si>
  <si>
    <t>0:04:12:13</t>
  </si>
  <si>
    <t>0:04:12:14</t>
  </si>
  <si>
    <t>0:04:12:15</t>
  </si>
  <si>
    <t>0:04:12:16</t>
  </si>
  <si>
    <t>0:04:12:17</t>
  </si>
  <si>
    <t>0:04:12:18</t>
  </si>
  <si>
    <t>0:04:12:19</t>
  </si>
  <si>
    <t>0:04:12:20</t>
  </si>
  <si>
    <t>0:04:12:21</t>
  </si>
  <si>
    <t>0:04:12:22</t>
  </si>
  <si>
    <t>0:04:12:23</t>
  </si>
  <si>
    <t>0:04:12:24</t>
  </si>
  <si>
    <t>0:04:13:00</t>
  </si>
  <si>
    <t>0:04:13:01</t>
  </si>
  <si>
    <t>0:04:13:02</t>
  </si>
  <si>
    <t>0:04:13:03</t>
  </si>
  <si>
    <t>0:04:13:04</t>
  </si>
  <si>
    <t>0:04:13:05</t>
  </si>
  <si>
    <t>0:04:13:06</t>
  </si>
  <si>
    <t>0:04:13:07</t>
  </si>
  <si>
    <t>0:04:13:08</t>
  </si>
  <si>
    <t>0:04:13:09</t>
  </si>
  <si>
    <t>0:04:13:10</t>
  </si>
  <si>
    <t>0:04:13:11</t>
  </si>
  <si>
    <t>0:04:13:12</t>
  </si>
  <si>
    <t>0:04:13:13</t>
  </si>
  <si>
    <t>0:04:13:14</t>
  </si>
  <si>
    <t>0:04:13:15</t>
  </si>
  <si>
    <t>0:04:13:16</t>
  </si>
  <si>
    <t>0:04:13:17</t>
  </si>
  <si>
    <t>0:04:13:18</t>
  </si>
  <si>
    <t>0:04:13:19</t>
  </si>
  <si>
    <t>0:04:13:20</t>
  </si>
  <si>
    <t>0:04:13:21</t>
  </si>
  <si>
    <t>0:04:13:22</t>
  </si>
  <si>
    <t>0:04:13:23</t>
  </si>
  <si>
    <t>0:04:13:24</t>
  </si>
  <si>
    <t>0:04:14:00</t>
  </si>
  <si>
    <t>0:04:14:01</t>
  </si>
  <si>
    <t>0:04:14:02</t>
  </si>
  <si>
    <t>0:04:14:03</t>
  </si>
  <si>
    <t>0:04:14:04</t>
  </si>
  <si>
    <t>0:04:14:05</t>
  </si>
  <si>
    <t>0:04:14:06</t>
  </si>
  <si>
    <t>0:04:14:07</t>
  </si>
  <si>
    <t>0:04:14:08</t>
  </si>
  <si>
    <t>0:04:14:09</t>
  </si>
  <si>
    <t>0:04:14:10</t>
  </si>
  <si>
    <t>0:04:14:11</t>
  </si>
  <si>
    <t>0:04:14:12</t>
  </si>
  <si>
    <t>0:04:14:13</t>
  </si>
  <si>
    <t>0:04:14:14</t>
  </si>
  <si>
    <t>0:04:14:15</t>
  </si>
  <si>
    <t>0:04:14:16</t>
  </si>
  <si>
    <t>0:04:14:17</t>
  </si>
  <si>
    <t>0:04:14:18</t>
  </si>
  <si>
    <t>0:04:14:19</t>
  </si>
  <si>
    <t>0:04:14:20</t>
  </si>
  <si>
    <t>0:04:14:21</t>
  </si>
  <si>
    <t>0:04:14:22</t>
  </si>
  <si>
    <t>0:04:14:23</t>
  </si>
  <si>
    <t>0:04:14:24</t>
  </si>
  <si>
    <t>0:04:15:00</t>
  </si>
  <si>
    <t>0:04:15:01</t>
  </si>
  <si>
    <t>0:04:15:02</t>
  </si>
  <si>
    <t>0:04:15:03</t>
  </si>
  <si>
    <t>0:04:15:04</t>
  </si>
  <si>
    <t>0:04:15:05</t>
  </si>
  <si>
    <t>0:04:15:06</t>
  </si>
  <si>
    <t>0:04:15:07</t>
  </si>
  <si>
    <t>0:04:15:08</t>
  </si>
  <si>
    <t>0:04:15:09</t>
  </si>
  <si>
    <t>0:04:15:10</t>
  </si>
  <si>
    <t>0:04:15:11</t>
  </si>
  <si>
    <t>0:04:15:12</t>
  </si>
  <si>
    <t>0:04:15:13</t>
  </si>
  <si>
    <t>0:04:15:14</t>
  </si>
  <si>
    <t>0:04:15:15</t>
  </si>
  <si>
    <t>0:04:15:16</t>
  </si>
  <si>
    <t>0:04:15:17</t>
  </si>
  <si>
    <t>0:04:15:18</t>
  </si>
  <si>
    <t>0:04:15:19</t>
  </si>
  <si>
    <t>0:04:15:20</t>
  </si>
  <si>
    <t>0:04:15:21</t>
  </si>
  <si>
    <t>0:04:15:22</t>
  </si>
  <si>
    <t>0:04:15:23</t>
  </si>
  <si>
    <t>0:04:15:24</t>
  </si>
  <si>
    <t>0:04:16:00</t>
  </si>
  <si>
    <t>0:04:16:01</t>
  </si>
  <si>
    <t>0:04:16:02</t>
  </si>
  <si>
    <t>0:04:16:03</t>
  </si>
  <si>
    <t>0:04:16:04</t>
  </si>
  <si>
    <t>0:04:16:05</t>
  </si>
  <si>
    <t>0:04:16:06</t>
  </si>
  <si>
    <t>0:04:16:07</t>
  </si>
  <si>
    <t>0:04:16:08</t>
  </si>
  <si>
    <t>0:04:16:09</t>
  </si>
  <si>
    <t>0:04:16:10</t>
  </si>
  <si>
    <t>0:04:16:11</t>
  </si>
  <si>
    <t>0:04:16:12</t>
  </si>
  <si>
    <t>0:04:16:13</t>
  </si>
  <si>
    <t>0:04:16:14</t>
  </si>
  <si>
    <t>0:04:16:15</t>
  </si>
  <si>
    <t>0:04:16:16</t>
  </si>
  <si>
    <t>0:04:16:17</t>
  </si>
  <si>
    <t>0:04:16:18</t>
  </si>
  <si>
    <t>0:04:16:19</t>
  </si>
  <si>
    <t>0:04:16:20</t>
  </si>
  <si>
    <t>0:04:16:21</t>
  </si>
  <si>
    <t>0:04:16:22</t>
  </si>
  <si>
    <t>0:04:16:23</t>
  </si>
  <si>
    <t>0:04:16:24</t>
  </si>
  <si>
    <t>0:04:17:00</t>
  </si>
  <si>
    <t>0:04:17:01</t>
  </si>
  <si>
    <t>0:04:17:02</t>
  </si>
  <si>
    <t>0:04:17:03</t>
  </si>
  <si>
    <t>0:04:17:04</t>
  </si>
  <si>
    <t>0:04:17:05</t>
  </si>
  <si>
    <t>0:04:17:06</t>
  </si>
  <si>
    <t>0:04:17:07</t>
  </si>
  <si>
    <t>0:04:17:08</t>
  </si>
  <si>
    <t>0:04:17:09</t>
  </si>
  <si>
    <t>0:04:17:10</t>
  </si>
  <si>
    <t>0:04:17:11</t>
  </si>
  <si>
    <t>0:04:17:12</t>
  </si>
  <si>
    <t>0:04:17:13</t>
  </si>
  <si>
    <t>0:04:17:14</t>
  </si>
  <si>
    <t>0:04:17:15</t>
  </si>
  <si>
    <t>0:04:17:16</t>
  </si>
  <si>
    <t>0:04:17:17</t>
  </si>
  <si>
    <t>0:04:17:18</t>
  </si>
  <si>
    <t>0:04:17:19</t>
  </si>
  <si>
    <t>0:04:17:20</t>
  </si>
  <si>
    <t>0:04:17:21</t>
  </si>
  <si>
    <t>0:04:17:22</t>
  </si>
  <si>
    <t>0:04:17:23</t>
  </si>
  <si>
    <t>0:04:17:24</t>
  </si>
  <si>
    <t>0:04:18:00</t>
  </si>
  <si>
    <t>0:04:18:01</t>
  </si>
  <si>
    <t>0:04:18:02</t>
  </si>
  <si>
    <t>0:04:18:03</t>
  </si>
  <si>
    <t>0:04:18:04</t>
  </si>
  <si>
    <t>0:04:18:05</t>
  </si>
  <si>
    <t>0:04:18:06</t>
  </si>
  <si>
    <t>0:04:18:07</t>
  </si>
  <si>
    <t>0:04:18:08</t>
  </si>
  <si>
    <t>0:04:18:09</t>
  </si>
  <si>
    <t>0:04:18:10</t>
  </si>
  <si>
    <t>0:04:18:11</t>
  </si>
  <si>
    <t>0:04:18:12</t>
  </si>
  <si>
    <t>0:04:18:13</t>
  </si>
  <si>
    <t>0:04:18:14</t>
  </si>
  <si>
    <t>0:04:18:15</t>
  </si>
  <si>
    <t>0:04:18:16</t>
  </si>
  <si>
    <t>0:04:18:17</t>
  </si>
  <si>
    <t>0:04:18:18</t>
  </si>
  <si>
    <t>0:04:18:19</t>
  </si>
  <si>
    <t>0:04:18:20</t>
  </si>
  <si>
    <t>0:04:18:21</t>
  </si>
  <si>
    <t>0:04:18:22</t>
  </si>
  <si>
    <t>0:04:18:23</t>
  </si>
  <si>
    <t>0:04:18:24</t>
  </si>
  <si>
    <t>0:04:19:00</t>
  </si>
  <si>
    <t>0:04:19:01</t>
  </si>
  <si>
    <t>0:04:19:02</t>
  </si>
  <si>
    <t>0:04:19:03</t>
  </si>
  <si>
    <t>0:04:19:04</t>
  </si>
  <si>
    <t>0:04:19:05</t>
  </si>
  <si>
    <t>0:04:19:06</t>
  </si>
  <si>
    <t>0:04:19:07</t>
  </si>
  <si>
    <t>0:04:19:08</t>
  </si>
  <si>
    <t>0:04:19:09</t>
  </si>
  <si>
    <t>0:04:19:10</t>
  </si>
  <si>
    <t>0:04:19:11</t>
  </si>
  <si>
    <t>0:04:19:12</t>
  </si>
  <si>
    <t>0:04:19:13</t>
  </si>
  <si>
    <t>0:04:19:14</t>
  </si>
  <si>
    <t>0:04:19:15</t>
  </si>
  <si>
    <t>0:04:19:16</t>
  </si>
  <si>
    <t>0:04:19:17</t>
  </si>
  <si>
    <t>0:04:19:18</t>
  </si>
  <si>
    <t>0:04:19:19</t>
  </si>
  <si>
    <t>0:04:19:20</t>
  </si>
  <si>
    <t>0:04:19:21</t>
  </si>
  <si>
    <t>0:04:19:22</t>
  </si>
  <si>
    <t>0:04:19:23</t>
  </si>
  <si>
    <t>0:04:19:24</t>
  </si>
  <si>
    <t>0:04:20:00</t>
  </si>
  <si>
    <t>0:04:20:01</t>
  </si>
  <si>
    <t>0:04:20:02</t>
  </si>
  <si>
    <t>0:04:20:03</t>
  </si>
  <si>
    <t>0:04:20:04</t>
  </si>
  <si>
    <t>0:04:20:05</t>
  </si>
  <si>
    <t>0:04:20:06</t>
  </si>
  <si>
    <t>0:04:20:07</t>
  </si>
  <si>
    <t>0:04:20:08</t>
  </si>
  <si>
    <t>0:04:20:09</t>
  </si>
  <si>
    <t>0:04:20:10</t>
  </si>
  <si>
    <t>0:04:20:11</t>
  </si>
  <si>
    <t>0:04:20:12</t>
  </si>
  <si>
    <t>0:04:20:13</t>
  </si>
  <si>
    <t>0:04:20:14</t>
  </si>
  <si>
    <t>0:04:20:15</t>
  </si>
  <si>
    <t>0:04:20:16</t>
  </si>
  <si>
    <t>0:04:20:17</t>
  </si>
  <si>
    <t>0:04:20:18</t>
  </si>
  <si>
    <t>0:04:20:19</t>
  </si>
  <si>
    <t>0:04:20:20</t>
  </si>
  <si>
    <t>0:04:20:21</t>
  </si>
  <si>
    <t>0:04:20:22</t>
  </si>
  <si>
    <t>0:04:20:23</t>
  </si>
  <si>
    <t>0:04:20:24</t>
  </si>
  <si>
    <t>0:04:21:00</t>
  </si>
  <si>
    <t>0:04:21:01</t>
  </si>
  <si>
    <t>0:04:21:02</t>
  </si>
  <si>
    <t>0:04:21:03</t>
  </si>
  <si>
    <t>0:04:21:04</t>
  </si>
  <si>
    <t>0:04:21:05</t>
  </si>
  <si>
    <t>0:04:21:06</t>
  </si>
  <si>
    <t>0:04:21:07</t>
  </si>
  <si>
    <t>0:04:21:08</t>
  </si>
  <si>
    <t>0:04:21:09</t>
  </si>
  <si>
    <t>0:04:21:10</t>
  </si>
  <si>
    <t>0:04:21:11</t>
  </si>
  <si>
    <t>0:04:21:12</t>
  </si>
  <si>
    <t>0:04:21:13</t>
  </si>
  <si>
    <t>0:04:21:14</t>
  </si>
  <si>
    <t>0:04:21:15</t>
  </si>
  <si>
    <t>0:04:21:16</t>
  </si>
  <si>
    <t>0:04:21:17</t>
  </si>
  <si>
    <t>0:04:21:18</t>
  </si>
  <si>
    <t>0:04:21:19</t>
  </si>
  <si>
    <t>0:04:21:20</t>
  </si>
  <si>
    <t>0:04:21:21</t>
  </si>
  <si>
    <t>0:04:21:22</t>
  </si>
  <si>
    <t>0:04:21:23</t>
  </si>
  <si>
    <t>0:04:21:24</t>
  </si>
  <si>
    <t>0:04:22:00</t>
  </si>
  <si>
    <t>0:04:22:01</t>
  </si>
  <si>
    <t>0:04:22:02</t>
  </si>
  <si>
    <t>0:04:22:03</t>
  </si>
  <si>
    <t>0:04:22:04</t>
  </si>
  <si>
    <t>0:04:22:05</t>
  </si>
  <si>
    <t>0:04:22:06</t>
  </si>
  <si>
    <t>0:04:22:07</t>
  </si>
  <si>
    <t>0:04:22:08</t>
  </si>
  <si>
    <t>0:04:22:09</t>
  </si>
  <si>
    <t>0:04:22:10</t>
  </si>
  <si>
    <t>0:04:22:11</t>
  </si>
  <si>
    <t>0:04:22:12</t>
  </si>
  <si>
    <t>0:04:22:13</t>
  </si>
  <si>
    <t>0:04:22:14</t>
  </si>
  <si>
    <t>0:04:22:15</t>
  </si>
  <si>
    <t>0:04:22:16</t>
  </si>
  <si>
    <t>0:04:22:17</t>
  </si>
  <si>
    <t>0:04:22:18</t>
  </si>
  <si>
    <t>0:04:22:19</t>
  </si>
  <si>
    <t>0:04:22:20</t>
  </si>
  <si>
    <t>0:04:22:21</t>
  </si>
  <si>
    <t>0:04:22:22</t>
  </si>
  <si>
    <t>0:04:22:23</t>
  </si>
  <si>
    <t>0:04:22:24</t>
  </si>
  <si>
    <t>0:04:23:00</t>
  </si>
  <si>
    <t>0:04:23:01</t>
  </si>
  <si>
    <t>0:04:23:02</t>
  </si>
  <si>
    <t>0:04:23:03</t>
  </si>
  <si>
    <t>0:04:23:04</t>
  </si>
  <si>
    <t>0:04:23:05</t>
  </si>
  <si>
    <t>0:04:23:06</t>
  </si>
  <si>
    <t>0:04:23:07</t>
  </si>
  <si>
    <t>0:04:23:08</t>
  </si>
  <si>
    <t>0:04:23:09</t>
  </si>
  <si>
    <t>0:04:23:10</t>
  </si>
  <si>
    <t>0:04:23:11</t>
  </si>
  <si>
    <t>0:04:23:12</t>
  </si>
  <si>
    <t>0:04:23:13</t>
  </si>
  <si>
    <t>0:04:23:14</t>
  </si>
  <si>
    <t>0:04:23:15</t>
  </si>
  <si>
    <t>0:04:23:16</t>
  </si>
  <si>
    <t>0:04:23:17</t>
  </si>
  <si>
    <t>0:04:23:18</t>
  </si>
  <si>
    <t>0:04:23:19</t>
  </si>
  <si>
    <t>0:04:23:20</t>
  </si>
  <si>
    <t>0:04:23:21</t>
  </si>
  <si>
    <t>0:04:23:22</t>
  </si>
  <si>
    <t>0:04:23:23</t>
  </si>
  <si>
    <t>0:04:23:24</t>
  </si>
  <si>
    <t>0:04:24:00</t>
  </si>
  <si>
    <t>0:04:24:01</t>
  </si>
  <si>
    <t>0:04:24:02</t>
  </si>
  <si>
    <t>0:04:24:03</t>
  </si>
  <si>
    <t>0:04:24:04</t>
  </si>
  <si>
    <t>0:04:24:05</t>
  </si>
  <si>
    <t>0:04:24:06</t>
  </si>
  <si>
    <t>0:04:24:07</t>
  </si>
  <si>
    <t>0:04:24:08</t>
  </si>
  <si>
    <t>0:04:24:09</t>
  </si>
  <si>
    <t>0:04:24:10</t>
  </si>
  <si>
    <t>0:04:24:11</t>
  </si>
  <si>
    <t>0:04:24:12</t>
  </si>
  <si>
    <t>0:04:24:13</t>
  </si>
  <si>
    <t>0:04:24:14</t>
  </si>
  <si>
    <t>0:04:24:15</t>
  </si>
  <si>
    <t>0:04:24:16</t>
  </si>
  <si>
    <t>0:04:24:17</t>
  </si>
  <si>
    <t>0:04:24:18</t>
  </si>
  <si>
    <t>0:04:24:19</t>
  </si>
  <si>
    <t>0:04:24:20</t>
  </si>
  <si>
    <t>0:04:24:21</t>
  </si>
  <si>
    <t>0:04:24:22</t>
  </si>
  <si>
    <t>0:04:24:23</t>
  </si>
  <si>
    <t>0:04:24:24</t>
  </si>
  <si>
    <t>0:04:25:00</t>
  </si>
  <si>
    <t>0:04:25:01</t>
  </si>
  <si>
    <t>0:04:25:02</t>
  </si>
  <si>
    <t>0:04:25:03</t>
  </si>
  <si>
    <t>0:04:25:04</t>
  </si>
  <si>
    <t>0:04:25:05</t>
  </si>
  <si>
    <t>0:04:25:06</t>
  </si>
  <si>
    <t>0:04:25:07</t>
  </si>
  <si>
    <t>0:04:25:08</t>
  </si>
  <si>
    <t>0:04:25:09</t>
  </si>
  <si>
    <t>0:04:25:10</t>
  </si>
  <si>
    <t>0:04:25:11</t>
  </si>
  <si>
    <t>0:04:25:12</t>
  </si>
  <si>
    <t>0:04:25:13</t>
  </si>
  <si>
    <t>0:04:25:14</t>
  </si>
  <si>
    <t>0:04:25:15</t>
  </si>
  <si>
    <t>0:04:25:16</t>
  </si>
  <si>
    <t>0:04:25:17</t>
  </si>
  <si>
    <t>0:04:25:18</t>
  </si>
  <si>
    <t>0:04:25:19</t>
  </si>
  <si>
    <t>0:04:25:20</t>
  </si>
  <si>
    <t>0:04:25:21</t>
  </si>
  <si>
    <t>0:04:25:22</t>
  </si>
  <si>
    <t>0:04:25:23</t>
  </si>
  <si>
    <t>0:04:25:24</t>
  </si>
  <si>
    <t>0:04:26:00</t>
  </si>
  <si>
    <t>0:04:26:01</t>
  </si>
  <si>
    <t>0:04:26:02</t>
  </si>
  <si>
    <t>0:04:26:03</t>
  </si>
  <si>
    <t>0:04:26:04</t>
  </si>
  <si>
    <t>0:04:26:05</t>
  </si>
  <si>
    <t>0:04:26:06</t>
  </si>
  <si>
    <t>0:04:26:07</t>
  </si>
  <si>
    <t>0:04:26:08</t>
  </si>
  <si>
    <t>0:04:26:09</t>
  </si>
  <si>
    <t>0:04:26:10</t>
  </si>
  <si>
    <t>0:04:26:11</t>
  </si>
  <si>
    <t>0:04:26:12</t>
  </si>
  <si>
    <t>0:04:26:13</t>
  </si>
  <si>
    <t>0:04:26:14</t>
  </si>
  <si>
    <t>0:04:26:15</t>
  </si>
  <si>
    <t>0:04:26:16</t>
  </si>
  <si>
    <t>0:04:26:17</t>
  </si>
  <si>
    <t>0:04:26:18</t>
  </si>
  <si>
    <t>0:04:26:19</t>
  </si>
  <si>
    <t>0:04:26:20</t>
  </si>
  <si>
    <t>0:04:26:21</t>
  </si>
  <si>
    <t>0:04:26:22</t>
  </si>
  <si>
    <t>0:04:26:23</t>
  </si>
  <si>
    <t>0:04:26:24</t>
  </si>
  <si>
    <t>0:04:27:00</t>
  </si>
  <si>
    <t>0:04:27:01</t>
  </si>
  <si>
    <t>0:04:27:02</t>
  </si>
  <si>
    <t>0:04:27:03</t>
  </si>
  <si>
    <t>0:04:27:04</t>
  </si>
  <si>
    <t>0:04:27:05</t>
  </si>
  <si>
    <t>0:04:27:06</t>
  </si>
  <si>
    <t>0:04:27:07</t>
  </si>
  <si>
    <t>0:04:27:08</t>
  </si>
  <si>
    <t>0:04:27:09</t>
  </si>
  <si>
    <t>0:04:27:10</t>
  </si>
  <si>
    <t>0:04:27:11</t>
  </si>
  <si>
    <t>0:04:27:12</t>
  </si>
  <si>
    <t>0:04:27:13</t>
  </si>
  <si>
    <t>0:04:27:14</t>
  </si>
  <si>
    <t>0:04:27:15</t>
  </si>
  <si>
    <t>0:04:27:16</t>
  </si>
  <si>
    <t>0:04:27:17</t>
  </si>
  <si>
    <t>0:04:27:18</t>
  </si>
  <si>
    <t>0:04:27:19</t>
  </si>
  <si>
    <t>0:04:27:20</t>
  </si>
  <si>
    <t>0:04:27:21</t>
  </si>
  <si>
    <t>0:04:27:22</t>
  </si>
  <si>
    <t>0:04:27:23</t>
  </si>
  <si>
    <t>0:04:27:24</t>
  </si>
  <si>
    <t>0:04:28:00</t>
  </si>
  <si>
    <t>0:04:28:01</t>
  </si>
  <si>
    <t>0:04:28:02</t>
  </si>
  <si>
    <t>0:04:28:03</t>
  </si>
  <si>
    <t>0:04:28:04</t>
  </si>
  <si>
    <t>0:04:28:05</t>
  </si>
  <si>
    <t>0:04:28:06</t>
  </si>
  <si>
    <t>0:04:28:07</t>
  </si>
  <si>
    <t>0:04:28:08</t>
  </si>
  <si>
    <t>0:04:28:09</t>
  </si>
  <si>
    <t>0:04:28:10</t>
  </si>
  <si>
    <t>0:04:28:11</t>
  </si>
  <si>
    <t>0:04:28:12</t>
  </si>
  <si>
    <t>0:04:28:13</t>
  </si>
  <si>
    <t>0:04:28:14</t>
  </si>
  <si>
    <t>0:04:28:15</t>
  </si>
  <si>
    <t>0:04:28:16</t>
  </si>
  <si>
    <t>0:04:28:17</t>
  </si>
  <si>
    <t>0:04:28:18</t>
  </si>
  <si>
    <t>0:04:28:19</t>
  </si>
  <si>
    <t>0:04:28:20</t>
  </si>
  <si>
    <t>0:04:28:21</t>
  </si>
  <si>
    <t>0:04:28:22</t>
  </si>
  <si>
    <t>0:04:28:23</t>
  </si>
  <si>
    <t>0:04:28:24</t>
  </si>
  <si>
    <t>0:04:29:00</t>
  </si>
  <si>
    <t>0:04:29:01</t>
  </si>
  <si>
    <t>0:04:29:02</t>
  </si>
  <si>
    <t>0:04:29:03</t>
  </si>
  <si>
    <t>0:04:29:04</t>
  </si>
  <si>
    <t>0:04:29:05</t>
  </si>
  <si>
    <t>0:04:29:06</t>
  </si>
  <si>
    <t>0:04:29:07</t>
  </si>
  <si>
    <t>0:04:29:08</t>
  </si>
  <si>
    <t>0:04:29:09</t>
  </si>
  <si>
    <t>0:04:29:10</t>
  </si>
  <si>
    <t>0:04:29:11</t>
  </si>
  <si>
    <t>0:04:29:12</t>
  </si>
  <si>
    <t>0:04:29:13</t>
  </si>
  <si>
    <t>0:04:29:14</t>
  </si>
  <si>
    <t>0:04:29:15</t>
  </si>
  <si>
    <t>0:04:29:16</t>
  </si>
  <si>
    <t>0:04:29:17</t>
  </si>
  <si>
    <t>0:04:29:18</t>
  </si>
  <si>
    <t>0:04:29:19</t>
  </si>
  <si>
    <t>0:04:29:20</t>
  </si>
  <si>
    <t>0:04:29:21</t>
  </si>
  <si>
    <t>0:04:29:22</t>
  </si>
  <si>
    <t>0:04:29:23</t>
  </si>
  <si>
    <t>0:04:29:24</t>
  </si>
  <si>
    <t>0:04:30:00</t>
  </si>
  <si>
    <t>0:04:30:01</t>
  </si>
  <si>
    <t>0:04:30:02</t>
  </si>
  <si>
    <t>0:04:30:03</t>
  </si>
  <si>
    <t>0:04:30:04</t>
  </si>
  <si>
    <t>0:04:30:05</t>
  </si>
  <si>
    <t>0:04:30:06</t>
  </si>
  <si>
    <t>0:04:30:07</t>
  </si>
  <si>
    <t>0:04:30:08</t>
  </si>
  <si>
    <t>0:04:30:09</t>
  </si>
  <si>
    <t>0:04:30:10</t>
  </si>
  <si>
    <t>0:04:30:11</t>
  </si>
  <si>
    <t>0:04:30:12</t>
  </si>
  <si>
    <t>0:04:30:13</t>
  </si>
  <si>
    <t>0:04:30:14</t>
  </si>
  <si>
    <t>0:04:30:15</t>
  </si>
  <si>
    <t>0:04:30:16</t>
  </si>
  <si>
    <t>0:04:30:17</t>
  </si>
  <si>
    <t>0:04:30:18</t>
  </si>
  <si>
    <t>0:04:30:19</t>
  </si>
  <si>
    <t>0:04:30:20</t>
  </si>
  <si>
    <t>0:04:30:21</t>
  </si>
  <si>
    <t>0:04:30:22</t>
  </si>
  <si>
    <t>0:04:30:23</t>
  </si>
  <si>
    <t>0:04:30:24</t>
  </si>
  <si>
    <t>0:04:31:00</t>
  </si>
  <si>
    <t>0:04:31:01</t>
  </si>
  <si>
    <t>0:04:31:02</t>
  </si>
  <si>
    <t>0:04:31:03</t>
  </si>
  <si>
    <t>0:04:31:04</t>
  </si>
  <si>
    <t>0:04:31:05</t>
  </si>
  <si>
    <t>0:04:31:06</t>
  </si>
  <si>
    <t>0:04:31:07</t>
  </si>
  <si>
    <t>0:04:31:08</t>
  </si>
  <si>
    <t>0:04:31:09</t>
  </si>
  <si>
    <t>0:04:31:10</t>
  </si>
  <si>
    <t>0:04:31:11</t>
  </si>
  <si>
    <t>0:04:31:12</t>
  </si>
  <si>
    <t>0:04:31:13</t>
  </si>
  <si>
    <t>0:04:31:14</t>
  </si>
  <si>
    <t>0:04:31:15</t>
  </si>
  <si>
    <t>0:04:31:16</t>
  </si>
  <si>
    <t>0:04:31:17</t>
  </si>
  <si>
    <t>0:04:31:18</t>
  </si>
  <si>
    <t>0:04:31:19</t>
  </si>
  <si>
    <t>0:04:31:20</t>
  </si>
  <si>
    <t>0:04:31:21</t>
  </si>
  <si>
    <t>0:04:31:22</t>
  </si>
  <si>
    <t>0:04:31:23</t>
  </si>
  <si>
    <t>0:04:31:24</t>
  </si>
  <si>
    <t>0:04:32:00</t>
  </si>
  <si>
    <t>0:04:32:01</t>
  </si>
  <si>
    <t>0:04:32:02</t>
  </si>
  <si>
    <t>0:04:32:03</t>
  </si>
  <si>
    <t>0:04:32:04</t>
  </si>
  <si>
    <t>0:04:32:05</t>
  </si>
  <si>
    <t>0:04:32:06</t>
  </si>
  <si>
    <t>0:04:32:07</t>
  </si>
  <si>
    <t>0:04:32:08</t>
  </si>
  <si>
    <t>0:04:32:09</t>
  </si>
  <si>
    <t>0:04:32:10</t>
  </si>
  <si>
    <t>0:04:32:11</t>
  </si>
  <si>
    <t>0:04:32:12</t>
  </si>
  <si>
    <t>0:04:32:13</t>
  </si>
  <si>
    <t>0:04:32:14</t>
  </si>
  <si>
    <t>0:04:32:15</t>
  </si>
  <si>
    <t>0:04:32:16</t>
  </si>
  <si>
    <t>0:04:32:17</t>
  </si>
  <si>
    <t>0:04:32:18</t>
  </si>
  <si>
    <t>0:04:32:19</t>
  </si>
  <si>
    <t>0:04:32:20</t>
  </si>
  <si>
    <t>0:04:32:21</t>
  </si>
  <si>
    <t>0:04:32:22</t>
  </si>
  <si>
    <t>0:04:32:23</t>
  </si>
  <si>
    <t>0:04:32:24</t>
  </si>
  <si>
    <t>0:04:33:00</t>
  </si>
  <si>
    <t>0:04:33:01</t>
  </si>
  <si>
    <t>0:04:33:02</t>
  </si>
  <si>
    <t>0:04:33:03</t>
  </si>
  <si>
    <t>0:04:33:04</t>
  </si>
  <si>
    <t>0:04:33:05</t>
  </si>
  <si>
    <t>0:04:33:06</t>
  </si>
  <si>
    <t>0:04:33:07</t>
  </si>
  <si>
    <t>0:04:33:08</t>
  </si>
  <si>
    <t>0:04:33:09</t>
  </si>
  <si>
    <t>0:04:33:10</t>
  </si>
  <si>
    <t>0:04:33:11</t>
  </si>
  <si>
    <t>0:04:33:12</t>
  </si>
  <si>
    <t>0:04:33:13</t>
  </si>
  <si>
    <t>0:04:33:14</t>
  </si>
  <si>
    <t>0:04:33:15</t>
  </si>
  <si>
    <t>0:04:33:16</t>
  </si>
  <si>
    <t>0:04:33:17</t>
  </si>
  <si>
    <t>0:04:33:18</t>
  </si>
  <si>
    <t>0:04:33:19</t>
  </si>
  <si>
    <t>0:04:33:20</t>
  </si>
  <si>
    <t>0:04:33:21</t>
  </si>
  <si>
    <t>0:04:33:22</t>
  </si>
  <si>
    <t>0:04:33:23</t>
  </si>
  <si>
    <t>0:04:33:24</t>
  </si>
  <si>
    <t>0:04:34:00</t>
  </si>
  <si>
    <t>0:04:34:01</t>
  </si>
  <si>
    <t>0:04:34:02</t>
  </si>
  <si>
    <t>0:04:34:03</t>
  </si>
  <si>
    <t>0:04:34:04</t>
  </si>
  <si>
    <t>0:04:34:05</t>
  </si>
  <si>
    <t>0:04:34:06</t>
  </si>
  <si>
    <t>0:04:34:07</t>
  </si>
  <si>
    <t>0:04:34:08</t>
  </si>
  <si>
    <t>0:04:34:09</t>
  </si>
  <si>
    <t>0:04:34:10</t>
  </si>
  <si>
    <t>0:04:34:11</t>
  </si>
  <si>
    <t>0:04:34:12</t>
  </si>
  <si>
    <t>0:04:34:13</t>
  </si>
  <si>
    <t>0:04:34:14</t>
  </si>
  <si>
    <t>0:04:34:15</t>
  </si>
  <si>
    <t>0:04:34:16</t>
  </si>
  <si>
    <t>0:04:34:17</t>
  </si>
  <si>
    <t>0:04:34:18</t>
  </si>
  <si>
    <t>0:04:34:19</t>
  </si>
  <si>
    <t>0:04:34:20</t>
  </si>
  <si>
    <t>0:04:34:21</t>
  </si>
  <si>
    <t>0:04:34:22</t>
  </si>
  <si>
    <t>0:04:34:23</t>
  </si>
  <si>
    <t>0:04:34:24</t>
  </si>
  <si>
    <t>0:04:35:00</t>
  </si>
  <si>
    <t>0:04:35:01</t>
  </si>
  <si>
    <t>0:04:35:02</t>
  </si>
  <si>
    <t>0:04:35:03</t>
  </si>
  <si>
    <t>0:04:35:04</t>
  </si>
  <si>
    <t>0:04:35:05</t>
  </si>
  <si>
    <t>0:04:35:06</t>
  </si>
  <si>
    <t>0:04:35:07</t>
  </si>
  <si>
    <t>0:04:35:08</t>
  </si>
  <si>
    <t>0:04:35:09</t>
  </si>
  <si>
    <t>0:04:35:10</t>
  </si>
  <si>
    <t>0:04:35:11</t>
  </si>
  <si>
    <t>0:04:35:12</t>
  </si>
  <si>
    <t>0:04:35:13</t>
  </si>
  <si>
    <t>0:04:35:14</t>
  </si>
  <si>
    <t>0:04:35:15</t>
  </si>
  <si>
    <t>0:04:35:16</t>
  </si>
  <si>
    <t>0:04:35:17</t>
  </si>
  <si>
    <t>0:04:35:18</t>
  </si>
  <si>
    <t>0:04:35:19</t>
  </si>
  <si>
    <t>0:04:35:20</t>
  </si>
  <si>
    <t>0:04:35:21</t>
  </si>
  <si>
    <t>0:04:35:22</t>
  </si>
  <si>
    <t>0:04:35:23</t>
  </si>
  <si>
    <t>0:04:35:24</t>
  </si>
  <si>
    <t>0:04:36:00</t>
  </si>
  <si>
    <t>0:04:36:01</t>
  </si>
  <si>
    <t>0:04:36:02</t>
  </si>
  <si>
    <t>0:04:36:03</t>
  </si>
  <si>
    <t>0:04:36:04</t>
  </si>
  <si>
    <t>0:04:36:05</t>
  </si>
  <si>
    <t>0:04:36:06</t>
  </si>
  <si>
    <t>0:04:36:07</t>
  </si>
  <si>
    <t>0:04:36:08</t>
  </si>
  <si>
    <t>0:04:36:09</t>
  </si>
  <si>
    <t>0:04:36:10</t>
  </si>
  <si>
    <t>0:04:36:11</t>
  </si>
  <si>
    <t>0:04:36:12</t>
  </si>
  <si>
    <t>0:04:36:13</t>
  </si>
  <si>
    <t>0:04:36:14</t>
  </si>
  <si>
    <t>0:04:36:15</t>
  </si>
  <si>
    <t>0:04:36:16</t>
  </si>
  <si>
    <t>0:04:36:17</t>
  </si>
  <si>
    <t>0:04:36:18</t>
  </si>
  <si>
    <t>0:04:36:19</t>
  </si>
  <si>
    <t>0:04:36:20</t>
  </si>
  <si>
    <t>0:04:36:21</t>
  </si>
  <si>
    <t>0:04:36:22</t>
  </si>
  <si>
    <t>0:04:36:23</t>
  </si>
  <si>
    <t>0:04:36:24</t>
  </si>
  <si>
    <t>0:04:37:00</t>
  </si>
  <si>
    <t>0:04:37:01</t>
  </si>
  <si>
    <t>0:04:37:02</t>
  </si>
  <si>
    <t>0:04:37:03</t>
  </si>
  <si>
    <t>0:04:37:04</t>
  </si>
  <si>
    <t>0:04:37:05</t>
  </si>
  <si>
    <t>0:04:37:06</t>
  </si>
  <si>
    <t>0:04:37:07</t>
  </si>
  <si>
    <t>0:04:37:08</t>
  </si>
  <si>
    <t>0:04:37:09</t>
  </si>
  <si>
    <t>0:04:37:10</t>
  </si>
  <si>
    <t>0:04:37:11</t>
  </si>
  <si>
    <t>0:04:37:12</t>
  </si>
  <si>
    <t>0:04:37:13</t>
  </si>
  <si>
    <t>0:04:37:14</t>
  </si>
  <si>
    <t>0:04:37:15</t>
  </si>
  <si>
    <t>0:04:37:16</t>
  </si>
  <si>
    <t>0:04:37:17</t>
  </si>
  <si>
    <t>0:04:37:18</t>
  </si>
  <si>
    <t>0:04:37:19</t>
  </si>
  <si>
    <t>0:04:37:20</t>
  </si>
  <si>
    <t>0:04:37:21</t>
  </si>
  <si>
    <t>0:04:37:22</t>
  </si>
  <si>
    <t>0:04:37:23</t>
  </si>
  <si>
    <t>0:04:37:24</t>
  </si>
  <si>
    <t>0:04:38:00</t>
  </si>
  <si>
    <t>0:04:38:01</t>
  </si>
  <si>
    <t>0:04:38:02</t>
  </si>
  <si>
    <t>0:04:38:03</t>
  </si>
  <si>
    <t>0:04:38:04</t>
  </si>
  <si>
    <t>0:04:38:05</t>
  </si>
  <si>
    <t>0:04:38:06</t>
  </si>
  <si>
    <t>0:04:38:07</t>
  </si>
  <si>
    <t>0:04:38:08</t>
  </si>
  <si>
    <t>0:04:38:09</t>
  </si>
  <si>
    <t>0:04:38:10</t>
  </si>
  <si>
    <t>0:04:38:11</t>
  </si>
  <si>
    <t>0:04:38:12</t>
  </si>
  <si>
    <t>0:04:38:13</t>
  </si>
  <si>
    <t>0:04:38:14</t>
  </si>
  <si>
    <t>0:04:38:15</t>
  </si>
  <si>
    <t>0:04:38:16</t>
  </si>
  <si>
    <t>0:04:38:17</t>
  </si>
  <si>
    <t>0:04:38:18</t>
  </si>
  <si>
    <t>0:04:38:19</t>
  </si>
  <si>
    <t>0:04:38:20</t>
  </si>
  <si>
    <t>0:04:38:21</t>
  </si>
  <si>
    <t>0:04:38:22</t>
  </si>
  <si>
    <t>0:04:38:23</t>
  </si>
  <si>
    <t>0:04:38:24</t>
  </si>
  <si>
    <t>0:04:39:00</t>
  </si>
  <si>
    <t>0:04:39:01</t>
  </si>
  <si>
    <t>0:04:39:02</t>
  </si>
  <si>
    <t>0:04:39:03</t>
  </si>
  <si>
    <t>0:04:39:04</t>
  </si>
  <si>
    <t>0:04:39:05</t>
  </si>
  <si>
    <t>0:04:39:06</t>
  </si>
  <si>
    <t>0:04:39:07</t>
  </si>
  <si>
    <t>0:04:39:08</t>
  </si>
  <si>
    <t>0:04:39:09</t>
  </si>
  <si>
    <t>0:04:39:10</t>
  </si>
  <si>
    <t>0:04:39:11</t>
  </si>
  <si>
    <t>0:04:39:12</t>
  </si>
  <si>
    <t>0:04:39:13</t>
  </si>
  <si>
    <t>0:04:39:14</t>
  </si>
  <si>
    <t>0:04:39:15</t>
  </si>
  <si>
    <t>0:04:39:16</t>
  </si>
  <si>
    <t>0:04:39:17</t>
  </si>
  <si>
    <t>0:04:39:18</t>
  </si>
  <si>
    <t>0:04:39:19</t>
  </si>
  <si>
    <t>0:04:39:20</t>
  </si>
  <si>
    <t>0:04:39:21</t>
  </si>
  <si>
    <t>0:04:39:22</t>
  </si>
  <si>
    <t>0:04:39:23</t>
  </si>
  <si>
    <t>0:04:39:24</t>
  </si>
  <si>
    <t>0:04:40:00</t>
  </si>
  <si>
    <t>0:04:40:01</t>
  </si>
  <si>
    <t>0:04:40:02</t>
  </si>
  <si>
    <t>0:04:40:03</t>
  </si>
  <si>
    <t>0:04:40:04</t>
  </si>
  <si>
    <t>0:04:40:05</t>
  </si>
  <si>
    <t>0:04:40:06</t>
  </si>
  <si>
    <t>0:04:40:07</t>
  </si>
  <si>
    <t>0:04:40:08</t>
  </si>
  <si>
    <t>0:04:40:09</t>
  </si>
  <si>
    <t>0:04:40:10</t>
  </si>
  <si>
    <t>0:04:40:11</t>
  </si>
  <si>
    <t>0:04:40:12</t>
  </si>
  <si>
    <t>0:04:40:13</t>
  </si>
  <si>
    <t>0:04:40:14</t>
  </si>
  <si>
    <t>0:04:40:15</t>
  </si>
  <si>
    <t>0:04:40:16</t>
  </si>
  <si>
    <t>0:04:40:17</t>
  </si>
  <si>
    <t>0:04:40:18</t>
  </si>
  <si>
    <t>0:04:40:19</t>
  </si>
  <si>
    <t>0:04:40:20</t>
  </si>
  <si>
    <t>0:04:40:21</t>
  </si>
  <si>
    <t>0:04:40:22</t>
  </si>
  <si>
    <t>0:04:40:23</t>
  </si>
  <si>
    <t>0:04:40:24</t>
  </si>
  <si>
    <t>0:04:41:00</t>
  </si>
  <si>
    <t>0:04:41:01</t>
  </si>
  <si>
    <t>0:04:41:02</t>
  </si>
  <si>
    <t>0:04:41:03</t>
  </si>
  <si>
    <t>0:04:41:04</t>
  </si>
  <si>
    <t>0:04:41:05</t>
  </si>
  <si>
    <t>0:04:41:06</t>
  </si>
  <si>
    <t>0:04:41:07</t>
  </si>
  <si>
    <t>0:04:41:08</t>
  </si>
  <si>
    <t>0:04:41:09</t>
  </si>
  <si>
    <t>0:04:41:10</t>
  </si>
  <si>
    <t>0:04:41:11</t>
  </si>
  <si>
    <t>0:04:41:12</t>
  </si>
  <si>
    <t>0:04:41:13</t>
  </si>
  <si>
    <t>0:04:41:14</t>
  </si>
  <si>
    <t>0:04:41:15</t>
  </si>
  <si>
    <t>0:04:41:16</t>
  </si>
  <si>
    <t>0:04:41:17</t>
  </si>
  <si>
    <t>0:04:41:18</t>
  </si>
  <si>
    <t>0:04:41:19</t>
  </si>
  <si>
    <t>0:04:41:20</t>
  </si>
  <si>
    <t>0:04:41:21</t>
  </si>
  <si>
    <t>0:04:41:22</t>
  </si>
  <si>
    <t>0:04:41:23</t>
  </si>
  <si>
    <t>0:04:41:24</t>
  </si>
  <si>
    <t>0:04:42:00</t>
  </si>
  <si>
    <t>0:04:42:01</t>
  </si>
  <si>
    <t>0:04:42:02</t>
  </si>
  <si>
    <t>0:04:42:03</t>
  </si>
  <si>
    <t>0:04:42:04</t>
  </si>
  <si>
    <t>0:04:42:05</t>
  </si>
  <si>
    <t>0:04:42:06</t>
  </si>
  <si>
    <t>0:04:42:07</t>
  </si>
  <si>
    <t>0:04:42:08</t>
  </si>
  <si>
    <t>0:04:42:09</t>
  </si>
  <si>
    <t>0:04:42:10</t>
  </si>
  <si>
    <t>0:04:42:11</t>
  </si>
  <si>
    <t>0:04:42:12</t>
  </si>
  <si>
    <t>0:04:42:13</t>
  </si>
  <si>
    <t>0:04:42:14</t>
  </si>
  <si>
    <t>0:04:42:15</t>
  </si>
  <si>
    <t>0:04:42:16</t>
  </si>
  <si>
    <t>0:04:42:17</t>
  </si>
  <si>
    <t>0:04:42:18</t>
  </si>
  <si>
    <t>0:04:42:19</t>
  </si>
  <si>
    <t>0:04:42:20</t>
  </si>
  <si>
    <t>0:04:42:21</t>
  </si>
  <si>
    <t>0:04:42:22</t>
  </si>
  <si>
    <t>0:04:42:23</t>
  </si>
  <si>
    <t>0:04:42:24</t>
  </si>
  <si>
    <t>0:04:43:00</t>
  </si>
  <si>
    <t>0:04:43:01</t>
  </si>
  <si>
    <t>0:04:43:02</t>
  </si>
  <si>
    <t>0:04:43:03</t>
  </si>
  <si>
    <t>0:04:43:04</t>
  </si>
  <si>
    <t>0:04:43:05</t>
  </si>
  <si>
    <t>0:04:43:06</t>
  </si>
  <si>
    <t>0:04:43:07</t>
  </si>
  <si>
    <t>0:04:43:08</t>
  </si>
  <si>
    <t>0:04:43:09</t>
  </si>
  <si>
    <t>0:04:43:10</t>
  </si>
  <si>
    <t>0:04:43:11</t>
  </si>
  <si>
    <t>0:04:43:12</t>
  </si>
  <si>
    <t>0:04:43:13</t>
  </si>
  <si>
    <t>0:04:43:14</t>
  </si>
  <si>
    <t>0:04:43:15</t>
  </si>
  <si>
    <t>0:04:43:16</t>
  </si>
  <si>
    <t>0:04:43:17</t>
  </si>
  <si>
    <t>0:04:43:18</t>
  </si>
  <si>
    <t>0:04:43:19</t>
  </si>
  <si>
    <t>0:04:43:20</t>
  </si>
  <si>
    <t>0:04:43:21</t>
  </si>
  <si>
    <t>0:04:43:22</t>
  </si>
  <si>
    <t>0:04:43:23</t>
  </si>
  <si>
    <t>0:04:43:24</t>
  </si>
  <si>
    <t>0:04:44:00</t>
  </si>
  <si>
    <t>0:04:44:01</t>
  </si>
  <si>
    <t>0:04:44:02</t>
  </si>
  <si>
    <t>0:04:44:03</t>
  </si>
  <si>
    <t>0:04:44:04</t>
  </si>
  <si>
    <t>0:04:44:05</t>
  </si>
  <si>
    <t>0:04:44:06</t>
  </si>
  <si>
    <t>0:04:44:07</t>
  </si>
  <si>
    <t>0:04:44:08</t>
  </si>
  <si>
    <t>0:04:44:09</t>
  </si>
  <si>
    <t>0:04:44:10</t>
  </si>
  <si>
    <t>0:04:44:11</t>
  </si>
  <si>
    <t>0:04:44:12</t>
  </si>
  <si>
    <t>0:04:44:13</t>
  </si>
  <si>
    <t>0:04:44:14</t>
  </si>
  <si>
    <t>0:04:44:15</t>
  </si>
  <si>
    <t>0:04:44:16</t>
  </si>
  <si>
    <t>0:04:44:17</t>
  </si>
  <si>
    <t>0:04:44:18</t>
  </si>
  <si>
    <t>0:04:44:19</t>
  </si>
  <si>
    <t>0:04:44:20</t>
  </si>
  <si>
    <t>0:04:44:21</t>
  </si>
  <si>
    <t>0:04:44:22</t>
  </si>
  <si>
    <t>0:04:44:23</t>
  </si>
  <si>
    <t>0:04:44:24</t>
  </si>
  <si>
    <t>0:04:45:00</t>
  </si>
  <si>
    <t>0:04:45:01</t>
  </si>
  <si>
    <t>0:04:45:02</t>
  </si>
  <si>
    <t>0:04:45:03</t>
  </si>
  <si>
    <t>0:04:45:04</t>
  </si>
  <si>
    <t>0:04:45:05</t>
  </si>
  <si>
    <t>0:04:45:06</t>
  </si>
  <si>
    <t>0:04:45:07</t>
  </si>
  <si>
    <t>0:04:45:08</t>
  </si>
  <si>
    <t>0:04:45:09</t>
  </si>
  <si>
    <t>0:04:45:10</t>
  </si>
  <si>
    <t>0:04:45:11</t>
  </si>
  <si>
    <t>0:04:45:12</t>
  </si>
  <si>
    <t>0:04:45:13</t>
  </si>
  <si>
    <t>0:04:45:14</t>
  </si>
  <si>
    <t>0:04:45:15</t>
  </si>
  <si>
    <t>0:04:45:16</t>
  </si>
  <si>
    <t>0:04:45:17</t>
  </si>
  <si>
    <t>0:04:45:18</t>
  </si>
  <si>
    <t>0:04:45:19</t>
  </si>
  <si>
    <t>0:04:45:20</t>
  </si>
  <si>
    <t>0:04:45:21</t>
  </si>
  <si>
    <t>0:04:45:22</t>
  </si>
  <si>
    <t>0:04:45:23</t>
  </si>
  <si>
    <t>0:04:45:24</t>
  </si>
  <si>
    <t>0:04:46:00</t>
  </si>
  <si>
    <t>0:04:46:01</t>
  </si>
  <si>
    <t>0:04:46:02</t>
  </si>
  <si>
    <t>0:04:46:03</t>
  </si>
  <si>
    <t>0:04:46:04</t>
  </si>
  <si>
    <t>0:04:46:05</t>
  </si>
  <si>
    <t>0:04:46:06</t>
  </si>
  <si>
    <t>0:04:46:07</t>
  </si>
  <si>
    <t>0:04:46:08</t>
  </si>
  <si>
    <t>0:04:46:09</t>
  </si>
  <si>
    <t>0:04:46:10</t>
  </si>
  <si>
    <t>0:04:46:11</t>
  </si>
  <si>
    <t>0:04:46:12</t>
  </si>
  <si>
    <t>0:04:46:13</t>
  </si>
  <si>
    <t>0:04:46:14</t>
  </si>
  <si>
    <t>0:04:46:15</t>
  </si>
  <si>
    <t>0:04:46:16</t>
  </si>
  <si>
    <t>0:04:46:17</t>
  </si>
  <si>
    <t>0:04:46:18</t>
  </si>
  <si>
    <t>0:04:46:19</t>
  </si>
  <si>
    <t>0:04:46:20</t>
  </si>
  <si>
    <t>0:04:46:21</t>
  </si>
  <si>
    <t>0:04:46:22</t>
  </si>
  <si>
    <t>0:04:46:23</t>
  </si>
  <si>
    <t>0:04:46:24</t>
  </si>
  <si>
    <t>0:04:47:00</t>
  </si>
  <si>
    <t>0:04:47:01</t>
  </si>
  <si>
    <t>0:04:47:02</t>
  </si>
  <si>
    <t>0:04:47:03</t>
  </si>
  <si>
    <t>0:04:47:04</t>
  </si>
  <si>
    <t>0:04:47:05</t>
  </si>
  <si>
    <t>0:04:47:06</t>
  </si>
  <si>
    <t>0:04:47:07</t>
  </si>
  <si>
    <t>0:04:47:08</t>
  </si>
  <si>
    <t>0:04:47:09</t>
  </si>
  <si>
    <t>0:04:47:10</t>
  </si>
  <si>
    <t>0:04:47:11</t>
  </si>
  <si>
    <t>0:04:47:12</t>
  </si>
  <si>
    <t>0:04:47:13</t>
  </si>
  <si>
    <t>0:04:47:14</t>
  </si>
  <si>
    <t>0:04:47:15</t>
  </si>
  <si>
    <t>0:04:47:16</t>
  </si>
  <si>
    <t>0:04:47:17</t>
  </si>
  <si>
    <t>0:04:47:18</t>
  </si>
  <si>
    <t>0:04:47:19</t>
  </si>
  <si>
    <t>0:04:47:20</t>
  </si>
  <si>
    <t>0:04:47:21</t>
  </si>
  <si>
    <t>0:04:47:22</t>
  </si>
  <si>
    <t>0:04:47:23</t>
  </si>
  <si>
    <t>0:04:47:24</t>
  </si>
  <si>
    <t>0:04:48:00</t>
  </si>
  <si>
    <t>0:04:48:01</t>
  </si>
  <si>
    <t>0:04:48:02</t>
  </si>
  <si>
    <t>0:04:48:03</t>
  </si>
  <si>
    <t>0:04:48:04</t>
  </si>
  <si>
    <t>0:04:48:05</t>
  </si>
  <si>
    <t>0:04:48:06</t>
  </si>
  <si>
    <t>0:04:48:07</t>
  </si>
  <si>
    <t>0:04:48:08</t>
  </si>
  <si>
    <t>0:04:48:09</t>
  </si>
  <si>
    <t>0:04:48:10</t>
  </si>
  <si>
    <t>0:04:48:11</t>
  </si>
  <si>
    <t>0:04:48:12</t>
  </si>
  <si>
    <t>0:04:48:13</t>
  </si>
  <si>
    <t>0:04:48:14</t>
  </si>
  <si>
    <t>0:04:48:15</t>
  </si>
  <si>
    <t>0:04:48:16</t>
  </si>
  <si>
    <t>0:04:48:17</t>
  </si>
  <si>
    <t>0:04:48:18</t>
  </si>
  <si>
    <t>0:04:48:19</t>
  </si>
  <si>
    <t>0:04:48:20</t>
  </si>
  <si>
    <t>0:04:48:21</t>
  </si>
  <si>
    <t>0:04:48:22</t>
  </si>
  <si>
    <t>0:04:48:23</t>
  </si>
  <si>
    <t>0:04:48:24</t>
  </si>
  <si>
    <t>0:04:49:00</t>
  </si>
  <si>
    <t>0:04:49:01</t>
  </si>
  <si>
    <t>0:04:49:02</t>
  </si>
  <si>
    <t>0:04:49:03</t>
  </si>
  <si>
    <t>0:04:49:04</t>
  </si>
  <si>
    <t>0:04:49:05</t>
  </si>
  <si>
    <t>0:04:49:06</t>
  </si>
  <si>
    <t>0:04:49:07</t>
  </si>
  <si>
    <t>0:04:49:08</t>
  </si>
  <si>
    <t>0:04:49:09</t>
  </si>
  <si>
    <t>0:04:49:10</t>
  </si>
  <si>
    <t>0:04:49:11</t>
  </si>
  <si>
    <t>0:04:49:12</t>
  </si>
  <si>
    <t>0:04:49:13</t>
  </si>
  <si>
    <t>0:04:49:14</t>
  </si>
  <si>
    <t>0:04:49:15</t>
  </si>
  <si>
    <t>0:04:49:16</t>
  </si>
  <si>
    <t>0:04:49:17</t>
  </si>
  <si>
    <t>0:04:49:18</t>
  </si>
  <si>
    <t>0:04:49:19</t>
  </si>
  <si>
    <t>0:04:49:20</t>
  </si>
  <si>
    <t>0:04:49:21</t>
  </si>
  <si>
    <t>0:04:49:22</t>
  </si>
  <si>
    <t>0:04:49:23</t>
  </si>
  <si>
    <t>0:04:49:24</t>
  </si>
  <si>
    <t>0:04:50:00</t>
  </si>
  <si>
    <t>0:04:50:01</t>
  </si>
  <si>
    <t>0:04:50:02</t>
  </si>
  <si>
    <t>0:04:50:03</t>
  </si>
  <si>
    <t>0:04:50:04</t>
  </si>
  <si>
    <t>0:04:50:05</t>
  </si>
  <si>
    <t>0:04:50:06</t>
  </si>
  <si>
    <t>0:04:50:07</t>
  </si>
  <si>
    <t>0:04:50:08</t>
  </si>
  <si>
    <t>0:04:50:09</t>
  </si>
  <si>
    <t>0:04:50:10</t>
  </si>
  <si>
    <t>0:04:50:11</t>
  </si>
  <si>
    <t>0:04:50:12</t>
  </si>
  <si>
    <t>0:04:50:13</t>
  </si>
  <si>
    <t>0:04:50:14</t>
  </si>
  <si>
    <t>0:04:50:15</t>
  </si>
  <si>
    <t>0:04:50:16</t>
  </si>
  <si>
    <t>0:04:50:17</t>
  </si>
  <si>
    <t>0:04:50:18</t>
  </si>
  <si>
    <t>0:04:50:19</t>
  </si>
  <si>
    <t>0:04:50:20</t>
  </si>
  <si>
    <t>0:04:50:21</t>
  </si>
  <si>
    <t>0:04:50:22</t>
  </si>
  <si>
    <t>0:04:50:23</t>
  </si>
  <si>
    <t>0:04:50:24</t>
  </si>
  <si>
    <t>0:04:51:00</t>
  </si>
  <si>
    <t>0:04:51:01</t>
  </si>
  <si>
    <t>0:04:51:02</t>
  </si>
  <si>
    <t>0:04:51:03</t>
  </si>
  <si>
    <t>0:04:51:04</t>
  </si>
  <si>
    <t>0:04:51:05</t>
  </si>
  <si>
    <t>0:04:51:06</t>
  </si>
  <si>
    <t>0:04:51:07</t>
  </si>
  <si>
    <t>0:04:51:08</t>
  </si>
  <si>
    <t>0:04:51:09</t>
  </si>
  <si>
    <t>0:04:51:10</t>
  </si>
  <si>
    <t>0:04:51:11</t>
  </si>
  <si>
    <t>0:04:51:12</t>
  </si>
  <si>
    <t>0:04:51:13</t>
  </si>
  <si>
    <t>0:04:51:14</t>
  </si>
  <si>
    <t>0:04:51:15</t>
  </si>
  <si>
    <t>0:04:51:16</t>
  </si>
  <si>
    <t>0:04:51:17</t>
  </si>
  <si>
    <t>0:04:51:18</t>
  </si>
  <si>
    <t>0:04:51:19</t>
  </si>
  <si>
    <t>0:04:51:20</t>
  </si>
  <si>
    <t>0:04:51:21</t>
  </si>
  <si>
    <t>0:04:51:22</t>
  </si>
  <si>
    <t>0:04:51:23</t>
  </si>
  <si>
    <t>0:04:51:24</t>
  </si>
  <si>
    <t>0:04:52:00</t>
  </si>
  <si>
    <t>0:04:52:01</t>
  </si>
  <si>
    <t>0:04:52:02</t>
  </si>
  <si>
    <t>0:04:52:03</t>
  </si>
  <si>
    <t>0:04:52:04</t>
  </si>
  <si>
    <t>0:04:52:05</t>
  </si>
  <si>
    <t>0:04:52:06</t>
  </si>
  <si>
    <t>0:04:52:07</t>
  </si>
  <si>
    <t>0:04:52:08</t>
  </si>
  <si>
    <t>0:04:52:09</t>
  </si>
  <si>
    <t>0:04:52:10</t>
  </si>
  <si>
    <t>0:04:52:11</t>
  </si>
  <si>
    <t>0:04:52:12</t>
  </si>
  <si>
    <t>0:04:52:13</t>
  </si>
  <si>
    <t>0:04:52:14</t>
  </si>
  <si>
    <t>0:04:52:15</t>
  </si>
  <si>
    <t>0:04:52:16</t>
  </si>
  <si>
    <t>0:04:52:17</t>
  </si>
  <si>
    <t>0:04:52:18</t>
  </si>
  <si>
    <t>0:04:52:19</t>
  </si>
  <si>
    <t>0:04:52:20</t>
  </si>
  <si>
    <t>0:04:52:21</t>
  </si>
  <si>
    <t>0:04:52:22</t>
  </si>
  <si>
    <t>0:04:52:23</t>
  </si>
  <si>
    <t>0:04:52:24</t>
  </si>
  <si>
    <t>0:04:53:00</t>
  </si>
  <si>
    <t>0:04:53:01</t>
  </si>
  <si>
    <t>0:04:53:02</t>
  </si>
  <si>
    <t>0:04:53:03</t>
  </si>
  <si>
    <t>0:04:53:04</t>
  </si>
  <si>
    <t>0:04:53:05</t>
  </si>
  <si>
    <t>0:04:53:06</t>
  </si>
  <si>
    <t>0:04:53:07</t>
  </si>
  <si>
    <t>0:04:53:08</t>
  </si>
  <si>
    <t>0:04:53:09</t>
  </si>
  <si>
    <t>0:04:53:10</t>
  </si>
  <si>
    <t>0:04:53:11</t>
  </si>
  <si>
    <t>0:04:53:12</t>
  </si>
  <si>
    <t>0:04:53:13</t>
  </si>
  <si>
    <t>0:04:53:14</t>
  </si>
  <si>
    <t>0:04:53:15</t>
  </si>
  <si>
    <t>0:04:53:16</t>
  </si>
  <si>
    <t>0:04:53:17</t>
  </si>
  <si>
    <t>0:04:53:18</t>
  </si>
  <si>
    <t>0:04:53:19</t>
  </si>
  <si>
    <t>0:04:53:20</t>
  </si>
  <si>
    <t>0:04:53:21</t>
  </si>
  <si>
    <t>0:04:53:22</t>
  </si>
  <si>
    <t>0:04:53:23</t>
  </si>
  <si>
    <t>0:04:53:24</t>
  </si>
  <si>
    <t>0:04:54:00</t>
  </si>
  <si>
    <t>0:04:54:01</t>
  </si>
  <si>
    <t>0:04:54:02</t>
  </si>
  <si>
    <t>0:04:54:03</t>
  </si>
  <si>
    <t>0:04:54:04</t>
  </si>
  <si>
    <t>0:04:54:05</t>
  </si>
  <si>
    <t>0:04:54:06</t>
  </si>
  <si>
    <t>0:04:54:07</t>
  </si>
  <si>
    <t>0:04:54:08</t>
  </si>
  <si>
    <t>0:04:54:09</t>
  </si>
  <si>
    <t>0:04:54:10</t>
  </si>
  <si>
    <t>0:04:54:11</t>
  </si>
  <si>
    <t>0:04:54:12</t>
  </si>
  <si>
    <t>0:04:54:13</t>
  </si>
  <si>
    <t>0:04:54:14</t>
  </si>
  <si>
    <t>0:04:54:15</t>
  </si>
  <si>
    <t>0:04:54:16</t>
  </si>
  <si>
    <t>0:04:54:17</t>
  </si>
  <si>
    <t>0:04:54:18</t>
  </si>
  <si>
    <t>0:04:54:19</t>
  </si>
  <si>
    <t>0:04:54:20</t>
  </si>
  <si>
    <t>0:04:54:21</t>
  </si>
  <si>
    <t>0:04:54:22</t>
  </si>
  <si>
    <t>0:04:54:23</t>
  </si>
  <si>
    <t>0:04:54:24</t>
  </si>
  <si>
    <t>0:04:55:00</t>
  </si>
  <si>
    <t>0:04:55:01</t>
  </si>
  <si>
    <t>0:04:55:02</t>
  </si>
  <si>
    <t>0:04:55:03</t>
  </si>
  <si>
    <t>0:04:55:04</t>
  </si>
  <si>
    <t>0:04:55:05</t>
  </si>
  <si>
    <t>0:04:55:06</t>
  </si>
  <si>
    <t>0:04:55:07</t>
  </si>
  <si>
    <t>0:04:55:08</t>
  </si>
  <si>
    <t>0:04:55:09</t>
  </si>
  <si>
    <t>0:04:55:10</t>
  </si>
  <si>
    <t>0:04:55:11</t>
  </si>
  <si>
    <t>0:04:55:12</t>
  </si>
  <si>
    <t>0:04:55:13</t>
  </si>
  <si>
    <t>0:04:55:14</t>
  </si>
  <si>
    <t>0:04:55:15</t>
  </si>
  <si>
    <t>0:04:55:16</t>
  </si>
  <si>
    <t>0:04:55:17</t>
  </si>
  <si>
    <t>0:04:55:18</t>
  </si>
  <si>
    <t>0:04:55:19</t>
  </si>
  <si>
    <t>0:04:55:20</t>
  </si>
  <si>
    <t>0:04:55:21</t>
  </si>
  <si>
    <t>0:04:55:22</t>
  </si>
  <si>
    <t>0:04:55:23</t>
  </si>
  <si>
    <t>0:04:55:24</t>
  </si>
  <si>
    <t>0:04:56:00</t>
  </si>
  <si>
    <t>0:04:56:01</t>
  </si>
  <si>
    <t>0:04:56:02</t>
  </si>
  <si>
    <t>0:04:56:03</t>
  </si>
  <si>
    <t>0:04:56:04</t>
  </si>
  <si>
    <t>0:04:56:05</t>
  </si>
  <si>
    <t>0:04:56:06</t>
  </si>
  <si>
    <t>0:04:56:07</t>
  </si>
  <si>
    <t>0:04:56:08</t>
  </si>
  <si>
    <t>0:04:56:09</t>
  </si>
  <si>
    <t>0:04:56:10</t>
  </si>
  <si>
    <t>0:04:56:11</t>
  </si>
  <si>
    <t>0:04:56:12</t>
  </si>
  <si>
    <t>0:04:56:13</t>
  </si>
  <si>
    <t>0:04:56:14</t>
  </si>
  <si>
    <t>0:04:56:15</t>
  </si>
  <si>
    <t>0:04:56:16</t>
  </si>
  <si>
    <t>0:04:56:17</t>
  </si>
  <si>
    <t>0:04:56:18</t>
  </si>
  <si>
    <t>0:04:56:19</t>
  </si>
  <si>
    <t>0:04:56:20</t>
  </si>
  <si>
    <t>0:04:56:21</t>
  </si>
  <si>
    <t>0:04:56:22</t>
  </si>
  <si>
    <t>0:04:56:23</t>
  </si>
  <si>
    <t>0:04:56:24</t>
  </si>
  <si>
    <t>0:04:57:00</t>
  </si>
  <si>
    <t>0:04:57:01</t>
  </si>
  <si>
    <t>0:04:57:02</t>
  </si>
  <si>
    <t>0:04:57:03</t>
  </si>
  <si>
    <t>0:04:57:04</t>
  </si>
  <si>
    <t>0:04:57:05</t>
  </si>
  <si>
    <t>0:04:57:06</t>
  </si>
  <si>
    <t>0:04:57:07</t>
  </si>
  <si>
    <t>0:04:57:08</t>
  </si>
  <si>
    <t>0:04:57:09</t>
  </si>
  <si>
    <t>0:04:57:10</t>
  </si>
  <si>
    <t>0:04:57:11</t>
  </si>
  <si>
    <t>0:04:57:12</t>
  </si>
  <si>
    <t>0:04:57:13</t>
  </si>
  <si>
    <t>0:04:57:14</t>
  </si>
  <si>
    <t>0:04:57:15</t>
  </si>
  <si>
    <t>0:04:57:16</t>
  </si>
  <si>
    <t>0:04:57:17</t>
  </si>
  <si>
    <t>0:04:57:18</t>
  </si>
  <si>
    <t>0:04:57:19</t>
  </si>
  <si>
    <t>0:04:57:20</t>
  </si>
  <si>
    <t>0:04:57:21</t>
  </si>
  <si>
    <t>0:04:57:22</t>
  </si>
  <si>
    <t>0:04:57:23</t>
  </si>
  <si>
    <t>0:04:57:24</t>
  </si>
  <si>
    <t>0:04:58:00</t>
  </si>
  <si>
    <t>0:04:58:01</t>
  </si>
  <si>
    <t>0:04:58:02</t>
  </si>
  <si>
    <t>0:04:58:03</t>
  </si>
  <si>
    <t>0:04:58:04</t>
  </si>
  <si>
    <t>0:04:58:05</t>
  </si>
  <si>
    <t>0:04:58:06</t>
  </si>
  <si>
    <t>0:04:58:07</t>
  </si>
  <si>
    <t>0:04:58:08</t>
  </si>
  <si>
    <t>0:04:58:09</t>
  </si>
  <si>
    <t>0:04:58:10</t>
  </si>
  <si>
    <t>0:04:58:11</t>
  </si>
  <si>
    <t>0:04:58:12</t>
  </si>
  <si>
    <t>0:04:58:13</t>
  </si>
  <si>
    <t>0:04:58:14</t>
  </si>
  <si>
    <t>0:04:58:15</t>
  </si>
  <si>
    <t>0:04:58:16</t>
  </si>
  <si>
    <t>0:04:58:17</t>
  </si>
  <si>
    <t>0:04:58:18</t>
  </si>
  <si>
    <t>0:04:58:19</t>
  </si>
  <si>
    <t>0:04:58:20</t>
  </si>
  <si>
    <t>0:04:58:21</t>
  </si>
  <si>
    <t>0:04:58:22</t>
  </si>
  <si>
    <t>0:04:58:23</t>
  </si>
  <si>
    <t>0:04:58:24</t>
  </si>
  <si>
    <t>0:04:59:00</t>
  </si>
  <si>
    <t>0:04:59:01</t>
  </si>
  <si>
    <t>0:04:59:02</t>
  </si>
  <si>
    <t>0:04:59:03</t>
  </si>
  <si>
    <t>0:04:59:04</t>
  </si>
  <si>
    <t>0:04:59:05</t>
  </si>
  <si>
    <t>0:04:59:06</t>
  </si>
  <si>
    <t>0:04:59:07</t>
  </si>
  <si>
    <t>0:04:59:08</t>
  </si>
  <si>
    <t>0:04:59:09</t>
  </si>
  <si>
    <t>0:04:59:10</t>
  </si>
  <si>
    <t>0:04:59:11</t>
  </si>
  <si>
    <t>0:04:59:12</t>
  </si>
  <si>
    <t>0:04:59:13</t>
  </si>
  <si>
    <t>0:04:59:14</t>
  </si>
  <si>
    <t>0:04:59:15</t>
  </si>
  <si>
    <t>0:04:59:16</t>
  </si>
  <si>
    <t>0:04:59:17</t>
  </si>
  <si>
    <t>0:04:59:18</t>
  </si>
  <si>
    <t>0:04:59:19</t>
  </si>
  <si>
    <t>0:04:59:20</t>
  </si>
  <si>
    <t>0:04:59:21</t>
  </si>
  <si>
    <t>0:04:59:22</t>
  </si>
  <si>
    <t>0:04:59:23</t>
  </si>
  <si>
    <t>0:04:59:24</t>
  </si>
  <si>
    <t>0:05:00:00</t>
  </si>
  <si>
    <t>0:05:00:01</t>
  </si>
  <si>
    <t>0:05:00:02</t>
  </si>
  <si>
    <t>0:05:00:03</t>
  </si>
  <si>
    <t>0:05:00:04</t>
  </si>
  <si>
    <t>0:05:00:05</t>
  </si>
  <si>
    <t>0:05:00:06</t>
  </si>
  <si>
    <t>0:05:00:07</t>
  </si>
  <si>
    <t>0:05:00:08</t>
  </si>
  <si>
    <t>0:05:00:09</t>
  </si>
  <si>
    <t>0:05:00:10</t>
  </si>
  <si>
    <t>0:05:00:11</t>
  </si>
  <si>
    <t>0:05:00:12</t>
  </si>
  <si>
    <t>0:05:00:13</t>
  </si>
  <si>
    <t>0:05:00:14</t>
  </si>
  <si>
    <t>0:05:00:15</t>
  </si>
  <si>
    <t>0:05:00:16</t>
  </si>
  <si>
    <t>0:05:00:17</t>
  </si>
  <si>
    <t>0:05:00:18</t>
  </si>
  <si>
    <t>0:05:00:19</t>
  </si>
  <si>
    <t>0:05:00:20</t>
  </si>
  <si>
    <t>0:05:00:21</t>
  </si>
  <si>
    <t>0:05:00:22</t>
  </si>
  <si>
    <t>0:05:00:23</t>
  </si>
  <si>
    <t>0:05:00:24</t>
  </si>
  <si>
    <t>0:05:01:00</t>
  </si>
  <si>
    <t>0:05:01:01</t>
  </si>
  <si>
    <t>0:05:01:02</t>
  </si>
  <si>
    <t>0:05:01:03</t>
  </si>
  <si>
    <t>0:05:01:04</t>
  </si>
  <si>
    <t>0:05:01:05</t>
  </si>
  <si>
    <t>0:05:01:06</t>
  </si>
  <si>
    <t>0:05:01:07</t>
  </si>
  <si>
    <t>0:05:01:08</t>
  </si>
  <si>
    <t>0:05:01:09</t>
  </si>
  <si>
    <t>0:05:01:10</t>
  </si>
  <si>
    <t>0:05:01:11</t>
  </si>
  <si>
    <t>0:05:01:12</t>
  </si>
  <si>
    <t>0:05:01:13</t>
  </si>
  <si>
    <t>0:05:01:14</t>
  </si>
  <si>
    <t>0:05:01:15</t>
  </si>
  <si>
    <t>0:05:01:16</t>
  </si>
  <si>
    <t>0:05:01:17</t>
  </si>
  <si>
    <t>0:05:01:18</t>
  </si>
  <si>
    <t>0:05:01:19</t>
  </si>
  <si>
    <t>0:05:01:20</t>
  </si>
  <si>
    <t>0:05:01:21</t>
  </si>
  <si>
    <t>0:05:01:22</t>
  </si>
  <si>
    <t>0:05:01:23</t>
  </si>
  <si>
    <t>0:05:01:24</t>
  </si>
  <si>
    <t>0:05:02:00</t>
  </si>
  <si>
    <t>0:05:02:01</t>
  </si>
  <si>
    <t>0:05:02:02</t>
  </si>
  <si>
    <t>0:05:02:03</t>
  </si>
  <si>
    <t>0:05:02:04</t>
  </si>
  <si>
    <t>0:05:02:05</t>
  </si>
  <si>
    <t>0:05:02:06</t>
  </si>
  <si>
    <t>0:05:02:07</t>
  </si>
  <si>
    <t>0:05:02:08</t>
  </si>
  <si>
    <t>0:05:02:09</t>
  </si>
  <si>
    <t>0:05:02:10</t>
  </si>
  <si>
    <t>0:05:02:11</t>
  </si>
  <si>
    <t>0:05:02:12</t>
  </si>
  <si>
    <t>0:05:02:13</t>
  </si>
  <si>
    <t>0:05:02:14</t>
  </si>
  <si>
    <t>0:05:02:15</t>
  </si>
  <si>
    <t>0:05:02:16</t>
  </si>
  <si>
    <t>0:05:02:17</t>
  </si>
  <si>
    <t>0:05:02:18</t>
  </si>
  <si>
    <t>0:05:02:19</t>
  </si>
  <si>
    <t>0:05:02:20</t>
  </si>
  <si>
    <t>0:05:02:21</t>
  </si>
  <si>
    <t>0:05:02:22</t>
  </si>
  <si>
    <t>0:05:02:23</t>
  </si>
  <si>
    <t>0:05:02:24</t>
  </si>
  <si>
    <t>0:05:03:00</t>
  </si>
  <si>
    <t>0:05:03:01</t>
  </si>
  <si>
    <t>0:05:03:02</t>
  </si>
  <si>
    <t>0:05:03:03</t>
  </si>
  <si>
    <t>0:05:03:04</t>
  </si>
  <si>
    <t>0:05:03:05</t>
  </si>
  <si>
    <t>0:05:03:06</t>
  </si>
  <si>
    <t>0:05:03:07</t>
  </si>
  <si>
    <t>0:05:03:08</t>
  </si>
  <si>
    <t>0:05:03:09</t>
  </si>
  <si>
    <t>0:05:03:10</t>
  </si>
  <si>
    <t>0:05:03:11</t>
  </si>
  <si>
    <t>0:05:03:12</t>
  </si>
  <si>
    <t>0:05:03:13</t>
  </si>
  <si>
    <t>0:05:03:14</t>
  </si>
  <si>
    <t>0:05:03:15</t>
  </si>
  <si>
    <t>0:05:03:16</t>
  </si>
  <si>
    <t>0:05:03:17</t>
  </si>
  <si>
    <t>0:05:03:18</t>
  </si>
  <si>
    <t>0:05:03:19</t>
  </si>
  <si>
    <t>0:05:03:20</t>
  </si>
  <si>
    <t>0:05:03:21</t>
  </si>
  <si>
    <t>0:05:03:22</t>
  </si>
  <si>
    <t>0:05:03:23</t>
  </si>
  <si>
    <t>0:05:03:24</t>
  </si>
  <si>
    <t>0:05:04:00</t>
  </si>
  <si>
    <t>0:05:04:01</t>
  </si>
  <si>
    <t>0:05:04:02</t>
  </si>
  <si>
    <t>0:05:04:03</t>
  </si>
  <si>
    <t>0:05:04:04</t>
  </si>
  <si>
    <t>0:05:04:05</t>
  </si>
  <si>
    <t>0:05:04:06</t>
  </si>
  <si>
    <t>0:05:04:07</t>
  </si>
  <si>
    <t>0:05:04:08</t>
  </si>
  <si>
    <t>0:05:04:09</t>
  </si>
  <si>
    <t>0:05:04:10</t>
  </si>
  <si>
    <t>0:05:04:11</t>
  </si>
  <si>
    <t>0:05:04:12</t>
  </si>
  <si>
    <t>0:05:04:13</t>
  </si>
  <si>
    <t>0:05:04:14</t>
  </si>
  <si>
    <t>0:05:04:15</t>
  </si>
  <si>
    <t>0:05:04:16</t>
  </si>
  <si>
    <t>0:05:04:17</t>
  </si>
  <si>
    <t>0:05:04:18</t>
  </si>
  <si>
    <t>0:05:04:19</t>
  </si>
  <si>
    <t>0:05:04:20</t>
  </si>
  <si>
    <t>0:05:04:21</t>
  </si>
  <si>
    <t>0:05:04:22</t>
  </si>
  <si>
    <t>0:05:04:23</t>
  </si>
  <si>
    <t>0:05:04:24</t>
  </si>
  <si>
    <t>0:05:05:00</t>
  </si>
  <si>
    <t>0:05:05:01</t>
  </si>
  <si>
    <t>0:05:05:02</t>
  </si>
  <si>
    <t>0:05:05:03</t>
  </si>
  <si>
    <t>0:05:05:04</t>
  </si>
  <si>
    <t>0:05:05:05</t>
  </si>
  <si>
    <t>0:05:05:06</t>
  </si>
  <si>
    <t>0:05:05:07</t>
  </si>
  <si>
    <t>0:05:05:08</t>
  </si>
  <si>
    <t>0:05:05:09</t>
  </si>
  <si>
    <t>0:05:05:10</t>
  </si>
  <si>
    <t>0:05:05:11</t>
  </si>
  <si>
    <t>0:05:05:12</t>
  </si>
  <si>
    <t>0:05:05:13</t>
  </si>
  <si>
    <t>0:05:05:14</t>
  </si>
  <si>
    <t>0:05:05:15</t>
  </si>
  <si>
    <t>0:05:05:16</t>
  </si>
  <si>
    <t>0:05:05:17</t>
  </si>
  <si>
    <t>0:05:05:18</t>
  </si>
  <si>
    <t>0:05:05:19</t>
  </si>
  <si>
    <t>0:05:05:20</t>
  </si>
  <si>
    <t>0:05:05:21</t>
  </si>
  <si>
    <t>0:05:05:22</t>
  </si>
  <si>
    <t>0:05:05:23</t>
  </si>
  <si>
    <t>0:05:05:24</t>
  </si>
  <si>
    <t>0:05:06:00</t>
  </si>
  <si>
    <t>0:05:06:01</t>
  </si>
  <si>
    <t>0:05:06:02</t>
  </si>
  <si>
    <t>0:05:06:03</t>
  </si>
  <si>
    <t>0:05:06:04</t>
  </si>
  <si>
    <t>0:05:06:05</t>
  </si>
  <si>
    <t>0:05:06:06</t>
  </si>
  <si>
    <t>0:05:06:07</t>
  </si>
  <si>
    <t>0:05:06:08</t>
  </si>
  <si>
    <t>0:05:06:09</t>
  </si>
  <si>
    <t>0:05:06:10</t>
  </si>
  <si>
    <t>0:05:06:11</t>
  </si>
  <si>
    <t>0:05:06:12</t>
  </si>
  <si>
    <t>0:05:06:13</t>
  </si>
  <si>
    <t>0:05:06:14</t>
  </si>
  <si>
    <t>0:05:06:15</t>
  </si>
  <si>
    <t>0:05:06:16</t>
  </si>
  <si>
    <t>0:05:06:17</t>
  </si>
  <si>
    <t>0:05:06:18</t>
  </si>
  <si>
    <t>0:05:06:19</t>
  </si>
  <si>
    <t>0:05:06:20</t>
  </si>
  <si>
    <t>0:05:06:21</t>
  </si>
  <si>
    <t>0:05:06:22</t>
  </si>
  <si>
    <t>0:05:06:23</t>
  </si>
  <si>
    <t>0:05:06:24</t>
  </si>
  <si>
    <t>0:05:07:00</t>
  </si>
  <si>
    <t>0:05:07:01</t>
  </si>
  <si>
    <t>0:05:07:02</t>
  </si>
  <si>
    <t>0:05:07:03</t>
  </si>
  <si>
    <t>0:05:07:04</t>
  </si>
  <si>
    <t>0:05:07:05</t>
  </si>
  <si>
    <t>0:05:07:06</t>
  </si>
  <si>
    <t>0:05:07:07</t>
  </si>
  <si>
    <t>0:05:07:08</t>
  </si>
  <si>
    <t>0:05:07:09</t>
  </si>
  <si>
    <t>0:05:07:10</t>
  </si>
  <si>
    <t>0:05:07:11</t>
  </si>
  <si>
    <t>0:05:07:12</t>
  </si>
  <si>
    <t>0:05:07:13</t>
  </si>
  <si>
    <t>0:05:07:14</t>
  </si>
  <si>
    <t>0:05:07:15</t>
  </si>
  <si>
    <t>0:05:07:16</t>
  </si>
  <si>
    <t>0:05:07:17</t>
  </si>
  <si>
    <t>0:05:07:18</t>
  </si>
  <si>
    <t>0:05:07:19</t>
  </si>
  <si>
    <t>0:05:07:20</t>
  </si>
  <si>
    <t>0:05:07:21</t>
  </si>
  <si>
    <t>0:05:07:22</t>
  </si>
  <si>
    <t>0:05:07:23</t>
  </si>
  <si>
    <t>0:05:07:24</t>
  </si>
  <si>
    <t>0:05:08:00</t>
  </si>
  <si>
    <t>0:05:08:01</t>
  </si>
  <si>
    <t>0:05:08:02</t>
  </si>
  <si>
    <t>0:05:08:03</t>
  </si>
  <si>
    <t>0:05:08:04</t>
  </si>
  <si>
    <t>0:05:08:05</t>
  </si>
  <si>
    <t>0:05:08:06</t>
  </si>
  <si>
    <t>0:05:08:07</t>
  </si>
  <si>
    <t>0:05:08:08</t>
  </si>
  <si>
    <t>0:05:08:09</t>
  </si>
  <si>
    <t>0:05:08:10</t>
  </si>
  <si>
    <t>0:05:08:11</t>
  </si>
  <si>
    <t>0:05:08:12</t>
  </si>
  <si>
    <t>0:05:08:13</t>
  </si>
  <si>
    <t>0:05:08:14</t>
  </si>
  <si>
    <t>0:05:08:15</t>
  </si>
  <si>
    <t>0:05:08:16</t>
  </si>
  <si>
    <t>0:05:08:17</t>
  </si>
  <si>
    <t>0:05:08:18</t>
  </si>
  <si>
    <t>0:05:08:19</t>
  </si>
  <si>
    <t>0:05:08:20</t>
  </si>
  <si>
    <t>0:05:08:21</t>
  </si>
  <si>
    <t>0:05:08:22</t>
  </si>
  <si>
    <t>0:05:08:23</t>
  </si>
  <si>
    <t>0:05:08:24</t>
  </si>
  <si>
    <t>0:05:09:00</t>
  </si>
  <si>
    <t>0:05:09:01</t>
  </si>
  <si>
    <t>0:05:09:02</t>
  </si>
  <si>
    <t>0:05:09:03</t>
  </si>
  <si>
    <t>0:05:09:04</t>
  </si>
  <si>
    <t>0:05:09:05</t>
  </si>
  <si>
    <t>0:05:09:06</t>
  </si>
  <si>
    <t>0:05:09:07</t>
  </si>
  <si>
    <t>0:05:09:08</t>
  </si>
  <si>
    <t>0:05:09:09</t>
  </si>
  <si>
    <t>0:05:09:10</t>
  </si>
  <si>
    <t>0:05:09:11</t>
  </si>
  <si>
    <t>0:05:09:12</t>
  </si>
  <si>
    <t>0:05:09:13</t>
  </si>
  <si>
    <t>0:05:09:14</t>
  </si>
  <si>
    <t>0:05:09:15</t>
  </si>
  <si>
    <t>0:05:09:16</t>
  </si>
  <si>
    <t>0:05:09:17</t>
  </si>
  <si>
    <t>0:05:09:18</t>
  </si>
  <si>
    <t>0:05:09:19</t>
  </si>
  <si>
    <t>0:05:09:20</t>
  </si>
  <si>
    <t>0:05:09:21</t>
  </si>
  <si>
    <t>0:05:09:22</t>
  </si>
  <si>
    <t>0:05:09:23</t>
  </si>
  <si>
    <t>0:05:09:24</t>
  </si>
  <si>
    <t>0:05:10:00</t>
  </si>
  <si>
    <t>0:05:10:01</t>
  </si>
  <si>
    <t>0:05:10:02</t>
  </si>
  <si>
    <t>0:05:10:03</t>
  </si>
  <si>
    <t>0:05:10:04</t>
  </si>
  <si>
    <t>0:05:10:05</t>
  </si>
  <si>
    <t>0:05:10:06</t>
  </si>
  <si>
    <t>0:05:10:07</t>
  </si>
  <si>
    <t>0:05:10:08</t>
  </si>
  <si>
    <t>0:05:10:09</t>
  </si>
  <si>
    <t>0:05:10:10</t>
  </si>
  <si>
    <t>0:05:10:11</t>
  </si>
  <si>
    <t>0:05:10:12</t>
  </si>
  <si>
    <t>0:05:10:13</t>
  </si>
  <si>
    <t>0:05:10:14</t>
  </si>
  <si>
    <t>0:05:10:15</t>
  </si>
  <si>
    <t>0:05:10:16</t>
  </si>
  <si>
    <t>0:05:10:17</t>
  </si>
  <si>
    <t>0:05:10:18</t>
  </si>
  <si>
    <t>0:05:10:19</t>
  </si>
  <si>
    <t>0:05:10:20</t>
  </si>
  <si>
    <t>0:05:10:21</t>
  </si>
  <si>
    <t>0:05:10:22</t>
  </si>
  <si>
    <t>0:05:10:23</t>
  </si>
  <si>
    <t>0:05:10:24</t>
  </si>
  <si>
    <t>0:05:11:00</t>
  </si>
  <si>
    <t>0:05:11:01</t>
  </si>
  <si>
    <t>0:05:11:02</t>
  </si>
  <si>
    <t>0:05:11:03</t>
  </si>
  <si>
    <t>0:05:11:04</t>
  </si>
  <si>
    <t>0:05:11:05</t>
  </si>
  <si>
    <t>0:05:11:06</t>
  </si>
  <si>
    <t>0:05:11:07</t>
  </si>
  <si>
    <t>0:05:11:08</t>
  </si>
  <si>
    <t>0:05:11:09</t>
  </si>
  <si>
    <t>0:05:11:10</t>
  </si>
  <si>
    <t>0:05:11:11</t>
  </si>
  <si>
    <t>0:05:11:12</t>
  </si>
  <si>
    <t>0:05:11:13</t>
  </si>
  <si>
    <t>0:05:11:14</t>
  </si>
  <si>
    <t>0:05:11:15</t>
  </si>
  <si>
    <t>0:05:11:16</t>
  </si>
  <si>
    <t>0:05:11:17</t>
  </si>
  <si>
    <t>0:05:11:18</t>
  </si>
  <si>
    <t>0:05:11:19</t>
  </si>
  <si>
    <t>0:05:11:20</t>
  </si>
  <si>
    <t>0:05:11:21</t>
  </si>
  <si>
    <t>0:05:11:22</t>
  </si>
  <si>
    <t>0:05:11:23</t>
  </si>
  <si>
    <t>0:05:11:24</t>
  </si>
  <si>
    <t>0:05:12:00</t>
  </si>
  <si>
    <t>0:05:12:01</t>
  </si>
  <si>
    <t>0:05:12:02</t>
  </si>
  <si>
    <t>0:05:12:03</t>
  </si>
  <si>
    <t>0:05:12:04</t>
  </si>
  <si>
    <t>0:05:12:05</t>
  </si>
  <si>
    <t>0:05:12:06</t>
  </si>
  <si>
    <t>0:05:12:07</t>
  </si>
  <si>
    <t>0:05:12:08</t>
  </si>
  <si>
    <t>0:05:12:09</t>
  </si>
  <si>
    <t>0:05:12:10</t>
  </si>
  <si>
    <t>0:05:12:11</t>
  </si>
  <si>
    <t>0:05:12:12</t>
  </si>
  <si>
    <t>0:05:12:13</t>
  </si>
  <si>
    <t>0:05:12:14</t>
  </si>
  <si>
    <t>0:05:12:15</t>
  </si>
  <si>
    <t>0:05:12:16</t>
  </si>
  <si>
    <t>0:05:12:17</t>
  </si>
  <si>
    <t>0:05:12:18</t>
  </si>
  <si>
    <t>0:05:12:19</t>
  </si>
  <si>
    <t>0:05:12:20</t>
  </si>
  <si>
    <t>0:05:12:21</t>
  </si>
  <si>
    <t>0:05:12:22</t>
  </si>
  <si>
    <t>0:05:12:23</t>
  </si>
  <si>
    <t>0:05:12:24</t>
  </si>
  <si>
    <t>0:05:13:00</t>
  </si>
  <si>
    <t>0:05:13:01</t>
  </si>
  <si>
    <t>0:05:13:02</t>
  </si>
  <si>
    <t>0:05:13:03</t>
  </si>
  <si>
    <t>0:05:13:04</t>
  </si>
  <si>
    <t>0:05:13:05</t>
  </si>
  <si>
    <t>0:05:13:06</t>
  </si>
  <si>
    <t>0:05:13:07</t>
  </si>
  <si>
    <t>0:05:13:08</t>
  </si>
  <si>
    <t>0:05:13:09</t>
  </si>
  <si>
    <t>0:05:13:10</t>
  </si>
  <si>
    <t>0:05:13:11</t>
  </si>
  <si>
    <t>0:05:13:12</t>
  </si>
  <si>
    <t>0:05:13:13</t>
  </si>
  <si>
    <t>0:05:13:14</t>
  </si>
  <si>
    <t>0:05:13:15</t>
  </si>
  <si>
    <t>0:05:13:16</t>
  </si>
  <si>
    <t>0:05:13:17</t>
  </si>
  <si>
    <t>0:05:13:18</t>
  </si>
  <si>
    <t>0:05:13:19</t>
  </si>
  <si>
    <t>0:05:13:20</t>
  </si>
  <si>
    <t>0:05:13:21</t>
  </si>
  <si>
    <t>0:05:13:22</t>
  </si>
  <si>
    <t>0:05:13:23</t>
  </si>
  <si>
    <t>0:05:13:24</t>
  </si>
  <si>
    <t>0:05:14:00</t>
  </si>
  <si>
    <t>0:05:14:01</t>
  </si>
  <si>
    <t>0:05:14:02</t>
  </si>
  <si>
    <t>0:05:14:03</t>
  </si>
  <si>
    <t>0:05:14:04</t>
  </si>
  <si>
    <t>0:05:14:05</t>
  </si>
  <si>
    <t>0:05:14:06</t>
  </si>
  <si>
    <t>0:05:14:07</t>
  </si>
  <si>
    <t>0:05:14:08</t>
  </si>
  <si>
    <t>0:05:14:09</t>
  </si>
  <si>
    <t>0:05:14:10</t>
  </si>
  <si>
    <t>0:05:14:11</t>
  </si>
  <si>
    <t>0:05:14:12</t>
  </si>
  <si>
    <t>0:05:14:13</t>
  </si>
  <si>
    <t>0:05:14:14</t>
  </si>
  <si>
    <t>0:05:14:15</t>
  </si>
  <si>
    <t>0:05:14:16</t>
  </si>
  <si>
    <t>0:05:14:17</t>
  </si>
  <si>
    <t>0:05:14:18</t>
  </si>
  <si>
    <t>0:05:14:19</t>
  </si>
  <si>
    <t>0:05:14:20</t>
  </si>
  <si>
    <t>0:05:14:21</t>
  </si>
  <si>
    <t>0:05:14:22</t>
  </si>
  <si>
    <t>0:05:14:23</t>
  </si>
  <si>
    <t>0:05:14:24</t>
  </si>
  <si>
    <t>0:05:15:00</t>
  </si>
  <si>
    <t>0:05:15:01</t>
  </si>
  <si>
    <t>0:05:15:02</t>
  </si>
  <si>
    <t>0:05:15:03</t>
  </si>
  <si>
    <t>0:05:15:04</t>
  </si>
  <si>
    <t>0:05:15:05</t>
  </si>
  <si>
    <t>0:05:15:06</t>
  </si>
  <si>
    <t>0:05:15:07</t>
  </si>
  <si>
    <t>0:05:15:08</t>
  </si>
  <si>
    <t>0:05:15:09</t>
  </si>
  <si>
    <t>0:05:15:10</t>
  </si>
  <si>
    <t>0:05:15:11</t>
  </si>
  <si>
    <t>0:05:15:12</t>
  </si>
  <si>
    <t>0:05:15:13</t>
  </si>
  <si>
    <t>0:05:15:14</t>
  </si>
  <si>
    <t>0:05:15:15</t>
  </si>
  <si>
    <t>0:05:15:16</t>
  </si>
  <si>
    <t>0:05:15:17</t>
  </si>
  <si>
    <t>0:05:15:18</t>
  </si>
  <si>
    <t>0:05:15:19</t>
  </si>
  <si>
    <t>0:05:15:20</t>
  </si>
  <si>
    <t>0:05:15:21</t>
  </si>
  <si>
    <t>0:05:15:22</t>
  </si>
  <si>
    <t>0:05:15:23</t>
  </si>
  <si>
    <t>0:05:15:24</t>
  </si>
  <si>
    <t>0:05:16:00</t>
  </si>
  <si>
    <t>0:05:16:01</t>
  </si>
  <si>
    <t>0:05:16:02</t>
  </si>
  <si>
    <t>0:05:16:03</t>
  </si>
  <si>
    <t>0:05:16:04</t>
  </si>
  <si>
    <t>0:05:16:05</t>
  </si>
  <si>
    <t>0:05:16:06</t>
  </si>
  <si>
    <t>0:05:16:07</t>
  </si>
  <si>
    <t>0:05:16:08</t>
  </si>
  <si>
    <t>0:05:16:09</t>
  </si>
  <si>
    <t>0:05:16:10</t>
  </si>
  <si>
    <t>0:05:16:11</t>
  </si>
  <si>
    <t>0:05:16:12</t>
  </si>
  <si>
    <t>0:05:16:13</t>
  </si>
  <si>
    <t>0:05:16:14</t>
  </si>
  <si>
    <t>0:05:16:15</t>
  </si>
  <si>
    <t>0:05:16:16</t>
  </si>
  <si>
    <t>0:05:16:17</t>
  </si>
  <si>
    <t>0:05:16:18</t>
  </si>
  <si>
    <t>0:05:16:19</t>
  </si>
  <si>
    <t>0:05:16:20</t>
  </si>
  <si>
    <t>0:05:16:21</t>
  </si>
  <si>
    <t>0:05:16:22</t>
  </si>
  <si>
    <t>0:05:16:23</t>
  </si>
  <si>
    <t>0:05:16:24</t>
  </si>
  <si>
    <t>0:05:17:00</t>
  </si>
  <si>
    <t>0:05:17:01</t>
  </si>
  <si>
    <t>0:05:17:02</t>
  </si>
  <si>
    <t>0:05:17:03</t>
  </si>
  <si>
    <t>0:05:17:04</t>
  </si>
  <si>
    <t>0:05:17:05</t>
  </si>
  <si>
    <t>0:05:17:06</t>
  </si>
  <si>
    <t>0:05:17:07</t>
  </si>
  <si>
    <t>0:05:17:08</t>
  </si>
  <si>
    <t>0:05:17:09</t>
  </si>
  <si>
    <t>0:05:17:10</t>
  </si>
  <si>
    <t>0:05:17:11</t>
  </si>
  <si>
    <t>0:05:17:12</t>
  </si>
  <si>
    <t>0:05:17:13</t>
  </si>
  <si>
    <t>0:05:17:14</t>
  </si>
  <si>
    <t>0:05:17:15</t>
  </si>
  <si>
    <t>0:05:17:16</t>
  </si>
  <si>
    <t>0:05:17:17</t>
  </si>
  <si>
    <t>0:05:17:18</t>
  </si>
  <si>
    <t>0:05:17:19</t>
  </si>
  <si>
    <t>0:05:17:20</t>
  </si>
  <si>
    <t>0:05:17:21</t>
  </si>
  <si>
    <t>0:05:17:22</t>
  </si>
  <si>
    <t>0:05:17:23</t>
  </si>
  <si>
    <t>0:05:17:24</t>
  </si>
  <si>
    <t>0:05:18:00</t>
  </si>
  <si>
    <t>0:05:18:01</t>
  </si>
  <si>
    <t>0:05:18:02</t>
  </si>
  <si>
    <t>0:05:18:03</t>
  </si>
  <si>
    <t>0:05:18:04</t>
  </si>
  <si>
    <t>0:05:18:05</t>
  </si>
  <si>
    <t>0:05:18:06</t>
  </si>
  <si>
    <t>0:05:18:07</t>
  </si>
  <si>
    <t>0:05:18:08</t>
  </si>
  <si>
    <t>0:05:18:09</t>
  </si>
  <si>
    <t>0:05:18:10</t>
  </si>
  <si>
    <t>0:05:18:11</t>
  </si>
  <si>
    <t>0:05:18:12</t>
  </si>
  <si>
    <t>0:05:18:13</t>
  </si>
  <si>
    <t>0:05:18:14</t>
  </si>
  <si>
    <t>0:05:18:15</t>
  </si>
  <si>
    <t>0:05:18:16</t>
  </si>
  <si>
    <t>0:05:18:17</t>
  </si>
  <si>
    <t>0:05:18:18</t>
  </si>
  <si>
    <t>0:05:18:19</t>
  </si>
  <si>
    <t>0:05:18:20</t>
  </si>
  <si>
    <t>0:05:18:21</t>
  </si>
  <si>
    <t>0:05:18:22</t>
  </si>
  <si>
    <t>0:05:18:23</t>
  </si>
  <si>
    <t>0:05:18:24</t>
  </si>
  <si>
    <t>0:05:19:00</t>
  </si>
  <si>
    <t>0:05:19:01</t>
  </si>
  <si>
    <t>0:05:19:02</t>
  </si>
  <si>
    <t>0:05:19:03</t>
  </si>
  <si>
    <t>0:05:19:04</t>
  </si>
  <si>
    <t>0:05:19:05</t>
  </si>
  <si>
    <t>0:05:19:06</t>
  </si>
  <si>
    <t>0:05:19:07</t>
  </si>
  <si>
    <t>0:05:19:08</t>
  </si>
  <si>
    <t>0:05:19:09</t>
  </si>
  <si>
    <t>0:05:19:10</t>
  </si>
  <si>
    <t>0:05:19:11</t>
  </si>
  <si>
    <t>0:05:19:12</t>
  </si>
  <si>
    <t>0:05:19:13</t>
  </si>
  <si>
    <t>0:05:19:14</t>
  </si>
  <si>
    <t>0:05:19:15</t>
  </si>
  <si>
    <t>0:05:19:16</t>
  </si>
  <si>
    <t>0:05:19:17</t>
  </si>
  <si>
    <t>0:05:19:18</t>
  </si>
  <si>
    <t>0:05:19:19</t>
  </si>
  <si>
    <t>0:05:19:20</t>
  </si>
  <si>
    <t>0:05:19:21</t>
  </si>
  <si>
    <t>0:05:19:22</t>
  </si>
  <si>
    <t>0:05:19:23</t>
  </si>
  <si>
    <t>0:05:19:24</t>
  </si>
  <si>
    <t>0:05:20:00</t>
  </si>
  <si>
    <t>0:05:20:01</t>
  </si>
  <si>
    <t>0:05:20:02</t>
  </si>
  <si>
    <t>0:05:20:03</t>
  </si>
  <si>
    <t>0:05:20:04</t>
  </si>
  <si>
    <t>0:05:20:05</t>
  </si>
  <si>
    <t>0:05:20:06</t>
  </si>
  <si>
    <t>0:05:20:07</t>
  </si>
  <si>
    <t>0:05:20:08</t>
  </si>
  <si>
    <t>0:05:20:09</t>
  </si>
  <si>
    <t>0:05:20:10</t>
  </si>
  <si>
    <t>0:05:20:11</t>
  </si>
  <si>
    <t>0:05:20:12</t>
  </si>
  <si>
    <t>0:05:20:13</t>
  </si>
  <si>
    <t>0:05:20:14</t>
  </si>
  <si>
    <t>0:05:20:15</t>
  </si>
  <si>
    <t>0:05:20:16</t>
  </si>
  <si>
    <t>0:05:20:17</t>
  </si>
  <si>
    <t>0:05:20:18</t>
  </si>
  <si>
    <t>0:05:20:19</t>
  </si>
  <si>
    <t>0:05:20:20</t>
  </si>
  <si>
    <t>0:05:20:21</t>
  </si>
  <si>
    <t>0:05:20:22</t>
  </si>
  <si>
    <t>0:05:20:23</t>
  </si>
  <si>
    <t>0:05:20:24</t>
  </si>
  <si>
    <t>0:05:21:00</t>
  </si>
  <si>
    <t>0:05:21:01</t>
  </si>
  <si>
    <t>0:05:21:02</t>
  </si>
  <si>
    <t>0:05:21:03</t>
  </si>
  <si>
    <t>0:05:21:04</t>
  </si>
  <si>
    <t>0:05:21:05</t>
  </si>
  <si>
    <t>0:05:21:06</t>
  </si>
  <si>
    <t>0:05:21:07</t>
  </si>
  <si>
    <t>0:05:21:08</t>
  </si>
  <si>
    <t>0:05:21:09</t>
  </si>
  <si>
    <t>0:05:21:10</t>
  </si>
  <si>
    <t>0:05:21:11</t>
  </si>
  <si>
    <t>0:05:21:12</t>
  </si>
  <si>
    <t>0:05:21:13</t>
  </si>
  <si>
    <t>0:05:21:14</t>
  </si>
  <si>
    <t>0:05:21:15</t>
  </si>
  <si>
    <t>0:05:21:16</t>
  </si>
  <si>
    <t>0:05:21:17</t>
  </si>
  <si>
    <t>0:05:21:18</t>
  </si>
  <si>
    <t>0:05:21:19</t>
  </si>
  <si>
    <t>0:05:21:20</t>
  </si>
  <si>
    <t>0:05:21:21</t>
  </si>
  <si>
    <t>0:05:21:22</t>
  </si>
  <si>
    <t>0:05:21:23</t>
  </si>
  <si>
    <t>0:05:21:24</t>
  </si>
  <si>
    <t>0:05:22:00</t>
  </si>
  <si>
    <t>0:05:22:01</t>
  </si>
  <si>
    <t>0:05:22:02</t>
  </si>
  <si>
    <t>0:05:22:03</t>
  </si>
  <si>
    <t>0:05:22:04</t>
  </si>
  <si>
    <t>0:05:22:05</t>
  </si>
  <si>
    <t>0:05:22:06</t>
  </si>
  <si>
    <t>0:05:22:07</t>
  </si>
  <si>
    <t>0:05:22:08</t>
  </si>
  <si>
    <t>0:05:22:09</t>
  </si>
  <si>
    <t>0:05:22:10</t>
  </si>
  <si>
    <t>0:05:22:11</t>
  </si>
  <si>
    <t>0:05:22:12</t>
  </si>
  <si>
    <t>0:05:22:13</t>
  </si>
  <si>
    <t>0:05:22:14</t>
  </si>
  <si>
    <t>0:05:22:15</t>
  </si>
  <si>
    <t>0:05:22:16</t>
  </si>
  <si>
    <t>0:05:22:17</t>
  </si>
  <si>
    <t>0:05:22:18</t>
  </si>
  <si>
    <t>0:05:22:19</t>
  </si>
  <si>
    <t>0:05:22:20</t>
  </si>
  <si>
    <t>0:05:22:21</t>
  </si>
  <si>
    <t>0:05:22:22</t>
  </si>
  <si>
    <t>0:05:22:23</t>
  </si>
  <si>
    <t>0:05:22:24</t>
  </si>
  <si>
    <t>0:05:23:00</t>
  </si>
  <si>
    <t>0:05:23:01</t>
  </si>
  <si>
    <t>0:05:23:02</t>
  </si>
  <si>
    <t>0:05:23:03</t>
  </si>
  <si>
    <t>0:05:23:04</t>
  </si>
  <si>
    <t>0:05:23:05</t>
  </si>
  <si>
    <t>0:05:23:06</t>
  </si>
  <si>
    <t>0:05:23:07</t>
  </si>
  <si>
    <t>0:05:23:08</t>
  </si>
  <si>
    <t>0:05:23:09</t>
  </si>
  <si>
    <t>0:05:23:10</t>
  </si>
  <si>
    <t>0:05:23:11</t>
  </si>
  <si>
    <t>0:05:23:12</t>
  </si>
  <si>
    <t>0:05:23:13</t>
  </si>
  <si>
    <t>0:05:23:14</t>
  </si>
  <si>
    <t>0:05:23:15</t>
  </si>
  <si>
    <t>0:05:23:16</t>
  </si>
  <si>
    <t>0:05:23:17</t>
  </si>
  <si>
    <t>0:05:23:18</t>
  </si>
  <si>
    <t>0:05:23:19</t>
  </si>
  <si>
    <t>0:05:23:20</t>
  </si>
  <si>
    <t>0:05:23:21</t>
  </si>
  <si>
    <t>0:05:23:22</t>
  </si>
  <si>
    <t>0:05:23:23</t>
  </si>
  <si>
    <t>0:05:23:24</t>
  </si>
  <si>
    <t>0:05:24:00</t>
  </si>
  <si>
    <t>0:05:24:01</t>
  </si>
  <si>
    <t>0:05:24:02</t>
  </si>
  <si>
    <t>0:05:24:03</t>
  </si>
  <si>
    <t>0:05:24:04</t>
  </si>
  <si>
    <t>0:05:24:05</t>
  </si>
  <si>
    <t>0:05:24:06</t>
  </si>
  <si>
    <t>0:05:24:07</t>
  </si>
  <si>
    <t>0:05:24:08</t>
  </si>
  <si>
    <t>0:05:24:09</t>
  </si>
  <si>
    <t>0:05:24:10</t>
  </si>
  <si>
    <t>0:05:24:11</t>
  </si>
  <si>
    <t>0:05:24:12</t>
  </si>
  <si>
    <t>0:05:24:13</t>
  </si>
  <si>
    <t>0:05:24:14</t>
  </si>
  <si>
    <t>0:05:24:15</t>
  </si>
  <si>
    <t>0:05:24:16</t>
  </si>
  <si>
    <t>0:05:24:17</t>
  </si>
  <si>
    <t>0:05:24:18</t>
  </si>
  <si>
    <t>0:05:24:19</t>
  </si>
  <si>
    <t>0:05:24:20</t>
  </si>
  <si>
    <t>0:05:24:21</t>
  </si>
  <si>
    <t>0:05:24:22</t>
  </si>
  <si>
    <t>0:05:24:23</t>
  </si>
  <si>
    <t>0:05:24:24</t>
  </si>
  <si>
    <t>0:05:25:00</t>
  </si>
  <si>
    <t>0:05:25:01</t>
  </si>
  <si>
    <t>0:05:25:02</t>
  </si>
  <si>
    <t>0:05:25:03</t>
  </si>
  <si>
    <t>0:05:25:04</t>
  </si>
  <si>
    <t>0:05:25:05</t>
  </si>
  <si>
    <t>0:05:25:06</t>
  </si>
  <si>
    <t>0:05:25:07</t>
  </si>
  <si>
    <t>0:05:25:08</t>
  </si>
  <si>
    <t>0:05:25:09</t>
  </si>
  <si>
    <t>0:05:25:10</t>
  </si>
  <si>
    <t>0:05:25:11</t>
  </si>
  <si>
    <t>0:05:25:12</t>
  </si>
  <si>
    <t>0:05:25:13</t>
  </si>
  <si>
    <t>0:05:25:14</t>
  </si>
  <si>
    <t>0:05:25:15</t>
  </si>
  <si>
    <t>0:05:25:16</t>
  </si>
  <si>
    <t>0:05:25:17</t>
  </si>
  <si>
    <t>0:05:25:18</t>
  </si>
  <si>
    <t>0:05:25:19</t>
  </si>
  <si>
    <t>0:05:25:20</t>
  </si>
  <si>
    <t>0:05:25:21</t>
  </si>
  <si>
    <t>0:05:25:22</t>
  </si>
  <si>
    <t>0:05:25:23</t>
  </si>
  <si>
    <t>0:05:25:24</t>
  </si>
  <si>
    <t>0:05:26:00</t>
  </si>
  <si>
    <t>0:05:26:01</t>
  </si>
  <si>
    <t>0:05:26:02</t>
  </si>
  <si>
    <t>0:05:26:03</t>
  </si>
  <si>
    <t>0:05:26:04</t>
  </si>
  <si>
    <t>0:05:26:05</t>
  </si>
  <si>
    <t>0:05:26:06</t>
  </si>
  <si>
    <t>0:05:26:07</t>
  </si>
  <si>
    <t>0:05:26:08</t>
  </si>
  <si>
    <t>0:05:26:09</t>
  </si>
  <si>
    <t>0:05:26:10</t>
  </si>
  <si>
    <t>0:05:26:11</t>
  </si>
  <si>
    <t>0:05:26:12</t>
  </si>
  <si>
    <t>0:05:26:13</t>
  </si>
  <si>
    <t>0:05:26:14</t>
  </si>
  <si>
    <t>0:05:26:15</t>
  </si>
  <si>
    <t>0:05:26:16</t>
  </si>
  <si>
    <t>0:05:26:17</t>
  </si>
  <si>
    <t>0:05:26:18</t>
  </si>
  <si>
    <t>0:05:26:19</t>
  </si>
  <si>
    <t>0:05:26:20</t>
  </si>
  <si>
    <t>0:05:26:21</t>
  </si>
  <si>
    <t>0:05:26:22</t>
  </si>
  <si>
    <t>0:05:26:23</t>
  </si>
  <si>
    <t>0:05:26:24</t>
  </si>
  <si>
    <t>0:05:27:00</t>
  </si>
  <si>
    <t>0:05:27:01</t>
  </si>
  <si>
    <t>0:05:27:02</t>
  </si>
  <si>
    <t>0:05:27:03</t>
  </si>
  <si>
    <t>0:05:27:04</t>
  </si>
  <si>
    <t>0:05:27:05</t>
  </si>
  <si>
    <t>0:05:27:06</t>
  </si>
  <si>
    <t>0:05:27:07</t>
  </si>
  <si>
    <t>0:05:27:08</t>
  </si>
  <si>
    <t>0:05:27:09</t>
  </si>
  <si>
    <t>0:05:27:10</t>
  </si>
  <si>
    <t>0:05:27:11</t>
  </si>
  <si>
    <t>0:05:27:12</t>
  </si>
  <si>
    <t>0:05:27:13</t>
  </si>
  <si>
    <t>0:05:27:14</t>
  </si>
  <si>
    <t>0:05:27:15</t>
  </si>
  <si>
    <t>0:05:27:16</t>
  </si>
  <si>
    <t>0:05:27:17</t>
  </si>
  <si>
    <t>0:05:27:18</t>
  </si>
  <si>
    <t>0:05:27:19</t>
  </si>
  <si>
    <t>0:05:27:20</t>
  </si>
  <si>
    <t>0:05:27:21</t>
  </si>
  <si>
    <t>0:05:27:22</t>
  </si>
  <si>
    <t>0:05:27:23</t>
  </si>
  <si>
    <t>0:05:27:24</t>
  </si>
  <si>
    <t>0:05:28:00</t>
  </si>
  <si>
    <t>0:05:28:01</t>
  </si>
  <si>
    <t>0:05:28:02</t>
  </si>
  <si>
    <t>0:05:28:03</t>
  </si>
  <si>
    <t>0:05:28:04</t>
  </si>
  <si>
    <t>0:05:28:05</t>
  </si>
  <si>
    <t>0:05:28:06</t>
  </si>
  <si>
    <t>0:05:28:07</t>
  </si>
  <si>
    <t>0:05:28:08</t>
  </si>
  <si>
    <t>0:05:28:09</t>
  </si>
  <si>
    <t>0:05:28:10</t>
  </si>
  <si>
    <t>0:05:28:11</t>
  </si>
  <si>
    <t>0:05:28:12</t>
  </si>
  <si>
    <t>0:05:28:13</t>
  </si>
  <si>
    <t>0:05:28:14</t>
  </si>
  <si>
    <t>0:05:28:15</t>
  </si>
  <si>
    <t>0:05:28:16</t>
  </si>
  <si>
    <t>0:05:28:17</t>
  </si>
  <si>
    <t>0:05:28:18</t>
  </si>
  <si>
    <t>0:05:28:19</t>
  </si>
  <si>
    <t>0:05:28:20</t>
  </si>
  <si>
    <t>0:05:28:21</t>
  </si>
  <si>
    <t>0:05:28:22</t>
  </si>
  <si>
    <t>0:05:28:23</t>
  </si>
  <si>
    <t>0:05:28:24</t>
  </si>
  <si>
    <t>0:05:29:00</t>
  </si>
  <si>
    <t>0:05:29:01</t>
  </si>
  <si>
    <t>0:05:29:02</t>
  </si>
  <si>
    <t>0:05:29:03</t>
  </si>
  <si>
    <t>0:05:29:04</t>
  </si>
  <si>
    <t>0:05:29:05</t>
  </si>
  <si>
    <t>0:05:29:06</t>
  </si>
  <si>
    <t>0:05:29:07</t>
  </si>
  <si>
    <t>0:05:29:08</t>
  </si>
  <si>
    <t>0:05:29:09</t>
  </si>
  <si>
    <t>0:05:29:10</t>
  </si>
  <si>
    <t>0:05:29:11</t>
  </si>
  <si>
    <t>0:05:29:12</t>
  </si>
  <si>
    <t>0:05:29:13</t>
  </si>
  <si>
    <t>0:05:29:14</t>
  </si>
  <si>
    <t>0:05:29:15</t>
  </si>
  <si>
    <t>0:05:29:16</t>
  </si>
  <si>
    <t>0:05:29:17</t>
  </si>
  <si>
    <t>0:05:29:18</t>
  </si>
  <si>
    <t>0:05:29:19</t>
  </si>
  <si>
    <t>0:05:29:20</t>
  </si>
  <si>
    <t>0:05:29:21</t>
  </si>
  <si>
    <t>0:05:29:22</t>
  </si>
  <si>
    <t>0:05:29:23</t>
  </si>
  <si>
    <t>0:05:29:24</t>
  </si>
  <si>
    <t>0:05:30:00</t>
  </si>
  <si>
    <t>0:05:30:01</t>
  </si>
  <si>
    <t>0:05:30:02</t>
  </si>
  <si>
    <t>0:05:30:03</t>
  </si>
  <si>
    <t>0:05:30:04</t>
  </si>
  <si>
    <t>0:05:30:05</t>
  </si>
  <si>
    <t>0:05:30:06</t>
  </si>
  <si>
    <t>0:05:30:07</t>
  </si>
  <si>
    <t>0:05:30:08</t>
  </si>
  <si>
    <t>0:05:30:09</t>
  </si>
  <si>
    <t>0:05:30:10</t>
  </si>
  <si>
    <t>0:05:30:11</t>
  </si>
  <si>
    <t>0:05:30:12</t>
  </si>
  <si>
    <t>0:05:30:13</t>
  </si>
  <si>
    <t>0:05:30:14</t>
  </si>
  <si>
    <t>0:05:30:15</t>
  </si>
  <si>
    <t>0:05:30:16</t>
  </si>
  <si>
    <t>0:05:30:17</t>
  </si>
  <si>
    <t>0:05:30:18</t>
  </si>
  <si>
    <t>0:05:30:19</t>
  </si>
  <si>
    <t>0:05:30:20</t>
  </si>
  <si>
    <t>0:05:30:21</t>
  </si>
  <si>
    <t>0:05:30:22</t>
  </si>
  <si>
    <t>0:05:30:23</t>
  </si>
  <si>
    <t>0:05:30:24</t>
  </si>
  <si>
    <t>0:05:31:00</t>
  </si>
  <si>
    <t>0:05:31:01</t>
  </si>
  <si>
    <t>0:05:31:02</t>
  </si>
  <si>
    <t>0:05:31:03</t>
  </si>
  <si>
    <t>0:05:31:04</t>
  </si>
  <si>
    <t>0:05:31:05</t>
  </si>
  <si>
    <t>0:05:31:06</t>
  </si>
  <si>
    <t>0:05:31:07</t>
  </si>
  <si>
    <t>0:05:31:08</t>
  </si>
  <si>
    <t>0:05:31:09</t>
  </si>
  <si>
    <t>0:05:31:10</t>
  </si>
  <si>
    <t>0:05:31:11</t>
  </si>
  <si>
    <t>0:05:31:12</t>
  </si>
  <si>
    <t>0:05:31:13</t>
  </si>
  <si>
    <t>0:05:31:14</t>
  </si>
  <si>
    <t>0:05:31:15</t>
  </si>
  <si>
    <t>0:05:31:16</t>
  </si>
  <si>
    <t>0:05:31:17</t>
  </si>
  <si>
    <t>0:05:31:18</t>
  </si>
  <si>
    <t>0:05:31:19</t>
  </si>
  <si>
    <t>0:05:31:20</t>
  </si>
  <si>
    <t>0:05:31:21</t>
  </si>
  <si>
    <t>0:05:31:22</t>
  </si>
  <si>
    <t>0:05:31:23</t>
  </si>
  <si>
    <t>0:05:31:24</t>
  </si>
  <si>
    <t>0:05:32:00</t>
  </si>
  <si>
    <t>0:05:32:01</t>
  </si>
  <si>
    <t>0:05:32:02</t>
  </si>
  <si>
    <t>0:05:32:03</t>
  </si>
  <si>
    <t>0:05:32:04</t>
  </si>
  <si>
    <t>0:05:32:05</t>
  </si>
  <si>
    <t>0:05:32:06</t>
  </si>
  <si>
    <t>0:05:32:07</t>
  </si>
  <si>
    <t>0:05:32:08</t>
  </si>
  <si>
    <t>0:05:32:09</t>
  </si>
  <si>
    <t>0:05:32:10</t>
  </si>
  <si>
    <t>0:05:32:11</t>
  </si>
  <si>
    <t>0:05:32:12</t>
  </si>
  <si>
    <t>0:05:32:13</t>
  </si>
  <si>
    <t>0:05:32:14</t>
  </si>
  <si>
    <t>0:05:32:15</t>
  </si>
  <si>
    <t>0:05:32:16</t>
  </si>
  <si>
    <t>0:05:32:17</t>
  </si>
  <si>
    <t>0:05:32:18</t>
  </si>
  <si>
    <t>0:05:32:19</t>
  </si>
  <si>
    <t>0:05:32:20</t>
  </si>
  <si>
    <t>0:05:32:21</t>
  </si>
  <si>
    <t>0:05:32:22</t>
  </si>
  <si>
    <t>0:05:32:23</t>
  </si>
  <si>
    <t>0:05:32:24</t>
  </si>
  <si>
    <t>0:05:33:00</t>
  </si>
  <si>
    <t>0:05:33:01</t>
  </si>
  <si>
    <t>0:05:33:02</t>
  </si>
  <si>
    <t>0:05:33:03</t>
  </si>
  <si>
    <t>0:05:33:04</t>
  </si>
  <si>
    <t>0:05:33:05</t>
  </si>
  <si>
    <t>0:05:33:06</t>
  </si>
  <si>
    <t>0:05:33:07</t>
  </si>
  <si>
    <t>0:05:33:08</t>
  </si>
  <si>
    <t>0:05:33:09</t>
  </si>
  <si>
    <t>0:05:33:10</t>
  </si>
  <si>
    <t>0:05:33:11</t>
  </si>
  <si>
    <t>0:05:33:12</t>
  </si>
  <si>
    <t>0:05:33:13</t>
  </si>
  <si>
    <t>0:05:33:14</t>
  </si>
  <si>
    <t>0:05:33:15</t>
  </si>
  <si>
    <t>0:05:33:16</t>
  </si>
  <si>
    <t>0:05:33:17</t>
  </si>
  <si>
    <t>0:05:33:18</t>
  </si>
  <si>
    <t>0:05:33:19</t>
  </si>
  <si>
    <t>0:05:33:20</t>
  </si>
  <si>
    <t>0:05:33:21</t>
  </si>
  <si>
    <t>0:05:33:22</t>
  </si>
  <si>
    <t>0:05:33:23</t>
  </si>
  <si>
    <t>0:05:33:24</t>
  </si>
  <si>
    <t>0:05:34:00</t>
  </si>
  <si>
    <t>0:05:34:01</t>
  </si>
  <si>
    <t>0:05:34:02</t>
  </si>
  <si>
    <t>0:05:34:03</t>
  </si>
  <si>
    <t>0:05:34:04</t>
  </si>
  <si>
    <t>0:05:34:05</t>
  </si>
  <si>
    <t>0:05:34:06</t>
  </si>
  <si>
    <t>0:05:34:07</t>
  </si>
  <si>
    <t>0:05:34:08</t>
  </si>
  <si>
    <t>0:05:34:09</t>
  </si>
  <si>
    <t>0:05:34:10</t>
  </si>
  <si>
    <t>0:05:34:11</t>
  </si>
  <si>
    <t>0:05:34:12</t>
  </si>
  <si>
    <t>0:05:34:13</t>
  </si>
  <si>
    <t>0:05:34:14</t>
  </si>
  <si>
    <t>0:05:34:15</t>
  </si>
  <si>
    <t>0:05:34:16</t>
  </si>
  <si>
    <t>0:05:34:17</t>
  </si>
  <si>
    <t>0:05:34:18</t>
  </si>
  <si>
    <t>0:05:34:19</t>
  </si>
  <si>
    <t>0:05:34:20</t>
  </si>
  <si>
    <t>0:05:34:21</t>
  </si>
  <si>
    <t>0:05:34:22</t>
  </si>
  <si>
    <t>0:05:34:23</t>
  </si>
  <si>
    <t>0:05:34:24</t>
  </si>
  <si>
    <t>0:05:35:00</t>
  </si>
  <si>
    <t>0:05:35:01</t>
  </si>
  <si>
    <t>0:05:35:02</t>
  </si>
  <si>
    <t>0:05:35:03</t>
  </si>
  <si>
    <t>0:05:35:04</t>
  </si>
  <si>
    <t>0:05:35:05</t>
  </si>
  <si>
    <t>0:05:35:06</t>
  </si>
  <si>
    <t>0:05:35:07</t>
  </si>
  <si>
    <t>0:05:35:08</t>
  </si>
  <si>
    <t>0:05:35:09</t>
  </si>
  <si>
    <t>0:05:35:10</t>
  </si>
  <si>
    <t>SZUM</t>
  </si>
  <si>
    <t>Sum_S</t>
  </si>
  <si>
    <t>Location</t>
  </si>
  <si>
    <t>Activity</t>
  </si>
  <si>
    <t>0:05:35:11</t>
  </si>
  <si>
    <t>0:05:35:12</t>
  </si>
  <si>
    <t>0:05:35:13</t>
  </si>
  <si>
    <t>0:05:35:14</t>
  </si>
  <si>
    <t>0:05:35:15</t>
  </si>
  <si>
    <t>0:05:35:16</t>
  </si>
  <si>
    <t>0:05:35:17</t>
  </si>
  <si>
    <t>0:05:35:18</t>
  </si>
  <si>
    <t>0:05:35:19</t>
  </si>
  <si>
    <t>0:05:35:20</t>
  </si>
  <si>
    <t>0:05:35:21</t>
  </si>
  <si>
    <t>0:05:35:22</t>
  </si>
  <si>
    <t>0:05:35:23</t>
  </si>
  <si>
    <t>0:05:35:24</t>
  </si>
  <si>
    <t>0:05:36:00</t>
  </si>
  <si>
    <t>0:05:36:01</t>
  </si>
  <si>
    <t>0:05:36:02</t>
  </si>
  <si>
    <t>0:05:36:03</t>
  </si>
  <si>
    <t>0:05:36:04</t>
  </si>
  <si>
    <t>0:05:36:05</t>
  </si>
  <si>
    <t>0:05:36:06</t>
  </si>
  <si>
    <t>0:05:36:07</t>
  </si>
  <si>
    <t>0:05:36:08</t>
  </si>
  <si>
    <t>0:05:36:09</t>
  </si>
  <si>
    <t>0:05:36:10</t>
  </si>
  <si>
    <t>0:05:36:11</t>
  </si>
  <si>
    <t>0:05:36:12</t>
  </si>
  <si>
    <t>0:05:36:13</t>
  </si>
  <si>
    <t>0:05:36:14</t>
  </si>
  <si>
    <t>0:05:36:15</t>
  </si>
  <si>
    <t>0:05:36:16</t>
  </si>
  <si>
    <t>0:05:36:17</t>
  </si>
  <si>
    <t>0:05:36:18</t>
  </si>
  <si>
    <t>0:05:36:19</t>
  </si>
  <si>
    <t>0:05:36:20</t>
  </si>
  <si>
    <t>0:05:36:21</t>
  </si>
  <si>
    <t>0:05:36:22</t>
  </si>
  <si>
    <t>0:05:36:23</t>
  </si>
  <si>
    <t>0:05:36:24</t>
  </si>
  <si>
    <t>0:05:37:00</t>
  </si>
  <si>
    <t>location</t>
  </si>
  <si>
    <t>ÁLL_rövden</t>
  </si>
  <si>
    <t>Akt</t>
  </si>
  <si>
    <t>LOCO</t>
  </si>
  <si>
    <t>0:05:37:01</t>
  </si>
  <si>
    <t>0:05:37:02</t>
  </si>
  <si>
    <t>0:00:34:01</t>
  </si>
  <si>
    <t>0:00:34:02</t>
  </si>
  <si>
    <t>0:00:34:03</t>
  </si>
  <si>
    <t>0:00:34:04</t>
  </si>
  <si>
    <t>0:00:34:05</t>
  </si>
  <si>
    <t>0:00:34:06</t>
  </si>
  <si>
    <t>0:00:34:07</t>
  </si>
  <si>
    <t>0:00:34:08</t>
  </si>
  <si>
    <t>0:00:34:09</t>
  </si>
  <si>
    <t>0:00:34:10</t>
  </si>
  <si>
    <t>0:00:34:11</t>
  </si>
  <si>
    <t>0:00:34:12</t>
  </si>
  <si>
    <t>0:00:34:13</t>
  </si>
  <si>
    <t>0:00:34:14</t>
  </si>
  <si>
    <t>0:00:34:15</t>
  </si>
  <si>
    <t>0:00:34:16</t>
  </si>
  <si>
    <t>0:00:34:17</t>
  </si>
  <si>
    <t>0:00:34:18</t>
  </si>
  <si>
    <t>0:00:34:19</t>
  </si>
  <si>
    <t>0:00:34:20</t>
  </si>
  <si>
    <t>0:00:34:21</t>
  </si>
  <si>
    <t>0:00:34:22</t>
  </si>
  <si>
    <t>0:00:34:23</t>
  </si>
  <si>
    <t>0:00:34:24</t>
  </si>
  <si>
    <t>0:00:35:00</t>
  </si>
  <si>
    <t>0:00:35:01</t>
  </si>
  <si>
    <t>0:00:35:02</t>
  </si>
  <si>
    <t>0:00:35:03</t>
  </si>
  <si>
    <t>0:00:35:04</t>
  </si>
  <si>
    <t>0:00:35:05</t>
  </si>
  <si>
    <t>0:00:35:06</t>
  </si>
  <si>
    <t>0:00:35:07</t>
  </si>
  <si>
    <t>0:00:35:08</t>
  </si>
  <si>
    <t>0:00:35:09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</si>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</sst>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transpose!$K$1</c:f>
              <c:strCache>
                <c:ptCount val="1"/>
                <c:pt idx="0">
                  <c:v>KI_ÁGASK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transpose!$K$2:$K$7660</c:f>
              <c:numCache>
                <c:formatCode>General</c:formatCode>
                <c:ptCount val="7659"/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2495">
                  <c:v>4</c:v>
                </c:pt>
                <c:pt idx="2496">
                  <c:v>4</c:v>
                </c:pt>
                <c:pt idx="2497">
                  <c:v>4</c:v>
                </c:pt>
                <c:pt idx="2498">
                  <c:v>4</c:v>
                </c:pt>
                <c:pt idx="2499">
                  <c:v>4</c:v>
                </c:pt>
                <c:pt idx="2500">
                  <c:v>4</c:v>
                </c:pt>
                <c:pt idx="2501">
                  <c:v>4</c:v>
                </c:pt>
                <c:pt idx="2502">
                  <c:v>4</c:v>
                </c:pt>
                <c:pt idx="2503">
                  <c:v>4</c:v>
                </c:pt>
                <c:pt idx="2504">
                  <c:v>4</c:v>
                </c:pt>
                <c:pt idx="2505">
                  <c:v>4</c:v>
                </c:pt>
                <c:pt idx="2506">
                  <c:v>4</c:v>
                </c:pt>
                <c:pt idx="2507">
                  <c:v>4</c:v>
                </c:pt>
                <c:pt idx="2508">
                  <c:v>4</c:v>
                </c:pt>
                <c:pt idx="2509">
                  <c:v>4</c:v>
                </c:pt>
                <c:pt idx="2510">
                  <c:v>4</c:v>
                </c:pt>
                <c:pt idx="2511">
                  <c:v>4</c:v>
                </c:pt>
                <c:pt idx="2512">
                  <c:v>4</c:v>
                </c:pt>
                <c:pt idx="2513">
                  <c:v>4</c:v>
                </c:pt>
                <c:pt idx="2514">
                  <c:v>4</c:v>
                </c:pt>
                <c:pt idx="2515">
                  <c:v>4</c:v>
                </c:pt>
                <c:pt idx="2516">
                  <c:v>4</c:v>
                </c:pt>
                <c:pt idx="2517">
                  <c:v>4</c:v>
                </c:pt>
                <c:pt idx="2518">
                  <c:v>4</c:v>
                </c:pt>
                <c:pt idx="2519">
                  <c:v>4</c:v>
                </c:pt>
                <c:pt idx="2520">
                  <c:v>4</c:v>
                </c:pt>
                <c:pt idx="2521">
                  <c:v>4</c:v>
                </c:pt>
                <c:pt idx="2522">
                  <c:v>4</c:v>
                </c:pt>
                <c:pt idx="2523">
                  <c:v>4</c:v>
                </c:pt>
                <c:pt idx="2524">
                  <c:v>4</c:v>
                </c:pt>
                <c:pt idx="2525">
                  <c:v>4</c:v>
                </c:pt>
                <c:pt idx="2526">
                  <c:v>4</c:v>
                </c:pt>
                <c:pt idx="2527">
                  <c:v>4</c:v>
                </c:pt>
                <c:pt idx="2528">
                  <c:v>4</c:v>
                </c:pt>
                <c:pt idx="2529">
                  <c:v>4</c:v>
                </c:pt>
                <c:pt idx="2530">
                  <c:v>4</c:v>
                </c:pt>
                <c:pt idx="2531">
                  <c:v>4</c:v>
                </c:pt>
                <c:pt idx="2532">
                  <c:v>4</c:v>
                </c:pt>
                <c:pt idx="2533">
                  <c:v>4</c:v>
                </c:pt>
                <c:pt idx="2534">
                  <c:v>4</c:v>
                </c:pt>
                <c:pt idx="2535">
                  <c:v>4</c:v>
                </c:pt>
                <c:pt idx="2536">
                  <c:v>4</c:v>
                </c:pt>
                <c:pt idx="2537">
                  <c:v>4</c:v>
                </c:pt>
                <c:pt idx="2538">
                  <c:v>4</c:v>
                </c:pt>
                <c:pt idx="2539">
                  <c:v>4</c:v>
                </c:pt>
                <c:pt idx="2540">
                  <c:v>4</c:v>
                </c:pt>
                <c:pt idx="2541">
                  <c:v>4</c:v>
                </c:pt>
                <c:pt idx="2542">
                  <c:v>4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4</c:v>
                </c:pt>
                <c:pt idx="2547">
                  <c:v>4</c:v>
                </c:pt>
                <c:pt idx="2548">
                  <c:v>4</c:v>
                </c:pt>
                <c:pt idx="2549">
                  <c:v>4</c:v>
                </c:pt>
                <c:pt idx="2550">
                  <c:v>4</c:v>
                </c:pt>
                <c:pt idx="2551">
                  <c:v>4</c:v>
                </c:pt>
                <c:pt idx="2552">
                  <c:v>4</c:v>
                </c:pt>
                <c:pt idx="2553">
                  <c:v>4</c:v>
                </c:pt>
                <c:pt idx="2554">
                  <c:v>4</c:v>
                </c:pt>
                <c:pt idx="2555">
                  <c:v>4</c:v>
                </c:pt>
                <c:pt idx="2556">
                  <c:v>4</c:v>
                </c:pt>
                <c:pt idx="3211">
                  <c:v>5</c:v>
                </c:pt>
                <c:pt idx="3212">
                  <c:v>5</c:v>
                </c:pt>
                <c:pt idx="3213">
                  <c:v>5</c:v>
                </c:pt>
                <c:pt idx="3214">
                  <c:v>5</c:v>
                </c:pt>
                <c:pt idx="3215">
                  <c:v>5</c:v>
                </c:pt>
                <c:pt idx="3216">
                  <c:v>5</c:v>
                </c:pt>
                <c:pt idx="3217">
                  <c:v>5</c:v>
                </c:pt>
                <c:pt idx="3218">
                  <c:v>5</c:v>
                </c:pt>
                <c:pt idx="3219">
                  <c:v>5</c:v>
                </c:pt>
                <c:pt idx="3220">
                  <c:v>5</c:v>
                </c:pt>
                <c:pt idx="3221">
                  <c:v>5</c:v>
                </c:pt>
                <c:pt idx="3222">
                  <c:v>5</c:v>
                </c:pt>
                <c:pt idx="3223">
                  <c:v>5</c:v>
                </c:pt>
                <c:pt idx="3224">
                  <c:v>5</c:v>
                </c:pt>
                <c:pt idx="3225">
                  <c:v>5</c:v>
                </c:pt>
                <c:pt idx="3226">
                  <c:v>5</c:v>
                </c:pt>
                <c:pt idx="3227">
                  <c:v>5</c:v>
                </c:pt>
                <c:pt idx="3228">
                  <c:v>5</c:v>
                </c:pt>
                <c:pt idx="3229">
                  <c:v>5</c:v>
                </c:pt>
                <c:pt idx="3259">
                  <c:v>6</c:v>
                </c:pt>
                <c:pt idx="3260">
                  <c:v>6</c:v>
                </c:pt>
                <c:pt idx="3261">
                  <c:v>6</c:v>
                </c:pt>
                <c:pt idx="3262">
                  <c:v>6</c:v>
                </c:pt>
                <c:pt idx="3263">
                  <c:v>6</c:v>
                </c:pt>
                <c:pt idx="3264">
                  <c:v>6</c:v>
                </c:pt>
                <c:pt idx="3265">
                  <c:v>6</c:v>
                </c:pt>
                <c:pt idx="3266">
                  <c:v>6</c:v>
                </c:pt>
                <c:pt idx="3267">
                  <c:v>6</c:v>
                </c:pt>
                <c:pt idx="3268">
                  <c:v>6</c:v>
                </c:pt>
                <c:pt idx="3269">
                  <c:v>6</c:v>
                </c:pt>
                <c:pt idx="3270">
                  <c:v>6</c:v>
                </c:pt>
                <c:pt idx="3271">
                  <c:v>6</c:v>
                </c:pt>
                <c:pt idx="3272">
                  <c:v>6</c:v>
                </c:pt>
                <c:pt idx="3273">
                  <c:v>6</c:v>
                </c:pt>
                <c:pt idx="3274">
                  <c:v>6</c:v>
                </c:pt>
                <c:pt idx="3275">
                  <c:v>6</c:v>
                </c:pt>
                <c:pt idx="3276">
                  <c:v>6</c:v>
                </c:pt>
                <c:pt idx="3277">
                  <c:v>6</c:v>
                </c:pt>
                <c:pt idx="3278">
                  <c:v>6</c:v>
                </c:pt>
                <c:pt idx="3279">
                  <c:v>6</c:v>
                </c:pt>
                <c:pt idx="3280">
                  <c:v>6</c:v>
                </c:pt>
                <c:pt idx="3281">
                  <c:v>6</c:v>
                </c:pt>
                <c:pt idx="3282">
                  <c:v>6</c:v>
                </c:pt>
                <c:pt idx="3283">
                  <c:v>6</c:v>
                </c:pt>
                <c:pt idx="3284">
                  <c:v>6</c:v>
                </c:pt>
                <c:pt idx="3285">
                  <c:v>6</c:v>
                </c:pt>
                <c:pt idx="3286">
                  <c:v>6</c:v>
                </c:pt>
                <c:pt idx="3287">
                  <c:v>6</c:v>
                </c:pt>
                <c:pt idx="3288">
                  <c:v>6</c:v>
                </c:pt>
                <c:pt idx="3289">
                  <c:v>6</c:v>
                </c:pt>
                <c:pt idx="3290">
                  <c:v>6</c:v>
                </c:pt>
                <c:pt idx="3291">
                  <c:v>6</c:v>
                </c:pt>
                <c:pt idx="3292">
                  <c:v>6</c:v>
                </c:pt>
                <c:pt idx="3293">
                  <c:v>6</c:v>
                </c:pt>
                <c:pt idx="3294">
                  <c:v>6</c:v>
                </c:pt>
                <c:pt idx="3295">
                  <c:v>6</c:v>
                </c:pt>
                <c:pt idx="3296">
                  <c:v>6</c:v>
                </c:pt>
                <c:pt idx="3297">
                  <c:v>6</c:v>
                </c:pt>
                <c:pt idx="3298">
                  <c:v>6</c:v>
                </c:pt>
                <c:pt idx="3299">
                  <c:v>6</c:v>
                </c:pt>
                <c:pt idx="3300">
                  <c:v>6</c:v>
                </c:pt>
                <c:pt idx="3301">
                  <c:v>6</c:v>
                </c:pt>
                <c:pt idx="3302">
                  <c:v>6</c:v>
                </c:pt>
                <c:pt idx="3303">
                  <c:v>6</c:v>
                </c:pt>
                <c:pt idx="3304">
                  <c:v>6</c:v>
                </c:pt>
                <c:pt idx="3305">
                  <c:v>6</c:v>
                </c:pt>
                <c:pt idx="3306">
                  <c:v>6</c:v>
                </c:pt>
                <c:pt idx="3307">
                  <c:v>6</c:v>
                </c:pt>
                <c:pt idx="3308">
                  <c:v>6</c:v>
                </c:pt>
                <c:pt idx="3309">
                  <c:v>6</c:v>
                </c:pt>
                <c:pt idx="3441">
                  <c:v>7</c:v>
                </c:pt>
                <c:pt idx="3442">
                  <c:v>7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7</c:v>
                </c:pt>
                <c:pt idx="3447">
                  <c:v>7</c:v>
                </c:pt>
                <c:pt idx="3448">
                  <c:v>7</c:v>
                </c:pt>
                <c:pt idx="3449">
                  <c:v>7</c:v>
                </c:pt>
                <c:pt idx="3450">
                  <c:v>7</c:v>
                </c:pt>
                <c:pt idx="3451">
                  <c:v>7</c:v>
                </c:pt>
                <c:pt idx="3452">
                  <c:v>7</c:v>
                </c:pt>
                <c:pt idx="3453">
                  <c:v>7</c:v>
                </c:pt>
                <c:pt idx="3454">
                  <c:v>7</c:v>
                </c:pt>
                <c:pt idx="3455">
                  <c:v>7</c:v>
                </c:pt>
                <c:pt idx="3456">
                  <c:v>7</c:v>
                </c:pt>
                <c:pt idx="3457">
                  <c:v>7</c:v>
                </c:pt>
                <c:pt idx="3458">
                  <c:v>7</c:v>
                </c:pt>
                <c:pt idx="3459">
                  <c:v>7</c:v>
                </c:pt>
                <c:pt idx="3636">
                  <c:v>8</c:v>
                </c:pt>
                <c:pt idx="3637">
                  <c:v>8</c:v>
                </c:pt>
                <c:pt idx="3638">
                  <c:v>8</c:v>
                </c:pt>
                <c:pt idx="3639">
                  <c:v>8</c:v>
                </c:pt>
                <c:pt idx="3640">
                  <c:v>8</c:v>
                </c:pt>
                <c:pt idx="3641">
                  <c:v>8</c:v>
                </c:pt>
                <c:pt idx="3642">
                  <c:v>8</c:v>
                </c:pt>
                <c:pt idx="3643">
                  <c:v>8</c:v>
                </c:pt>
                <c:pt idx="3644">
                  <c:v>8</c:v>
                </c:pt>
                <c:pt idx="3645">
                  <c:v>8</c:v>
                </c:pt>
                <c:pt idx="3646">
                  <c:v>8</c:v>
                </c:pt>
                <c:pt idx="3647">
                  <c:v>8</c:v>
                </c:pt>
                <c:pt idx="3648">
                  <c:v>8</c:v>
                </c:pt>
                <c:pt idx="3649">
                  <c:v>8</c:v>
                </c:pt>
                <c:pt idx="3650">
                  <c:v>8</c:v>
                </c:pt>
                <c:pt idx="3651">
                  <c:v>8</c:v>
                </c:pt>
                <c:pt idx="3652">
                  <c:v>8</c:v>
                </c:pt>
                <c:pt idx="3698">
                  <c:v>9</c:v>
                </c:pt>
                <c:pt idx="3699">
                  <c:v>9</c:v>
                </c:pt>
                <c:pt idx="3700">
                  <c:v>9</c:v>
                </c:pt>
                <c:pt idx="3701">
                  <c:v>9</c:v>
                </c:pt>
                <c:pt idx="3702">
                  <c:v>9</c:v>
                </c:pt>
                <c:pt idx="3703">
                  <c:v>9</c:v>
                </c:pt>
                <c:pt idx="3704">
                  <c:v>9</c:v>
                </c:pt>
                <c:pt idx="3705">
                  <c:v>9</c:v>
                </c:pt>
                <c:pt idx="3729">
                  <c:v>10</c:v>
                </c:pt>
                <c:pt idx="3730">
                  <c:v>10</c:v>
                </c:pt>
                <c:pt idx="3731">
                  <c:v>10</c:v>
                </c:pt>
                <c:pt idx="3732">
                  <c:v>10</c:v>
                </c:pt>
                <c:pt idx="3733">
                  <c:v>10</c:v>
                </c:pt>
                <c:pt idx="3734">
                  <c:v>10</c:v>
                </c:pt>
                <c:pt idx="3735">
                  <c:v>10</c:v>
                </c:pt>
                <c:pt idx="3736">
                  <c:v>10</c:v>
                </c:pt>
                <c:pt idx="3737">
                  <c:v>10</c:v>
                </c:pt>
                <c:pt idx="3738">
                  <c:v>10</c:v>
                </c:pt>
                <c:pt idx="3739">
                  <c:v>10</c:v>
                </c:pt>
                <c:pt idx="3740">
                  <c:v>10</c:v>
                </c:pt>
                <c:pt idx="3741">
                  <c:v>10</c:v>
                </c:pt>
                <c:pt idx="3742">
                  <c:v>10</c:v>
                </c:pt>
                <c:pt idx="3743">
                  <c:v>10</c:v>
                </c:pt>
                <c:pt idx="3744">
                  <c:v>10</c:v>
                </c:pt>
                <c:pt idx="3745">
                  <c:v>10</c:v>
                </c:pt>
                <c:pt idx="3746">
                  <c:v>10</c:v>
                </c:pt>
                <c:pt idx="3747">
                  <c:v>10</c:v>
                </c:pt>
                <c:pt idx="3748">
                  <c:v>10</c:v>
                </c:pt>
                <c:pt idx="3749">
                  <c:v>10</c:v>
                </c:pt>
                <c:pt idx="3750">
                  <c:v>10</c:v>
                </c:pt>
                <c:pt idx="3751">
                  <c:v>10</c:v>
                </c:pt>
                <c:pt idx="3752">
                  <c:v>10</c:v>
                </c:pt>
                <c:pt idx="3753">
                  <c:v>10</c:v>
                </c:pt>
                <c:pt idx="3754">
                  <c:v>10</c:v>
                </c:pt>
                <c:pt idx="3755">
                  <c:v>10</c:v>
                </c:pt>
                <c:pt idx="3756">
                  <c:v>10</c:v>
                </c:pt>
                <c:pt idx="3757">
                  <c:v>10</c:v>
                </c:pt>
                <c:pt idx="3758">
                  <c:v>10</c:v>
                </c:pt>
                <c:pt idx="3759">
                  <c:v>10</c:v>
                </c:pt>
                <c:pt idx="5772">
                  <c:v>11</c:v>
                </c:pt>
                <c:pt idx="5773">
                  <c:v>11</c:v>
                </c:pt>
                <c:pt idx="5774">
                  <c:v>11</c:v>
                </c:pt>
                <c:pt idx="5775">
                  <c:v>11</c:v>
                </c:pt>
                <c:pt idx="5776">
                  <c:v>11</c:v>
                </c:pt>
                <c:pt idx="5777">
                  <c:v>11</c:v>
                </c:pt>
                <c:pt idx="5778">
                  <c:v>11</c:v>
                </c:pt>
                <c:pt idx="5779">
                  <c:v>11</c:v>
                </c:pt>
                <c:pt idx="5780">
                  <c:v>11</c:v>
                </c:pt>
                <c:pt idx="5781">
                  <c:v>11</c:v>
                </c:pt>
                <c:pt idx="5782">
                  <c:v>11</c:v>
                </c:pt>
                <c:pt idx="5783">
                  <c:v>11</c:v>
                </c:pt>
                <c:pt idx="5882">
                  <c:v>12</c:v>
                </c:pt>
                <c:pt idx="5883">
                  <c:v>12</c:v>
                </c:pt>
                <c:pt idx="5884">
                  <c:v>12</c:v>
                </c:pt>
                <c:pt idx="5885">
                  <c:v>12</c:v>
                </c:pt>
                <c:pt idx="5886">
                  <c:v>12</c:v>
                </c:pt>
                <c:pt idx="5887">
                  <c:v>12</c:v>
                </c:pt>
                <c:pt idx="5888">
                  <c:v>12</c:v>
                </c:pt>
                <c:pt idx="5889">
                  <c:v>12</c:v>
                </c:pt>
                <c:pt idx="5890">
                  <c:v>12</c:v>
                </c:pt>
                <c:pt idx="5891">
                  <c:v>12</c:v>
                </c:pt>
                <c:pt idx="5892">
                  <c:v>12</c:v>
                </c:pt>
                <c:pt idx="5893">
                  <c:v>12</c:v>
                </c:pt>
                <c:pt idx="5894">
                  <c:v>12</c:v>
                </c:pt>
                <c:pt idx="5895">
                  <c:v>12</c:v>
                </c:pt>
                <c:pt idx="5896">
                  <c:v>12</c:v>
                </c:pt>
                <c:pt idx="5897">
                  <c:v>12</c:v>
                </c:pt>
                <c:pt idx="5898">
                  <c:v>12</c:v>
                </c:pt>
                <c:pt idx="5899">
                  <c:v>12</c:v>
                </c:pt>
                <c:pt idx="5900">
                  <c:v>12</c:v>
                </c:pt>
                <c:pt idx="5901">
                  <c:v>12</c:v>
                </c:pt>
                <c:pt idx="5902">
                  <c:v>12</c:v>
                </c:pt>
                <c:pt idx="5903">
                  <c:v>12</c:v>
                </c:pt>
                <c:pt idx="5904">
                  <c:v>12</c:v>
                </c:pt>
                <c:pt idx="5905">
                  <c:v>12</c:v>
                </c:pt>
                <c:pt idx="5906">
                  <c:v>12</c:v>
                </c:pt>
                <c:pt idx="5907">
                  <c:v>12</c:v>
                </c:pt>
                <c:pt idx="5908">
                  <c:v>12</c:v>
                </c:pt>
                <c:pt idx="5909">
                  <c:v>12</c:v>
                </c:pt>
                <c:pt idx="5910">
                  <c:v>12</c:v>
                </c:pt>
                <c:pt idx="5911">
                  <c:v>12</c:v>
                </c:pt>
                <c:pt idx="5912">
                  <c:v>12</c:v>
                </c:pt>
                <c:pt idx="5913">
                  <c:v>12</c:v>
                </c:pt>
                <c:pt idx="5914">
                  <c:v>12</c:v>
                </c:pt>
                <c:pt idx="5915">
                  <c:v>12</c:v>
                </c:pt>
                <c:pt idx="5916">
                  <c:v>12</c:v>
                </c:pt>
                <c:pt idx="5917">
                  <c:v>12</c:v>
                </c:pt>
                <c:pt idx="5918">
                  <c:v>12</c:v>
                </c:pt>
                <c:pt idx="5919">
                  <c:v>12</c:v>
                </c:pt>
                <c:pt idx="5920">
                  <c:v>12</c:v>
                </c:pt>
                <c:pt idx="5921">
                  <c:v>12</c:v>
                </c:pt>
                <c:pt idx="5922">
                  <c:v>12</c:v>
                </c:pt>
                <c:pt idx="5923">
                  <c:v>12</c:v>
                </c:pt>
                <c:pt idx="5924">
                  <c:v>12</c:v>
                </c:pt>
                <c:pt idx="5925">
                  <c:v>12</c:v>
                </c:pt>
                <c:pt idx="5926">
                  <c:v>12</c:v>
                </c:pt>
                <c:pt idx="5927">
                  <c:v>12</c:v>
                </c:pt>
                <c:pt idx="5928">
                  <c:v>12</c:v>
                </c:pt>
                <c:pt idx="5929">
                  <c:v>12</c:v>
                </c:pt>
                <c:pt idx="5930">
                  <c:v>12</c:v>
                </c:pt>
                <c:pt idx="5931">
                  <c:v>12</c:v>
                </c:pt>
                <c:pt idx="5932">
                  <c:v>12</c:v>
                </c:pt>
                <c:pt idx="5933">
                  <c:v>12</c:v>
                </c:pt>
                <c:pt idx="5934">
                  <c:v>12</c:v>
                </c:pt>
                <c:pt idx="5935">
                  <c:v>12</c:v>
                </c:pt>
                <c:pt idx="5936">
                  <c:v>12</c:v>
                </c:pt>
                <c:pt idx="5937">
                  <c:v>12</c:v>
                </c:pt>
                <c:pt idx="5938">
                  <c:v>12</c:v>
                </c:pt>
                <c:pt idx="5939">
                  <c:v>12</c:v>
                </c:pt>
                <c:pt idx="5940">
                  <c:v>12</c:v>
                </c:pt>
                <c:pt idx="5941">
                  <c:v>12</c:v>
                </c:pt>
                <c:pt idx="5942">
                  <c:v>12</c:v>
                </c:pt>
                <c:pt idx="5943">
                  <c:v>12</c:v>
                </c:pt>
                <c:pt idx="5944">
                  <c:v>12</c:v>
                </c:pt>
                <c:pt idx="6179">
                  <c:v>13</c:v>
                </c:pt>
                <c:pt idx="6180">
                  <c:v>13</c:v>
                </c:pt>
                <c:pt idx="6181">
                  <c:v>13</c:v>
                </c:pt>
                <c:pt idx="6182">
                  <c:v>13</c:v>
                </c:pt>
                <c:pt idx="6183">
                  <c:v>13</c:v>
                </c:pt>
                <c:pt idx="6184">
                  <c:v>13</c:v>
                </c:pt>
                <c:pt idx="6185">
                  <c:v>13</c:v>
                </c:pt>
                <c:pt idx="6186">
                  <c:v>13</c:v>
                </c:pt>
                <c:pt idx="6187">
                  <c:v>13</c:v>
                </c:pt>
                <c:pt idx="6188">
                  <c:v>13</c:v>
                </c:pt>
                <c:pt idx="6189">
                  <c:v>13</c:v>
                </c:pt>
                <c:pt idx="6190">
                  <c:v>13</c:v>
                </c:pt>
                <c:pt idx="7013">
                  <c:v>14</c:v>
                </c:pt>
                <c:pt idx="7014">
                  <c:v>14</c:v>
                </c:pt>
                <c:pt idx="7015">
                  <c:v>14</c:v>
                </c:pt>
                <c:pt idx="7016">
                  <c:v>14</c:v>
                </c:pt>
                <c:pt idx="7017">
                  <c:v>14</c:v>
                </c:pt>
                <c:pt idx="7018">
                  <c:v>14</c:v>
                </c:pt>
                <c:pt idx="7019">
                  <c:v>14</c:v>
                </c:pt>
                <c:pt idx="7020">
                  <c:v>14</c:v>
                </c:pt>
                <c:pt idx="7021">
                  <c:v>14</c:v>
                </c:pt>
                <c:pt idx="7022">
                  <c:v>14</c:v>
                </c:pt>
                <c:pt idx="7023">
                  <c:v>14</c:v>
                </c:pt>
                <c:pt idx="7024">
                  <c:v>14</c:v>
                </c:pt>
                <c:pt idx="7025">
                  <c:v>14</c:v>
                </c:pt>
                <c:pt idx="7026">
                  <c:v>14</c:v>
                </c:pt>
                <c:pt idx="7027">
                  <c:v>14</c:v>
                </c:pt>
                <c:pt idx="7028">
                  <c:v>14</c:v>
                </c:pt>
                <c:pt idx="7029">
                  <c:v>14</c:v>
                </c:pt>
                <c:pt idx="7030">
                  <c:v>14</c:v>
                </c:pt>
                <c:pt idx="7031">
                  <c:v>14</c:v>
                </c:pt>
                <c:pt idx="7032">
                  <c:v>14</c:v>
                </c:pt>
                <c:pt idx="7033">
                  <c:v>14</c:v>
                </c:pt>
                <c:pt idx="7034">
                  <c:v>14</c:v>
                </c:pt>
                <c:pt idx="7035">
                  <c:v>14</c:v>
                </c:pt>
                <c:pt idx="7036">
                  <c:v>14</c:v>
                </c:pt>
                <c:pt idx="7037">
                  <c:v>14</c:v>
                </c:pt>
                <c:pt idx="7038">
                  <c:v>14</c:v>
                </c:pt>
                <c:pt idx="7039">
                  <c:v>14</c:v>
                </c:pt>
                <c:pt idx="7040">
                  <c:v>14</c:v>
                </c:pt>
                <c:pt idx="7041">
                  <c:v>14</c:v>
                </c:pt>
                <c:pt idx="7042">
                  <c:v>14</c:v>
                </c:pt>
                <c:pt idx="7043">
                  <c:v>14</c:v>
                </c:pt>
                <c:pt idx="7044">
                  <c:v>14</c:v>
                </c:pt>
                <c:pt idx="7045">
                  <c:v>14</c:v>
                </c:pt>
                <c:pt idx="7046">
                  <c:v>14</c:v>
                </c:pt>
                <c:pt idx="7047">
                  <c:v>14</c:v>
                </c:pt>
                <c:pt idx="7048">
                  <c:v>14</c:v>
                </c:pt>
                <c:pt idx="7049">
                  <c:v>14</c:v>
                </c:pt>
                <c:pt idx="7050">
                  <c:v>14</c:v>
                </c:pt>
                <c:pt idx="7051">
                  <c:v>14</c:v>
                </c:pt>
                <c:pt idx="7298">
                  <c:v>15</c:v>
                </c:pt>
                <c:pt idx="7299">
                  <c:v>15</c:v>
                </c:pt>
                <c:pt idx="7300">
                  <c:v>15</c:v>
                </c:pt>
                <c:pt idx="7301">
                  <c:v>15</c:v>
                </c:pt>
                <c:pt idx="7302">
                  <c:v>15</c:v>
                </c:pt>
                <c:pt idx="7303">
                  <c:v>15</c:v>
                </c:pt>
                <c:pt idx="7304">
                  <c:v>15</c:v>
                </c:pt>
                <c:pt idx="7305">
                  <c:v>15</c:v>
                </c:pt>
                <c:pt idx="7306">
                  <c:v>15</c:v>
                </c:pt>
                <c:pt idx="7307">
                  <c:v>15</c:v>
                </c:pt>
                <c:pt idx="7308">
                  <c:v>15</c:v>
                </c:pt>
                <c:pt idx="7309">
                  <c:v>15</c:v>
                </c:pt>
                <c:pt idx="7310">
                  <c:v>15</c:v>
                </c:pt>
                <c:pt idx="7311">
                  <c:v>15</c:v>
                </c:pt>
                <c:pt idx="7312">
                  <c:v>15</c:v>
                </c:pt>
                <c:pt idx="7313">
                  <c:v>15</c:v>
                </c:pt>
                <c:pt idx="7314">
                  <c:v>15</c:v>
                </c:pt>
                <c:pt idx="7315">
                  <c:v>15</c:v>
                </c:pt>
                <c:pt idx="7316">
                  <c:v>15</c:v>
                </c:pt>
                <c:pt idx="7317">
                  <c:v>15</c:v>
                </c:pt>
                <c:pt idx="7318">
                  <c:v>15</c:v>
                </c:pt>
                <c:pt idx="7319">
                  <c:v>15</c:v>
                </c:pt>
                <c:pt idx="7320">
                  <c:v>15</c:v>
                </c:pt>
                <c:pt idx="7321">
                  <c:v>15</c:v>
                </c:pt>
                <c:pt idx="7322">
                  <c:v>15</c:v>
                </c:pt>
                <c:pt idx="7323">
                  <c:v>15</c:v>
                </c:pt>
                <c:pt idx="7324">
                  <c:v>15</c:v>
                </c:pt>
                <c:pt idx="7325">
                  <c:v>15</c:v>
                </c:pt>
                <c:pt idx="7326">
                  <c:v>15</c:v>
                </c:pt>
                <c:pt idx="7327">
                  <c:v>15</c:v>
                </c:pt>
                <c:pt idx="7328">
                  <c:v>15</c:v>
                </c:pt>
                <c:pt idx="7329">
                  <c:v>15</c:v>
                </c:pt>
                <c:pt idx="7330">
                  <c:v>15</c:v>
                </c:pt>
                <c:pt idx="7331">
                  <c:v>15</c:v>
                </c:pt>
                <c:pt idx="7332">
                  <c:v>15</c:v>
                </c:pt>
                <c:pt idx="7333">
                  <c:v>15</c:v>
                </c:pt>
                <c:pt idx="7334">
                  <c:v>15</c:v>
                </c:pt>
                <c:pt idx="7335">
                  <c:v>15</c:v>
                </c:pt>
                <c:pt idx="7336">
                  <c:v>15</c:v>
                </c:pt>
                <c:pt idx="7337">
                  <c:v>15</c:v>
                </c:pt>
                <c:pt idx="7338">
                  <c:v>15</c:v>
                </c:pt>
                <c:pt idx="7339">
                  <c:v>15</c:v>
                </c:pt>
                <c:pt idx="7340">
                  <c:v>15</c:v>
                </c:pt>
                <c:pt idx="7341">
                  <c:v>15</c:v>
                </c:pt>
                <c:pt idx="7342">
                  <c:v>15</c:v>
                </c:pt>
                <c:pt idx="7343">
                  <c:v>15</c:v>
                </c:pt>
                <c:pt idx="7344">
                  <c:v>15</c:v>
                </c:pt>
                <c:pt idx="7345">
                  <c:v>15</c:v>
                </c:pt>
                <c:pt idx="7346">
                  <c:v>15</c:v>
                </c:pt>
                <c:pt idx="7347">
                  <c:v>15</c:v>
                </c:pt>
                <c:pt idx="7348">
                  <c:v>15</c:v>
                </c:pt>
                <c:pt idx="7349">
                  <c:v>15</c:v>
                </c:pt>
                <c:pt idx="7350">
                  <c:v>15</c:v>
                </c:pt>
                <c:pt idx="7351">
                  <c:v>15</c:v>
                </c:pt>
                <c:pt idx="7352">
                  <c:v>15</c:v>
                </c:pt>
                <c:pt idx="7353">
                  <c:v>15</c:v>
                </c:pt>
                <c:pt idx="7354">
                  <c:v>15</c:v>
                </c:pt>
                <c:pt idx="7355">
                  <c:v>15</c:v>
                </c:pt>
                <c:pt idx="7356">
                  <c:v>15</c:v>
                </c:pt>
                <c:pt idx="7357">
                  <c:v>15</c:v>
                </c:pt>
                <c:pt idx="7358">
                  <c:v>15</c:v>
                </c:pt>
                <c:pt idx="7359">
                  <c:v>15</c:v>
                </c:pt>
                <c:pt idx="7360">
                  <c:v>15</c:v>
                </c:pt>
                <c:pt idx="7361">
                  <c:v>15</c:v>
                </c:pt>
                <c:pt idx="7362">
                  <c:v>15</c:v>
                </c:pt>
                <c:pt idx="7363">
                  <c:v>15</c:v>
                </c:pt>
                <c:pt idx="7364">
                  <c:v>15</c:v>
                </c:pt>
                <c:pt idx="7365">
                  <c:v>15</c:v>
                </c:pt>
                <c:pt idx="7366">
                  <c:v>15</c:v>
                </c:pt>
                <c:pt idx="7367">
                  <c:v>15</c:v>
                </c:pt>
                <c:pt idx="7368">
                  <c:v>15</c:v>
                </c:pt>
                <c:pt idx="7369">
                  <c:v>15</c:v>
                </c:pt>
                <c:pt idx="7370">
                  <c:v>15</c:v>
                </c:pt>
                <c:pt idx="7371">
                  <c:v>15</c:v>
                </c:pt>
                <c:pt idx="7372">
                  <c:v>15</c:v>
                </c:pt>
                <c:pt idx="7373">
                  <c:v>15</c:v>
                </c:pt>
                <c:pt idx="7374">
                  <c:v>15</c:v>
                </c:pt>
                <c:pt idx="7375">
                  <c:v>15</c:v>
                </c:pt>
                <c:pt idx="7376">
                  <c:v>15</c:v>
                </c:pt>
                <c:pt idx="7377">
                  <c:v>15</c:v>
                </c:pt>
                <c:pt idx="7378">
                  <c:v>15</c:v>
                </c:pt>
                <c:pt idx="7379">
                  <c:v>15</c:v>
                </c:pt>
                <c:pt idx="7380">
                  <c:v>15</c:v>
                </c:pt>
                <c:pt idx="7381">
                  <c:v>15</c:v>
                </c:pt>
                <c:pt idx="7382">
                  <c:v>15</c:v>
                </c:pt>
                <c:pt idx="7383">
                  <c:v>15</c:v>
                </c:pt>
                <c:pt idx="7384">
                  <c:v>15</c:v>
                </c:pt>
                <c:pt idx="7385">
                  <c:v>15</c:v>
                </c:pt>
                <c:pt idx="7386">
                  <c:v>15</c:v>
                </c:pt>
                <c:pt idx="7387">
                  <c:v>15</c:v>
                </c:pt>
                <c:pt idx="7388">
                  <c:v>15</c:v>
                </c:pt>
                <c:pt idx="7389">
                  <c:v>15</c:v>
                </c:pt>
                <c:pt idx="7390">
                  <c:v>15</c:v>
                </c:pt>
                <c:pt idx="7391">
                  <c:v>15</c:v>
                </c:pt>
                <c:pt idx="7392">
                  <c:v>15</c:v>
                </c:pt>
                <c:pt idx="7393">
                  <c:v>15</c:v>
                </c:pt>
                <c:pt idx="7394">
                  <c:v>15</c:v>
                </c:pt>
                <c:pt idx="7395">
                  <c:v>15</c:v>
                </c:pt>
                <c:pt idx="7396">
                  <c:v>15</c:v>
                </c:pt>
                <c:pt idx="7397">
                  <c:v>15</c:v>
                </c:pt>
                <c:pt idx="7398">
                  <c:v>15</c:v>
                </c:pt>
                <c:pt idx="7399">
                  <c:v>15</c:v>
                </c:pt>
                <c:pt idx="7400">
                  <c:v>15</c:v>
                </c:pt>
                <c:pt idx="7401">
                  <c:v>15</c:v>
                </c:pt>
                <c:pt idx="7402">
                  <c:v>15</c:v>
                </c:pt>
                <c:pt idx="7403">
                  <c:v>15</c:v>
                </c:pt>
                <c:pt idx="7404">
                  <c:v>15</c:v>
                </c:pt>
                <c:pt idx="7405">
                  <c:v>15</c:v>
                </c:pt>
                <c:pt idx="7406">
                  <c:v>15</c:v>
                </c:pt>
                <c:pt idx="7407">
                  <c:v>15</c:v>
                </c:pt>
                <c:pt idx="7408">
                  <c:v>15</c:v>
                </c:pt>
                <c:pt idx="7409">
                  <c:v>15</c:v>
                </c:pt>
                <c:pt idx="741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9-416A-AB63-F6FB6D506E08}"/>
            </c:ext>
          </c:extLst>
        </c:ser>
        <c:ser>
          <c:idx val="1"/>
          <c:order val="1"/>
          <c:tx>
            <c:strRef>
              <c:f>transpose!$L$1</c:f>
              <c:strCache>
                <c:ptCount val="1"/>
                <c:pt idx="0">
                  <c:v>BE_ÁGASK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transpose!$L$2:$L$7660</c:f>
              <c:numCache>
                <c:formatCode>General</c:formatCode>
                <c:ptCount val="7659"/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530">
                  <c:v>4</c:v>
                </c:pt>
                <c:pt idx="3531">
                  <c:v>4</c:v>
                </c:pt>
                <c:pt idx="3532">
                  <c:v>4</c:v>
                </c:pt>
                <c:pt idx="3533">
                  <c:v>4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71">
                  <c:v>5</c:v>
                </c:pt>
                <c:pt idx="3572">
                  <c:v>5</c:v>
                </c:pt>
                <c:pt idx="3573">
                  <c:v>5</c:v>
                </c:pt>
                <c:pt idx="3574">
                  <c:v>5</c:v>
                </c:pt>
                <c:pt idx="3575">
                  <c:v>5</c:v>
                </c:pt>
                <c:pt idx="3576">
                  <c:v>5</c:v>
                </c:pt>
                <c:pt idx="3577">
                  <c:v>5</c:v>
                </c:pt>
                <c:pt idx="3578">
                  <c:v>5</c:v>
                </c:pt>
                <c:pt idx="3579">
                  <c:v>5</c:v>
                </c:pt>
                <c:pt idx="3580">
                  <c:v>5</c:v>
                </c:pt>
                <c:pt idx="3581">
                  <c:v>5</c:v>
                </c:pt>
                <c:pt idx="3582">
                  <c:v>5</c:v>
                </c:pt>
                <c:pt idx="3583">
                  <c:v>5</c:v>
                </c:pt>
                <c:pt idx="3584">
                  <c:v>5</c:v>
                </c:pt>
                <c:pt idx="3605">
                  <c:v>6</c:v>
                </c:pt>
                <c:pt idx="3606">
                  <c:v>6</c:v>
                </c:pt>
                <c:pt idx="3607">
                  <c:v>6</c:v>
                </c:pt>
                <c:pt idx="3608">
                  <c:v>6</c:v>
                </c:pt>
                <c:pt idx="3609">
                  <c:v>6</c:v>
                </c:pt>
                <c:pt idx="3610">
                  <c:v>6</c:v>
                </c:pt>
                <c:pt idx="3611">
                  <c:v>6</c:v>
                </c:pt>
                <c:pt idx="3612">
                  <c:v>6</c:v>
                </c:pt>
                <c:pt idx="3613">
                  <c:v>6</c:v>
                </c:pt>
                <c:pt idx="3614">
                  <c:v>6</c:v>
                </c:pt>
                <c:pt idx="3615">
                  <c:v>6</c:v>
                </c:pt>
                <c:pt idx="3616">
                  <c:v>6</c:v>
                </c:pt>
                <c:pt idx="3617">
                  <c:v>6</c:v>
                </c:pt>
                <c:pt idx="3618">
                  <c:v>6</c:v>
                </c:pt>
                <c:pt idx="3619">
                  <c:v>6</c:v>
                </c:pt>
                <c:pt idx="3620">
                  <c:v>6</c:v>
                </c:pt>
                <c:pt idx="3621">
                  <c:v>6</c:v>
                </c:pt>
                <c:pt idx="3622">
                  <c:v>6</c:v>
                </c:pt>
                <c:pt idx="3623">
                  <c:v>6</c:v>
                </c:pt>
                <c:pt idx="3624">
                  <c:v>6</c:v>
                </c:pt>
                <c:pt idx="3625">
                  <c:v>6</c:v>
                </c:pt>
                <c:pt idx="3626">
                  <c:v>6</c:v>
                </c:pt>
                <c:pt idx="3760">
                  <c:v>7</c:v>
                </c:pt>
                <c:pt idx="3761">
                  <c:v>7</c:v>
                </c:pt>
                <c:pt idx="3762">
                  <c:v>7</c:v>
                </c:pt>
                <c:pt idx="3763">
                  <c:v>7</c:v>
                </c:pt>
                <c:pt idx="3764">
                  <c:v>7</c:v>
                </c:pt>
                <c:pt idx="3765">
                  <c:v>7</c:v>
                </c:pt>
                <c:pt idx="3766">
                  <c:v>7</c:v>
                </c:pt>
                <c:pt idx="3767">
                  <c:v>7</c:v>
                </c:pt>
                <c:pt idx="3768">
                  <c:v>7</c:v>
                </c:pt>
                <c:pt idx="3769">
                  <c:v>7</c:v>
                </c:pt>
                <c:pt idx="3770">
                  <c:v>7</c:v>
                </c:pt>
                <c:pt idx="3771">
                  <c:v>7</c:v>
                </c:pt>
                <c:pt idx="3772">
                  <c:v>7</c:v>
                </c:pt>
                <c:pt idx="3773">
                  <c:v>7</c:v>
                </c:pt>
                <c:pt idx="3774">
                  <c:v>7</c:v>
                </c:pt>
                <c:pt idx="3775">
                  <c:v>7</c:v>
                </c:pt>
                <c:pt idx="3776">
                  <c:v>7</c:v>
                </c:pt>
                <c:pt idx="3777">
                  <c:v>7</c:v>
                </c:pt>
                <c:pt idx="3778">
                  <c:v>7</c:v>
                </c:pt>
                <c:pt idx="3779">
                  <c:v>7</c:v>
                </c:pt>
                <c:pt idx="3780">
                  <c:v>7</c:v>
                </c:pt>
                <c:pt idx="3781">
                  <c:v>7</c:v>
                </c:pt>
                <c:pt idx="3782">
                  <c:v>7</c:v>
                </c:pt>
                <c:pt idx="3783">
                  <c:v>7</c:v>
                </c:pt>
                <c:pt idx="3784">
                  <c:v>7</c:v>
                </c:pt>
                <c:pt idx="3785">
                  <c:v>7</c:v>
                </c:pt>
                <c:pt idx="3786">
                  <c:v>7</c:v>
                </c:pt>
                <c:pt idx="3787">
                  <c:v>7</c:v>
                </c:pt>
                <c:pt idx="3788">
                  <c:v>7</c:v>
                </c:pt>
                <c:pt idx="3789">
                  <c:v>7</c:v>
                </c:pt>
                <c:pt idx="3790">
                  <c:v>7</c:v>
                </c:pt>
                <c:pt idx="3791">
                  <c:v>7</c:v>
                </c:pt>
                <c:pt idx="3792">
                  <c:v>7</c:v>
                </c:pt>
                <c:pt idx="3793">
                  <c:v>7</c:v>
                </c:pt>
                <c:pt idx="3794">
                  <c:v>7</c:v>
                </c:pt>
                <c:pt idx="3795">
                  <c:v>7</c:v>
                </c:pt>
                <c:pt idx="3796">
                  <c:v>7</c:v>
                </c:pt>
                <c:pt idx="3797">
                  <c:v>7</c:v>
                </c:pt>
                <c:pt idx="3798">
                  <c:v>7</c:v>
                </c:pt>
                <c:pt idx="3799">
                  <c:v>7</c:v>
                </c:pt>
                <c:pt idx="3800">
                  <c:v>7</c:v>
                </c:pt>
                <c:pt idx="3801">
                  <c:v>7</c:v>
                </c:pt>
                <c:pt idx="3802">
                  <c:v>7</c:v>
                </c:pt>
                <c:pt idx="3803">
                  <c:v>7</c:v>
                </c:pt>
                <c:pt idx="3804">
                  <c:v>7</c:v>
                </c:pt>
                <c:pt idx="3805">
                  <c:v>7</c:v>
                </c:pt>
                <c:pt idx="3806">
                  <c:v>7</c:v>
                </c:pt>
                <c:pt idx="3807">
                  <c:v>7</c:v>
                </c:pt>
                <c:pt idx="3808">
                  <c:v>7</c:v>
                </c:pt>
                <c:pt idx="3809">
                  <c:v>7</c:v>
                </c:pt>
                <c:pt idx="3810">
                  <c:v>7</c:v>
                </c:pt>
                <c:pt idx="3811">
                  <c:v>7</c:v>
                </c:pt>
                <c:pt idx="3812">
                  <c:v>7</c:v>
                </c:pt>
                <c:pt idx="3813">
                  <c:v>7</c:v>
                </c:pt>
                <c:pt idx="3814">
                  <c:v>7</c:v>
                </c:pt>
                <c:pt idx="3815">
                  <c:v>7</c:v>
                </c:pt>
                <c:pt idx="3816">
                  <c:v>7</c:v>
                </c:pt>
                <c:pt idx="3817">
                  <c:v>7</c:v>
                </c:pt>
                <c:pt idx="3818">
                  <c:v>7</c:v>
                </c:pt>
                <c:pt idx="3819">
                  <c:v>7</c:v>
                </c:pt>
                <c:pt idx="3820">
                  <c:v>7</c:v>
                </c:pt>
                <c:pt idx="3821">
                  <c:v>7</c:v>
                </c:pt>
                <c:pt idx="3822">
                  <c:v>7</c:v>
                </c:pt>
                <c:pt idx="3823">
                  <c:v>7</c:v>
                </c:pt>
                <c:pt idx="3824">
                  <c:v>7</c:v>
                </c:pt>
                <c:pt idx="3837">
                  <c:v>8</c:v>
                </c:pt>
                <c:pt idx="3838">
                  <c:v>8</c:v>
                </c:pt>
                <c:pt idx="3839">
                  <c:v>8</c:v>
                </c:pt>
                <c:pt idx="3840">
                  <c:v>8</c:v>
                </c:pt>
                <c:pt idx="3841">
                  <c:v>8</c:v>
                </c:pt>
                <c:pt idx="3842">
                  <c:v>8</c:v>
                </c:pt>
                <c:pt idx="3843">
                  <c:v>8</c:v>
                </c:pt>
                <c:pt idx="3844">
                  <c:v>8</c:v>
                </c:pt>
                <c:pt idx="4676">
                  <c:v>9</c:v>
                </c:pt>
                <c:pt idx="4677">
                  <c:v>9</c:v>
                </c:pt>
                <c:pt idx="4678">
                  <c:v>9</c:v>
                </c:pt>
                <c:pt idx="4679">
                  <c:v>9</c:v>
                </c:pt>
                <c:pt idx="4680">
                  <c:v>9</c:v>
                </c:pt>
                <c:pt idx="4681">
                  <c:v>9</c:v>
                </c:pt>
                <c:pt idx="4682">
                  <c:v>9</c:v>
                </c:pt>
                <c:pt idx="4683">
                  <c:v>9</c:v>
                </c:pt>
                <c:pt idx="4684">
                  <c:v>9</c:v>
                </c:pt>
                <c:pt idx="4685">
                  <c:v>9</c:v>
                </c:pt>
                <c:pt idx="4686">
                  <c:v>9</c:v>
                </c:pt>
                <c:pt idx="4687">
                  <c:v>9</c:v>
                </c:pt>
                <c:pt idx="4688">
                  <c:v>9</c:v>
                </c:pt>
                <c:pt idx="4689">
                  <c:v>9</c:v>
                </c:pt>
                <c:pt idx="4690">
                  <c:v>9</c:v>
                </c:pt>
                <c:pt idx="4691">
                  <c:v>9</c:v>
                </c:pt>
                <c:pt idx="4692">
                  <c:v>9</c:v>
                </c:pt>
                <c:pt idx="4693">
                  <c:v>9</c:v>
                </c:pt>
                <c:pt idx="4694">
                  <c:v>9</c:v>
                </c:pt>
                <c:pt idx="4695">
                  <c:v>9</c:v>
                </c:pt>
                <c:pt idx="4696">
                  <c:v>9</c:v>
                </c:pt>
                <c:pt idx="4697">
                  <c:v>9</c:v>
                </c:pt>
                <c:pt idx="4698">
                  <c:v>9</c:v>
                </c:pt>
                <c:pt idx="4699">
                  <c:v>9</c:v>
                </c:pt>
                <c:pt idx="4700">
                  <c:v>9</c:v>
                </c:pt>
                <c:pt idx="4701">
                  <c:v>9</c:v>
                </c:pt>
                <c:pt idx="4702">
                  <c:v>9</c:v>
                </c:pt>
                <c:pt idx="4703">
                  <c:v>9</c:v>
                </c:pt>
                <c:pt idx="4704">
                  <c:v>9</c:v>
                </c:pt>
                <c:pt idx="4876">
                  <c:v>10</c:v>
                </c:pt>
                <c:pt idx="4877">
                  <c:v>10</c:v>
                </c:pt>
                <c:pt idx="4878">
                  <c:v>10</c:v>
                </c:pt>
                <c:pt idx="4879">
                  <c:v>10</c:v>
                </c:pt>
                <c:pt idx="4880">
                  <c:v>10</c:v>
                </c:pt>
                <c:pt idx="4881">
                  <c:v>10</c:v>
                </c:pt>
                <c:pt idx="4882">
                  <c:v>10</c:v>
                </c:pt>
                <c:pt idx="4883">
                  <c:v>10</c:v>
                </c:pt>
                <c:pt idx="4884">
                  <c:v>10</c:v>
                </c:pt>
                <c:pt idx="4885">
                  <c:v>10</c:v>
                </c:pt>
                <c:pt idx="4886">
                  <c:v>10</c:v>
                </c:pt>
                <c:pt idx="4887">
                  <c:v>10</c:v>
                </c:pt>
                <c:pt idx="4888">
                  <c:v>10</c:v>
                </c:pt>
                <c:pt idx="4889">
                  <c:v>10</c:v>
                </c:pt>
                <c:pt idx="4890">
                  <c:v>10</c:v>
                </c:pt>
                <c:pt idx="4891">
                  <c:v>10</c:v>
                </c:pt>
                <c:pt idx="4892">
                  <c:v>10</c:v>
                </c:pt>
                <c:pt idx="4893">
                  <c:v>10</c:v>
                </c:pt>
                <c:pt idx="4894">
                  <c:v>10</c:v>
                </c:pt>
                <c:pt idx="4895">
                  <c:v>10</c:v>
                </c:pt>
                <c:pt idx="4896">
                  <c:v>10</c:v>
                </c:pt>
                <c:pt idx="4897">
                  <c:v>10</c:v>
                </c:pt>
                <c:pt idx="4907">
                  <c:v>11</c:v>
                </c:pt>
                <c:pt idx="4908">
                  <c:v>11</c:v>
                </c:pt>
                <c:pt idx="4909">
                  <c:v>11</c:v>
                </c:pt>
                <c:pt idx="4910">
                  <c:v>11</c:v>
                </c:pt>
                <c:pt idx="4911">
                  <c:v>11</c:v>
                </c:pt>
                <c:pt idx="4912">
                  <c:v>11</c:v>
                </c:pt>
                <c:pt idx="4913">
                  <c:v>11</c:v>
                </c:pt>
                <c:pt idx="4914">
                  <c:v>11</c:v>
                </c:pt>
                <c:pt idx="4915">
                  <c:v>11</c:v>
                </c:pt>
                <c:pt idx="4916">
                  <c:v>11</c:v>
                </c:pt>
                <c:pt idx="4917">
                  <c:v>11</c:v>
                </c:pt>
                <c:pt idx="4918">
                  <c:v>11</c:v>
                </c:pt>
                <c:pt idx="4919">
                  <c:v>11</c:v>
                </c:pt>
                <c:pt idx="4920">
                  <c:v>11</c:v>
                </c:pt>
                <c:pt idx="6194">
                  <c:v>12</c:v>
                </c:pt>
                <c:pt idx="6195">
                  <c:v>12</c:v>
                </c:pt>
                <c:pt idx="6196">
                  <c:v>12</c:v>
                </c:pt>
                <c:pt idx="6197">
                  <c:v>12</c:v>
                </c:pt>
                <c:pt idx="6198">
                  <c:v>12</c:v>
                </c:pt>
                <c:pt idx="6199">
                  <c:v>12</c:v>
                </c:pt>
                <c:pt idx="6200">
                  <c:v>12</c:v>
                </c:pt>
                <c:pt idx="6201">
                  <c:v>12</c:v>
                </c:pt>
                <c:pt idx="6202">
                  <c:v>12</c:v>
                </c:pt>
                <c:pt idx="6203">
                  <c:v>12</c:v>
                </c:pt>
                <c:pt idx="6204">
                  <c:v>12</c:v>
                </c:pt>
                <c:pt idx="6205">
                  <c:v>12</c:v>
                </c:pt>
                <c:pt idx="6206">
                  <c:v>12</c:v>
                </c:pt>
                <c:pt idx="6207">
                  <c:v>12</c:v>
                </c:pt>
                <c:pt idx="6208">
                  <c:v>12</c:v>
                </c:pt>
                <c:pt idx="6209">
                  <c:v>12</c:v>
                </c:pt>
                <c:pt idx="6210">
                  <c:v>12</c:v>
                </c:pt>
                <c:pt idx="6211">
                  <c:v>12</c:v>
                </c:pt>
                <c:pt idx="6212">
                  <c:v>12</c:v>
                </c:pt>
                <c:pt idx="6213">
                  <c:v>12</c:v>
                </c:pt>
                <c:pt idx="6214">
                  <c:v>12</c:v>
                </c:pt>
                <c:pt idx="6215">
                  <c:v>12</c:v>
                </c:pt>
                <c:pt idx="6216">
                  <c:v>12</c:v>
                </c:pt>
                <c:pt idx="6217">
                  <c:v>12</c:v>
                </c:pt>
                <c:pt idx="6218">
                  <c:v>12</c:v>
                </c:pt>
                <c:pt idx="6219">
                  <c:v>12</c:v>
                </c:pt>
                <c:pt idx="6220">
                  <c:v>12</c:v>
                </c:pt>
                <c:pt idx="6221">
                  <c:v>12</c:v>
                </c:pt>
                <c:pt idx="6222">
                  <c:v>12</c:v>
                </c:pt>
                <c:pt idx="6223">
                  <c:v>12</c:v>
                </c:pt>
                <c:pt idx="6224">
                  <c:v>12</c:v>
                </c:pt>
                <c:pt idx="6225">
                  <c:v>12</c:v>
                </c:pt>
                <c:pt idx="7419">
                  <c:v>13</c:v>
                </c:pt>
                <c:pt idx="7420">
                  <c:v>13</c:v>
                </c:pt>
                <c:pt idx="7421">
                  <c:v>13</c:v>
                </c:pt>
                <c:pt idx="7422">
                  <c:v>13</c:v>
                </c:pt>
                <c:pt idx="7423">
                  <c:v>13</c:v>
                </c:pt>
                <c:pt idx="7424">
                  <c:v>13</c:v>
                </c:pt>
                <c:pt idx="7425">
                  <c:v>13</c:v>
                </c:pt>
                <c:pt idx="7426">
                  <c:v>13</c:v>
                </c:pt>
                <c:pt idx="7427">
                  <c:v>13</c:v>
                </c:pt>
                <c:pt idx="7428">
                  <c:v>13</c:v>
                </c:pt>
                <c:pt idx="7429">
                  <c:v>13</c:v>
                </c:pt>
                <c:pt idx="7430">
                  <c:v>13</c:v>
                </c:pt>
                <c:pt idx="7431">
                  <c:v>13</c:v>
                </c:pt>
                <c:pt idx="7432">
                  <c:v>13</c:v>
                </c:pt>
                <c:pt idx="7433">
                  <c:v>13</c:v>
                </c:pt>
                <c:pt idx="7434">
                  <c:v>13</c:v>
                </c:pt>
                <c:pt idx="7435">
                  <c:v>13</c:v>
                </c:pt>
                <c:pt idx="7436">
                  <c:v>13</c:v>
                </c:pt>
                <c:pt idx="7437">
                  <c:v>13</c:v>
                </c:pt>
                <c:pt idx="7438">
                  <c:v>13</c:v>
                </c:pt>
                <c:pt idx="7439">
                  <c:v>13</c:v>
                </c:pt>
                <c:pt idx="7440">
                  <c:v>13</c:v>
                </c:pt>
                <c:pt idx="7441">
                  <c:v>13</c:v>
                </c:pt>
                <c:pt idx="7442">
                  <c:v>13</c:v>
                </c:pt>
                <c:pt idx="7443">
                  <c:v>13</c:v>
                </c:pt>
                <c:pt idx="7444">
                  <c:v>13</c:v>
                </c:pt>
                <c:pt idx="7445">
                  <c:v>13</c:v>
                </c:pt>
                <c:pt idx="7446">
                  <c:v>13</c:v>
                </c:pt>
                <c:pt idx="7447">
                  <c:v>13</c:v>
                </c:pt>
                <c:pt idx="7448">
                  <c:v>13</c:v>
                </c:pt>
                <c:pt idx="7449">
                  <c:v>13</c:v>
                </c:pt>
                <c:pt idx="7450">
                  <c:v>13</c:v>
                </c:pt>
                <c:pt idx="7451">
                  <c:v>13</c:v>
                </c:pt>
                <c:pt idx="7452">
                  <c:v>13</c:v>
                </c:pt>
                <c:pt idx="7453">
                  <c:v>13</c:v>
                </c:pt>
                <c:pt idx="7454">
                  <c:v>13</c:v>
                </c:pt>
                <c:pt idx="7455">
                  <c:v>13</c:v>
                </c:pt>
                <c:pt idx="7456">
                  <c:v>13</c:v>
                </c:pt>
                <c:pt idx="7457">
                  <c:v>13</c:v>
                </c:pt>
                <c:pt idx="7458">
                  <c:v>13</c:v>
                </c:pt>
                <c:pt idx="7459">
                  <c:v>13</c:v>
                </c:pt>
                <c:pt idx="7460">
                  <c:v>13</c:v>
                </c:pt>
                <c:pt idx="7461">
                  <c:v>13</c:v>
                </c:pt>
                <c:pt idx="7462">
                  <c:v>13</c:v>
                </c:pt>
                <c:pt idx="7463">
                  <c:v>13</c:v>
                </c:pt>
                <c:pt idx="7464">
                  <c:v>13</c:v>
                </c:pt>
                <c:pt idx="7465">
                  <c:v>13</c:v>
                </c:pt>
                <c:pt idx="7466">
                  <c:v>13</c:v>
                </c:pt>
                <c:pt idx="7467">
                  <c:v>13</c:v>
                </c:pt>
                <c:pt idx="7468">
                  <c:v>13</c:v>
                </c:pt>
                <c:pt idx="7469">
                  <c:v>13</c:v>
                </c:pt>
                <c:pt idx="7470">
                  <c:v>13</c:v>
                </c:pt>
                <c:pt idx="7471">
                  <c:v>13</c:v>
                </c:pt>
                <c:pt idx="7472">
                  <c:v>13</c:v>
                </c:pt>
                <c:pt idx="7473">
                  <c:v>13</c:v>
                </c:pt>
                <c:pt idx="7474">
                  <c:v>13</c:v>
                </c:pt>
                <c:pt idx="7475">
                  <c:v>13</c:v>
                </c:pt>
                <c:pt idx="7476">
                  <c:v>13</c:v>
                </c:pt>
                <c:pt idx="7477">
                  <c:v>13</c:v>
                </c:pt>
                <c:pt idx="7478">
                  <c:v>13</c:v>
                </c:pt>
                <c:pt idx="7479">
                  <c:v>13</c:v>
                </c:pt>
                <c:pt idx="7480">
                  <c:v>13</c:v>
                </c:pt>
                <c:pt idx="7481">
                  <c:v>13</c:v>
                </c:pt>
                <c:pt idx="7482">
                  <c:v>13</c:v>
                </c:pt>
                <c:pt idx="7483">
                  <c:v>13</c:v>
                </c:pt>
                <c:pt idx="7484">
                  <c:v>13</c:v>
                </c:pt>
                <c:pt idx="7485">
                  <c:v>13</c:v>
                </c:pt>
                <c:pt idx="7486">
                  <c:v>13</c:v>
                </c:pt>
                <c:pt idx="7487">
                  <c:v>13</c:v>
                </c:pt>
                <c:pt idx="7488">
                  <c:v>13</c:v>
                </c:pt>
                <c:pt idx="7489">
                  <c:v>13</c:v>
                </c:pt>
                <c:pt idx="7490">
                  <c:v>13</c:v>
                </c:pt>
                <c:pt idx="7491">
                  <c:v>13</c:v>
                </c:pt>
                <c:pt idx="7492">
                  <c:v>13</c:v>
                </c:pt>
                <c:pt idx="7493">
                  <c:v>13</c:v>
                </c:pt>
                <c:pt idx="7494">
                  <c:v>13</c:v>
                </c:pt>
                <c:pt idx="7495">
                  <c:v>13</c:v>
                </c:pt>
                <c:pt idx="7496">
                  <c:v>13</c:v>
                </c:pt>
                <c:pt idx="7497">
                  <c:v>13</c:v>
                </c:pt>
                <c:pt idx="7498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9-416A-AB63-F6FB6D506E08}"/>
            </c:ext>
          </c:extLst>
        </c:ser>
        <c:ser>
          <c:idx val="2"/>
          <c:order val="2"/>
          <c:tx>
            <c:strRef>
              <c:f>transpose!$M$1</c:f>
              <c:strCache>
                <c:ptCount val="1"/>
                <c:pt idx="0">
                  <c:v>Előre_ÁGASK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transpose!$M$2:$M$7660</c:f>
              <c:numCache>
                <c:formatCode>General</c:formatCode>
                <c:ptCount val="7659"/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493">
                  <c:v>4</c:v>
                </c:pt>
                <c:pt idx="1494">
                  <c:v>4</c:v>
                </c:pt>
                <c:pt idx="1495">
                  <c:v>4</c:v>
                </c:pt>
                <c:pt idx="1496">
                  <c:v>4</c:v>
                </c:pt>
                <c:pt idx="1497">
                  <c:v>4</c:v>
                </c:pt>
                <c:pt idx="1498">
                  <c:v>4</c:v>
                </c:pt>
                <c:pt idx="1499">
                  <c:v>4</c:v>
                </c:pt>
                <c:pt idx="1500">
                  <c:v>4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4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4</c:v>
                </c:pt>
                <c:pt idx="1509">
                  <c:v>4</c:v>
                </c:pt>
                <c:pt idx="1510">
                  <c:v>4</c:v>
                </c:pt>
                <c:pt idx="1511">
                  <c:v>4</c:v>
                </c:pt>
                <c:pt idx="1512">
                  <c:v>4</c:v>
                </c:pt>
                <c:pt idx="1513">
                  <c:v>4</c:v>
                </c:pt>
                <c:pt idx="1514">
                  <c:v>4</c:v>
                </c:pt>
                <c:pt idx="1515">
                  <c:v>4</c:v>
                </c:pt>
                <c:pt idx="1516">
                  <c:v>4</c:v>
                </c:pt>
                <c:pt idx="1517">
                  <c:v>4</c:v>
                </c:pt>
                <c:pt idx="1518">
                  <c:v>4</c:v>
                </c:pt>
                <c:pt idx="1519">
                  <c:v>4</c:v>
                </c:pt>
                <c:pt idx="1520">
                  <c:v>4</c:v>
                </c:pt>
                <c:pt idx="1521">
                  <c:v>4</c:v>
                </c:pt>
                <c:pt idx="1522">
                  <c:v>4</c:v>
                </c:pt>
                <c:pt idx="1523">
                  <c:v>4</c:v>
                </c:pt>
                <c:pt idx="1524">
                  <c:v>4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4</c:v>
                </c:pt>
                <c:pt idx="1529">
                  <c:v>4</c:v>
                </c:pt>
                <c:pt idx="1530">
                  <c:v>4</c:v>
                </c:pt>
                <c:pt idx="1531">
                  <c:v>4</c:v>
                </c:pt>
                <c:pt idx="1532">
                  <c:v>4</c:v>
                </c:pt>
                <c:pt idx="1533">
                  <c:v>4</c:v>
                </c:pt>
                <c:pt idx="1534">
                  <c:v>4</c:v>
                </c:pt>
                <c:pt idx="1535">
                  <c:v>4</c:v>
                </c:pt>
                <c:pt idx="1536">
                  <c:v>4</c:v>
                </c:pt>
                <c:pt idx="1537">
                  <c:v>4</c:v>
                </c:pt>
                <c:pt idx="1538">
                  <c:v>4</c:v>
                </c:pt>
                <c:pt idx="1539">
                  <c:v>4</c:v>
                </c:pt>
                <c:pt idx="2422">
                  <c:v>5</c:v>
                </c:pt>
                <c:pt idx="2423">
                  <c:v>5</c:v>
                </c:pt>
                <c:pt idx="2424">
                  <c:v>5</c:v>
                </c:pt>
                <c:pt idx="2425">
                  <c:v>5</c:v>
                </c:pt>
                <c:pt idx="2426">
                  <c:v>5</c:v>
                </c:pt>
                <c:pt idx="2427">
                  <c:v>5</c:v>
                </c:pt>
                <c:pt idx="2428">
                  <c:v>5</c:v>
                </c:pt>
                <c:pt idx="2429">
                  <c:v>5</c:v>
                </c:pt>
                <c:pt idx="2430">
                  <c:v>5</c:v>
                </c:pt>
                <c:pt idx="2431">
                  <c:v>5</c:v>
                </c:pt>
                <c:pt idx="2432">
                  <c:v>5</c:v>
                </c:pt>
                <c:pt idx="2433">
                  <c:v>5</c:v>
                </c:pt>
                <c:pt idx="2434">
                  <c:v>5</c:v>
                </c:pt>
                <c:pt idx="2871">
                  <c:v>6</c:v>
                </c:pt>
                <c:pt idx="2872">
                  <c:v>6</c:v>
                </c:pt>
                <c:pt idx="2873">
                  <c:v>6</c:v>
                </c:pt>
                <c:pt idx="2874">
                  <c:v>6</c:v>
                </c:pt>
                <c:pt idx="2875">
                  <c:v>6</c:v>
                </c:pt>
                <c:pt idx="2876">
                  <c:v>6</c:v>
                </c:pt>
                <c:pt idx="2877">
                  <c:v>6</c:v>
                </c:pt>
                <c:pt idx="2878">
                  <c:v>6</c:v>
                </c:pt>
                <c:pt idx="2879">
                  <c:v>6</c:v>
                </c:pt>
                <c:pt idx="2880">
                  <c:v>6</c:v>
                </c:pt>
                <c:pt idx="2881">
                  <c:v>6</c:v>
                </c:pt>
                <c:pt idx="2882">
                  <c:v>6</c:v>
                </c:pt>
                <c:pt idx="2883">
                  <c:v>6</c:v>
                </c:pt>
                <c:pt idx="2884">
                  <c:v>6</c:v>
                </c:pt>
                <c:pt idx="2885">
                  <c:v>6</c:v>
                </c:pt>
                <c:pt idx="2886">
                  <c:v>6</c:v>
                </c:pt>
                <c:pt idx="2887">
                  <c:v>6</c:v>
                </c:pt>
                <c:pt idx="2888">
                  <c:v>6</c:v>
                </c:pt>
                <c:pt idx="2889">
                  <c:v>6</c:v>
                </c:pt>
                <c:pt idx="2890">
                  <c:v>6</c:v>
                </c:pt>
                <c:pt idx="2891">
                  <c:v>6</c:v>
                </c:pt>
                <c:pt idx="2892">
                  <c:v>6</c:v>
                </c:pt>
                <c:pt idx="2893">
                  <c:v>6</c:v>
                </c:pt>
                <c:pt idx="2894">
                  <c:v>6</c:v>
                </c:pt>
                <c:pt idx="2895">
                  <c:v>6</c:v>
                </c:pt>
                <c:pt idx="2896">
                  <c:v>6</c:v>
                </c:pt>
                <c:pt idx="2897">
                  <c:v>6</c:v>
                </c:pt>
                <c:pt idx="2898">
                  <c:v>6</c:v>
                </c:pt>
                <c:pt idx="2899">
                  <c:v>6</c:v>
                </c:pt>
                <c:pt idx="2900">
                  <c:v>6</c:v>
                </c:pt>
                <c:pt idx="2901">
                  <c:v>6</c:v>
                </c:pt>
                <c:pt idx="2902">
                  <c:v>6</c:v>
                </c:pt>
                <c:pt idx="2903">
                  <c:v>6</c:v>
                </c:pt>
                <c:pt idx="2904">
                  <c:v>6</c:v>
                </c:pt>
                <c:pt idx="2905">
                  <c:v>6</c:v>
                </c:pt>
                <c:pt idx="2906">
                  <c:v>6</c:v>
                </c:pt>
                <c:pt idx="2907">
                  <c:v>6</c:v>
                </c:pt>
                <c:pt idx="2908">
                  <c:v>6</c:v>
                </c:pt>
                <c:pt idx="2909">
                  <c:v>6</c:v>
                </c:pt>
                <c:pt idx="2910">
                  <c:v>6</c:v>
                </c:pt>
                <c:pt idx="2911">
                  <c:v>6</c:v>
                </c:pt>
                <c:pt idx="2912">
                  <c:v>6</c:v>
                </c:pt>
                <c:pt idx="2913">
                  <c:v>6</c:v>
                </c:pt>
                <c:pt idx="2914">
                  <c:v>6</c:v>
                </c:pt>
                <c:pt idx="2915">
                  <c:v>6</c:v>
                </c:pt>
                <c:pt idx="2916">
                  <c:v>6</c:v>
                </c:pt>
                <c:pt idx="2917">
                  <c:v>6</c:v>
                </c:pt>
                <c:pt idx="2918">
                  <c:v>6</c:v>
                </c:pt>
                <c:pt idx="2919">
                  <c:v>6</c:v>
                </c:pt>
                <c:pt idx="2920">
                  <c:v>6</c:v>
                </c:pt>
                <c:pt idx="2921">
                  <c:v>6</c:v>
                </c:pt>
                <c:pt idx="2922">
                  <c:v>6</c:v>
                </c:pt>
                <c:pt idx="2923">
                  <c:v>6</c:v>
                </c:pt>
                <c:pt idx="2924">
                  <c:v>6</c:v>
                </c:pt>
                <c:pt idx="2925">
                  <c:v>6</c:v>
                </c:pt>
                <c:pt idx="2926">
                  <c:v>6</c:v>
                </c:pt>
                <c:pt idx="2927">
                  <c:v>6</c:v>
                </c:pt>
                <c:pt idx="2928">
                  <c:v>6</c:v>
                </c:pt>
                <c:pt idx="2929">
                  <c:v>6</c:v>
                </c:pt>
                <c:pt idx="2930">
                  <c:v>6</c:v>
                </c:pt>
                <c:pt idx="2931">
                  <c:v>6</c:v>
                </c:pt>
                <c:pt idx="2932">
                  <c:v>6</c:v>
                </c:pt>
                <c:pt idx="2933">
                  <c:v>6</c:v>
                </c:pt>
                <c:pt idx="2934">
                  <c:v>6</c:v>
                </c:pt>
                <c:pt idx="2935">
                  <c:v>6</c:v>
                </c:pt>
                <c:pt idx="2936">
                  <c:v>6</c:v>
                </c:pt>
                <c:pt idx="2937">
                  <c:v>6</c:v>
                </c:pt>
                <c:pt idx="2938">
                  <c:v>6</c:v>
                </c:pt>
                <c:pt idx="2939">
                  <c:v>6</c:v>
                </c:pt>
                <c:pt idx="2940">
                  <c:v>6</c:v>
                </c:pt>
                <c:pt idx="2941">
                  <c:v>6</c:v>
                </c:pt>
                <c:pt idx="2942">
                  <c:v>6</c:v>
                </c:pt>
                <c:pt idx="2943">
                  <c:v>6</c:v>
                </c:pt>
                <c:pt idx="2944">
                  <c:v>6</c:v>
                </c:pt>
                <c:pt idx="2945">
                  <c:v>6</c:v>
                </c:pt>
                <c:pt idx="2946">
                  <c:v>6</c:v>
                </c:pt>
                <c:pt idx="2947">
                  <c:v>6</c:v>
                </c:pt>
                <c:pt idx="2948">
                  <c:v>6</c:v>
                </c:pt>
                <c:pt idx="2949">
                  <c:v>6</c:v>
                </c:pt>
                <c:pt idx="2950">
                  <c:v>6</c:v>
                </c:pt>
                <c:pt idx="2951">
                  <c:v>6</c:v>
                </c:pt>
                <c:pt idx="2952">
                  <c:v>6</c:v>
                </c:pt>
                <c:pt idx="2953">
                  <c:v>6</c:v>
                </c:pt>
                <c:pt idx="2954">
                  <c:v>6</c:v>
                </c:pt>
                <c:pt idx="2955">
                  <c:v>6</c:v>
                </c:pt>
                <c:pt idx="2956">
                  <c:v>6</c:v>
                </c:pt>
                <c:pt idx="2957">
                  <c:v>6</c:v>
                </c:pt>
                <c:pt idx="2958">
                  <c:v>6</c:v>
                </c:pt>
                <c:pt idx="2959">
                  <c:v>6</c:v>
                </c:pt>
                <c:pt idx="3415">
                  <c:v>7</c:v>
                </c:pt>
                <c:pt idx="3416">
                  <c:v>7</c:v>
                </c:pt>
                <c:pt idx="3417">
                  <c:v>7</c:v>
                </c:pt>
                <c:pt idx="3418">
                  <c:v>7</c:v>
                </c:pt>
                <c:pt idx="3419">
                  <c:v>7</c:v>
                </c:pt>
                <c:pt idx="3420">
                  <c:v>7</c:v>
                </c:pt>
                <c:pt idx="3421">
                  <c:v>7</c:v>
                </c:pt>
                <c:pt idx="3422">
                  <c:v>7</c:v>
                </c:pt>
                <c:pt idx="3423">
                  <c:v>7</c:v>
                </c:pt>
                <c:pt idx="3424">
                  <c:v>7</c:v>
                </c:pt>
                <c:pt idx="3425">
                  <c:v>7</c:v>
                </c:pt>
                <c:pt idx="3426">
                  <c:v>7</c:v>
                </c:pt>
                <c:pt idx="3427">
                  <c:v>7</c:v>
                </c:pt>
                <c:pt idx="3428">
                  <c:v>7</c:v>
                </c:pt>
                <c:pt idx="3429">
                  <c:v>7</c:v>
                </c:pt>
                <c:pt idx="3430">
                  <c:v>7</c:v>
                </c:pt>
                <c:pt idx="3431">
                  <c:v>7</c:v>
                </c:pt>
                <c:pt idx="3432">
                  <c:v>7</c:v>
                </c:pt>
                <c:pt idx="3433">
                  <c:v>7</c:v>
                </c:pt>
                <c:pt idx="3434">
                  <c:v>7</c:v>
                </c:pt>
                <c:pt idx="3435">
                  <c:v>7</c:v>
                </c:pt>
                <c:pt idx="3436">
                  <c:v>7</c:v>
                </c:pt>
                <c:pt idx="3437">
                  <c:v>7</c:v>
                </c:pt>
                <c:pt idx="3438">
                  <c:v>7</c:v>
                </c:pt>
                <c:pt idx="3439">
                  <c:v>7</c:v>
                </c:pt>
                <c:pt idx="3440">
                  <c:v>7</c:v>
                </c:pt>
                <c:pt idx="3460">
                  <c:v>8</c:v>
                </c:pt>
                <c:pt idx="3461">
                  <c:v>8</c:v>
                </c:pt>
                <c:pt idx="3462">
                  <c:v>8</c:v>
                </c:pt>
                <c:pt idx="3463">
                  <c:v>8</c:v>
                </c:pt>
                <c:pt idx="3464">
                  <c:v>8</c:v>
                </c:pt>
                <c:pt idx="3465">
                  <c:v>8</c:v>
                </c:pt>
                <c:pt idx="3466">
                  <c:v>8</c:v>
                </c:pt>
                <c:pt idx="3467">
                  <c:v>8</c:v>
                </c:pt>
                <c:pt idx="4948">
                  <c:v>9</c:v>
                </c:pt>
                <c:pt idx="4949">
                  <c:v>9</c:v>
                </c:pt>
                <c:pt idx="4950">
                  <c:v>9</c:v>
                </c:pt>
                <c:pt idx="4951">
                  <c:v>9</c:v>
                </c:pt>
                <c:pt idx="4952">
                  <c:v>9</c:v>
                </c:pt>
                <c:pt idx="4953">
                  <c:v>9</c:v>
                </c:pt>
                <c:pt idx="4954">
                  <c:v>9</c:v>
                </c:pt>
                <c:pt idx="4955">
                  <c:v>9</c:v>
                </c:pt>
                <c:pt idx="4956">
                  <c:v>9</c:v>
                </c:pt>
                <c:pt idx="4957">
                  <c:v>9</c:v>
                </c:pt>
                <c:pt idx="4958">
                  <c:v>9</c:v>
                </c:pt>
                <c:pt idx="4959">
                  <c:v>9</c:v>
                </c:pt>
                <c:pt idx="4960">
                  <c:v>9</c:v>
                </c:pt>
                <c:pt idx="4961">
                  <c:v>9</c:v>
                </c:pt>
                <c:pt idx="4962">
                  <c:v>9</c:v>
                </c:pt>
                <c:pt idx="4963">
                  <c:v>9</c:v>
                </c:pt>
                <c:pt idx="4964">
                  <c:v>9</c:v>
                </c:pt>
                <c:pt idx="4965">
                  <c:v>9</c:v>
                </c:pt>
                <c:pt idx="4966">
                  <c:v>9</c:v>
                </c:pt>
                <c:pt idx="4967">
                  <c:v>9</c:v>
                </c:pt>
                <c:pt idx="4968">
                  <c:v>9</c:v>
                </c:pt>
                <c:pt idx="4969">
                  <c:v>9</c:v>
                </c:pt>
                <c:pt idx="4970">
                  <c:v>9</c:v>
                </c:pt>
                <c:pt idx="4971">
                  <c:v>9</c:v>
                </c:pt>
                <c:pt idx="4972">
                  <c:v>9</c:v>
                </c:pt>
                <c:pt idx="4973">
                  <c:v>9</c:v>
                </c:pt>
                <c:pt idx="4974">
                  <c:v>9</c:v>
                </c:pt>
                <c:pt idx="4975">
                  <c:v>9</c:v>
                </c:pt>
                <c:pt idx="4976">
                  <c:v>9</c:v>
                </c:pt>
                <c:pt idx="4977">
                  <c:v>9</c:v>
                </c:pt>
                <c:pt idx="4978">
                  <c:v>9</c:v>
                </c:pt>
                <c:pt idx="4979">
                  <c:v>9</c:v>
                </c:pt>
                <c:pt idx="4980">
                  <c:v>9</c:v>
                </c:pt>
                <c:pt idx="4981">
                  <c:v>9</c:v>
                </c:pt>
                <c:pt idx="4982">
                  <c:v>9</c:v>
                </c:pt>
                <c:pt idx="4983">
                  <c:v>9</c:v>
                </c:pt>
                <c:pt idx="4984">
                  <c:v>9</c:v>
                </c:pt>
                <c:pt idx="4985">
                  <c:v>9</c:v>
                </c:pt>
                <c:pt idx="4986">
                  <c:v>9</c:v>
                </c:pt>
                <c:pt idx="4987">
                  <c:v>9</c:v>
                </c:pt>
                <c:pt idx="4988">
                  <c:v>9</c:v>
                </c:pt>
                <c:pt idx="4989">
                  <c:v>9</c:v>
                </c:pt>
                <c:pt idx="4990">
                  <c:v>9</c:v>
                </c:pt>
                <c:pt idx="4991">
                  <c:v>9</c:v>
                </c:pt>
                <c:pt idx="4992">
                  <c:v>9</c:v>
                </c:pt>
                <c:pt idx="4993">
                  <c:v>9</c:v>
                </c:pt>
                <c:pt idx="4994">
                  <c:v>9</c:v>
                </c:pt>
                <c:pt idx="4995">
                  <c:v>9</c:v>
                </c:pt>
                <c:pt idx="4996">
                  <c:v>9</c:v>
                </c:pt>
                <c:pt idx="5380">
                  <c:v>10</c:v>
                </c:pt>
                <c:pt idx="5381">
                  <c:v>10</c:v>
                </c:pt>
                <c:pt idx="5382">
                  <c:v>10</c:v>
                </c:pt>
                <c:pt idx="5383">
                  <c:v>10</c:v>
                </c:pt>
                <c:pt idx="5384">
                  <c:v>10</c:v>
                </c:pt>
                <c:pt idx="5385">
                  <c:v>10</c:v>
                </c:pt>
                <c:pt idx="5386">
                  <c:v>10</c:v>
                </c:pt>
                <c:pt idx="5387">
                  <c:v>10</c:v>
                </c:pt>
                <c:pt idx="5388">
                  <c:v>10</c:v>
                </c:pt>
                <c:pt idx="5389">
                  <c:v>10</c:v>
                </c:pt>
                <c:pt idx="5390">
                  <c:v>10</c:v>
                </c:pt>
                <c:pt idx="5391">
                  <c:v>10</c:v>
                </c:pt>
                <c:pt idx="5392">
                  <c:v>10</c:v>
                </c:pt>
                <c:pt idx="5393">
                  <c:v>10</c:v>
                </c:pt>
                <c:pt idx="5394">
                  <c:v>10</c:v>
                </c:pt>
                <c:pt idx="5395">
                  <c:v>10</c:v>
                </c:pt>
                <c:pt idx="5396">
                  <c:v>10</c:v>
                </c:pt>
                <c:pt idx="5397">
                  <c:v>10</c:v>
                </c:pt>
                <c:pt idx="5398">
                  <c:v>10</c:v>
                </c:pt>
                <c:pt idx="5399">
                  <c:v>10</c:v>
                </c:pt>
                <c:pt idx="5400">
                  <c:v>10</c:v>
                </c:pt>
                <c:pt idx="5401">
                  <c:v>10</c:v>
                </c:pt>
                <c:pt idx="5402">
                  <c:v>10</c:v>
                </c:pt>
                <c:pt idx="5403">
                  <c:v>10</c:v>
                </c:pt>
                <c:pt idx="5404">
                  <c:v>10</c:v>
                </c:pt>
                <c:pt idx="5405">
                  <c:v>10</c:v>
                </c:pt>
                <c:pt idx="5406">
                  <c:v>10</c:v>
                </c:pt>
                <c:pt idx="5407">
                  <c:v>10</c:v>
                </c:pt>
                <c:pt idx="5408">
                  <c:v>10</c:v>
                </c:pt>
                <c:pt idx="5409">
                  <c:v>10</c:v>
                </c:pt>
                <c:pt idx="5410">
                  <c:v>10</c:v>
                </c:pt>
                <c:pt idx="5411">
                  <c:v>10</c:v>
                </c:pt>
                <c:pt idx="5412">
                  <c:v>10</c:v>
                </c:pt>
                <c:pt idx="5413">
                  <c:v>10</c:v>
                </c:pt>
                <c:pt idx="5414">
                  <c:v>10</c:v>
                </c:pt>
                <c:pt idx="5415">
                  <c:v>10</c:v>
                </c:pt>
                <c:pt idx="5416">
                  <c:v>10</c:v>
                </c:pt>
                <c:pt idx="5417">
                  <c:v>10</c:v>
                </c:pt>
                <c:pt idx="5418">
                  <c:v>10</c:v>
                </c:pt>
                <c:pt idx="5419">
                  <c:v>10</c:v>
                </c:pt>
                <c:pt idx="5420">
                  <c:v>10</c:v>
                </c:pt>
                <c:pt idx="5421">
                  <c:v>10</c:v>
                </c:pt>
                <c:pt idx="5422">
                  <c:v>10</c:v>
                </c:pt>
                <c:pt idx="5423">
                  <c:v>10</c:v>
                </c:pt>
                <c:pt idx="5424">
                  <c:v>10</c:v>
                </c:pt>
                <c:pt idx="5425">
                  <c:v>10</c:v>
                </c:pt>
                <c:pt idx="5426">
                  <c:v>10</c:v>
                </c:pt>
                <c:pt idx="5427">
                  <c:v>10</c:v>
                </c:pt>
                <c:pt idx="5428">
                  <c:v>10</c:v>
                </c:pt>
                <c:pt idx="5429">
                  <c:v>10</c:v>
                </c:pt>
                <c:pt idx="5430">
                  <c:v>10</c:v>
                </c:pt>
                <c:pt idx="5431">
                  <c:v>10</c:v>
                </c:pt>
                <c:pt idx="5432">
                  <c:v>10</c:v>
                </c:pt>
                <c:pt idx="5433">
                  <c:v>10</c:v>
                </c:pt>
                <c:pt idx="5434">
                  <c:v>10</c:v>
                </c:pt>
                <c:pt idx="5435">
                  <c:v>10</c:v>
                </c:pt>
                <c:pt idx="5436">
                  <c:v>10</c:v>
                </c:pt>
                <c:pt idx="5437">
                  <c:v>10</c:v>
                </c:pt>
                <c:pt idx="5438">
                  <c:v>10</c:v>
                </c:pt>
                <c:pt idx="5439">
                  <c:v>10</c:v>
                </c:pt>
                <c:pt idx="5440">
                  <c:v>10</c:v>
                </c:pt>
                <c:pt idx="5441">
                  <c:v>10</c:v>
                </c:pt>
                <c:pt idx="5442">
                  <c:v>10</c:v>
                </c:pt>
                <c:pt idx="5443">
                  <c:v>10</c:v>
                </c:pt>
                <c:pt idx="5444">
                  <c:v>10</c:v>
                </c:pt>
                <c:pt idx="5445">
                  <c:v>10</c:v>
                </c:pt>
                <c:pt idx="5446">
                  <c:v>10</c:v>
                </c:pt>
                <c:pt idx="5447">
                  <c:v>10</c:v>
                </c:pt>
                <c:pt idx="5448">
                  <c:v>10</c:v>
                </c:pt>
                <c:pt idx="5449">
                  <c:v>10</c:v>
                </c:pt>
                <c:pt idx="5450">
                  <c:v>10</c:v>
                </c:pt>
                <c:pt idx="5451">
                  <c:v>10</c:v>
                </c:pt>
                <c:pt idx="5452">
                  <c:v>10</c:v>
                </c:pt>
                <c:pt idx="5453">
                  <c:v>10</c:v>
                </c:pt>
                <c:pt idx="5454">
                  <c:v>10</c:v>
                </c:pt>
                <c:pt idx="5455">
                  <c:v>10</c:v>
                </c:pt>
                <c:pt idx="5456">
                  <c:v>10</c:v>
                </c:pt>
                <c:pt idx="5457">
                  <c:v>10</c:v>
                </c:pt>
                <c:pt idx="5458">
                  <c:v>10</c:v>
                </c:pt>
                <c:pt idx="5459">
                  <c:v>10</c:v>
                </c:pt>
                <c:pt idx="5460">
                  <c:v>10</c:v>
                </c:pt>
                <c:pt idx="5461">
                  <c:v>10</c:v>
                </c:pt>
                <c:pt idx="5462">
                  <c:v>10</c:v>
                </c:pt>
                <c:pt idx="5463">
                  <c:v>10</c:v>
                </c:pt>
                <c:pt idx="5464">
                  <c:v>10</c:v>
                </c:pt>
                <c:pt idx="5465">
                  <c:v>10</c:v>
                </c:pt>
                <c:pt idx="5466">
                  <c:v>10</c:v>
                </c:pt>
                <c:pt idx="5467">
                  <c:v>10</c:v>
                </c:pt>
                <c:pt idx="5468">
                  <c:v>10</c:v>
                </c:pt>
                <c:pt idx="5469">
                  <c:v>10</c:v>
                </c:pt>
                <c:pt idx="5470">
                  <c:v>10</c:v>
                </c:pt>
                <c:pt idx="5471">
                  <c:v>10</c:v>
                </c:pt>
                <c:pt idx="5472">
                  <c:v>10</c:v>
                </c:pt>
                <c:pt idx="5473">
                  <c:v>10</c:v>
                </c:pt>
                <c:pt idx="5474">
                  <c:v>10</c:v>
                </c:pt>
                <c:pt idx="5475">
                  <c:v>10</c:v>
                </c:pt>
                <c:pt idx="5476">
                  <c:v>10</c:v>
                </c:pt>
                <c:pt idx="5477">
                  <c:v>10</c:v>
                </c:pt>
                <c:pt idx="5478">
                  <c:v>10</c:v>
                </c:pt>
                <c:pt idx="5479">
                  <c:v>10</c:v>
                </c:pt>
                <c:pt idx="5480">
                  <c:v>10</c:v>
                </c:pt>
                <c:pt idx="5481">
                  <c:v>10</c:v>
                </c:pt>
                <c:pt idx="5482">
                  <c:v>10</c:v>
                </c:pt>
                <c:pt idx="5483">
                  <c:v>10</c:v>
                </c:pt>
                <c:pt idx="5484">
                  <c:v>10</c:v>
                </c:pt>
                <c:pt idx="5485">
                  <c:v>10</c:v>
                </c:pt>
                <c:pt idx="5486">
                  <c:v>10</c:v>
                </c:pt>
                <c:pt idx="5487">
                  <c:v>10</c:v>
                </c:pt>
                <c:pt idx="5488">
                  <c:v>10</c:v>
                </c:pt>
                <c:pt idx="5489">
                  <c:v>10</c:v>
                </c:pt>
                <c:pt idx="5490">
                  <c:v>10</c:v>
                </c:pt>
                <c:pt idx="5491">
                  <c:v>10</c:v>
                </c:pt>
                <c:pt idx="5492">
                  <c:v>10</c:v>
                </c:pt>
                <c:pt idx="5493">
                  <c:v>10</c:v>
                </c:pt>
                <c:pt idx="5494">
                  <c:v>10</c:v>
                </c:pt>
                <c:pt idx="5495">
                  <c:v>10</c:v>
                </c:pt>
                <c:pt idx="5496">
                  <c:v>10</c:v>
                </c:pt>
                <c:pt idx="5497">
                  <c:v>10</c:v>
                </c:pt>
                <c:pt idx="5498">
                  <c:v>10</c:v>
                </c:pt>
                <c:pt idx="5499">
                  <c:v>10</c:v>
                </c:pt>
                <c:pt idx="5500">
                  <c:v>10</c:v>
                </c:pt>
                <c:pt idx="5501">
                  <c:v>10</c:v>
                </c:pt>
                <c:pt idx="5502">
                  <c:v>10</c:v>
                </c:pt>
                <c:pt idx="5503">
                  <c:v>10</c:v>
                </c:pt>
                <c:pt idx="5504">
                  <c:v>10</c:v>
                </c:pt>
                <c:pt idx="5505">
                  <c:v>10</c:v>
                </c:pt>
                <c:pt idx="5506">
                  <c:v>10</c:v>
                </c:pt>
                <c:pt idx="5507">
                  <c:v>10</c:v>
                </c:pt>
                <c:pt idx="5508">
                  <c:v>10</c:v>
                </c:pt>
                <c:pt idx="5509">
                  <c:v>10</c:v>
                </c:pt>
                <c:pt idx="5510">
                  <c:v>10</c:v>
                </c:pt>
                <c:pt idx="5511">
                  <c:v>10</c:v>
                </c:pt>
                <c:pt idx="5512">
                  <c:v>10</c:v>
                </c:pt>
                <c:pt idx="5513">
                  <c:v>10</c:v>
                </c:pt>
                <c:pt idx="5514">
                  <c:v>10</c:v>
                </c:pt>
                <c:pt idx="5515">
                  <c:v>10</c:v>
                </c:pt>
                <c:pt idx="5516">
                  <c:v>10</c:v>
                </c:pt>
                <c:pt idx="5517">
                  <c:v>10</c:v>
                </c:pt>
                <c:pt idx="5518">
                  <c:v>10</c:v>
                </c:pt>
                <c:pt idx="5519">
                  <c:v>10</c:v>
                </c:pt>
                <c:pt idx="5520">
                  <c:v>10</c:v>
                </c:pt>
                <c:pt idx="5521">
                  <c:v>10</c:v>
                </c:pt>
                <c:pt idx="5522">
                  <c:v>10</c:v>
                </c:pt>
                <c:pt idx="5523">
                  <c:v>10</c:v>
                </c:pt>
                <c:pt idx="5524">
                  <c:v>10</c:v>
                </c:pt>
                <c:pt idx="5525">
                  <c:v>10</c:v>
                </c:pt>
                <c:pt idx="5526">
                  <c:v>10</c:v>
                </c:pt>
                <c:pt idx="5527">
                  <c:v>10</c:v>
                </c:pt>
                <c:pt idx="5528">
                  <c:v>10</c:v>
                </c:pt>
                <c:pt idx="5529">
                  <c:v>10</c:v>
                </c:pt>
                <c:pt idx="5530">
                  <c:v>10</c:v>
                </c:pt>
                <c:pt idx="5531">
                  <c:v>10</c:v>
                </c:pt>
                <c:pt idx="5532">
                  <c:v>10</c:v>
                </c:pt>
                <c:pt idx="5533">
                  <c:v>10</c:v>
                </c:pt>
                <c:pt idx="5534">
                  <c:v>10</c:v>
                </c:pt>
                <c:pt idx="5535">
                  <c:v>10</c:v>
                </c:pt>
                <c:pt idx="5536">
                  <c:v>10</c:v>
                </c:pt>
                <c:pt idx="5537">
                  <c:v>10</c:v>
                </c:pt>
                <c:pt idx="5538">
                  <c:v>10</c:v>
                </c:pt>
                <c:pt idx="5539">
                  <c:v>10</c:v>
                </c:pt>
                <c:pt idx="5540">
                  <c:v>10</c:v>
                </c:pt>
                <c:pt idx="5541">
                  <c:v>10</c:v>
                </c:pt>
                <c:pt idx="5542">
                  <c:v>10</c:v>
                </c:pt>
                <c:pt idx="5543">
                  <c:v>10</c:v>
                </c:pt>
                <c:pt idx="5544">
                  <c:v>10</c:v>
                </c:pt>
                <c:pt idx="5545">
                  <c:v>10</c:v>
                </c:pt>
                <c:pt idx="5546">
                  <c:v>10</c:v>
                </c:pt>
                <c:pt idx="5547">
                  <c:v>10</c:v>
                </c:pt>
                <c:pt idx="5548">
                  <c:v>10</c:v>
                </c:pt>
                <c:pt idx="5549">
                  <c:v>10</c:v>
                </c:pt>
                <c:pt idx="5550">
                  <c:v>10</c:v>
                </c:pt>
                <c:pt idx="5551">
                  <c:v>10</c:v>
                </c:pt>
                <c:pt idx="5552">
                  <c:v>10</c:v>
                </c:pt>
                <c:pt idx="5553">
                  <c:v>10</c:v>
                </c:pt>
                <c:pt idx="5554">
                  <c:v>10</c:v>
                </c:pt>
                <c:pt idx="5555">
                  <c:v>10</c:v>
                </c:pt>
                <c:pt idx="5556">
                  <c:v>10</c:v>
                </c:pt>
                <c:pt idx="5557">
                  <c:v>10</c:v>
                </c:pt>
                <c:pt idx="5558">
                  <c:v>10</c:v>
                </c:pt>
                <c:pt idx="5559">
                  <c:v>10</c:v>
                </c:pt>
                <c:pt idx="5560">
                  <c:v>10</c:v>
                </c:pt>
                <c:pt idx="5561">
                  <c:v>10</c:v>
                </c:pt>
                <c:pt idx="5562">
                  <c:v>10</c:v>
                </c:pt>
                <c:pt idx="5563">
                  <c:v>10</c:v>
                </c:pt>
                <c:pt idx="5564">
                  <c:v>10</c:v>
                </c:pt>
                <c:pt idx="5565">
                  <c:v>10</c:v>
                </c:pt>
                <c:pt idx="5566">
                  <c:v>10</c:v>
                </c:pt>
                <c:pt idx="5567">
                  <c:v>10</c:v>
                </c:pt>
                <c:pt idx="5568">
                  <c:v>10</c:v>
                </c:pt>
                <c:pt idx="5945">
                  <c:v>11</c:v>
                </c:pt>
                <c:pt idx="5946">
                  <c:v>11</c:v>
                </c:pt>
                <c:pt idx="5947">
                  <c:v>11</c:v>
                </c:pt>
                <c:pt idx="5948">
                  <c:v>11</c:v>
                </c:pt>
                <c:pt idx="5949">
                  <c:v>11</c:v>
                </c:pt>
                <c:pt idx="5950">
                  <c:v>11</c:v>
                </c:pt>
                <c:pt idx="5951">
                  <c:v>11</c:v>
                </c:pt>
                <c:pt idx="5952">
                  <c:v>11</c:v>
                </c:pt>
                <c:pt idx="5953">
                  <c:v>11</c:v>
                </c:pt>
                <c:pt idx="5954">
                  <c:v>11</c:v>
                </c:pt>
                <c:pt idx="5955">
                  <c:v>11</c:v>
                </c:pt>
                <c:pt idx="5956">
                  <c:v>11</c:v>
                </c:pt>
                <c:pt idx="5957">
                  <c:v>11</c:v>
                </c:pt>
                <c:pt idx="5958">
                  <c:v>11</c:v>
                </c:pt>
                <c:pt idx="5959">
                  <c:v>11</c:v>
                </c:pt>
                <c:pt idx="5960">
                  <c:v>11</c:v>
                </c:pt>
                <c:pt idx="5961">
                  <c:v>11</c:v>
                </c:pt>
                <c:pt idx="5962">
                  <c:v>11</c:v>
                </c:pt>
                <c:pt idx="5963">
                  <c:v>11</c:v>
                </c:pt>
                <c:pt idx="5964">
                  <c:v>11</c:v>
                </c:pt>
                <c:pt idx="6191">
                  <c:v>12</c:v>
                </c:pt>
                <c:pt idx="6192">
                  <c:v>12</c:v>
                </c:pt>
                <c:pt idx="6193">
                  <c:v>12</c:v>
                </c:pt>
                <c:pt idx="7059">
                  <c:v>13</c:v>
                </c:pt>
                <c:pt idx="7060">
                  <c:v>13</c:v>
                </c:pt>
                <c:pt idx="7061">
                  <c:v>13</c:v>
                </c:pt>
                <c:pt idx="7062">
                  <c:v>13</c:v>
                </c:pt>
                <c:pt idx="7063">
                  <c:v>13</c:v>
                </c:pt>
                <c:pt idx="7064">
                  <c:v>13</c:v>
                </c:pt>
                <c:pt idx="7065">
                  <c:v>13</c:v>
                </c:pt>
                <c:pt idx="7066">
                  <c:v>13</c:v>
                </c:pt>
                <c:pt idx="7067">
                  <c:v>13</c:v>
                </c:pt>
                <c:pt idx="7068">
                  <c:v>13</c:v>
                </c:pt>
                <c:pt idx="7069">
                  <c:v>13</c:v>
                </c:pt>
                <c:pt idx="7070">
                  <c:v>13</c:v>
                </c:pt>
                <c:pt idx="7071">
                  <c:v>13</c:v>
                </c:pt>
                <c:pt idx="7072">
                  <c:v>13</c:v>
                </c:pt>
                <c:pt idx="7073">
                  <c:v>13</c:v>
                </c:pt>
                <c:pt idx="7074">
                  <c:v>13</c:v>
                </c:pt>
                <c:pt idx="7075">
                  <c:v>13</c:v>
                </c:pt>
                <c:pt idx="7076">
                  <c:v>13</c:v>
                </c:pt>
                <c:pt idx="7077">
                  <c:v>13</c:v>
                </c:pt>
                <c:pt idx="7078">
                  <c:v>13</c:v>
                </c:pt>
                <c:pt idx="7079">
                  <c:v>13</c:v>
                </c:pt>
                <c:pt idx="7080">
                  <c:v>13</c:v>
                </c:pt>
                <c:pt idx="7081">
                  <c:v>13</c:v>
                </c:pt>
                <c:pt idx="7082">
                  <c:v>13</c:v>
                </c:pt>
                <c:pt idx="7083">
                  <c:v>13</c:v>
                </c:pt>
                <c:pt idx="7084">
                  <c:v>13</c:v>
                </c:pt>
                <c:pt idx="7085">
                  <c:v>13</c:v>
                </c:pt>
                <c:pt idx="7086">
                  <c:v>13</c:v>
                </c:pt>
                <c:pt idx="7087">
                  <c:v>13</c:v>
                </c:pt>
                <c:pt idx="7088">
                  <c:v>13</c:v>
                </c:pt>
                <c:pt idx="7089">
                  <c:v>13</c:v>
                </c:pt>
                <c:pt idx="7090">
                  <c:v>13</c:v>
                </c:pt>
                <c:pt idx="7091">
                  <c:v>13</c:v>
                </c:pt>
                <c:pt idx="7092">
                  <c:v>13</c:v>
                </c:pt>
                <c:pt idx="7093">
                  <c:v>13</c:v>
                </c:pt>
                <c:pt idx="7094">
                  <c:v>13</c:v>
                </c:pt>
                <c:pt idx="7095">
                  <c:v>13</c:v>
                </c:pt>
                <c:pt idx="7096">
                  <c:v>13</c:v>
                </c:pt>
                <c:pt idx="7097">
                  <c:v>13</c:v>
                </c:pt>
                <c:pt idx="7098">
                  <c:v>13</c:v>
                </c:pt>
                <c:pt idx="7099">
                  <c:v>13</c:v>
                </c:pt>
                <c:pt idx="7100">
                  <c:v>13</c:v>
                </c:pt>
                <c:pt idx="7101">
                  <c:v>13</c:v>
                </c:pt>
                <c:pt idx="7102">
                  <c:v>13</c:v>
                </c:pt>
                <c:pt idx="7103">
                  <c:v>13</c:v>
                </c:pt>
                <c:pt idx="7104">
                  <c:v>13</c:v>
                </c:pt>
                <c:pt idx="7105">
                  <c:v>13</c:v>
                </c:pt>
                <c:pt idx="7106">
                  <c:v>13</c:v>
                </c:pt>
                <c:pt idx="7107">
                  <c:v>13</c:v>
                </c:pt>
                <c:pt idx="7108">
                  <c:v>13</c:v>
                </c:pt>
                <c:pt idx="7109">
                  <c:v>13</c:v>
                </c:pt>
                <c:pt idx="7110">
                  <c:v>13</c:v>
                </c:pt>
                <c:pt idx="7111">
                  <c:v>13</c:v>
                </c:pt>
                <c:pt idx="7112">
                  <c:v>13</c:v>
                </c:pt>
                <c:pt idx="7113">
                  <c:v>13</c:v>
                </c:pt>
                <c:pt idx="7114">
                  <c:v>13</c:v>
                </c:pt>
                <c:pt idx="7115">
                  <c:v>13</c:v>
                </c:pt>
                <c:pt idx="7116">
                  <c:v>13</c:v>
                </c:pt>
                <c:pt idx="7117">
                  <c:v>13</c:v>
                </c:pt>
                <c:pt idx="7118">
                  <c:v>13</c:v>
                </c:pt>
                <c:pt idx="7119">
                  <c:v>13</c:v>
                </c:pt>
                <c:pt idx="7120">
                  <c:v>13</c:v>
                </c:pt>
                <c:pt idx="7121">
                  <c:v>13</c:v>
                </c:pt>
                <c:pt idx="7122">
                  <c:v>13</c:v>
                </c:pt>
                <c:pt idx="7123">
                  <c:v>13</c:v>
                </c:pt>
                <c:pt idx="7124">
                  <c:v>13</c:v>
                </c:pt>
                <c:pt idx="7125">
                  <c:v>13</c:v>
                </c:pt>
                <c:pt idx="7126">
                  <c:v>13</c:v>
                </c:pt>
                <c:pt idx="7127">
                  <c:v>13</c:v>
                </c:pt>
                <c:pt idx="7128">
                  <c:v>13</c:v>
                </c:pt>
                <c:pt idx="7129">
                  <c:v>13</c:v>
                </c:pt>
                <c:pt idx="7130">
                  <c:v>13</c:v>
                </c:pt>
                <c:pt idx="7131">
                  <c:v>13</c:v>
                </c:pt>
                <c:pt idx="7132">
                  <c:v>13</c:v>
                </c:pt>
                <c:pt idx="7133">
                  <c:v>13</c:v>
                </c:pt>
                <c:pt idx="7134">
                  <c:v>13</c:v>
                </c:pt>
                <c:pt idx="7135">
                  <c:v>13</c:v>
                </c:pt>
                <c:pt idx="7136">
                  <c:v>13</c:v>
                </c:pt>
                <c:pt idx="7137">
                  <c:v>13</c:v>
                </c:pt>
                <c:pt idx="7138">
                  <c:v>13</c:v>
                </c:pt>
                <c:pt idx="7139">
                  <c:v>13</c:v>
                </c:pt>
                <c:pt idx="7140">
                  <c:v>13</c:v>
                </c:pt>
                <c:pt idx="7141">
                  <c:v>13</c:v>
                </c:pt>
                <c:pt idx="7142">
                  <c:v>13</c:v>
                </c:pt>
                <c:pt idx="7143">
                  <c:v>13</c:v>
                </c:pt>
                <c:pt idx="7144">
                  <c:v>13</c:v>
                </c:pt>
                <c:pt idx="7145">
                  <c:v>13</c:v>
                </c:pt>
                <c:pt idx="7146">
                  <c:v>13</c:v>
                </c:pt>
                <c:pt idx="7147">
                  <c:v>13</c:v>
                </c:pt>
                <c:pt idx="7148">
                  <c:v>13</c:v>
                </c:pt>
                <c:pt idx="7149">
                  <c:v>13</c:v>
                </c:pt>
                <c:pt idx="7150">
                  <c:v>13</c:v>
                </c:pt>
                <c:pt idx="7151">
                  <c:v>13</c:v>
                </c:pt>
                <c:pt idx="7152">
                  <c:v>13</c:v>
                </c:pt>
                <c:pt idx="7153">
                  <c:v>13</c:v>
                </c:pt>
                <c:pt idx="7154">
                  <c:v>13</c:v>
                </c:pt>
                <c:pt idx="7155">
                  <c:v>13</c:v>
                </c:pt>
                <c:pt idx="7156">
                  <c:v>13</c:v>
                </c:pt>
                <c:pt idx="7157">
                  <c:v>13</c:v>
                </c:pt>
                <c:pt idx="7158">
                  <c:v>13</c:v>
                </c:pt>
                <c:pt idx="7266">
                  <c:v>14</c:v>
                </c:pt>
                <c:pt idx="7267">
                  <c:v>14</c:v>
                </c:pt>
                <c:pt idx="7268">
                  <c:v>14</c:v>
                </c:pt>
                <c:pt idx="7269">
                  <c:v>14</c:v>
                </c:pt>
                <c:pt idx="7270">
                  <c:v>14</c:v>
                </c:pt>
                <c:pt idx="7271">
                  <c:v>14</c:v>
                </c:pt>
                <c:pt idx="7272">
                  <c:v>14</c:v>
                </c:pt>
                <c:pt idx="7273">
                  <c:v>14</c:v>
                </c:pt>
                <c:pt idx="7274">
                  <c:v>14</c:v>
                </c:pt>
                <c:pt idx="7275">
                  <c:v>14</c:v>
                </c:pt>
                <c:pt idx="7276">
                  <c:v>14</c:v>
                </c:pt>
                <c:pt idx="7277">
                  <c:v>14</c:v>
                </c:pt>
                <c:pt idx="7278">
                  <c:v>14</c:v>
                </c:pt>
                <c:pt idx="7279">
                  <c:v>14</c:v>
                </c:pt>
                <c:pt idx="7280">
                  <c:v>14</c:v>
                </c:pt>
                <c:pt idx="7281">
                  <c:v>14</c:v>
                </c:pt>
                <c:pt idx="7282">
                  <c:v>14</c:v>
                </c:pt>
                <c:pt idx="7283">
                  <c:v>14</c:v>
                </c:pt>
                <c:pt idx="7284">
                  <c:v>14</c:v>
                </c:pt>
                <c:pt idx="7285">
                  <c:v>14</c:v>
                </c:pt>
                <c:pt idx="7286">
                  <c:v>14</c:v>
                </c:pt>
                <c:pt idx="7287">
                  <c:v>14</c:v>
                </c:pt>
                <c:pt idx="7288">
                  <c:v>14</c:v>
                </c:pt>
                <c:pt idx="7289">
                  <c:v>14</c:v>
                </c:pt>
                <c:pt idx="7290">
                  <c:v>14</c:v>
                </c:pt>
                <c:pt idx="7291">
                  <c:v>14</c:v>
                </c:pt>
                <c:pt idx="7292">
                  <c:v>14</c:v>
                </c:pt>
                <c:pt idx="7293">
                  <c:v>14</c:v>
                </c:pt>
                <c:pt idx="7294">
                  <c:v>14</c:v>
                </c:pt>
                <c:pt idx="7295">
                  <c:v>14</c:v>
                </c:pt>
                <c:pt idx="7296">
                  <c:v>14</c:v>
                </c:pt>
                <c:pt idx="7297">
                  <c:v>14</c:v>
                </c:pt>
                <c:pt idx="7411">
                  <c:v>15</c:v>
                </c:pt>
                <c:pt idx="7412">
                  <c:v>15</c:v>
                </c:pt>
                <c:pt idx="7413">
                  <c:v>15</c:v>
                </c:pt>
                <c:pt idx="7414">
                  <c:v>15</c:v>
                </c:pt>
                <c:pt idx="7415">
                  <c:v>15</c:v>
                </c:pt>
                <c:pt idx="7416">
                  <c:v>15</c:v>
                </c:pt>
                <c:pt idx="7417">
                  <c:v>15</c:v>
                </c:pt>
                <c:pt idx="7418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09-416A-AB63-F6FB6D50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427368"/>
        <c:axId val="630433128"/>
      </c:scatterChart>
      <c:valAx>
        <c:axId val="630427368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0433128"/>
        <c:crosses val="autoZero"/>
        <c:crossBetween val="midCat"/>
      </c:valAx>
      <c:valAx>
        <c:axId val="630433128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042736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>
        <c:manualLayout>
          <c:xMode val="edge"/>
          <c:yMode val="edge"/>
          <c:x val="0.16817498067879005"/>
          <c:y val="2.1231353554848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98549969590149E-2"/>
          <c:y val="0.13518561098248072"/>
          <c:w val="0.84903328907378184"/>
          <c:h val="0.63937801115430482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transpose!$N$1</c:f>
              <c:strCache>
                <c:ptCount val="1"/>
                <c:pt idx="0">
                  <c:v>B1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transpose!$N$2:$N$7686</c:f>
              <c:numCache>
                <c:formatCode>General</c:formatCode>
                <c:ptCount val="7685"/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0-4F8A-AE9C-6764C7C86168}"/>
            </c:ext>
          </c:extLst>
        </c:ser>
        <c:ser>
          <c:idx val="1"/>
          <c:order val="1"/>
          <c:tx>
            <c:strRef>
              <c:f>transpose!$R$1</c:f>
              <c:strCache>
                <c:ptCount val="1"/>
                <c:pt idx="0">
                  <c:v>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transpose!$R$2:$R$7686</c:f>
              <c:numCache>
                <c:formatCode>General</c:formatCode>
                <c:ptCount val="7685"/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D0-4F8A-AE9C-6764C7C86168}"/>
            </c:ext>
          </c:extLst>
        </c:ser>
        <c:ser>
          <c:idx val="2"/>
          <c:order val="2"/>
          <c:tx>
            <c:strRef>
              <c:f>transpose!$V$1</c:f>
              <c:strCache>
                <c:ptCount val="1"/>
                <c:pt idx="0">
                  <c:v>B5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transpose!$V$2:$V$7686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D0-4F8A-AE9C-6764C7C86168}"/>
            </c:ext>
          </c:extLst>
        </c:ser>
        <c:ser>
          <c:idx val="3"/>
          <c:order val="3"/>
          <c:tx>
            <c:strRef>
              <c:f>transpose!$Z$1</c:f>
              <c:strCache>
                <c:ptCount val="1"/>
                <c:pt idx="0">
                  <c:v>B7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transpose!$Z$2:$Z$7686</c:f>
              <c:numCache>
                <c:formatCode>General</c:formatCode>
                <c:ptCount val="7685"/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D0-4F8A-AE9C-6764C7C86168}"/>
            </c:ext>
          </c:extLst>
        </c:ser>
        <c:ser>
          <c:idx val="4"/>
          <c:order val="4"/>
          <c:tx>
            <c:strRef>
              <c:f>transpose!$AD$1</c:f>
              <c:strCache>
                <c:ptCount val="1"/>
                <c:pt idx="0">
                  <c:v>B9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transpose!$AD$2:$AD$7686</c:f>
              <c:numCache>
                <c:formatCode>General</c:formatCode>
                <c:ptCount val="7685"/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D0-4F8A-AE9C-6764C7C86168}"/>
            </c:ext>
          </c:extLst>
        </c:ser>
        <c:ser>
          <c:idx val="5"/>
          <c:order val="5"/>
          <c:tx>
            <c:strRef>
              <c:f>transpose!$AH$1</c:f>
              <c:strCache>
                <c:ptCount val="1"/>
                <c:pt idx="0">
                  <c:v>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transpose!$AH$2:$AH$7686</c:f>
              <c:numCache>
                <c:formatCode>General</c:formatCode>
                <c:ptCount val="7685"/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D0-4F8A-AE9C-6764C7C86168}"/>
            </c:ext>
          </c:extLst>
        </c:ser>
        <c:ser>
          <c:idx val="6"/>
          <c:order val="6"/>
          <c:tx>
            <c:strRef>
              <c:f>transpose!$AL$1</c:f>
              <c:strCache>
                <c:ptCount val="1"/>
                <c:pt idx="0">
                  <c:v>B13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transpose!$AL$2:$AL$7686</c:f>
              <c:numCache>
                <c:formatCode>General</c:formatCode>
                <c:ptCount val="7685"/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0D0-4F8A-AE9C-6764C7C86168}"/>
            </c:ext>
          </c:extLst>
        </c:ser>
        <c:ser>
          <c:idx val="7"/>
          <c:order val="7"/>
          <c:tx>
            <c:strRef>
              <c:f>transpose!$AP$1</c:f>
              <c:strCache>
                <c:ptCount val="1"/>
                <c:pt idx="0">
                  <c:v>B15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transpose!$AP$2:$AP$7686</c:f>
              <c:numCache>
                <c:formatCode>General</c:formatCode>
                <c:ptCount val="7685"/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0D0-4F8A-AE9C-6764C7C8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42351"/>
        <c:axId val="770846511"/>
      </c:scatterChart>
      <c:valAx>
        <c:axId val="770842351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46511"/>
        <c:crosses val="autoZero"/>
        <c:crossBetween val="midCat"/>
        <c:majorUnit val="1000"/>
      </c:valAx>
      <c:valAx>
        <c:axId val="770846511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4235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45320007616104E-2"/>
          <c:y val="0.14423694023406031"/>
          <c:w val="0.56853199329482962"/>
          <c:h val="0.186162002367147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1_80_LE_Female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transpose!$B$1</c:f>
              <c:strCache>
                <c:ptCount val="1"/>
                <c:pt idx="0">
                  <c:v>F1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transpose!$B$2:$B$7686</c:f>
              <c:numCache>
                <c:formatCode>General</c:formatCode>
                <c:ptCount val="7685"/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723">
                  <c:v>4</c:v>
                </c:pt>
                <c:pt idx="2724">
                  <c:v>4</c:v>
                </c:pt>
                <c:pt idx="2725">
                  <c:v>4</c:v>
                </c:pt>
                <c:pt idx="2726">
                  <c:v>4</c:v>
                </c:pt>
                <c:pt idx="2727">
                  <c:v>4</c:v>
                </c:pt>
                <c:pt idx="2728">
                  <c:v>4</c:v>
                </c:pt>
                <c:pt idx="2729">
                  <c:v>4</c:v>
                </c:pt>
                <c:pt idx="2730">
                  <c:v>4</c:v>
                </c:pt>
                <c:pt idx="2731">
                  <c:v>4</c:v>
                </c:pt>
                <c:pt idx="2732">
                  <c:v>4</c:v>
                </c:pt>
                <c:pt idx="2733">
                  <c:v>4</c:v>
                </c:pt>
                <c:pt idx="2734">
                  <c:v>4</c:v>
                </c:pt>
                <c:pt idx="2735">
                  <c:v>4</c:v>
                </c:pt>
                <c:pt idx="2736">
                  <c:v>4</c:v>
                </c:pt>
                <c:pt idx="2737">
                  <c:v>4</c:v>
                </c:pt>
                <c:pt idx="2738">
                  <c:v>4</c:v>
                </c:pt>
                <c:pt idx="2739">
                  <c:v>4</c:v>
                </c:pt>
                <c:pt idx="2740">
                  <c:v>4</c:v>
                </c:pt>
                <c:pt idx="2741">
                  <c:v>4</c:v>
                </c:pt>
                <c:pt idx="2742">
                  <c:v>4</c:v>
                </c:pt>
                <c:pt idx="2743">
                  <c:v>4</c:v>
                </c:pt>
                <c:pt idx="2744">
                  <c:v>4</c:v>
                </c:pt>
                <c:pt idx="2745">
                  <c:v>4</c:v>
                </c:pt>
                <c:pt idx="2746">
                  <c:v>4</c:v>
                </c:pt>
                <c:pt idx="2747">
                  <c:v>4</c:v>
                </c:pt>
                <c:pt idx="2748">
                  <c:v>4</c:v>
                </c:pt>
                <c:pt idx="2749">
                  <c:v>4</c:v>
                </c:pt>
                <c:pt idx="2750">
                  <c:v>4</c:v>
                </c:pt>
                <c:pt idx="2751">
                  <c:v>4</c:v>
                </c:pt>
                <c:pt idx="2752">
                  <c:v>4</c:v>
                </c:pt>
                <c:pt idx="2753">
                  <c:v>4</c:v>
                </c:pt>
                <c:pt idx="2754">
                  <c:v>4</c:v>
                </c:pt>
                <c:pt idx="2755">
                  <c:v>4</c:v>
                </c:pt>
                <c:pt idx="2756">
                  <c:v>4</c:v>
                </c:pt>
                <c:pt idx="2757">
                  <c:v>4</c:v>
                </c:pt>
                <c:pt idx="2758">
                  <c:v>4</c:v>
                </c:pt>
                <c:pt idx="2759">
                  <c:v>4</c:v>
                </c:pt>
                <c:pt idx="2760">
                  <c:v>4</c:v>
                </c:pt>
                <c:pt idx="2761">
                  <c:v>4</c:v>
                </c:pt>
                <c:pt idx="2762">
                  <c:v>4</c:v>
                </c:pt>
                <c:pt idx="2763">
                  <c:v>4</c:v>
                </c:pt>
                <c:pt idx="2764">
                  <c:v>4</c:v>
                </c:pt>
                <c:pt idx="2765">
                  <c:v>4</c:v>
                </c:pt>
                <c:pt idx="2766">
                  <c:v>4</c:v>
                </c:pt>
                <c:pt idx="2767">
                  <c:v>4</c:v>
                </c:pt>
                <c:pt idx="2768">
                  <c:v>4</c:v>
                </c:pt>
                <c:pt idx="2769">
                  <c:v>4</c:v>
                </c:pt>
                <c:pt idx="2770">
                  <c:v>4</c:v>
                </c:pt>
                <c:pt idx="2771">
                  <c:v>4</c:v>
                </c:pt>
                <c:pt idx="2772">
                  <c:v>4</c:v>
                </c:pt>
                <c:pt idx="2773">
                  <c:v>4</c:v>
                </c:pt>
                <c:pt idx="2774">
                  <c:v>4</c:v>
                </c:pt>
                <c:pt idx="2775">
                  <c:v>4</c:v>
                </c:pt>
                <c:pt idx="2776">
                  <c:v>4</c:v>
                </c:pt>
                <c:pt idx="2777">
                  <c:v>4</c:v>
                </c:pt>
                <c:pt idx="2778">
                  <c:v>4</c:v>
                </c:pt>
                <c:pt idx="2779">
                  <c:v>4</c:v>
                </c:pt>
                <c:pt idx="2780">
                  <c:v>4</c:v>
                </c:pt>
                <c:pt idx="2781">
                  <c:v>4</c:v>
                </c:pt>
                <c:pt idx="2782">
                  <c:v>4</c:v>
                </c:pt>
                <c:pt idx="2783">
                  <c:v>4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4</c:v>
                </c:pt>
                <c:pt idx="2788">
                  <c:v>4</c:v>
                </c:pt>
                <c:pt idx="2789">
                  <c:v>4</c:v>
                </c:pt>
                <c:pt idx="2790">
                  <c:v>4</c:v>
                </c:pt>
                <c:pt idx="2791">
                  <c:v>4</c:v>
                </c:pt>
                <c:pt idx="2792">
                  <c:v>4</c:v>
                </c:pt>
                <c:pt idx="2793">
                  <c:v>4</c:v>
                </c:pt>
                <c:pt idx="2794">
                  <c:v>4</c:v>
                </c:pt>
                <c:pt idx="2795">
                  <c:v>4</c:v>
                </c:pt>
                <c:pt idx="2796">
                  <c:v>4</c:v>
                </c:pt>
                <c:pt idx="2797">
                  <c:v>4</c:v>
                </c:pt>
                <c:pt idx="2798">
                  <c:v>4</c:v>
                </c:pt>
                <c:pt idx="2799">
                  <c:v>4</c:v>
                </c:pt>
                <c:pt idx="2800">
                  <c:v>4</c:v>
                </c:pt>
                <c:pt idx="2801">
                  <c:v>4</c:v>
                </c:pt>
                <c:pt idx="2802">
                  <c:v>4</c:v>
                </c:pt>
                <c:pt idx="2803">
                  <c:v>4</c:v>
                </c:pt>
                <c:pt idx="2804">
                  <c:v>4</c:v>
                </c:pt>
                <c:pt idx="2805">
                  <c:v>4</c:v>
                </c:pt>
                <c:pt idx="2806">
                  <c:v>4</c:v>
                </c:pt>
                <c:pt idx="2807">
                  <c:v>4</c:v>
                </c:pt>
                <c:pt idx="2808">
                  <c:v>4</c:v>
                </c:pt>
                <c:pt idx="2809">
                  <c:v>4</c:v>
                </c:pt>
                <c:pt idx="2810">
                  <c:v>4</c:v>
                </c:pt>
                <c:pt idx="2811">
                  <c:v>4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4</c:v>
                </c:pt>
                <c:pt idx="2816">
                  <c:v>4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4</c:v>
                </c:pt>
                <c:pt idx="2826">
                  <c:v>4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4</c:v>
                </c:pt>
                <c:pt idx="2831">
                  <c:v>4</c:v>
                </c:pt>
                <c:pt idx="2832">
                  <c:v>4</c:v>
                </c:pt>
                <c:pt idx="2833">
                  <c:v>4</c:v>
                </c:pt>
                <c:pt idx="2834">
                  <c:v>4</c:v>
                </c:pt>
                <c:pt idx="2835">
                  <c:v>4</c:v>
                </c:pt>
                <c:pt idx="2836">
                  <c:v>4</c:v>
                </c:pt>
                <c:pt idx="2837">
                  <c:v>4</c:v>
                </c:pt>
                <c:pt idx="2838">
                  <c:v>4</c:v>
                </c:pt>
                <c:pt idx="2839">
                  <c:v>4</c:v>
                </c:pt>
                <c:pt idx="2840">
                  <c:v>4</c:v>
                </c:pt>
                <c:pt idx="2841">
                  <c:v>4</c:v>
                </c:pt>
                <c:pt idx="2842">
                  <c:v>4</c:v>
                </c:pt>
                <c:pt idx="2843">
                  <c:v>4</c:v>
                </c:pt>
                <c:pt idx="2844">
                  <c:v>4</c:v>
                </c:pt>
                <c:pt idx="2845">
                  <c:v>4</c:v>
                </c:pt>
                <c:pt idx="2846">
                  <c:v>4</c:v>
                </c:pt>
                <c:pt idx="2847">
                  <c:v>4</c:v>
                </c:pt>
                <c:pt idx="2848">
                  <c:v>4</c:v>
                </c:pt>
                <c:pt idx="2849">
                  <c:v>4</c:v>
                </c:pt>
                <c:pt idx="2850">
                  <c:v>4</c:v>
                </c:pt>
                <c:pt idx="2851">
                  <c:v>4</c:v>
                </c:pt>
                <c:pt idx="2852">
                  <c:v>4</c:v>
                </c:pt>
                <c:pt idx="2853">
                  <c:v>4</c:v>
                </c:pt>
                <c:pt idx="2854">
                  <c:v>4</c:v>
                </c:pt>
                <c:pt idx="2855">
                  <c:v>4</c:v>
                </c:pt>
                <c:pt idx="2856">
                  <c:v>4</c:v>
                </c:pt>
                <c:pt idx="2857">
                  <c:v>4</c:v>
                </c:pt>
                <c:pt idx="2858">
                  <c:v>4</c:v>
                </c:pt>
                <c:pt idx="2859">
                  <c:v>4</c:v>
                </c:pt>
                <c:pt idx="2860">
                  <c:v>4</c:v>
                </c:pt>
                <c:pt idx="2861">
                  <c:v>4</c:v>
                </c:pt>
                <c:pt idx="2862">
                  <c:v>4</c:v>
                </c:pt>
                <c:pt idx="2863">
                  <c:v>4</c:v>
                </c:pt>
                <c:pt idx="2864">
                  <c:v>4</c:v>
                </c:pt>
                <c:pt idx="2865">
                  <c:v>4</c:v>
                </c:pt>
                <c:pt idx="2866">
                  <c:v>4</c:v>
                </c:pt>
                <c:pt idx="2867">
                  <c:v>4</c:v>
                </c:pt>
                <c:pt idx="2868">
                  <c:v>4</c:v>
                </c:pt>
                <c:pt idx="2869">
                  <c:v>4</c:v>
                </c:pt>
                <c:pt idx="2870">
                  <c:v>4</c:v>
                </c:pt>
                <c:pt idx="2871">
                  <c:v>4</c:v>
                </c:pt>
                <c:pt idx="2872">
                  <c:v>4</c:v>
                </c:pt>
                <c:pt idx="2873">
                  <c:v>4</c:v>
                </c:pt>
                <c:pt idx="2874">
                  <c:v>4</c:v>
                </c:pt>
                <c:pt idx="2875">
                  <c:v>4</c:v>
                </c:pt>
                <c:pt idx="2876">
                  <c:v>4</c:v>
                </c:pt>
                <c:pt idx="2877">
                  <c:v>4</c:v>
                </c:pt>
                <c:pt idx="2878">
                  <c:v>4</c:v>
                </c:pt>
                <c:pt idx="2879">
                  <c:v>4</c:v>
                </c:pt>
                <c:pt idx="2880">
                  <c:v>4</c:v>
                </c:pt>
                <c:pt idx="2881">
                  <c:v>4</c:v>
                </c:pt>
                <c:pt idx="2882">
                  <c:v>4</c:v>
                </c:pt>
                <c:pt idx="2883">
                  <c:v>4</c:v>
                </c:pt>
                <c:pt idx="2884">
                  <c:v>4</c:v>
                </c:pt>
                <c:pt idx="2885">
                  <c:v>4</c:v>
                </c:pt>
                <c:pt idx="2886">
                  <c:v>4</c:v>
                </c:pt>
                <c:pt idx="2887">
                  <c:v>4</c:v>
                </c:pt>
                <c:pt idx="2888">
                  <c:v>4</c:v>
                </c:pt>
                <c:pt idx="2889">
                  <c:v>4</c:v>
                </c:pt>
                <c:pt idx="2890">
                  <c:v>4</c:v>
                </c:pt>
                <c:pt idx="2891">
                  <c:v>4</c:v>
                </c:pt>
                <c:pt idx="2892">
                  <c:v>4</c:v>
                </c:pt>
                <c:pt idx="2893">
                  <c:v>4</c:v>
                </c:pt>
                <c:pt idx="2894">
                  <c:v>4</c:v>
                </c:pt>
                <c:pt idx="2895">
                  <c:v>4</c:v>
                </c:pt>
                <c:pt idx="2896">
                  <c:v>4</c:v>
                </c:pt>
                <c:pt idx="2897">
                  <c:v>4</c:v>
                </c:pt>
                <c:pt idx="2898">
                  <c:v>4</c:v>
                </c:pt>
                <c:pt idx="2899">
                  <c:v>4</c:v>
                </c:pt>
                <c:pt idx="2900">
                  <c:v>4</c:v>
                </c:pt>
                <c:pt idx="2901">
                  <c:v>4</c:v>
                </c:pt>
                <c:pt idx="2902">
                  <c:v>4</c:v>
                </c:pt>
                <c:pt idx="2903">
                  <c:v>4</c:v>
                </c:pt>
                <c:pt idx="2904">
                  <c:v>4</c:v>
                </c:pt>
                <c:pt idx="2905">
                  <c:v>4</c:v>
                </c:pt>
                <c:pt idx="2906">
                  <c:v>4</c:v>
                </c:pt>
                <c:pt idx="2907">
                  <c:v>4</c:v>
                </c:pt>
                <c:pt idx="2908">
                  <c:v>4</c:v>
                </c:pt>
                <c:pt idx="2909">
                  <c:v>4</c:v>
                </c:pt>
                <c:pt idx="2910">
                  <c:v>4</c:v>
                </c:pt>
                <c:pt idx="2911">
                  <c:v>4</c:v>
                </c:pt>
                <c:pt idx="2912">
                  <c:v>4</c:v>
                </c:pt>
                <c:pt idx="2913">
                  <c:v>4</c:v>
                </c:pt>
                <c:pt idx="2914">
                  <c:v>4</c:v>
                </c:pt>
                <c:pt idx="2915">
                  <c:v>4</c:v>
                </c:pt>
                <c:pt idx="2916">
                  <c:v>4</c:v>
                </c:pt>
                <c:pt idx="2917">
                  <c:v>4</c:v>
                </c:pt>
                <c:pt idx="2918">
                  <c:v>4</c:v>
                </c:pt>
                <c:pt idx="2919">
                  <c:v>4</c:v>
                </c:pt>
                <c:pt idx="2920">
                  <c:v>4</c:v>
                </c:pt>
                <c:pt idx="2921">
                  <c:v>4</c:v>
                </c:pt>
                <c:pt idx="2922">
                  <c:v>4</c:v>
                </c:pt>
                <c:pt idx="2923">
                  <c:v>4</c:v>
                </c:pt>
                <c:pt idx="2924">
                  <c:v>4</c:v>
                </c:pt>
                <c:pt idx="2925">
                  <c:v>4</c:v>
                </c:pt>
                <c:pt idx="2926">
                  <c:v>4</c:v>
                </c:pt>
                <c:pt idx="2927">
                  <c:v>4</c:v>
                </c:pt>
                <c:pt idx="2928">
                  <c:v>4</c:v>
                </c:pt>
                <c:pt idx="2929">
                  <c:v>4</c:v>
                </c:pt>
                <c:pt idx="2930">
                  <c:v>4</c:v>
                </c:pt>
                <c:pt idx="2931">
                  <c:v>4</c:v>
                </c:pt>
                <c:pt idx="2932">
                  <c:v>4</c:v>
                </c:pt>
                <c:pt idx="2933">
                  <c:v>4</c:v>
                </c:pt>
                <c:pt idx="2934">
                  <c:v>4</c:v>
                </c:pt>
                <c:pt idx="2935">
                  <c:v>4</c:v>
                </c:pt>
                <c:pt idx="2936">
                  <c:v>4</c:v>
                </c:pt>
                <c:pt idx="2937">
                  <c:v>4</c:v>
                </c:pt>
                <c:pt idx="2938">
                  <c:v>4</c:v>
                </c:pt>
                <c:pt idx="2939">
                  <c:v>4</c:v>
                </c:pt>
                <c:pt idx="2940">
                  <c:v>4</c:v>
                </c:pt>
                <c:pt idx="2941">
                  <c:v>4</c:v>
                </c:pt>
                <c:pt idx="2942">
                  <c:v>4</c:v>
                </c:pt>
                <c:pt idx="2943">
                  <c:v>4</c:v>
                </c:pt>
                <c:pt idx="2944">
                  <c:v>4</c:v>
                </c:pt>
                <c:pt idx="2945">
                  <c:v>4</c:v>
                </c:pt>
                <c:pt idx="2946">
                  <c:v>4</c:v>
                </c:pt>
                <c:pt idx="2947">
                  <c:v>4</c:v>
                </c:pt>
                <c:pt idx="2948">
                  <c:v>4</c:v>
                </c:pt>
                <c:pt idx="2949">
                  <c:v>4</c:v>
                </c:pt>
                <c:pt idx="2950">
                  <c:v>4</c:v>
                </c:pt>
                <c:pt idx="2951">
                  <c:v>4</c:v>
                </c:pt>
                <c:pt idx="2952">
                  <c:v>4</c:v>
                </c:pt>
                <c:pt idx="2953">
                  <c:v>4</c:v>
                </c:pt>
                <c:pt idx="2954">
                  <c:v>4</c:v>
                </c:pt>
                <c:pt idx="2955">
                  <c:v>4</c:v>
                </c:pt>
                <c:pt idx="2956">
                  <c:v>4</c:v>
                </c:pt>
                <c:pt idx="2957">
                  <c:v>4</c:v>
                </c:pt>
                <c:pt idx="2958">
                  <c:v>4</c:v>
                </c:pt>
                <c:pt idx="2959">
                  <c:v>4</c:v>
                </c:pt>
                <c:pt idx="2960">
                  <c:v>4</c:v>
                </c:pt>
                <c:pt idx="2961">
                  <c:v>4</c:v>
                </c:pt>
                <c:pt idx="2962">
                  <c:v>4</c:v>
                </c:pt>
                <c:pt idx="2963">
                  <c:v>4</c:v>
                </c:pt>
                <c:pt idx="2964">
                  <c:v>4</c:v>
                </c:pt>
                <c:pt idx="2965">
                  <c:v>4</c:v>
                </c:pt>
                <c:pt idx="3400">
                  <c:v>5</c:v>
                </c:pt>
                <c:pt idx="3401">
                  <c:v>5</c:v>
                </c:pt>
                <c:pt idx="3402">
                  <c:v>5</c:v>
                </c:pt>
                <c:pt idx="3403">
                  <c:v>5</c:v>
                </c:pt>
                <c:pt idx="3404">
                  <c:v>5</c:v>
                </c:pt>
                <c:pt idx="3405">
                  <c:v>5</c:v>
                </c:pt>
                <c:pt idx="3406">
                  <c:v>5</c:v>
                </c:pt>
                <c:pt idx="3407">
                  <c:v>5</c:v>
                </c:pt>
                <c:pt idx="3408">
                  <c:v>5</c:v>
                </c:pt>
                <c:pt idx="3409">
                  <c:v>5</c:v>
                </c:pt>
                <c:pt idx="3410">
                  <c:v>5</c:v>
                </c:pt>
                <c:pt idx="3411">
                  <c:v>5</c:v>
                </c:pt>
                <c:pt idx="3412">
                  <c:v>5</c:v>
                </c:pt>
                <c:pt idx="3413">
                  <c:v>5</c:v>
                </c:pt>
                <c:pt idx="3414">
                  <c:v>5</c:v>
                </c:pt>
                <c:pt idx="3415">
                  <c:v>5</c:v>
                </c:pt>
                <c:pt idx="3416">
                  <c:v>5</c:v>
                </c:pt>
                <c:pt idx="3417">
                  <c:v>5</c:v>
                </c:pt>
                <c:pt idx="3418">
                  <c:v>5</c:v>
                </c:pt>
                <c:pt idx="3419">
                  <c:v>5</c:v>
                </c:pt>
                <c:pt idx="3420">
                  <c:v>5</c:v>
                </c:pt>
                <c:pt idx="3421">
                  <c:v>5</c:v>
                </c:pt>
                <c:pt idx="3422">
                  <c:v>5</c:v>
                </c:pt>
                <c:pt idx="3423">
                  <c:v>5</c:v>
                </c:pt>
                <c:pt idx="3424">
                  <c:v>5</c:v>
                </c:pt>
                <c:pt idx="3425">
                  <c:v>5</c:v>
                </c:pt>
                <c:pt idx="3426">
                  <c:v>5</c:v>
                </c:pt>
                <c:pt idx="3427">
                  <c:v>5</c:v>
                </c:pt>
                <c:pt idx="3428">
                  <c:v>5</c:v>
                </c:pt>
                <c:pt idx="3429">
                  <c:v>5</c:v>
                </c:pt>
                <c:pt idx="3430">
                  <c:v>5</c:v>
                </c:pt>
                <c:pt idx="3431">
                  <c:v>5</c:v>
                </c:pt>
                <c:pt idx="3432">
                  <c:v>5</c:v>
                </c:pt>
                <c:pt idx="3433">
                  <c:v>5</c:v>
                </c:pt>
                <c:pt idx="3434">
                  <c:v>5</c:v>
                </c:pt>
                <c:pt idx="3435">
                  <c:v>5</c:v>
                </c:pt>
                <c:pt idx="3436">
                  <c:v>5</c:v>
                </c:pt>
                <c:pt idx="3437">
                  <c:v>5</c:v>
                </c:pt>
                <c:pt idx="3438">
                  <c:v>5</c:v>
                </c:pt>
                <c:pt idx="3439">
                  <c:v>5</c:v>
                </c:pt>
                <c:pt idx="3440">
                  <c:v>5</c:v>
                </c:pt>
                <c:pt idx="3441">
                  <c:v>5</c:v>
                </c:pt>
                <c:pt idx="3442">
                  <c:v>5</c:v>
                </c:pt>
                <c:pt idx="3443">
                  <c:v>5</c:v>
                </c:pt>
                <c:pt idx="3444">
                  <c:v>5</c:v>
                </c:pt>
                <c:pt idx="3445">
                  <c:v>5</c:v>
                </c:pt>
                <c:pt idx="3446">
                  <c:v>5</c:v>
                </c:pt>
                <c:pt idx="3447">
                  <c:v>5</c:v>
                </c:pt>
                <c:pt idx="3448">
                  <c:v>5</c:v>
                </c:pt>
                <c:pt idx="3449">
                  <c:v>5</c:v>
                </c:pt>
                <c:pt idx="3450">
                  <c:v>5</c:v>
                </c:pt>
                <c:pt idx="3451">
                  <c:v>5</c:v>
                </c:pt>
                <c:pt idx="3452">
                  <c:v>5</c:v>
                </c:pt>
                <c:pt idx="3453">
                  <c:v>5</c:v>
                </c:pt>
                <c:pt idx="3454">
                  <c:v>5</c:v>
                </c:pt>
                <c:pt idx="3455">
                  <c:v>5</c:v>
                </c:pt>
                <c:pt idx="3456">
                  <c:v>5</c:v>
                </c:pt>
                <c:pt idx="3457">
                  <c:v>5</c:v>
                </c:pt>
                <c:pt idx="3458">
                  <c:v>5</c:v>
                </c:pt>
                <c:pt idx="3459">
                  <c:v>5</c:v>
                </c:pt>
                <c:pt idx="3460">
                  <c:v>5</c:v>
                </c:pt>
                <c:pt idx="3461">
                  <c:v>5</c:v>
                </c:pt>
                <c:pt idx="3462">
                  <c:v>5</c:v>
                </c:pt>
                <c:pt idx="3463">
                  <c:v>5</c:v>
                </c:pt>
                <c:pt idx="3464">
                  <c:v>5</c:v>
                </c:pt>
                <c:pt idx="3465">
                  <c:v>5</c:v>
                </c:pt>
                <c:pt idx="3466">
                  <c:v>5</c:v>
                </c:pt>
                <c:pt idx="3467">
                  <c:v>5</c:v>
                </c:pt>
                <c:pt idx="3468">
                  <c:v>5</c:v>
                </c:pt>
                <c:pt idx="3469">
                  <c:v>5</c:v>
                </c:pt>
                <c:pt idx="3470">
                  <c:v>5</c:v>
                </c:pt>
                <c:pt idx="3471">
                  <c:v>5</c:v>
                </c:pt>
                <c:pt idx="3472">
                  <c:v>5</c:v>
                </c:pt>
                <c:pt idx="3473">
                  <c:v>5</c:v>
                </c:pt>
                <c:pt idx="3474">
                  <c:v>5</c:v>
                </c:pt>
                <c:pt idx="3475">
                  <c:v>5</c:v>
                </c:pt>
                <c:pt idx="3476">
                  <c:v>5</c:v>
                </c:pt>
                <c:pt idx="3477">
                  <c:v>5</c:v>
                </c:pt>
                <c:pt idx="3478">
                  <c:v>5</c:v>
                </c:pt>
                <c:pt idx="3479">
                  <c:v>5</c:v>
                </c:pt>
                <c:pt idx="3480">
                  <c:v>5</c:v>
                </c:pt>
                <c:pt idx="3481">
                  <c:v>5</c:v>
                </c:pt>
                <c:pt idx="3482">
                  <c:v>5</c:v>
                </c:pt>
                <c:pt idx="3483">
                  <c:v>5</c:v>
                </c:pt>
                <c:pt idx="3484">
                  <c:v>5</c:v>
                </c:pt>
                <c:pt idx="3485">
                  <c:v>5</c:v>
                </c:pt>
                <c:pt idx="3486">
                  <c:v>5</c:v>
                </c:pt>
                <c:pt idx="3487">
                  <c:v>5</c:v>
                </c:pt>
                <c:pt idx="3488">
                  <c:v>5</c:v>
                </c:pt>
                <c:pt idx="3489">
                  <c:v>5</c:v>
                </c:pt>
                <c:pt idx="3490">
                  <c:v>5</c:v>
                </c:pt>
                <c:pt idx="3491">
                  <c:v>5</c:v>
                </c:pt>
                <c:pt idx="3492">
                  <c:v>5</c:v>
                </c:pt>
                <c:pt idx="3493">
                  <c:v>5</c:v>
                </c:pt>
                <c:pt idx="3494">
                  <c:v>5</c:v>
                </c:pt>
                <c:pt idx="3495">
                  <c:v>5</c:v>
                </c:pt>
                <c:pt idx="3496">
                  <c:v>5</c:v>
                </c:pt>
                <c:pt idx="3497">
                  <c:v>5</c:v>
                </c:pt>
                <c:pt idx="3498">
                  <c:v>5</c:v>
                </c:pt>
                <c:pt idx="3499">
                  <c:v>5</c:v>
                </c:pt>
                <c:pt idx="3500">
                  <c:v>5</c:v>
                </c:pt>
                <c:pt idx="3501">
                  <c:v>5</c:v>
                </c:pt>
                <c:pt idx="3502">
                  <c:v>5</c:v>
                </c:pt>
                <c:pt idx="3503">
                  <c:v>5</c:v>
                </c:pt>
                <c:pt idx="3504">
                  <c:v>5</c:v>
                </c:pt>
                <c:pt idx="3505">
                  <c:v>5</c:v>
                </c:pt>
                <c:pt idx="3506">
                  <c:v>5</c:v>
                </c:pt>
                <c:pt idx="3507">
                  <c:v>5</c:v>
                </c:pt>
                <c:pt idx="3508">
                  <c:v>5</c:v>
                </c:pt>
                <c:pt idx="3509">
                  <c:v>5</c:v>
                </c:pt>
                <c:pt idx="3510">
                  <c:v>5</c:v>
                </c:pt>
                <c:pt idx="3511">
                  <c:v>5</c:v>
                </c:pt>
                <c:pt idx="3512">
                  <c:v>5</c:v>
                </c:pt>
                <c:pt idx="3513">
                  <c:v>5</c:v>
                </c:pt>
                <c:pt idx="3514">
                  <c:v>5</c:v>
                </c:pt>
                <c:pt idx="3515">
                  <c:v>5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5</c:v>
                </c:pt>
                <c:pt idx="3523">
                  <c:v>5</c:v>
                </c:pt>
                <c:pt idx="3524">
                  <c:v>5</c:v>
                </c:pt>
                <c:pt idx="3525">
                  <c:v>5</c:v>
                </c:pt>
                <c:pt idx="3526">
                  <c:v>5</c:v>
                </c:pt>
                <c:pt idx="3527">
                  <c:v>5</c:v>
                </c:pt>
                <c:pt idx="3528">
                  <c:v>5</c:v>
                </c:pt>
                <c:pt idx="3529">
                  <c:v>5</c:v>
                </c:pt>
                <c:pt idx="3530">
                  <c:v>5</c:v>
                </c:pt>
                <c:pt idx="3531">
                  <c:v>5</c:v>
                </c:pt>
                <c:pt idx="3532">
                  <c:v>5</c:v>
                </c:pt>
                <c:pt idx="3533">
                  <c:v>5</c:v>
                </c:pt>
                <c:pt idx="3534">
                  <c:v>5</c:v>
                </c:pt>
                <c:pt idx="3535">
                  <c:v>5</c:v>
                </c:pt>
                <c:pt idx="3536">
                  <c:v>5</c:v>
                </c:pt>
                <c:pt idx="3537">
                  <c:v>5</c:v>
                </c:pt>
                <c:pt idx="3538">
                  <c:v>5</c:v>
                </c:pt>
                <c:pt idx="3539">
                  <c:v>5</c:v>
                </c:pt>
                <c:pt idx="3540">
                  <c:v>5</c:v>
                </c:pt>
                <c:pt idx="3541">
                  <c:v>5</c:v>
                </c:pt>
                <c:pt idx="3542">
                  <c:v>5</c:v>
                </c:pt>
                <c:pt idx="3543">
                  <c:v>5</c:v>
                </c:pt>
                <c:pt idx="3544">
                  <c:v>5</c:v>
                </c:pt>
                <c:pt idx="3545">
                  <c:v>5</c:v>
                </c:pt>
                <c:pt idx="3546">
                  <c:v>5</c:v>
                </c:pt>
                <c:pt idx="3547">
                  <c:v>5</c:v>
                </c:pt>
                <c:pt idx="3548">
                  <c:v>5</c:v>
                </c:pt>
                <c:pt idx="3549">
                  <c:v>5</c:v>
                </c:pt>
                <c:pt idx="3550">
                  <c:v>5</c:v>
                </c:pt>
                <c:pt idx="3551">
                  <c:v>5</c:v>
                </c:pt>
                <c:pt idx="3552">
                  <c:v>5</c:v>
                </c:pt>
                <c:pt idx="3553">
                  <c:v>5</c:v>
                </c:pt>
                <c:pt idx="3554">
                  <c:v>5</c:v>
                </c:pt>
                <c:pt idx="3555">
                  <c:v>5</c:v>
                </c:pt>
                <c:pt idx="3556">
                  <c:v>5</c:v>
                </c:pt>
                <c:pt idx="3557">
                  <c:v>5</c:v>
                </c:pt>
                <c:pt idx="3558">
                  <c:v>5</c:v>
                </c:pt>
                <c:pt idx="3559">
                  <c:v>5</c:v>
                </c:pt>
                <c:pt idx="3560">
                  <c:v>5</c:v>
                </c:pt>
                <c:pt idx="3561">
                  <c:v>5</c:v>
                </c:pt>
                <c:pt idx="3562">
                  <c:v>5</c:v>
                </c:pt>
                <c:pt idx="3563">
                  <c:v>5</c:v>
                </c:pt>
                <c:pt idx="3564">
                  <c:v>5</c:v>
                </c:pt>
                <c:pt idx="3565">
                  <c:v>5</c:v>
                </c:pt>
                <c:pt idx="3566">
                  <c:v>5</c:v>
                </c:pt>
                <c:pt idx="3567">
                  <c:v>5</c:v>
                </c:pt>
                <c:pt idx="3568">
                  <c:v>5</c:v>
                </c:pt>
                <c:pt idx="3569">
                  <c:v>5</c:v>
                </c:pt>
                <c:pt idx="3570">
                  <c:v>5</c:v>
                </c:pt>
                <c:pt idx="3571">
                  <c:v>5</c:v>
                </c:pt>
                <c:pt idx="3572">
                  <c:v>5</c:v>
                </c:pt>
                <c:pt idx="3573">
                  <c:v>5</c:v>
                </c:pt>
                <c:pt idx="3574">
                  <c:v>5</c:v>
                </c:pt>
                <c:pt idx="3575">
                  <c:v>5</c:v>
                </c:pt>
                <c:pt idx="3576">
                  <c:v>5</c:v>
                </c:pt>
                <c:pt idx="3577">
                  <c:v>5</c:v>
                </c:pt>
                <c:pt idx="3578">
                  <c:v>5</c:v>
                </c:pt>
                <c:pt idx="3579">
                  <c:v>5</c:v>
                </c:pt>
                <c:pt idx="3580">
                  <c:v>5</c:v>
                </c:pt>
                <c:pt idx="3581">
                  <c:v>5</c:v>
                </c:pt>
                <c:pt idx="3582">
                  <c:v>5</c:v>
                </c:pt>
                <c:pt idx="3583">
                  <c:v>5</c:v>
                </c:pt>
                <c:pt idx="3584">
                  <c:v>5</c:v>
                </c:pt>
                <c:pt idx="3585">
                  <c:v>5</c:v>
                </c:pt>
                <c:pt idx="3586">
                  <c:v>5</c:v>
                </c:pt>
                <c:pt idx="3587">
                  <c:v>5</c:v>
                </c:pt>
                <c:pt idx="3588">
                  <c:v>5</c:v>
                </c:pt>
                <c:pt idx="3589">
                  <c:v>5</c:v>
                </c:pt>
                <c:pt idx="3590">
                  <c:v>5</c:v>
                </c:pt>
                <c:pt idx="3591">
                  <c:v>5</c:v>
                </c:pt>
                <c:pt idx="3592">
                  <c:v>5</c:v>
                </c:pt>
                <c:pt idx="3593">
                  <c:v>5</c:v>
                </c:pt>
                <c:pt idx="3594">
                  <c:v>5</c:v>
                </c:pt>
                <c:pt idx="3595">
                  <c:v>5</c:v>
                </c:pt>
                <c:pt idx="3596">
                  <c:v>5</c:v>
                </c:pt>
                <c:pt idx="3597">
                  <c:v>5</c:v>
                </c:pt>
                <c:pt idx="3598">
                  <c:v>5</c:v>
                </c:pt>
                <c:pt idx="3599">
                  <c:v>5</c:v>
                </c:pt>
                <c:pt idx="3600">
                  <c:v>5</c:v>
                </c:pt>
                <c:pt idx="3601">
                  <c:v>5</c:v>
                </c:pt>
                <c:pt idx="3602">
                  <c:v>5</c:v>
                </c:pt>
                <c:pt idx="3603">
                  <c:v>5</c:v>
                </c:pt>
                <c:pt idx="4451">
                  <c:v>6</c:v>
                </c:pt>
                <c:pt idx="4452">
                  <c:v>6</c:v>
                </c:pt>
                <c:pt idx="4453">
                  <c:v>6</c:v>
                </c:pt>
                <c:pt idx="4454">
                  <c:v>6</c:v>
                </c:pt>
                <c:pt idx="4455">
                  <c:v>6</c:v>
                </c:pt>
                <c:pt idx="4456">
                  <c:v>6</c:v>
                </c:pt>
                <c:pt idx="4457">
                  <c:v>6</c:v>
                </c:pt>
                <c:pt idx="4458">
                  <c:v>6</c:v>
                </c:pt>
                <c:pt idx="4459">
                  <c:v>6</c:v>
                </c:pt>
                <c:pt idx="4460">
                  <c:v>6</c:v>
                </c:pt>
                <c:pt idx="4461">
                  <c:v>6</c:v>
                </c:pt>
                <c:pt idx="4462">
                  <c:v>6</c:v>
                </c:pt>
                <c:pt idx="4463">
                  <c:v>6</c:v>
                </c:pt>
                <c:pt idx="4464">
                  <c:v>6</c:v>
                </c:pt>
                <c:pt idx="4465">
                  <c:v>6</c:v>
                </c:pt>
                <c:pt idx="4466">
                  <c:v>6</c:v>
                </c:pt>
                <c:pt idx="4467">
                  <c:v>6</c:v>
                </c:pt>
                <c:pt idx="4468">
                  <c:v>6</c:v>
                </c:pt>
                <c:pt idx="4469">
                  <c:v>6</c:v>
                </c:pt>
                <c:pt idx="4470">
                  <c:v>6</c:v>
                </c:pt>
                <c:pt idx="4471">
                  <c:v>6</c:v>
                </c:pt>
                <c:pt idx="4472">
                  <c:v>6</c:v>
                </c:pt>
                <c:pt idx="4473">
                  <c:v>6</c:v>
                </c:pt>
                <c:pt idx="4474">
                  <c:v>6</c:v>
                </c:pt>
                <c:pt idx="4475">
                  <c:v>6</c:v>
                </c:pt>
                <c:pt idx="4476">
                  <c:v>6</c:v>
                </c:pt>
                <c:pt idx="4477">
                  <c:v>6</c:v>
                </c:pt>
                <c:pt idx="4478">
                  <c:v>6</c:v>
                </c:pt>
                <c:pt idx="4479">
                  <c:v>6</c:v>
                </c:pt>
                <c:pt idx="4480">
                  <c:v>6</c:v>
                </c:pt>
                <c:pt idx="4481">
                  <c:v>6</c:v>
                </c:pt>
                <c:pt idx="4482">
                  <c:v>6</c:v>
                </c:pt>
                <c:pt idx="4483">
                  <c:v>6</c:v>
                </c:pt>
                <c:pt idx="4484">
                  <c:v>6</c:v>
                </c:pt>
                <c:pt idx="4485">
                  <c:v>6</c:v>
                </c:pt>
                <c:pt idx="4486">
                  <c:v>6</c:v>
                </c:pt>
                <c:pt idx="4487">
                  <c:v>6</c:v>
                </c:pt>
                <c:pt idx="4488">
                  <c:v>6</c:v>
                </c:pt>
                <c:pt idx="4489">
                  <c:v>6</c:v>
                </c:pt>
                <c:pt idx="4490">
                  <c:v>6</c:v>
                </c:pt>
                <c:pt idx="4491">
                  <c:v>6</c:v>
                </c:pt>
                <c:pt idx="4492">
                  <c:v>6</c:v>
                </c:pt>
                <c:pt idx="4493">
                  <c:v>6</c:v>
                </c:pt>
                <c:pt idx="4494">
                  <c:v>6</c:v>
                </c:pt>
                <c:pt idx="4495">
                  <c:v>6</c:v>
                </c:pt>
                <c:pt idx="4496">
                  <c:v>6</c:v>
                </c:pt>
                <c:pt idx="4497">
                  <c:v>6</c:v>
                </c:pt>
                <c:pt idx="4498">
                  <c:v>6</c:v>
                </c:pt>
                <c:pt idx="4499">
                  <c:v>6</c:v>
                </c:pt>
                <c:pt idx="4500">
                  <c:v>6</c:v>
                </c:pt>
                <c:pt idx="4501">
                  <c:v>6</c:v>
                </c:pt>
                <c:pt idx="4502">
                  <c:v>6</c:v>
                </c:pt>
                <c:pt idx="4503">
                  <c:v>6</c:v>
                </c:pt>
                <c:pt idx="4504">
                  <c:v>6</c:v>
                </c:pt>
                <c:pt idx="4505">
                  <c:v>6</c:v>
                </c:pt>
                <c:pt idx="4506">
                  <c:v>6</c:v>
                </c:pt>
                <c:pt idx="4507">
                  <c:v>6</c:v>
                </c:pt>
                <c:pt idx="4508">
                  <c:v>6</c:v>
                </c:pt>
                <c:pt idx="4509">
                  <c:v>6</c:v>
                </c:pt>
                <c:pt idx="4510">
                  <c:v>6</c:v>
                </c:pt>
                <c:pt idx="4511">
                  <c:v>6</c:v>
                </c:pt>
                <c:pt idx="4512">
                  <c:v>6</c:v>
                </c:pt>
                <c:pt idx="4513">
                  <c:v>6</c:v>
                </c:pt>
                <c:pt idx="4514">
                  <c:v>6</c:v>
                </c:pt>
                <c:pt idx="4515">
                  <c:v>6</c:v>
                </c:pt>
                <c:pt idx="4516">
                  <c:v>6</c:v>
                </c:pt>
                <c:pt idx="4517">
                  <c:v>6</c:v>
                </c:pt>
                <c:pt idx="4518">
                  <c:v>6</c:v>
                </c:pt>
                <c:pt idx="4519">
                  <c:v>6</c:v>
                </c:pt>
                <c:pt idx="4520">
                  <c:v>6</c:v>
                </c:pt>
                <c:pt idx="4521">
                  <c:v>6</c:v>
                </c:pt>
                <c:pt idx="4522">
                  <c:v>6</c:v>
                </c:pt>
                <c:pt idx="4523">
                  <c:v>6</c:v>
                </c:pt>
                <c:pt idx="4524">
                  <c:v>6</c:v>
                </c:pt>
                <c:pt idx="4525">
                  <c:v>6</c:v>
                </c:pt>
                <c:pt idx="4526">
                  <c:v>6</c:v>
                </c:pt>
                <c:pt idx="4527">
                  <c:v>6</c:v>
                </c:pt>
                <c:pt idx="4528">
                  <c:v>6</c:v>
                </c:pt>
                <c:pt idx="4529">
                  <c:v>6</c:v>
                </c:pt>
                <c:pt idx="4530">
                  <c:v>6</c:v>
                </c:pt>
                <c:pt idx="4531">
                  <c:v>6</c:v>
                </c:pt>
                <c:pt idx="4532">
                  <c:v>6</c:v>
                </c:pt>
                <c:pt idx="4533">
                  <c:v>6</c:v>
                </c:pt>
                <c:pt idx="4534">
                  <c:v>6</c:v>
                </c:pt>
                <c:pt idx="4535">
                  <c:v>6</c:v>
                </c:pt>
                <c:pt idx="4536">
                  <c:v>6</c:v>
                </c:pt>
                <c:pt idx="4537">
                  <c:v>6</c:v>
                </c:pt>
                <c:pt idx="4538">
                  <c:v>6</c:v>
                </c:pt>
                <c:pt idx="4539">
                  <c:v>6</c:v>
                </c:pt>
                <c:pt idx="4540">
                  <c:v>6</c:v>
                </c:pt>
                <c:pt idx="4541">
                  <c:v>6</c:v>
                </c:pt>
                <c:pt idx="4542">
                  <c:v>6</c:v>
                </c:pt>
                <c:pt idx="4543">
                  <c:v>6</c:v>
                </c:pt>
                <c:pt idx="4544">
                  <c:v>6</c:v>
                </c:pt>
                <c:pt idx="4545">
                  <c:v>6</c:v>
                </c:pt>
                <c:pt idx="4546">
                  <c:v>6</c:v>
                </c:pt>
                <c:pt idx="4547">
                  <c:v>6</c:v>
                </c:pt>
                <c:pt idx="4548">
                  <c:v>6</c:v>
                </c:pt>
                <c:pt idx="4549">
                  <c:v>6</c:v>
                </c:pt>
                <c:pt idx="4550">
                  <c:v>6</c:v>
                </c:pt>
                <c:pt idx="4551">
                  <c:v>6</c:v>
                </c:pt>
                <c:pt idx="4552">
                  <c:v>6</c:v>
                </c:pt>
                <c:pt idx="4553">
                  <c:v>6</c:v>
                </c:pt>
                <c:pt idx="4554">
                  <c:v>6</c:v>
                </c:pt>
                <c:pt idx="4555">
                  <c:v>6</c:v>
                </c:pt>
                <c:pt idx="4556">
                  <c:v>6</c:v>
                </c:pt>
                <c:pt idx="4557">
                  <c:v>6</c:v>
                </c:pt>
                <c:pt idx="4558">
                  <c:v>6</c:v>
                </c:pt>
                <c:pt idx="4559">
                  <c:v>6</c:v>
                </c:pt>
                <c:pt idx="4560">
                  <c:v>6</c:v>
                </c:pt>
                <c:pt idx="4561">
                  <c:v>6</c:v>
                </c:pt>
                <c:pt idx="4562">
                  <c:v>6</c:v>
                </c:pt>
                <c:pt idx="4563">
                  <c:v>6</c:v>
                </c:pt>
                <c:pt idx="4564">
                  <c:v>6</c:v>
                </c:pt>
                <c:pt idx="4565">
                  <c:v>6</c:v>
                </c:pt>
                <c:pt idx="4566">
                  <c:v>6</c:v>
                </c:pt>
                <c:pt idx="4567">
                  <c:v>6</c:v>
                </c:pt>
                <c:pt idx="4568">
                  <c:v>6</c:v>
                </c:pt>
                <c:pt idx="4569">
                  <c:v>6</c:v>
                </c:pt>
                <c:pt idx="4570">
                  <c:v>6</c:v>
                </c:pt>
                <c:pt idx="4571">
                  <c:v>6</c:v>
                </c:pt>
                <c:pt idx="4572">
                  <c:v>6</c:v>
                </c:pt>
                <c:pt idx="4573">
                  <c:v>6</c:v>
                </c:pt>
                <c:pt idx="4574">
                  <c:v>6</c:v>
                </c:pt>
                <c:pt idx="4575">
                  <c:v>6</c:v>
                </c:pt>
                <c:pt idx="4576">
                  <c:v>6</c:v>
                </c:pt>
                <c:pt idx="4577">
                  <c:v>6</c:v>
                </c:pt>
                <c:pt idx="4578">
                  <c:v>6</c:v>
                </c:pt>
                <c:pt idx="4579">
                  <c:v>6</c:v>
                </c:pt>
                <c:pt idx="4580">
                  <c:v>6</c:v>
                </c:pt>
                <c:pt idx="4581">
                  <c:v>6</c:v>
                </c:pt>
                <c:pt idx="4582">
                  <c:v>6</c:v>
                </c:pt>
                <c:pt idx="4583">
                  <c:v>6</c:v>
                </c:pt>
                <c:pt idx="4584">
                  <c:v>6</c:v>
                </c:pt>
                <c:pt idx="4585">
                  <c:v>6</c:v>
                </c:pt>
                <c:pt idx="4586">
                  <c:v>6</c:v>
                </c:pt>
                <c:pt idx="4587">
                  <c:v>6</c:v>
                </c:pt>
                <c:pt idx="4588">
                  <c:v>6</c:v>
                </c:pt>
                <c:pt idx="4589">
                  <c:v>6</c:v>
                </c:pt>
                <c:pt idx="4590">
                  <c:v>6</c:v>
                </c:pt>
                <c:pt idx="4591">
                  <c:v>6</c:v>
                </c:pt>
                <c:pt idx="4592">
                  <c:v>6</c:v>
                </c:pt>
                <c:pt idx="4593">
                  <c:v>6</c:v>
                </c:pt>
                <c:pt idx="4594">
                  <c:v>6</c:v>
                </c:pt>
                <c:pt idx="4595">
                  <c:v>6</c:v>
                </c:pt>
                <c:pt idx="4596">
                  <c:v>6</c:v>
                </c:pt>
                <c:pt idx="4597">
                  <c:v>6</c:v>
                </c:pt>
                <c:pt idx="4598">
                  <c:v>6</c:v>
                </c:pt>
                <c:pt idx="4599">
                  <c:v>6</c:v>
                </c:pt>
                <c:pt idx="4600">
                  <c:v>6</c:v>
                </c:pt>
                <c:pt idx="4601">
                  <c:v>6</c:v>
                </c:pt>
                <c:pt idx="4602">
                  <c:v>6</c:v>
                </c:pt>
                <c:pt idx="4603">
                  <c:v>6</c:v>
                </c:pt>
                <c:pt idx="4604">
                  <c:v>6</c:v>
                </c:pt>
                <c:pt idx="4605">
                  <c:v>6</c:v>
                </c:pt>
                <c:pt idx="4606">
                  <c:v>6</c:v>
                </c:pt>
                <c:pt idx="4607">
                  <c:v>6</c:v>
                </c:pt>
                <c:pt idx="4608">
                  <c:v>6</c:v>
                </c:pt>
                <c:pt idx="4609">
                  <c:v>6</c:v>
                </c:pt>
                <c:pt idx="4610">
                  <c:v>6</c:v>
                </c:pt>
                <c:pt idx="4611">
                  <c:v>6</c:v>
                </c:pt>
                <c:pt idx="4612">
                  <c:v>6</c:v>
                </c:pt>
                <c:pt idx="4613">
                  <c:v>6</c:v>
                </c:pt>
                <c:pt idx="4614">
                  <c:v>6</c:v>
                </c:pt>
                <c:pt idx="4615">
                  <c:v>6</c:v>
                </c:pt>
                <c:pt idx="4616">
                  <c:v>6</c:v>
                </c:pt>
                <c:pt idx="4617">
                  <c:v>6</c:v>
                </c:pt>
                <c:pt idx="4618">
                  <c:v>6</c:v>
                </c:pt>
                <c:pt idx="4619">
                  <c:v>6</c:v>
                </c:pt>
                <c:pt idx="4620">
                  <c:v>6</c:v>
                </c:pt>
                <c:pt idx="4621">
                  <c:v>6</c:v>
                </c:pt>
                <c:pt idx="4622">
                  <c:v>6</c:v>
                </c:pt>
                <c:pt idx="4623">
                  <c:v>6</c:v>
                </c:pt>
                <c:pt idx="4624">
                  <c:v>6</c:v>
                </c:pt>
                <c:pt idx="4625">
                  <c:v>6</c:v>
                </c:pt>
                <c:pt idx="4626">
                  <c:v>6</c:v>
                </c:pt>
                <c:pt idx="4627">
                  <c:v>6</c:v>
                </c:pt>
                <c:pt idx="4628">
                  <c:v>6</c:v>
                </c:pt>
                <c:pt idx="4629">
                  <c:v>6</c:v>
                </c:pt>
                <c:pt idx="4630">
                  <c:v>6</c:v>
                </c:pt>
                <c:pt idx="4631">
                  <c:v>6</c:v>
                </c:pt>
                <c:pt idx="4632">
                  <c:v>6</c:v>
                </c:pt>
                <c:pt idx="4633">
                  <c:v>6</c:v>
                </c:pt>
                <c:pt idx="4634">
                  <c:v>6</c:v>
                </c:pt>
                <c:pt idx="4635">
                  <c:v>6</c:v>
                </c:pt>
                <c:pt idx="4636">
                  <c:v>6</c:v>
                </c:pt>
                <c:pt idx="4637">
                  <c:v>6</c:v>
                </c:pt>
                <c:pt idx="4638">
                  <c:v>6</c:v>
                </c:pt>
                <c:pt idx="4639">
                  <c:v>6</c:v>
                </c:pt>
                <c:pt idx="4640">
                  <c:v>6</c:v>
                </c:pt>
                <c:pt idx="4641">
                  <c:v>6</c:v>
                </c:pt>
                <c:pt idx="4642">
                  <c:v>6</c:v>
                </c:pt>
                <c:pt idx="4643">
                  <c:v>6</c:v>
                </c:pt>
                <c:pt idx="4644">
                  <c:v>6</c:v>
                </c:pt>
                <c:pt idx="4645">
                  <c:v>6</c:v>
                </c:pt>
                <c:pt idx="4646">
                  <c:v>6</c:v>
                </c:pt>
                <c:pt idx="4647">
                  <c:v>6</c:v>
                </c:pt>
                <c:pt idx="4648">
                  <c:v>6</c:v>
                </c:pt>
                <c:pt idx="4649">
                  <c:v>6</c:v>
                </c:pt>
                <c:pt idx="4650">
                  <c:v>6</c:v>
                </c:pt>
                <c:pt idx="4651">
                  <c:v>6</c:v>
                </c:pt>
                <c:pt idx="4652">
                  <c:v>6</c:v>
                </c:pt>
                <c:pt idx="4653">
                  <c:v>6</c:v>
                </c:pt>
                <c:pt idx="4654">
                  <c:v>6</c:v>
                </c:pt>
                <c:pt idx="4655">
                  <c:v>6</c:v>
                </c:pt>
                <c:pt idx="4656">
                  <c:v>6</c:v>
                </c:pt>
                <c:pt idx="4657">
                  <c:v>6</c:v>
                </c:pt>
                <c:pt idx="4658">
                  <c:v>6</c:v>
                </c:pt>
                <c:pt idx="4659">
                  <c:v>6</c:v>
                </c:pt>
                <c:pt idx="4660">
                  <c:v>6</c:v>
                </c:pt>
                <c:pt idx="4661">
                  <c:v>6</c:v>
                </c:pt>
                <c:pt idx="4662">
                  <c:v>6</c:v>
                </c:pt>
                <c:pt idx="4663">
                  <c:v>6</c:v>
                </c:pt>
                <c:pt idx="4664">
                  <c:v>6</c:v>
                </c:pt>
                <c:pt idx="4665">
                  <c:v>6</c:v>
                </c:pt>
                <c:pt idx="4666">
                  <c:v>6</c:v>
                </c:pt>
                <c:pt idx="4667">
                  <c:v>6</c:v>
                </c:pt>
                <c:pt idx="4668">
                  <c:v>6</c:v>
                </c:pt>
                <c:pt idx="4669">
                  <c:v>6</c:v>
                </c:pt>
                <c:pt idx="4670">
                  <c:v>6</c:v>
                </c:pt>
                <c:pt idx="4671">
                  <c:v>6</c:v>
                </c:pt>
                <c:pt idx="4672">
                  <c:v>6</c:v>
                </c:pt>
                <c:pt idx="4673">
                  <c:v>6</c:v>
                </c:pt>
                <c:pt idx="4674">
                  <c:v>6</c:v>
                </c:pt>
                <c:pt idx="4675">
                  <c:v>6</c:v>
                </c:pt>
                <c:pt idx="4676">
                  <c:v>6</c:v>
                </c:pt>
                <c:pt idx="4677">
                  <c:v>6</c:v>
                </c:pt>
                <c:pt idx="4678">
                  <c:v>6</c:v>
                </c:pt>
                <c:pt idx="4679">
                  <c:v>6</c:v>
                </c:pt>
                <c:pt idx="4680">
                  <c:v>6</c:v>
                </c:pt>
                <c:pt idx="4681">
                  <c:v>6</c:v>
                </c:pt>
                <c:pt idx="4682">
                  <c:v>6</c:v>
                </c:pt>
                <c:pt idx="4683">
                  <c:v>6</c:v>
                </c:pt>
                <c:pt idx="4684">
                  <c:v>6</c:v>
                </c:pt>
                <c:pt idx="4685">
                  <c:v>6</c:v>
                </c:pt>
                <c:pt idx="4686">
                  <c:v>6</c:v>
                </c:pt>
                <c:pt idx="4687">
                  <c:v>6</c:v>
                </c:pt>
                <c:pt idx="4688">
                  <c:v>6</c:v>
                </c:pt>
                <c:pt idx="4689">
                  <c:v>6</c:v>
                </c:pt>
                <c:pt idx="4690">
                  <c:v>6</c:v>
                </c:pt>
                <c:pt idx="4691">
                  <c:v>6</c:v>
                </c:pt>
                <c:pt idx="4692">
                  <c:v>6</c:v>
                </c:pt>
                <c:pt idx="4693">
                  <c:v>6</c:v>
                </c:pt>
                <c:pt idx="4694">
                  <c:v>6</c:v>
                </c:pt>
                <c:pt idx="4695">
                  <c:v>6</c:v>
                </c:pt>
                <c:pt idx="4696">
                  <c:v>6</c:v>
                </c:pt>
                <c:pt idx="4697">
                  <c:v>6</c:v>
                </c:pt>
                <c:pt idx="4698">
                  <c:v>6</c:v>
                </c:pt>
                <c:pt idx="4699">
                  <c:v>6</c:v>
                </c:pt>
                <c:pt idx="4700">
                  <c:v>6</c:v>
                </c:pt>
                <c:pt idx="4701">
                  <c:v>6</c:v>
                </c:pt>
                <c:pt idx="4702">
                  <c:v>6</c:v>
                </c:pt>
                <c:pt idx="4703">
                  <c:v>6</c:v>
                </c:pt>
                <c:pt idx="4704">
                  <c:v>6</c:v>
                </c:pt>
                <c:pt idx="4705">
                  <c:v>6</c:v>
                </c:pt>
                <c:pt idx="4706">
                  <c:v>6</c:v>
                </c:pt>
                <c:pt idx="4707">
                  <c:v>6</c:v>
                </c:pt>
                <c:pt idx="4708">
                  <c:v>6</c:v>
                </c:pt>
                <c:pt idx="4709">
                  <c:v>6</c:v>
                </c:pt>
                <c:pt idx="4710">
                  <c:v>6</c:v>
                </c:pt>
                <c:pt idx="4711">
                  <c:v>6</c:v>
                </c:pt>
                <c:pt idx="4712">
                  <c:v>6</c:v>
                </c:pt>
                <c:pt idx="4713">
                  <c:v>6</c:v>
                </c:pt>
                <c:pt idx="4714">
                  <c:v>6</c:v>
                </c:pt>
                <c:pt idx="4715">
                  <c:v>6</c:v>
                </c:pt>
                <c:pt idx="4716">
                  <c:v>6</c:v>
                </c:pt>
                <c:pt idx="4717">
                  <c:v>6</c:v>
                </c:pt>
                <c:pt idx="4718">
                  <c:v>6</c:v>
                </c:pt>
                <c:pt idx="4719">
                  <c:v>6</c:v>
                </c:pt>
                <c:pt idx="4720">
                  <c:v>6</c:v>
                </c:pt>
                <c:pt idx="4721">
                  <c:v>6</c:v>
                </c:pt>
                <c:pt idx="4722">
                  <c:v>6</c:v>
                </c:pt>
                <c:pt idx="4723">
                  <c:v>6</c:v>
                </c:pt>
                <c:pt idx="4724">
                  <c:v>6</c:v>
                </c:pt>
                <c:pt idx="4725">
                  <c:v>6</c:v>
                </c:pt>
                <c:pt idx="4726">
                  <c:v>6</c:v>
                </c:pt>
                <c:pt idx="4727">
                  <c:v>6</c:v>
                </c:pt>
                <c:pt idx="4728">
                  <c:v>6</c:v>
                </c:pt>
                <c:pt idx="4729">
                  <c:v>6</c:v>
                </c:pt>
                <c:pt idx="4730">
                  <c:v>6</c:v>
                </c:pt>
                <c:pt idx="4731">
                  <c:v>6</c:v>
                </c:pt>
                <c:pt idx="4732">
                  <c:v>6</c:v>
                </c:pt>
                <c:pt idx="4733">
                  <c:v>6</c:v>
                </c:pt>
                <c:pt idx="4734">
                  <c:v>6</c:v>
                </c:pt>
                <c:pt idx="4735">
                  <c:v>6</c:v>
                </c:pt>
                <c:pt idx="4736">
                  <c:v>6</c:v>
                </c:pt>
                <c:pt idx="4737">
                  <c:v>6</c:v>
                </c:pt>
                <c:pt idx="4738">
                  <c:v>6</c:v>
                </c:pt>
                <c:pt idx="4739">
                  <c:v>6</c:v>
                </c:pt>
                <c:pt idx="4740">
                  <c:v>6</c:v>
                </c:pt>
                <c:pt idx="4741">
                  <c:v>6</c:v>
                </c:pt>
                <c:pt idx="4742">
                  <c:v>6</c:v>
                </c:pt>
                <c:pt idx="4743">
                  <c:v>6</c:v>
                </c:pt>
                <c:pt idx="4744">
                  <c:v>6</c:v>
                </c:pt>
                <c:pt idx="4745">
                  <c:v>6</c:v>
                </c:pt>
                <c:pt idx="4746">
                  <c:v>6</c:v>
                </c:pt>
                <c:pt idx="4747">
                  <c:v>6</c:v>
                </c:pt>
                <c:pt idx="4748">
                  <c:v>6</c:v>
                </c:pt>
                <c:pt idx="4749">
                  <c:v>6</c:v>
                </c:pt>
                <c:pt idx="4750">
                  <c:v>6</c:v>
                </c:pt>
                <c:pt idx="4751">
                  <c:v>6</c:v>
                </c:pt>
                <c:pt idx="4752">
                  <c:v>6</c:v>
                </c:pt>
                <c:pt idx="4753">
                  <c:v>6</c:v>
                </c:pt>
                <c:pt idx="4754">
                  <c:v>6</c:v>
                </c:pt>
                <c:pt idx="4755">
                  <c:v>6</c:v>
                </c:pt>
                <c:pt idx="4756">
                  <c:v>6</c:v>
                </c:pt>
                <c:pt idx="5368">
                  <c:v>7</c:v>
                </c:pt>
                <c:pt idx="5369">
                  <c:v>7</c:v>
                </c:pt>
                <c:pt idx="5370">
                  <c:v>7</c:v>
                </c:pt>
                <c:pt idx="5371">
                  <c:v>7</c:v>
                </c:pt>
                <c:pt idx="5372">
                  <c:v>7</c:v>
                </c:pt>
                <c:pt idx="5373">
                  <c:v>7</c:v>
                </c:pt>
                <c:pt idx="5374">
                  <c:v>7</c:v>
                </c:pt>
                <c:pt idx="5375">
                  <c:v>7</c:v>
                </c:pt>
                <c:pt idx="5376">
                  <c:v>7</c:v>
                </c:pt>
                <c:pt idx="5377">
                  <c:v>7</c:v>
                </c:pt>
                <c:pt idx="5378">
                  <c:v>7</c:v>
                </c:pt>
                <c:pt idx="5379">
                  <c:v>7</c:v>
                </c:pt>
                <c:pt idx="5380">
                  <c:v>7</c:v>
                </c:pt>
                <c:pt idx="5381">
                  <c:v>7</c:v>
                </c:pt>
                <c:pt idx="5382">
                  <c:v>7</c:v>
                </c:pt>
                <c:pt idx="5383">
                  <c:v>7</c:v>
                </c:pt>
                <c:pt idx="5384">
                  <c:v>7</c:v>
                </c:pt>
                <c:pt idx="5385">
                  <c:v>7</c:v>
                </c:pt>
                <c:pt idx="5386">
                  <c:v>7</c:v>
                </c:pt>
                <c:pt idx="5387">
                  <c:v>7</c:v>
                </c:pt>
                <c:pt idx="5388">
                  <c:v>7</c:v>
                </c:pt>
                <c:pt idx="5389">
                  <c:v>7</c:v>
                </c:pt>
                <c:pt idx="5390">
                  <c:v>7</c:v>
                </c:pt>
                <c:pt idx="5391">
                  <c:v>7</c:v>
                </c:pt>
                <c:pt idx="5392">
                  <c:v>7</c:v>
                </c:pt>
                <c:pt idx="5393">
                  <c:v>7</c:v>
                </c:pt>
                <c:pt idx="5394">
                  <c:v>7</c:v>
                </c:pt>
                <c:pt idx="5395">
                  <c:v>7</c:v>
                </c:pt>
                <c:pt idx="5396">
                  <c:v>7</c:v>
                </c:pt>
                <c:pt idx="5397">
                  <c:v>7</c:v>
                </c:pt>
                <c:pt idx="5398">
                  <c:v>7</c:v>
                </c:pt>
                <c:pt idx="5399">
                  <c:v>7</c:v>
                </c:pt>
                <c:pt idx="5400">
                  <c:v>7</c:v>
                </c:pt>
                <c:pt idx="5401">
                  <c:v>7</c:v>
                </c:pt>
                <c:pt idx="5402">
                  <c:v>7</c:v>
                </c:pt>
                <c:pt idx="5403">
                  <c:v>7</c:v>
                </c:pt>
                <c:pt idx="5404">
                  <c:v>7</c:v>
                </c:pt>
                <c:pt idx="5405">
                  <c:v>7</c:v>
                </c:pt>
                <c:pt idx="5406">
                  <c:v>7</c:v>
                </c:pt>
                <c:pt idx="5407">
                  <c:v>7</c:v>
                </c:pt>
                <c:pt idx="5408">
                  <c:v>7</c:v>
                </c:pt>
                <c:pt idx="5409">
                  <c:v>7</c:v>
                </c:pt>
                <c:pt idx="5410">
                  <c:v>7</c:v>
                </c:pt>
                <c:pt idx="5411">
                  <c:v>7</c:v>
                </c:pt>
                <c:pt idx="5412">
                  <c:v>7</c:v>
                </c:pt>
                <c:pt idx="5413">
                  <c:v>7</c:v>
                </c:pt>
                <c:pt idx="5414">
                  <c:v>7</c:v>
                </c:pt>
                <c:pt idx="5415">
                  <c:v>7</c:v>
                </c:pt>
                <c:pt idx="5416">
                  <c:v>7</c:v>
                </c:pt>
                <c:pt idx="5417">
                  <c:v>7</c:v>
                </c:pt>
                <c:pt idx="5418">
                  <c:v>7</c:v>
                </c:pt>
                <c:pt idx="5419">
                  <c:v>7</c:v>
                </c:pt>
                <c:pt idx="5420">
                  <c:v>7</c:v>
                </c:pt>
                <c:pt idx="5421">
                  <c:v>7</c:v>
                </c:pt>
                <c:pt idx="5422">
                  <c:v>7</c:v>
                </c:pt>
                <c:pt idx="5423">
                  <c:v>7</c:v>
                </c:pt>
                <c:pt idx="5424">
                  <c:v>7</c:v>
                </c:pt>
                <c:pt idx="5425">
                  <c:v>7</c:v>
                </c:pt>
                <c:pt idx="5426">
                  <c:v>7</c:v>
                </c:pt>
                <c:pt idx="5427">
                  <c:v>7</c:v>
                </c:pt>
                <c:pt idx="5428">
                  <c:v>7</c:v>
                </c:pt>
                <c:pt idx="5429">
                  <c:v>7</c:v>
                </c:pt>
                <c:pt idx="5430">
                  <c:v>7</c:v>
                </c:pt>
                <c:pt idx="5431">
                  <c:v>7</c:v>
                </c:pt>
                <c:pt idx="5432">
                  <c:v>7</c:v>
                </c:pt>
                <c:pt idx="5433">
                  <c:v>7</c:v>
                </c:pt>
                <c:pt idx="5434">
                  <c:v>7</c:v>
                </c:pt>
                <c:pt idx="5435">
                  <c:v>7</c:v>
                </c:pt>
                <c:pt idx="5436">
                  <c:v>7</c:v>
                </c:pt>
                <c:pt idx="5437">
                  <c:v>7</c:v>
                </c:pt>
                <c:pt idx="5438">
                  <c:v>7</c:v>
                </c:pt>
                <c:pt idx="5439">
                  <c:v>7</c:v>
                </c:pt>
                <c:pt idx="5440">
                  <c:v>7</c:v>
                </c:pt>
                <c:pt idx="5441">
                  <c:v>7</c:v>
                </c:pt>
                <c:pt idx="5442">
                  <c:v>7</c:v>
                </c:pt>
                <c:pt idx="5443">
                  <c:v>7</c:v>
                </c:pt>
                <c:pt idx="5444">
                  <c:v>7</c:v>
                </c:pt>
                <c:pt idx="5445">
                  <c:v>7</c:v>
                </c:pt>
                <c:pt idx="5446">
                  <c:v>7</c:v>
                </c:pt>
                <c:pt idx="5447">
                  <c:v>7</c:v>
                </c:pt>
                <c:pt idx="5448">
                  <c:v>7</c:v>
                </c:pt>
                <c:pt idx="5449">
                  <c:v>7</c:v>
                </c:pt>
                <c:pt idx="5450">
                  <c:v>7</c:v>
                </c:pt>
                <c:pt idx="5451">
                  <c:v>7</c:v>
                </c:pt>
                <c:pt idx="5452">
                  <c:v>7</c:v>
                </c:pt>
                <c:pt idx="5453">
                  <c:v>7</c:v>
                </c:pt>
                <c:pt idx="5454">
                  <c:v>7</c:v>
                </c:pt>
                <c:pt idx="5455">
                  <c:v>7</c:v>
                </c:pt>
                <c:pt idx="5456">
                  <c:v>7</c:v>
                </c:pt>
                <c:pt idx="5457">
                  <c:v>7</c:v>
                </c:pt>
                <c:pt idx="5458">
                  <c:v>7</c:v>
                </c:pt>
                <c:pt idx="5459">
                  <c:v>7</c:v>
                </c:pt>
                <c:pt idx="5460">
                  <c:v>7</c:v>
                </c:pt>
                <c:pt idx="5461">
                  <c:v>7</c:v>
                </c:pt>
                <c:pt idx="5462">
                  <c:v>7</c:v>
                </c:pt>
                <c:pt idx="5463">
                  <c:v>7</c:v>
                </c:pt>
                <c:pt idx="5464">
                  <c:v>7</c:v>
                </c:pt>
                <c:pt idx="5465">
                  <c:v>7</c:v>
                </c:pt>
                <c:pt idx="5466">
                  <c:v>7</c:v>
                </c:pt>
                <c:pt idx="5467">
                  <c:v>7</c:v>
                </c:pt>
                <c:pt idx="5468">
                  <c:v>7</c:v>
                </c:pt>
                <c:pt idx="5469">
                  <c:v>7</c:v>
                </c:pt>
                <c:pt idx="5470">
                  <c:v>7</c:v>
                </c:pt>
                <c:pt idx="5471">
                  <c:v>7</c:v>
                </c:pt>
                <c:pt idx="5472">
                  <c:v>7</c:v>
                </c:pt>
                <c:pt idx="5473">
                  <c:v>7</c:v>
                </c:pt>
                <c:pt idx="5474">
                  <c:v>7</c:v>
                </c:pt>
                <c:pt idx="5475">
                  <c:v>7</c:v>
                </c:pt>
                <c:pt idx="5476">
                  <c:v>7</c:v>
                </c:pt>
                <c:pt idx="5477">
                  <c:v>7</c:v>
                </c:pt>
                <c:pt idx="5478">
                  <c:v>7</c:v>
                </c:pt>
                <c:pt idx="5479">
                  <c:v>7</c:v>
                </c:pt>
                <c:pt idx="5480">
                  <c:v>7</c:v>
                </c:pt>
                <c:pt idx="5481">
                  <c:v>7</c:v>
                </c:pt>
                <c:pt idx="5482">
                  <c:v>7</c:v>
                </c:pt>
                <c:pt idx="5483">
                  <c:v>7</c:v>
                </c:pt>
                <c:pt idx="5484">
                  <c:v>7</c:v>
                </c:pt>
                <c:pt idx="5485">
                  <c:v>7</c:v>
                </c:pt>
                <c:pt idx="5486">
                  <c:v>7</c:v>
                </c:pt>
                <c:pt idx="5487">
                  <c:v>7</c:v>
                </c:pt>
                <c:pt idx="5488">
                  <c:v>7</c:v>
                </c:pt>
                <c:pt idx="5489">
                  <c:v>7</c:v>
                </c:pt>
                <c:pt idx="5490">
                  <c:v>7</c:v>
                </c:pt>
                <c:pt idx="5491">
                  <c:v>7</c:v>
                </c:pt>
                <c:pt idx="5492">
                  <c:v>7</c:v>
                </c:pt>
                <c:pt idx="5493">
                  <c:v>7</c:v>
                </c:pt>
                <c:pt idx="5494">
                  <c:v>7</c:v>
                </c:pt>
                <c:pt idx="5495">
                  <c:v>7</c:v>
                </c:pt>
                <c:pt idx="5496">
                  <c:v>7</c:v>
                </c:pt>
                <c:pt idx="5497">
                  <c:v>7</c:v>
                </c:pt>
                <c:pt idx="5498">
                  <c:v>7</c:v>
                </c:pt>
                <c:pt idx="5499">
                  <c:v>7</c:v>
                </c:pt>
                <c:pt idx="5500">
                  <c:v>7</c:v>
                </c:pt>
                <c:pt idx="5501">
                  <c:v>7</c:v>
                </c:pt>
                <c:pt idx="5502">
                  <c:v>7</c:v>
                </c:pt>
                <c:pt idx="5503">
                  <c:v>7</c:v>
                </c:pt>
                <c:pt idx="5504">
                  <c:v>7</c:v>
                </c:pt>
                <c:pt idx="5505">
                  <c:v>7</c:v>
                </c:pt>
                <c:pt idx="5506">
                  <c:v>7</c:v>
                </c:pt>
                <c:pt idx="5507">
                  <c:v>7</c:v>
                </c:pt>
                <c:pt idx="5508">
                  <c:v>7</c:v>
                </c:pt>
                <c:pt idx="5509">
                  <c:v>7</c:v>
                </c:pt>
                <c:pt idx="5510">
                  <c:v>7</c:v>
                </c:pt>
                <c:pt idx="5511">
                  <c:v>7</c:v>
                </c:pt>
                <c:pt idx="5512">
                  <c:v>7</c:v>
                </c:pt>
                <c:pt idx="5513">
                  <c:v>7</c:v>
                </c:pt>
                <c:pt idx="5514">
                  <c:v>7</c:v>
                </c:pt>
                <c:pt idx="5515">
                  <c:v>7</c:v>
                </c:pt>
                <c:pt idx="5516">
                  <c:v>7</c:v>
                </c:pt>
                <c:pt idx="5517">
                  <c:v>7</c:v>
                </c:pt>
                <c:pt idx="5518">
                  <c:v>7</c:v>
                </c:pt>
                <c:pt idx="5519">
                  <c:v>7</c:v>
                </c:pt>
                <c:pt idx="5520">
                  <c:v>7</c:v>
                </c:pt>
                <c:pt idx="5521">
                  <c:v>7</c:v>
                </c:pt>
                <c:pt idx="5522">
                  <c:v>7</c:v>
                </c:pt>
                <c:pt idx="5523">
                  <c:v>7</c:v>
                </c:pt>
                <c:pt idx="5524">
                  <c:v>7</c:v>
                </c:pt>
                <c:pt idx="5525">
                  <c:v>7</c:v>
                </c:pt>
                <c:pt idx="5526">
                  <c:v>7</c:v>
                </c:pt>
                <c:pt idx="5527">
                  <c:v>7</c:v>
                </c:pt>
                <c:pt idx="5528">
                  <c:v>7</c:v>
                </c:pt>
                <c:pt idx="5529">
                  <c:v>7</c:v>
                </c:pt>
                <c:pt idx="5530">
                  <c:v>7</c:v>
                </c:pt>
                <c:pt idx="5531">
                  <c:v>7</c:v>
                </c:pt>
                <c:pt idx="5532">
                  <c:v>7</c:v>
                </c:pt>
                <c:pt idx="5533">
                  <c:v>7</c:v>
                </c:pt>
                <c:pt idx="5534">
                  <c:v>7</c:v>
                </c:pt>
                <c:pt idx="5535">
                  <c:v>7</c:v>
                </c:pt>
                <c:pt idx="5536">
                  <c:v>7</c:v>
                </c:pt>
                <c:pt idx="5537">
                  <c:v>7</c:v>
                </c:pt>
                <c:pt idx="5538">
                  <c:v>7</c:v>
                </c:pt>
                <c:pt idx="5539">
                  <c:v>7</c:v>
                </c:pt>
                <c:pt idx="5540">
                  <c:v>7</c:v>
                </c:pt>
                <c:pt idx="5541">
                  <c:v>7</c:v>
                </c:pt>
                <c:pt idx="5542">
                  <c:v>7</c:v>
                </c:pt>
                <c:pt idx="5543">
                  <c:v>7</c:v>
                </c:pt>
                <c:pt idx="5544">
                  <c:v>7</c:v>
                </c:pt>
                <c:pt idx="5545">
                  <c:v>7</c:v>
                </c:pt>
                <c:pt idx="5546">
                  <c:v>7</c:v>
                </c:pt>
                <c:pt idx="5547">
                  <c:v>7</c:v>
                </c:pt>
                <c:pt idx="5548">
                  <c:v>7</c:v>
                </c:pt>
                <c:pt idx="5549">
                  <c:v>7</c:v>
                </c:pt>
                <c:pt idx="5550">
                  <c:v>7</c:v>
                </c:pt>
                <c:pt idx="5551">
                  <c:v>7</c:v>
                </c:pt>
                <c:pt idx="5552">
                  <c:v>7</c:v>
                </c:pt>
                <c:pt idx="5553">
                  <c:v>7</c:v>
                </c:pt>
                <c:pt idx="5554">
                  <c:v>7</c:v>
                </c:pt>
                <c:pt idx="5555">
                  <c:v>7</c:v>
                </c:pt>
                <c:pt idx="5556">
                  <c:v>7</c:v>
                </c:pt>
                <c:pt idx="5557">
                  <c:v>7</c:v>
                </c:pt>
                <c:pt idx="5558">
                  <c:v>7</c:v>
                </c:pt>
                <c:pt idx="5559">
                  <c:v>7</c:v>
                </c:pt>
                <c:pt idx="5560">
                  <c:v>7</c:v>
                </c:pt>
                <c:pt idx="5561">
                  <c:v>7</c:v>
                </c:pt>
                <c:pt idx="5562">
                  <c:v>7</c:v>
                </c:pt>
                <c:pt idx="5563">
                  <c:v>7</c:v>
                </c:pt>
                <c:pt idx="5564">
                  <c:v>7</c:v>
                </c:pt>
                <c:pt idx="5565">
                  <c:v>7</c:v>
                </c:pt>
                <c:pt idx="5566">
                  <c:v>7</c:v>
                </c:pt>
                <c:pt idx="5567">
                  <c:v>7</c:v>
                </c:pt>
                <c:pt idx="5568">
                  <c:v>7</c:v>
                </c:pt>
                <c:pt idx="5569">
                  <c:v>7</c:v>
                </c:pt>
                <c:pt idx="5570">
                  <c:v>7</c:v>
                </c:pt>
                <c:pt idx="5571">
                  <c:v>7</c:v>
                </c:pt>
                <c:pt idx="5572">
                  <c:v>7</c:v>
                </c:pt>
                <c:pt idx="5573">
                  <c:v>7</c:v>
                </c:pt>
                <c:pt idx="5574">
                  <c:v>7</c:v>
                </c:pt>
                <c:pt idx="5575">
                  <c:v>7</c:v>
                </c:pt>
                <c:pt idx="5576">
                  <c:v>7</c:v>
                </c:pt>
                <c:pt idx="5577">
                  <c:v>7</c:v>
                </c:pt>
                <c:pt idx="5578">
                  <c:v>7</c:v>
                </c:pt>
                <c:pt idx="5579">
                  <c:v>7</c:v>
                </c:pt>
                <c:pt idx="5580">
                  <c:v>7</c:v>
                </c:pt>
                <c:pt idx="5581">
                  <c:v>7</c:v>
                </c:pt>
                <c:pt idx="5582">
                  <c:v>7</c:v>
                </c:pt>
                <c:pt idx="5583">
                  <c:v>7</c:v>
                </c:pt>
                <c:pt idx="5584">
                  <c:v>7</c:v>
                </c:pt>
                <c:pt idx="5585">
                  <c:v>7</c:v>
                </c:pt>
                <c:pt idx="5586">
                  <c:v>7</c:v>
                </c:pt>
                <c:pt idx="5587">
                  <c:v>7</c:v>
                </c:pt>
                <c:pt idx="5588">
                  <c:v>7</c:v>
                </c:pt>
                <c:pt idx="5589">
                  <c:v>7</c:v>
                </c:pt>
                <c:pt idx="5590">
                  <c:v>7</c:v>
                </c:pt>
                <c:pt idx="5591">
                  <c:v>7</c:v>
                </c:pt>
                <c:pt idx="5592">
                  <c:v>7</c:v>
                </c:pt>
                <c:pt idx="5593">
                  <c:v>7</c:v>
                </c:pt>
                <c:pt idx="5594">
                  <c:v>7</c:v>
                </c:pt>
                <c:pt idx="5595">
                  <c:v>7</c:v>
                </c:pt>
                <c:pt idx="5596">
                  <c:v>7</c:v>
                </c:pt>
                <c:pt idx="5597">
                  <c:v>7</c:v>
                </c:pt>
                <c:pt idx="5598">
                  <c:v>7</c:v>
                </c:pt>
                <c:pt idx="5599">
                  <c:v>7</c:v>
                </c:pt>
                <c:pt idx="5600">
                  <c:v>7</c:v>
                </c:pt>
                <c:pt idx="5601">
                  <c:v>7</c:v>
                </c:pt>
                <c:pt idx="5602">
                  <c:v>7</c:v>
                </c:pt>
                <c:pt idx="5603">
                  <c:v>7</c:v>
                </c:pt>
                <c:pt idx="5604">
                  <c:v>7</c:v>
                </c:pt>
                <c:pt idx="5605">
                  <c:v>7</c:v>
                </c:pt>
                <c:pt idx="5606">
                  <c:v>7</c:v>
                </c:pt>
                <c:pt idx="5607">
                  <c:v>7</c:v>
                </c:pt>
                <c:pt idx="5608">
                  <c:v>7</c:v>
                </c:pt>
                <c:pt idx="5609">
                  <c:v>7</c:v>
                </c:pt>
                <c:pt idx="5610">
                  <c:v>7</c:v>
                </c:pt>
                <c:pt idx="5611">
                  <c:v>7</c:v>
                </c:pt>
                <c:pt idx="5612">
                  <c:v>7</c:v>
                </c:pt>
                <c:pt idx="5613">
                  <c:v>7</c:v>
                </c:pt>
                <c:pt idx="5614">
                  <c:v>7</c:v>
                </c:pt>
                <c:pt idx="5615">
                  <c:v>7</c:v>
                </c:pt>
                <c:pt idx="5616">
                  <c:v>7</c:v>
                </c:pt>
                <c:pt idx="5617">
                  <c:v>7</c:v>
                </c:pt>
                <c:pt idx="5618">
                  <c:v>7</c:v>
                </c:pt>
                <c:pt idx="5619">
                  <c:v>7</c:v>
                </c:pt>
                <c:pt idx="5620">
                  <c:v>7</c:v>
                </c:pt>
                <c:pt idx="5621">
                  <c:v>7</c:v>
                </c:pt>
                <c:pt idx="5622">
                  <c:v>7</c:v>
                </c:pt>
                <c:pt idx="5623">
                  <c:v>7</c:v>
                </c:pt>
                <c:pt idx="5624">
                  <c:v>7</c:v>
                </c:pt>
                <c:pt idx="5625">
                  <c:v>7</c:v>
                </c:pt>
                <c:pt idx="5626">
                  <c:v>7</c:v>
                </c:pt>
                <c:pt idx="5627">
                  <c:v>7</c:v>
                </c:pt>
                <c:pt idx="5628">
                  <c:v>7</c:v>
                </c:pt>
                <c:pt idx="5629">
                  <c:v>7</c:v>
                </c:pt>
                <c:pt idx="5630">
                  <c:v>7</c:v>
                </c:pt>
                <c:pt idx="5631">
                  <c:v>7</c:v>
                </c:pt>
                <c:pt idx="5632">
                  <c:v>7</c:v>
                </c:pt>
                <c:pt idx="5633">
                  <c:v>7</c:v>
                </c:pt>
                <c:pt idx="5634">
                  <c:v>7</c:v>
                </c:pt>
                <c:pt idx="5635">
                  <c:v>7</c:v>
                </c:pt>
                <c:pt idx="5636">
                  <c:v>7</c:v>
                </c:pt>
                <c:pt idx="5637">
                  <c:v>7</c:v>
                </c:pt>
                <c:pt idx="5638">
                  <c:v>7</c:v>
                </c:pt>
                <c:pt idx="5639">
                  <c:v>7</c:v>
                </c:pt>
                <c:pt idx="5640">
                  <c:v>7</c:v>
                </c:pt>
                <c:pt idx="5641">
                  <c:v>7</c:v>
                </c:pt>
                <c:pt idx="5642">
                  <c:v>7</c:v>
                </c:pt>
                <c:pt idx="5643">
                  <c:v>7</c:v>
                </c:pt>
                <c:pt idx="5644">
                  <c:v>7</c:v>
                </c:pt>
                <c:pt idx="5645">
                  <c:v>7</c:v>
                </c:pt>
                <c:pt idx="5646">
                  <c:v>7</c:v>
                </c:pt>
                <c:pt idx="5647">
                  <c:v>7</c:v>
                </c:pt>
                <c:pt idx="5648">
                  <c:v>7</c:v>
                </c:pt>
                <c:pt idx="5649">
                  <c:v>7</c:v>
                </c:pt>
                <c:pt idx="5650">
                  <c:v>7</c:v>
                </c:pt>
                <c:pt idx="5651">
                  <c:v>7</c:v>
                </c:pt>
                <c:pt idx="5652">
                  <c:v>7</c:v>
                </c:pt>
                <c:pt idx="5653">
                  <c:v>7</c:v>
                </c:pt>
                <c:pt idx="5654">
                  <c:v>7</c:v>
                </c:pt>
                <c:pt idx="5655">
                  <c:v>7</c:v>
                </c:pt>
                <c:pt idx="5656">
                  <c:v>7</c:v>
                </c:pt>
                <c:pt idx="5657">
                  <c:v>7</c:v>
                </c:pt>
                <c:pt idx="5658">
                  <c:v>7</c:v>
                </c:pt>
                <c:pt idx="5659">
                  <c:v>7</c:v>
                </c:pt>
                <c:pt idx="5660">
                  <c:v>7</c:v>
                </c:pt>
                <c:pt idx="5661">
                  <c:v>7</c:v>
                </c:pt>
                <c:pt idx="5662">
                  <c:v>7</c:v>
                </c:pt>
                <c:pt idx="5663">
                  <c:v>7</c:v>
                </c:pt>
                <c:pt idx="5664">
                  <c:v>7</c:v>
                </c:pt>
                <c:pt idx="5665">
                  <c:v>7</c:v>
                </c:pt>
                <c:pt idx="5666">
                  <c:v>7</c:v>
                </c:pt>
                <c:pt idx="5667">
                  <c:v>7</c:v>
                </c:pt>
                <c:pt idx="5668">
                  <c:v>7</c:v>
                </c:pt>
                <c:pt idx="5669">
                  <c:v>7</c:v>
                </c:pt>
                <c:pt idx="5670">
                  <c:v>7</c:v>
                </c:pt>
                <c:pt idx="5671">
                  <c:v>7</c:v>
                </c:pt>
                <c:pt idx="5672">
                  <c:v>7</c:v>
                </c:pt>
                <c:pt idx="5673">
                  <c:v>7</c:v>
                </c:pt>
                <c:pt idx="5674">
                  <c:v>7</c:v>
                </c:pt>
                <c:pt idx="5675">
                  <c:v>7</c:v>
                </c:pt>
                <c:pt idx="5676">
                  <c:v>7</c:v>
                </c:pt>
                <c:pt idx="5677">
                  <c:v>7</c:v>
                </c:pt>
                <c:pt idx="5678">
                  <c:v>7</c:v>
                </c:pt>
                <c:pt idx="5679">
                  <c:v>7</c:v>
                </c:pt>
                <c:pt idx="5680">
                  <c:v>7</c:v>
                </c:pt>
                <c:pt idx="5681">
                  <c:v>7</c:v>
                </c:pt>
                <c:pt idx="5682">
                  <c:v>7</c:v>
                </c:pt>
                <c:pt idx="5683">
                  <c:v>7</c:v>
                </c:pt>
                <c:pt idx="5684">
                  <c:v>7</c:v>
                </c:pt>
                <c:pt idx="5685">
                  <c:v>7</c:v>
                </c:pt>
                <c:pt idx="5686">
                  <c:v>7</c:v>
                </c:pt>
                <c:pt idx="5687">
                  <c:v>7</c:v>
                </c:pt>
                <c:pt idx="5688">
                  <c:v>7</c:v>
                </c:pt>
                <c:pt idx="5689">
                  <c:v>7</c:v>
                </c:pt>
                <c:pt idx="5690">
                  <c:v>7</c:v>
                </c:pt>
                <c:pt idx="5691">
                  <c:v>7</c:v>
                </c:pt>
                <c:pt idx="5692">
                  <c:v>7</c:v>
                </c:pt>
                <c:pt idx="5693">
                  <c:v>7</c:v>
                </c:pt>
                <c:pt idx="5694">
                  <c:v>7</c:v>
                </c:pt>
                <c:pt idx="5695">
                  <c:v>7</c:v>
                </c:pt>
                <c:pt idx="5696">
                  <c:v>7</c:v>
                </c:pt>
                <c:pt idx="5697">
                  <c:v>7</c:v>
                </c:pt>
                <c:pt idx="5698">
                  <c:v>7</c:v>
                </c:pt>
                <c:pt idx="5699">
                  <c:v>7</c:v>
                </c:pt>
                <c:pt idx="5700">
                  <c:v>7</c:v>
                </c:pt>
                <c:pt idx="5701">
                  <c:v>7</c:v>
                </c:pt>
                <c:pt idx="5702">
                  <c:v>7</c:v>
                </c:pt>
                <c:pt idx="5703">
                  <c:v>7</c:v>
                </c:pt>
                <c:pt idx="5704">
                  <c:v>7</c:v>
                </c:pt>
                <c:pt idx="5705">
                  <c:v>7</c:v>
                </c:pt>
                <c:pt idx="5706">
                  <c:v>7</c:v>
                </c:pt>
                <c:pt idx="5707">
                  <c:v>7</c:v>
                </c:pt>
                <c:pt idx="5708">
                  <c:v>7</c:v>
                </c:pt>
                <c:pt idx="5709">
                  <c:v>7</c:v>
                </c:pt>
                <c:pt idx="5710">
                  <c:v>7</c:v>
                </c:pt>
                <c:pt idx="5711">
                  <c:v>7</c:v>
                </c:pt>
                <c:pt idx="5712">
                  <c:v>7</c:v>
                </c:pt>
                <c:pt idx="5713">
                  <c:v>7</c:v>
                </c:pt>
                <c:pt idx="5714">
                  <c:v>7</c:v>
                </c:pt>
                <c:pt idx="5715">
                  <c:v>7</c:v>
                </c:pt>
                <c:pt idx="5716">
                  <c:v>7</c:v>
                </c:pt>
                <c:pt idx="5717">
                  <c:v>7</c:v>
                </c:pt>
                <c:pt idx="5718">
                  <c:v>7</c:v>
                </c:pt>
                <c:pt idx="5719">
                  <c:v>7</c:v>
                </c:pt>
                <c:pt idx="5720">
                  <c:v>7</c:v>
                </c:pt>
                <c:pt idx="5721">
                  <c:v>7</c:v>
                </c:pt>
                <c:pt idx="5722">
                  <c:v>7</c:v>
                </c:pt>
                <c:pt idx="5723">
                  <c:v>7</c:v>
                </c:pt>
                <c:pt idx="5724">
                  <c:v>7</c:v>
                </c:pt>
                <c:pt idx="5725">
                  <c:v>7</c:v>
                </c:pt>
                <c:pt idx="5726">
                  <c:v>7</c:v>
                </c:pt>
                <c:pt idx="5727">
                  <c:v>7</c:v>
                </c:pt>
                <c:pt idx="5728">
                  <c:v>7</c:v>
                </c:pt>
                <c:pt idx="5729">
                  <c:v>7</c:v>
                </c:pt>
                <c:pt idx="5730">
                  <c:v>7</c:v>
                </c:pt>
                <c:pt idx="5731">
                  <c:v>7</c:v>
                </c:pt>
                <c:pt idx="5732">
                  <c:v>7</c:v>
                </c:pt>
                <c:pt idx="5733">
                  <c:v>7</c:v>
                </c:pt>
                <c:pt idx="5734">
                  <c:v>7</c:v>
                </c:pt>
                <c:pt idx="5735">
                  <c:v>7</c:v>
                </c:pt>
                <c:pt idx="5736">
                  <c:v>7</c:v>
                </c:pt>
                <c:pt idx="5737">
                  <c:v>7</c:v>
                </c:pt>
                <c:pt idx="5738">
                  <c:v>7</c:v>
                </c:pt>
                <c:pt idx="5739">
                  <c:v>7</c:v>
                </c:pt>
                <c:pt idx="5740">
                  <c:v>7</c:v>
                </c:pt>
                <c:pt idx="5741">
                  <c:v>7</c:v>
                </c:pt>
                <c:pt idx="5742">
                  <c:v>7</c:v>
                </c:pt>
                <c:pt idx="5743">
                  <c:v>7</c:v>
                </c:pt>
                <c:pt idx="5744">
                  <c:v>7</c:v>
                </c:pt>
                <c:pt idx="5745">
                  <c:v>7</c:v>
                </c:pt>
                <c:pt idx="5746">
                  <c:v>7</c:v>
                </c:pt>
                <c:pt idx="5747">
                  <c:v>7</c:v>
                </c:pt>
                <c:pt idx="5748">
                  <c:v>7</c:v>
                </c:pt>
                <c:pt idx="5749">
                  <c:v>7</c:v>
                </c:pt>
                <c:pt idx="5750">
                  <c:v>7</c:v>
                </c:pt>
                <c:pt idx="5751">
                  <c:v>7</c:v>
                </c:pt>
                <c:pt idx="5752">
                  <c:v>7</c:v>
                </c:pt>
                <c:pt idx="5753">
                  <c:v>7</c:v>
                </c:pt>
                <c:pt idx="5754">
                  <c:v>7</c:v>
                </c:pt>
                <c:pt idx="5755">
                  <c:v>7</c:v>
                </c:pt>
                <c:pt idx="5756">
                  <c:v>7</c:v>
                </c:pt>
                <c:pt idx="5757">
                  <c:v>7</c:v>
                </c:pt>
                <c:pt idx="5758">
                  <c:v>7</c:v>
                </c:pt>
                <c:pt idx="5759">
                  <c:v>7</c:v>
                </c:pt>
                <c:pt idx="5760">
                  <c:v>7</c:v>
                </c:pt>
                <c:pt idx="5761">
                  <c:v>7</c:v>
                </c:pt>
                <c:pt idx="5762">
                  <c:v>7</c:v>
                </c:pt>
                <c:pt idx="5763">
                  <c:v>7</c:v>
                </c:pt>
                <c:pt idx="5764">
                  <c:v>7</c:v>
                </c:pt>
                <c:pt idx="5765">
                  <c:v>7</c:v>
                </c:pt>
                <c:pt idx="5766">
                  <c:v>7</c:v>
                </c:pt>
                <c:pt idx="5767">
                  <c:v>7</c:v>
                </c:pt>
                <c:pt idx="5768">
                  <c:v>7</c:v>
                </c:pt>
                <c:pt idx="5769">
                  <c:v>7</c:v>
                </c:pt>
                <c:pt idx="5770">
                  <c:v>7</c:v>
                </c:pt>
                <c:pt idx="5771">
                  <c:v>7</c:v>
                </c:pt>
                <c:pt idx="5772">
                  <c:v>7</c:v>
                </c:pt>
                <c:pt idx="5773">
                  <c:v>7</c:v>
                </c:pt>
                <c:pt idx="5774">
                  <c:v>7</c:v>
                </c:pt>
                <c:pt idx="5775">
                  <c:v>7</c:v>
                </c:pt>
                <c:pt idx="5776">
                  <c:v>7</c:v>
                </c:pt>
                <c:pt idx="5777">
                  <c:v>7</c:v>
                </c:pt>
                <c:pt idx="5778">
                  <c:v>7</c:v>
                </c:pt>
                <c:pt idx="5779">
                  <c:v>7</c:v>
                </c:pt>
                <c:pt idx="5780">
                  <c:v>7</c:v>
                </c:pt>
                <c:pt idx="5781">
                  <c:v>7</c:v>
                </c:pt>
                <c:pt idx="5782">
                  <c:v>7</c:v>
                </c:pt>
                <c:pt idx="5783">
                  <c:v>7</c:v>
                </c:pt>
                <c:pt idx="5784">
                  <c:v>7</c:v>
                </c:pt>
                <c:pt idx="5785">
                  <c:v>7</c:v>
                </c:pt>
                <c:pt idx="5786">
                  <c:v>7</c:v>
                </c:pt>
                <c:pt idx="5787">
                  <c:v>7</c:v>
                </c:pt>
                <c:pt idx="5788">
                  <c:v>7</c:v>
                </c:pt>
                <c:pt idx="5789">
                  <c:v>7</c:v>
                </c:pt>
                <c:pt idx="5790">
                  <c:v>7</c:v>
                </c:pt>
                <c:pt idx="5791">
                  <c:v>7</c:v>
                </c:pt>
                <c:pt idx="5792">
                  <c:v>7</c:v>
                </c:pt>
                <c:pt idx="5793">
                  <c:v>7</c:v>
                </c:pt>
                <c:pt idx="5794">
                  <c:v>7</c:v>
                </c:pt>
                <c:pt idx="5795">
                  <c:v>7</c:v>
                </c:pt>
                <c:pt idx="5796">
                  <c:v>7</c:v>
                </c:pt>
                <c:pt idx="5797">
                  <c:v>7</c:v>
                </c:pt>
                <c:pt idx="5798">
                  <c:v>7</c:v>
                </c:pt>
                <c:pt idx="5799">
                  <c:v>7</c:v>
                </c:pt>
                <c:pt idx="5800">
                  <c:v>7</c:v>
                </c:pt>
                <c:pt idx="5801">
                  <c:v>7</c:v>
                </c:pt>
                <c:pt idx="5802">
                  <c:v>7</c:v>
                </c:pt>
                <c:pt idx="5803">
                  <c:v>7</c:v>
                </c:pt>
                <c:pt idx="5804">
                  <c:v>7</c:v>
                </c:pt>
                <c:pt idx="5805">
                  <c:v>7</c:v>
                </c:pt>
                <c:pt idx="5806">
                  <c:v>7</c:v>
                </c:pt>
                <c:pt idx="5807">
                  <c:v>7</c:v>
                </c:pt>
                <c:pt idx="5808">
                  <c:v>7</c:v>
                </c:pt>
                <c:pt idx="5809">
                  <c:v>7</c:v>
                </c:pt>
                <c:pt idx="5810">
                  <c:v>7</c:v>
                </c:pt>
                <c:pt idx="5811">
                  <c:v>7</c:v>
                </c:pt>
                <c:pt idx="5812">
                  <c:v>7</c:v>
                </c:pt>
                <c:pt idx="5813">
                  <c:v>7</c:v>
                </c:pt>
                <c:pt idx="5814">
                  <c:v>7</c:v>
                </c:pt>
                <c:pt idx="5815">
                  <c:v>7</c:v>
                </c:pt>
                <c:pt idx="5816">
                  <c:v>7</c:v>
                </c:pt>
                <c:pt idx="5817">
                  <c:v>7</c:v>
                </c:pt>
                <c:pt idx="5818">
                  <c:v>7</c:v>
                </c:pt>
                <c:pt idx="5819">
                  <c:v>7</c:v>
                </c:pt>
                <c:pt idx="5820">
                  <c:v>7</c:v>
                </c:pt>
                <c:pt idx="5821">
                  <c:v>7</c:v>
                </c:pt>
                <c:pt idx="5822">
                  <c:v>7</c:v>
                </c:pt>
                <c:pt idx="5823">
                  <c:v>7</c:v>
                </c:pt>
                <c:pt idx="5824">
                  <c:v>7</c:v>
                </c:pt>
                <c:pt idx="5825">
                  <c:v>7</c:v>
                </c:pt>
                <c:pt idx="5826">
                  <c:v>7</c:v>
                </c:pt>
                <c:pt idx="5827">
                  <c:v>7</c:v>
                </c:pt>
                <c:pt idx="5828">
                  <c:v>7</c:v>
                </c:pt>
                <c:pt idx="5829">
                  <c:v>7</c:v>
                </c:pt>
                <c:pt idx="5830">
                  <c:v>7</c:v>
                </c:pt>
                <c:pt idx="5831">
                  <c:v>7</c:v>
                </c:pt>
                <c:pt idx="5832">
                  <c:v>7</c:v>
                </c:pt>
                <c:pt idx="5833">
                  <c:v>7</c:v>
                </c:pt>
                <c:pt idx="5834">
                  <c:v>7</c:v>
                </c:pt>
                <c:pt idx="5835">
                  <c:v>7</c:v>
                </c:pt>
                <c:pt idx="5836">
                  <c:v>7</c:v>
                </c:pt>
                <c:pt idx="5837">
                  <c:v>7</c:v>
                </c:pt>
                <c:pt idx="5838">
                  <c:v>7</c:v>
                </c:pt>
                <c:pt idx="5839">
                  <c:v>7</c:v>
                </c:pt>
                <c:pt idx="5840">
                  <c:v>7</c:v>
                </c:pt>
                <c:pt idx="5841">
                  <c:v>7</c:v>
                </c:pt>
                <c:pt idx="5842">
                  <c:v>7</c:v>
                </c:pt>
                <c:pt idx="5843">
                  <c:v>7</c:v>
                </c:pt>
                <c:pt idx="5844">
                  <c:v>7</c:v>
                </c:pt>
                <c:pt idx="5845">
                  <c:v>7</c:v>
                </c:pt>
                <c:pt idx="5846">
                  <c:v>7</c:v>
                </c:pt>
                <c:pt idx="5847">
                  <c:v>7</c:v>
                </c:pt>
                <c:pt idx="5848">
                  <c:v>7</c:v>
                </c:pt>
                <c:pt idx="5849">
                  <c:v>7</c:v>
                </c:pt>
                <c:pt idx="5850">
                  <c:v>7</c:v>
                </c:pt>
                <c:pt idx="5851">
                  <c:v>7</c:v>
                </c:pt>
                <c:pt idx="5852">
                  <c:v>7</c:v>
                </c:pt>
                <c:pt idx="5853">
                  <c:v>7</c:v>
                </c:pt>
                <c:pt idx="5854">
                  <c:v>7</c:v>
                </c:pt>
                <c:pt idx="5855">
                  <c:v>7</c:v>
                </c:pt>
                <c:pt idx="5856">
                  <c:v>7</c:v>
                </c:pt>
                <c:pt idx="5857">
                  <c:v>7</c:v>
                </c:pt>
                <c:pt idx="5858">
                  <c:v>7</c:v>
                </c:pt>
                <c:pt idx="5859">
                  <c:v>7</c:v>
                </c:pt>
                <c:pt idx="5860">
                  <c:v>7</c:v>
                </c:pt>
                <c:pt idx="5861">
                  <c:v>7</c:v>
                </c:pt>
                <c:pt idx="5862">
                  <c:v>7</c:v>
                </c:pt>
                <c:pt idx="5863">
                  <c:v>7</c:v>
                </c:pt>
                <c:pt idx="5864">
                  <c:v>7</c:v>
                </c:pt>
                <c:pt idx="5865">
                  <c:v>7</c:v>
                </c:pt>
                <c:pt idx="5866">
                  <c:v>7</c:v>
                </c:pt>
                <c:pt idx="5867">
                  <c:v>7</c:v>
                </c:pt>
                <c:pt idx="5868">
                  <c:v>7</c:v>
                </c:pt>
                <c:pt idx="5869">
                  <c:v>7</c:v>
                </c:pt>
                <c:pt idx="5870">
                  <c:v>7</c:v>
                </c:pt>
                <c:pt idx="5871">
                  <c:v>7</c:v>
                </c:pt>
                <c:pt idx="5872">
                  <c:v>7</c:v>
                </c:pt>
                <c:pt idx="5873">
                  <c:v>7</c:v>
                </c:pt>
                <c:pt idx="5874">
                  <c:v>7</c:v>
                </c:pt>
                <c:pt idx="5875">
                  <c:v>7</c:v>
                </c:pt>
                <c:pt idx="5876">
                  <c:v>7</c:v>
                </c:pt>
                <c:pt idx="5877">
                  <c:v>7</c:v>
                </c:pt>
                <c:pt idx="5878">
                  <c:v>7</c:v>
                </c:pt>
                <c:pt idx="5879">
                  <c:v>7</c:v>
                </c:pt>
                <c:pt idx="5880">
                  <c:v>7</c:v>
                </c:pt>
                <c:pt idx="5881">
                  <c:v>7</c:v>
                </c:pt>
                <c:pt idx="5882">
                  <c:v>7</c:v>
                </c:pt>
                <c:pt idx="5883">
                  <c:v>7</c:v>
                </c:pt>
                <c:pt idx="5884">
                  <c:v>7</c:v>
                </c:pt>
                <c:pt idx="5885">
                  <c:v>7</c:v>
                </c:pt>
                <c:pt idx="5886">
                  <c:v>7</c:v>
                </c:pt>
                <c:pt idx="5887">
                  <c:v>7</c:v>
                </c:pt>
                <c:pt idx="5888">
                  <c:v>7</c:v>
                </c:pt>
                <c:pt idx="5889">
                  <c:v>7</c:v>
                </c:pt>
                <c:pt idx="5890">
                  <c:v>7</c:v>
                </c:pt>
                <c:pt idx="5891">
                  <c:v>7</c:v>
                </c:pt>
                <c:pt idx="5892">
                  <c:v>7</c:v>
                </c:pt>
                <c:pt idx="5893">
                  <c:v>7</c:v>
                </c:pt>
                <c:pt idx="5894">
                  <c:v>7</c:v>
                </c:pt>
                <c:pt idx="5895">
                  <c:v>7</c:v>
                </c:pt>
                <c:pt idx="5896">
                  <c:v>7</c:v>
                </c:pt>
                <c:pt idx="5897">
                  <c:v>7</c:v>
                </c:pt>
                <c:pt idx="5898">
                  <c:v>7</c:v>
                </c:pt>
                <c:pt idx="5899">
                  <c:v>7</c:v>
                </c:pt>
                <c:pt idx="5900">
                  <c:v>7</c:v>
                </c:pt>
                <c:pt idx="5901">
                  <c:v>7</c:v>
                </c:pt>
                <c:pt idx="5902">
                  <c:v>7</c:v>
                </c:pt>
                <c:pt idx="5903">
                  <c:v>7</c:v>
                </c:pt>
                <c:pt idx="5904">
                  <c:v>7</c:v>
                </c:pt>
                <c:pt idx="5905">
                  <c:v>7</c:v>
                </c:pt>
                <c:pt idx="5906">
                  <c:v>7</c:v>
                </c:pt>
                <c:pt idx="5907">
                  <c:v>7</c:v>
                </c:pt>
                <c:pt idx="5908">
                  <c:v>7</c:v>
                </c:pt>
                <c:pt idx="5909">
                  <c:v>7</c:v>
                </c:pt>
                <c:pt idx="5910">
                  <c:v>7</c:v>
                </c:pt>
                <c:pt idx="5911">
                  <c:v>7</c:v>
                </c:pt>
                <c:pt idx="5912">
                  <c:v>7</c:v>
                </c:pt>
                <c:pt idx="5913">
                  <c:v>7</c:v>
                </c:pt>
                <c:pt idx="5914">
                  <c:v>7</c:v>
                </c:pt>
                <c:pt idx="5915">
                  <c:v>7</c:v>
                </c:pt>
                <c:pt idx="5916">
                  <c:v>7</c:v>
                </c:pt>
                <c:pt idx="5917">
                  <c:v>7</c:v>
                </c:pt>
                <c:pt idx="5918">
                  <c:v>7</c:v>
                </c:pt>
                <c:pt idx="5919">
                  <c:v>7</c:v>
                </c:pt>
                <c:pt idx="5920">
                  <c:v>7</c:v>
                </c:pt>
                <c:pt idx="5921">
                  <c:v>7</c:v>
                </c:pt>
                <c:pt idx="5922">
                  <c:v>7</c:v>
                </c:pt>
                <c:pt idx="5923">
                  <c:v>7</c:v>
                </c:pt>
                <c:pt idx="5924">
                  <c:v>7</c:v>
                </c:pt>
                <c:pt idx="5925">
                  <c:v>7</c:v>
                </c:pt>
                <c:pt idx="5926">
                  <c:v>7</c:v>
                </c:pt>
                <c:pt idx="5927">
                  <c:v>7</c:v>
                </c:pt>
                <c:pt idx="5928">
                  <c:v>7</c:v>
                </c:pt>
                <c:pt idx="5929">
                  <c:v>7</c:v>
                </c:pt>
                <c:pt idx="5930">
                  <c:v>7</c:v>
                </c:pt>
                <c:pt idx="5931">
                  <c:v>7</c:v>
                </c:pt>
                <c:pt idx="5932">
                  <c:v>7</c:v>
                </c:pt>
                <c:pt idx="5933">
                  <c:v>7</c:v>
                </c:pt>
                <c:pt idx="5934">
                  <c:v>7</c:v>
                </c:pt>
                <c:pt idx="5935">
                  <c:v>7</c:v>
                </c:pt>
                <c:pt idx="5936">
                  <c:v>7</c:v>
                </c:pt>
                <c:pt idx="5937">
                  <c:v>7</c:v>
                </c:pt>
                <c:pt idx="5938">
                  <c:v>7</c:v>
                </c:pt>
                <c:pt idx="5939">
                  <c:v>7</c:v>
                </c:pt>
                <c:pt idx="5940">
                  <c:v>7</c:v>
                </c:pt>
                <c:pt idx="5941">
                  <c:v>7</c:v>
                </c:pt>
                <c:pt idx="5942">
                  <c:v>7</c:v>
                </c:pt>
                <c:pt idx="5943">
                  <c:v>7</c:v>
                </c:pt>
                <c:pt idx="5944">
                  <c:v>7</c:v>
                </c:pt>
                <c:pt idx="5945">
                  <c:v>7</c:v>
                </c:pt>
                <c:pt idx="5946">
                  <c:v>7</c:v>
                </c:pt>
                <c:pt idx="5947">
                  <c:v>7</c:v>
                </c:pt>
                <c:pt idx="5948">
                  <c:v>7</c:v>
                </c:pt>
                <c:pt idx="5949">
                  <c:v>7</c:v>
                </c:pt>
                <c:pt idx="5950">
                  <c:v>7</c:v>
                </c:pt>
                <c:pt idx="5951">
                  <c:v>7</c:v>
                </c:pt>
                <c:pt idx="5952">
                  <c:v>7</c:v>
                </c:pt>
                <c:pt idx="5953">
                  <c:v>7</c:v>
                </c:pt>
                <c:pt idx="5954">
                  <c:v>7</c:v>
                </c:pt>
                <c:pt idx="5955">
                  <c:v>7</c:v>
                </c:pt>
                <c:pt idx="5956">
                  <c:v>7</c:v>
                </c:pt>
                <c:pt idx="5957">
                  <c:v>7</c:v>
                </c:pt>
                <c:pt idx="5958">
                  <c:v>7</c:v>
                </c:pt>
                <c:pt idx="5959">
                  <c:v>7</c:v>
                </c:pt>
                <c:pt idx="5960">
                  <c:v>7</c:v>
                </c:pt>
                <c:pt idx="5961">
                  <c:v>7</c:v>
                </c:pt>
                <c:pt idx="5962">
                  <c:v>7</c:v>
                </c:pt>
                <c:pt idx="5963">
                  <c:v>7</c:v>
                </c:pt>
                <c:pt idx="5964">
                  <c:v>7</c:v>
                </c:pt>
                <c:pt idx="5965">
                  <c:v>7</c:v>
                </c:pt>
                <c:pt idx="5966">
                  <c:v>7</c:v>
                </c:pt>
                <c:pt idx="5967">
                  <c:v>7</c:v>
                </c:pt>
                <c:pt idx="5968">
                  <c:v>7</c:v>
                </c:pt>
                <c:pt idx="5969">
                  <c:v>7</c:v>
                </c:pt>
                <c:pt idx="5970">
                  <c:v>7</c:v>
                </c:pt>
                <c:pt idx="5971">
                  <c:v>7</c:v>
                </c:pt>
                <c:pt idx="5972">
                  <c:v>7</c:v>
                </c:pt>
                <c:pt idx="5973">
                  <c:v>7</c:v>
                </c:pt>
                <c:pt idx="5974">
                  <c:v>7</c:v>
                </c:pt>
                <c:pt idx="5975">
                  <c:v>7</c:v>
                </c:pt>
                <c:pt idx="5976">
                  <c:v>7</c:v>
                </c:pt>
                <c:pt idx="5977">
                  <c:v>7</c:v>
                </c:pt>
                <c:pt idx="5978">
                  <c:v>7</c:v>
                </c:pt>
                <c:pt idx="5979">
                  <c:v>7</c:v>
                </c:pt>
                <c:pt idx="5980">
                  <c:v>7</c:v>
                </c:pt>
                <c:pt idx="5981">
                  <c:v>7</c:v>
                </c:pt>
                <c:pt idx="5982">
                  <c:v>7</c:v>
                </c:pt>
                <c:pt idx="5983">
                  <c:v>7</c:v>
                </c:pt>
                <c:pt idx="5984">
                  <c:v>7</c:v>
                </c:pt>
                <c:pt idx="5985">
                  <c:v>7</c:v>
                </c:pt>
                <c:pt idx="5986">
                  <c:v>7</c:v>
                </c:pt>
                <c:pt idx="5987">
                  <c:v>7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8</c:v>
                </c:pt>
                <c:pt idx="6706">
                  <c:v>8</c:v>
                </c:pt>
                <c:pt idx="6707">
                  <c:v>8</c:v>
                </c:pt>
                <c:pt idx="6708">
                  <c:v>8</c:v>
                </c:pt>
                <c:pt idx="6709">
                  <c:v>8</c:v>
                </c:pt>
                <c:pt idx="6710">
                  <c:v>8</c:v>
                </c:pt>
                <c:pt idx="6711">
                  <c:v>8</c:v>
                </c:pt>
                <c:pt idx="6712">
                  <c:v>8</c:v>
                </c:pt>
                <c:pt idx="6713">
                  <c:v>8</c:v>
                </c:pt>
                <c:pt idx="6714">
                  <c:v>8</c:v>
                </c:pt>
                <c:pt idx="6715">
                  <c:v>8</c:v>
                </c:pt>
                <c:pt idx="6716">
                  <c:v>8</c:v>
                </c:pt>
                <c:pt idx="6717">
                  <c:v>8</c:v>
                </c:pt>
                <c:pt idx="6718">
                  <c:v>8</c:v>
                </c:pt>
                <c:pt idx="6719">
                  <c:v>8</c:v>
                </c:pt>
                <c:pt idx="6720">
                  <c:v>8</c:v>
                </c:pt>
                <c:pt idx="6721">
                  <c:v>8</c:v>
                </c:pt>
                <c:pt idx="6722">
                  <c:v>8</c:v>
                </c:pt>
                <c:pt idx="6723">
                  <c:v>8</c:v>
                </c:pt>
                <c:pt idx="6724">
                  <c:v>8</c:v>
                </c:pt>
                <c:pt idx="6725">
                  <c:v>8</c:v>
                </c:pt>
                <c:pt idx="6726">
                  <c:v>8</c:v>
                </c:pt>
                <c:pt idx="6727">
                  <c:v>8</c:v>
                </c:pt>
                <c:pt idx="6728">
                  <c:v>8</c:v>
                </c:pt>
                <c:pt idx="6729">
                  <c:v>8</c:v>
                </c:pt>
                <c:pt idx="6730">
                  <c:v>8</c:v>
                </c:pt>
                <c:pt idx="6731">
                  <c:v>8</c:v>
                </c:pt>
                <c:pt idx="6732">
                  <c:v>8</c:v>
                </c:pt>
                <c:pt idx="6733">
                  <c:v>8</c:v>
                </c:pt>
                <c:pt idx="6734">
                  <c:v>8</c:v>
                </c:pt>
                <c:pt idx="6735">
                  <c:v>8</c:v>
                </c:pt>
                <c:pt idx="6736">
                  <c:v>8</c:v>
                </c:pt>
                <c:pt idx="6737">
                  <c:v>8</c:v>
                </c:pt>
                <c:pt idx="6738">
                  <c:v>8</c:v>
                </c:pt>
                <c:pt idx="6739">
                  <c:v>8</c:v>
                </c:pt>
                <c:pt idx="6740">
                  <c:v>8</c:v>
                </c:pt>
                <c:pt idx="6741">
                  <c:v>8</c:v>
                </c:pt>
                <c:pt idx="6742">
                  <c:v>8</c:v>
                </c:pt>
                <c:pt idx="6743">
                  <c:v>8</c:v>
                </c:pt>
                <c:pt idx="6744">
                  <c:v>8</c:v>
                </c:pt>
                <c:pt idx="6745">
                  <c:v>8</c:v>
                </c:pt>
                <c:pt idx="6746">
                  <c:v>8</c:v>
                </c:pt>
                <c:pt idx="6747">
                  <c:v>8</c:v>
                </c:pt>
                <c:pt idx="6748">
                  <c:v>8</c:v>
                </c:pt>
                <c:pt idx="6749">
                  <c:v>8</c:v>
                </c:pt>
                <c:pt idx="6750">
                  <c:v>8</c:v>
                </c:pt>
                <c:pt idx="6751">
                  <c:v>8</c:v>
                </c:pt>
                <c:pt idx="6752">
                  <c:v>8</c:v>
                </c:pt>
                <c:pt idx="6753">
                  <c:v>8</c:v>
                </c:pt>
                <c:pt idx="6754">
                  <c:v>8</c:v>
                </c:pt>
                <c:pt idx="6755">
                  <c:v>8</c:v>
                </c:pt>
                <c:pt idx="6756">
                  <c:v>8</c:v>
                </c:pt>
                <c:pt idx="6757">
                  <c:v>8</c:v>
                </c:pt>
                <c:pt idx="6758">
                  <c:v>8</c:v>
                </c:pt>
                <c:pt idx="6759">
                  <c:v>8</c:v>
                </c:pt>
                <c:pt idx="6760">
                  <c:v>8</c:v>
                </c:pt>
                <c:pt idx="6761">
                  <c:v>8</c:v>
                </c:pt>
                <c:pt idx="6762">
                  <c:v>8</c:v>
                </c:pt>
                <c:pt idx="6763">
                  <c:v>8</c:v>
                </c:pt>
                <c:pt idx="6764">
                  <c:v>8</c:v>
                </c:pt>
                <c:pt idx="6765">
                  <c:v>8</c:v>
                </c:pt>
                <c:pt idx="6766">
                  <c:v>8</c:v>
                </c:pt>
                <c:pt idx="6767">
                  <c:v>8</c:v>
                </c:pt>
                <c:pt idx="6768">
                  <c:v>8</c:v>
                </c:pt>
                <c:pt idx="6769">
                  <c:v>8</c:v>
                </c:pt>
                <c:pt idx="6770">
                  <c:v>8</c:v>
                </c:pt>
                <c:pt idx="6771">
                  <c:v>8</c:v>
                </c:pt>
                <c:pt idx="6772">
                  <c:v>8</c:v>
                </c:pt>
                <c:pt idx="6773">
                  <c:v>8</c:v>
                </c:pt>
                <c:pt idx="6774">
                  <c:v>8</c:v>
                </c:pt>
                <c:pt idx="6775">
                  <c:v>8</c:v>
                </c:pt>
                <c:pt idx="6776">
                  <c:v>8</c:v>
                </c:pt>
                <c:pt idx="6777">
                  <c:v>8</c:v>
                </c:pt>
                <c:pt idx="6778">
                  <c:v>8</c:v>
                </c:pt>
                <c:pt idx="6779">
                  <c:v>8</c:v>
                </c:pt>
                <c:pt idx="6780">
                  <c:v>8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8</c:v>
                </c:pt>
                <c:pt idx="6791">
                  <c:v>8</c:v>
                </c:pt>
                <c:pt idx="6792">
                  <c:v>8</c:v>
                </c:pt>
                <c:pt idx="6793">
                  <c:v>8</c:v>
                </c:pt>
                <c:pt idx="6794">
                  <c:v>8</c:v>
                </c:pt>
                <c:pt idx="6795">
                  <c:v>8</c:v>
                </c:pt>
                <c:pt idx="6796">
                  <c:v>8</c:v>
                </c:pt>
                <c:pt idx="6797">
                  <c:v>8</c:v>
                </c:pt>
                <c:pt idx="6798">
                  <c:v>8</c:v>
                </c:pt>
                <c:pt idx="6799">
                  <c:v>8</c:v>
                </c:pt>
                <c:pt idx="6800">
                  <c:v>8</c:v>
                </c:pt>
                <c:pt idx="6801">
                  <c:v>8</c:v>
                </c:pt>
                <c:pt idx="6802">
                  <c:v>8</c:v>
                </c:pt>
                <c:pt idx="6803">
                  <c:v>8</c:v>
                </c:pt>
                <c:pt idx="6804">
                  <c:v>8</c:v>
                </c:pt>
                <c:pt idx="6805">
                  <c:v>8</c:v>
                </c:pt>
                <c:pt idx="6806">
                  <c:v>8</c:v>
                </c:pt>
                <c:pt idx="6807">
                  <c:v>8</c:v>
                </c:pt>
                <c:pt idx="6808">
                  <c:v>8</c:v>
                </c:pt>
                <c:pt idx="6809">
                  <c:v>8</c:v>
                </c:pt>
                <c:pt idx="6810">
                  <c:v>8</c:v>
                </c:pt>
                <c:pt idx="6811">
                  <c:v>8</c:v>
                </c:pt>
                <c:pt idx="6812">
                  <c:v>8</c:v>
                </c:pt>
                <c:pt idx="6813">
                  <c:v>8</c:v>
                </c:pt>
                <c:pt idx="6814">
                  <c:v>8</c:v>
                </c:pt>
                <c:pt idx="6815">
                  <c:v>8</c:v>
                </c:pt>
                <c:pt idx="6816">
                  <c:v>8</c:v>
                </c:pt>
                <c:pt idx="6817">
                  <c:v>8</c:v>
                </c:pt>
                <c:pt idx="6818">
                  <c:v>8</c:v>
                </c:pt>
                <c:pt idx="6819">
                  <c:v>8</c:v>
                </c:pt>
                <c:pt idx="6820">
                  <c:v>8</c:v>
                </c:pt>
                <c:pt idx="6821">
                  <c:v>8</c:v>
                </c:pt>
                <c:pt idx="6822">
                  <c:v>8</c:v>
                </c:pt>
                <c:pt idx="6823">
                  <c:v>8</c:v>
                </c:pt>
                <c:pt idx="6824">
                  <c:v>8</c:v>
                </c:pt>
                <c:pt idx="6825">
                  <c:v>8</c:v>
                </c:pt>
                <c:pt idx="6826">
                  <c:v>8</c:v>
                </c:pt>
                <c:pt idx="6827">
                  <c:v>8</c:v>
                </c:pt>
                <c:pt idx="6828">
                  <c:v>8</c:v>
                </c:pt>
                <c:pt idx="6829">
                  <c:v>8</c:v>
                </c:pt>
                <c:pt idx="6830">
                  <c:v>8</c:v>
                </c:pt>
                <c:pt idx="6831">
                  <c:v>8</c:v>
                </c:pt>
                <c:pt idx="6832">
                  <c:v>8</c:v>
                </c:pt>
                <c:pt idx="6833">
                  <c:v>8</c:v>
                </c:pt>
                <c:pt idx="6834">
                  <c:v>8</c:v>
                </c:pt>
                <c:pt idx="6835">
                  <c:v>8</c:v>
                </c:pt>
                <c:pt idx="6836">
                  <c:v>8</c:v>
                </c:pt>
                <c:pt idx="6837">
                  <c:v>8</c:v>
                </c:pt>
                <c:pt idx="6838">
                  <c:v>8</c:v>
                </c:pt>
                <c:pt idx="6839">
                  <c:v>8</c:v>
                </c:pt>
                <c:pt idx="6840">
                  <c:v>8</c:v>
                </c:pt>
                <c:pt idx="6841">
                  <c:v>8</c:v>
                </c:pt>
                <c:pt idx="6842">
                  <c:v>8</c:v>
                </c:pt>
                <c:pt idx="6843">
                  <c:v>8</c:v>
                </c:pt>
                <c:pt idx="6844">
                  <c:v>8</c:v>
                </c:pt>
                <c:pt idx="6845">
                  <c:v>8</c:v>
                </c:pt>
                <c:pt idx="6846">
                  <c:v>8</c:v>
                </c:pt>
                <c:pt idx="6847">
                  <c:v>8</c:v>
                </c:pt>
                <c:pt idx="6848">
                  <c:v>8</c:v>
                </c:pt>
                <c:pt idx="6849">
                  <c:v>8</c:v>
                </c:pt>
                <c:pt idx="6850">
                  <c:v>8</c:v>
                </c:pt>
                <c:pt idx="6851">
                  <c:v>8</c:v>
                </c:pt>
                <c:pt idx="6852">
                  <c:v>8</c:v>
                </c:pt>
                <c:pt idx="6853">
                  <c:v>8</c:v>
                </c:pt>
                <c:pt idx="6854">
                  <c:v>8</c:v>
                </c:pt>
                <c:pt idx="6855">
                  <c:v>8</c:v>
                </c:pt>
                <c:pt idx="6856">
                  <c:v>8</c:v>
                </c:pt>
                <c:pt idx="6857">
                  <c:v>8</c:v>
                </c:pt>
                <c:pt idx="6858">
                  <c:v>8</c:v>
                </c:pt>
                <c:pt idx="6859">
                  <c:v>8</c:v>
                </c:pt>
                <c:pt idx="6860">
                  <c:v>8</c:v>
                </c:pt>
                <c:pt idx="6861">
                  <c:v>8</c:v>
                </c:pt>
                <c:pt idx="6862">
                  <c:v>8</c:v>
                </c:pt>
                <c:pt idx="6863">
                  <c:v>8</c:v>
                </c:pt>
                <c:pt idx="6864">
                  <c:v>8</c:v>
                </c:pt>
                <c:pt idx="6865">
                  <c:v>8</c:v>
                </c:pt>
                <c:pt idx="6866">
                  <c:v>8</c:v>
                </c:pt>
                <c:pt idx="6867">
                  <c:v>8</c:v>
                </c:pt>
                <c:pt idx="6868">
                  <c:v>8</c:v>
                </c:pt>
                <c:pt idx="6869">
                  <c:v>8</c:v>
                </c:pt>
                <c:pt idx="6870">
                  <c:v>8</c:v>
                </c:pt>
                <c:pt idx="6871">
                  <c:v>8</c:v>
                </c:pt>
                <c:pt idx="6872">
                  <c:v>8</c:v>
                </c:pt>
                <c:pt idx="6873">
                  <c:v>8</c:v>
                </c:pt>
                <c:pt idx="6874">
                  <c:v>8</c:v>
                </c:pt>
                <c:pt idx="6875">
                  <c:v>8</c:v>
                </c:pt>
                <c:pt idx="6876">
                  <c:v>8</c:v>
                </c:pt>
                <c:pt idx="6877">
                  <c:v>8</c:v>
                </c:pt>
                <c:pt idx="6878">
                  <c:v>8</c:v>
                </c:pt>
                <c:pt idx="6879">
                  <c:v>8</c:v>
                </c:pt>
                <c:pt idx="6880">
                  <c:v>8</c:v>
                </c:pt>
                <c:pt idx="6881">
                  <c:v>8</c:v>
                </c:pt>
                <c:pt idx="6882">
                  <c:v>8</c:v>
                </c:pt>
                <c:pt idx="6883">
                  <c:v>8</c:v>
                </c:pt>
                <c:pt idx="7252">
                  <c:v>9</c:v>
                </c:pt>
                <c:pt idx="7253">
                  <c:v>9</c:v>
                </c:pt>
                <c:pt idx="7254">
                  <c:v>9</c:v>
                </c:pt>
                <c:pt idx="7255">
                  <c:v>9</c:v>
                </c:pt>
                <c:pt idx="7256">
                  <c:v>9</c:v>
                </c:pt>
                <c:pt idx="7257">
                  <c:v>9</c:v>
                </c:pt>
                <c:pt idx="7258">
                  <c:v>9</c:v>
                </c:pt>
                <c:pt idx="7259">
                  <c:v>9</c:v>
                </c:pt>
                <c:pt idx="7260">
                  <c:v>9</c:v>
                </c:pt>
                <c:pt idx="7261">
                  <c:v>9</c:v>
                </c:pt>
                <c:pt idx="7262">
                  <c:v>9</c:v>
                </c:pt>
                <c:pt idx="7263">
                  <c:v>9</c:v>
                </c:pt>
                <c:pt idx="7264">
                  <c:v>9</c:v>
                </c:pt>
                <c:pt idx="7265">
                  <c:v>9</c:v>
                </c:pt>
                <c:pt idx="7266">
                  <c:v>9</c:v>
                </c:pt>
                <c:pt idx="7267">
                  <c:v>9</c:v>
                </c:pt>
                <c:pt idx="7268">
                  <c:v>9</c:v>
                </c:pt>
                <c:pt idx="7269">
                  <c:v>9</c:v>
                </c:pt>
                <c:pt idx="7270">
                  <c:v>9</c:v>
                </c:pt>
                <c:pt idx="7271">
                  <c:v>9</c:v>
                </c:pt>
                <c:pt idx="7272">
                  <c:v>9</c:v>
                </c:pt>
                <c:pt idx="7273">
                  <c:v>9</c:v>
                </c:pt>
                <c:pt idx="7274">
                  <c:v>9</c:v>
                </c:pt>
                <c:pt idx="7275">
                  <c:v>9</c:v>
                </c:pt>
                <c:pt idx="7276">
                  <c:v>9</c:v>
                </c:pt>
                <c:pt idx="7277">
                  <c:v>9</c:v>
                </c:pt>
                <c:pt idx="7278">
                  <c:v>9</c:v>
                </c:pt>
                <c:pt idx="7279">
                  <c:v>9</c:v>
                </c:pt>
                <c:pt idx="7280">
                  <c:v>9</c:v>
                </c:pt>
                <c:pt idx="7281">
                  <c:v>9</c:v>
                </c:pt>
                <c:pt idx="7282">
                  <c:v>9</c:v>
                </c:pt>
                <c:pt idx="7283">
                  <c:v>9</c:v>
                </c:pt>
                <c:pt idx="7284">
                  <c:v>9</c:v>
                </c:pt>
                <c:pt idx="7285">
                  <c:v>9</c:v>
                </c:pt>
                <c:pt idx="7286">
                  <c:v>9</c:v>
                </c:pt>
                <c:pt idx="7287">
                  <c:v>9</c:v>
                </c:pt>
                <c:pt idx="7288">
                  <c:v>9</c:v>
                </c:pt>
                <c:pt idx="7289">
                  <c:v>9</c:v>
                </c:pt>
                <c:pt idx="7290">
                  <c:v>9</c:v>
                </c:pt>
                <c:pt idx="7291">
                  <c:v>9</c:v>
                </c:pt>
                <c:pt idx="7292">
                  <c:v>9</c:v>
                </c:pt>
                <c:pt idx="7293">
                  <c:v>9</c:v>
                </c:pt>
                <c:pt idx="7294">
                  <c:v>9</c:v>
                </c:pt>
                <c:pt idx="7295">
                  <c:v>9</c:v>
                </c:pt>
                <c:pt idx="7296">
                  <c:v>9</c:v>
                </c:pt>
                <c:pt idx="7297">
                  <c:v>9</c:v>
                </c:pt>
                <c:pt idx="7298">
                  <c:v>9</c:v>
                </c:pt>
                <c:pt idx="7299">
                  <c:v>9</c:v>
                </c:pt>
                <c:pt idx="7300">
                  <c:v>9</c:v>
                </c:pt>
                <c:pt idx="7301">
                  <c:v>9</c:v>
                </c:pt>
                <c:pt idx="7302">
                  <c:v>9</c:v>
                </c:pt>
                <c:pt idx="7303">
                  <c:v>9</c:v>
                </c:pt>
                <c:pt idx="7304">
                  <c:v>9</c:v>
                </c:pt>
                <c:pt idx="7305">
                  <c:v>9</c:v>
                </c:pt>
                <c:pt idx="7306">
                  <c:v>9</c:v>
                </c:pt>
                <c:pt idx="7307">
                  <c:v>9</c:v>
                </c:pt>
                <c:pt idx="7308">
                  <c:v>9</c:v>
                </c:pt>
                <c:pt idx="7309">
                  <c:v>9</c:v>
                </c:pt>
                <c:pt idx="7310">
                  <c:v>9</c:v>
                </c:pt>
                <c:pt idx="7311">
                  <c:v>9</c:v>
                </c:pt>
                <c:pt idx="7312">
                  <c:v>9</c:v>
                </c:pt>
                <c:pt idx="7313">
                  <c:v>9</c:v>
                </c:pt>
                <c:pt idx="7314">
                  <c:v>9</c:v>
                </c:pt>
                <c:pt idx="7315">
                  <c:v>9</c:v>
                </c:pt>
                <c:pt idx="7316">
                  <c:v>9</c:v>
                </c:pt>
                <c:pt idx="7317">
                  <c:v>9</c:v>
                </c:pt>
                <c:pt idx="7318">
                  <c:v>9</c:v>
                </c:pt>
                <c:pt idx="7319">
                  <c:v>9</c:v>
                </c:pt>
                <c:pt idx="7320">
                  <c:v>9</c:v>
                </c:pt>
                <c:pt idx="7321">
                  <c:v>9</c:v>
                </c:pt>
                <c:pt idx="7322">
                  <c:v>9</c:v>
                </c:pt>
                <c:pt idx="7323">
                  <c:v>9</c:v>
                </c:pt>
                <c:pt idx="7324">
                  <c:v>9</c:v>
                </c:pt>
                <c:pt idx="7325">
                  <c:v>9</c:v>
                </c:pt>
                <c:pt idx="7326">
                  <c:v>9</c:v>
                </c:pt>
                <c:pt idx="7327">
                  <c:v>9</c:v>
                </c:pt>
                <c:pt idx="7328">
                  <c:v>9</c:v>
                </c:pt>
                <c:pt idx="7329">
                  <c:v>9</c:v>
                </c:pt>
                <c:pt idx="7330">
                  <c:v>9</c:v>
                </c:pt>
                <c:pt idx="7331">
                  <c:v>9</c:v>
                </c:pt>
                <c:pt idx="7332">
                  <c:v>9</c:v>
                </c:pt>
                <c:pt idx="7333">
                  <c:v>9</c:v>
                </c:pt>
                <c:pt idx="7334">
                  <c:v>9</c:v>
                </c:pt>
                <c:pt idx="7335">
                  <c:v>9</c:v>
                </c:pt>
                <c:pt idx="7336">
                  <c:v>9</c:v>
                </c:pt>
                <c:pt idx="7337">
                  <c:v>9</c:v>
                </c:pt>
                <c:pt idx="7338">
                  <c:v>9</c:v>
                </c:pt>
                <c:pt idx="7339">
                  <c:v>9</c:v>
                </c:pt>
                <c:pt idx="7340">
                  <c:v>9</c:v>
                </c:pt>
                <c:pt idx="7341">
                  <c:v>9</c:v>
                </c:pt>
                <c:pt idx="7342">
                  <c:v>9</c:v>
                </c:pt>
                <c:pt idx="7343">
                  <c:v>9</c:v>
                </c:pt>
                <c:pt idx="7344">
                  <c:v>9</c:v>
                </c:pt>
                <c:pt idx="7345">
                  <c:v>9</c:v>
                </c:pt>
                <c:pt idx="7346">
                  <c:v>9</c:v>
                </c:pt>
                <c:pt idx="7347">
                  <c:v>9</c:v>
                </c:pt>
                <c:pt idx="7348">
                  <c:v>9</c:v>
                </c:pt>
                <c:pt idx="7349">
                  <c:v>9</c:v>
                </c:pt>
                <c:pt idx="7350">
                  <c:v>9</c:v>
                </c:pt>
                <c:pt idx="7351">
                  <c:v>9</c:v>
                </c:pt>
                <c:pt idx="7352">
                  <c:v>9</c:v>
                </c:pt>
                <c:pt idx="7353">
                  <c:v>9</c:v>
                </c:pt>
                <c:pt idx="7354">
                  <c:v>9</c:v>
                </c:pt>
                <c:pt idx="7355">
                  <c:v>9</c:v>
                </c:pt>
                <c:pt idx="7356">
                  <c:v>9</c:v>
                </c:pt>
                <c:pt idx="7357">
                  <c:v>9</c:v>
                </c:pt>
                <c:pt idx="7358">
                  <c:v>9</c:v>
                </c:pt>
                <c:pt idx="7359">
                  <c:v>9</c:v>
                </c:pt>
                <c:pt idx="7360">
                  <c:v>9</c:v>
                </c:pt>
                <c:pt idx="7361">
                  <c:v>9</c:v>
                </c:pt>
                <c:pt idx="7362">
                  <c:v>9</c:v>
                </c:pt>
                <c:pt idx="7363">
                  <c:v>9</c:v>
                </c:pt>
                <c:pt idx="7364">
                  <c:v>9</c:v>
                </c:pt>
                <c:pt idx="7365">
                  <c:v>9</c:v>
                </c:pt>
                <c:pt idx="7366">
                  <c:v>9</c:v>
                </c:pt>
                <c:pt idx="7367">
                  <c:v>9</c:v>
                </c:pt>
                <c:pt idx="7368">
                  <c:v>9</c:v>
                </c:pt>
                <c:pt idx="7369">
                  <c:v>9</c:v>
                </c:pt>
                <c:pt idx="7370">
                  <c:v>9</c:v>
                </c:pt>
                <c:pt idx="7371">
                  <c:v>9</c:v>
                </c:pt>
                <c:pt idx="7372">
                  <c:v>9</c:v>
                </c:pt>
                <c:pt idx="7373">
                  <c:v>9</c:v>
                </c:pt>
                <c:pt idx="7374">
                  <c:v>9</c:v>
                </c:pt>
                <c:pt idx="7375">
                  <c:v>9</c:v>
                </c:pt>
                <c:pt idx="7376">
                  <c:v>9</c:v>
                </c:pt>
                <c:pt idx="7377">
                  <c:v>9</c:v>
                </c:pt>
                <c:pt idx="7378">
                  <c:v>9</c:v>
                </c:pt>
                <c:pt idx="7379">
                  <c:v>9</c:v>
                </c:pt>
                <c:pt idx="7380">
                  <c:v>9</c:v>
                </c:pt>
                <c:pt idx="7381">
                  <c:v>9</c:v>
                </c:pt>
                <c:pt idx="7382">
                  <c:v>9</c:v>
                </c:pt>
                <c:pt idx="7383">
                  <c:v>9</c:v>
                </c:pt>
                <c:pt idx="7384">
                  <c:v>9</c:v>
                </c:pt>
                <c:pt idx="7385">
                  <c:v>9</c:v>
                </c:pt>
                <c:pt idx="7386">
                  <c:v>9</c:v>
                </c:pt>
                <c:pt idx="7387">
                  <c:v>9</c:v>
                </c:pt>
                <c:pt idx="7388">
                  <c:v>9</c:v>
                </c:pt>
                <c:pt idx="7389">
                  <c:v>9</c:v>
                </c:pt>
                <c:pt idx="7390">
                  <c:v>9</c:v>
                </c:pt>
                <c:pt idx="7391">
                  <c:v>9</c:v>
                </c:pt>
                <c:pt idx="7392">
                  <c:v>9</c:v>
                </c:pt>
                <c:pt idx="7393">
                  <c:v>9</c:v>
                </c:pt>
                <c:pt idx="7394">
                  <c:v>9</c:v>
                </c:pt>
                <c:pt idx="7395">
                  <c:v>9</c:v>
                </c:pt>
                <c:pt idx="7396">
                  <c:v>9</c:v>
                </c:pt>
                <c:pt idx="7397">
                  <c:v>9</c:v>
                </c:pt>
                <c:pt idx="7398">
                  <c:v>9</c:v>
                </c:pt>
                <c:pt idx="7399">
                  <c:v>9</c:v>
                </c:pt>
                <c:pt idx="7400">
                  <c:v>9</c:v>
                </c:pt>
                <c:pt idx="7401">
                  <c:v>9</c:v>
                </c:pt>
                <c:pt idx="7402">
                  <c:v>9</c:v>
                </c:pt>
                <c:pt idx="7403">
                  <c:v>9</c:v>
                </c:pt>
                <c:pt idx="7404">
                  <c:v>9</c:v>
                </c:pt>
                <c:pt idx="7405">
                  <c:v>9</c:v>
                </c:pt>
                <c:pt idx="7406">
                  <c:v>9</c:v>
                </c:pt>
                <c:pt idx="7407">
                  <c:v>9</c:v>
                </c:pt>
                <c:pt idx="7408">
                  <c:v>9</c:v>
                </c:pt>
                <c:pt idx="7409">
                  <c:v>9</c:v>
                </c:pt>
                <c:pt idx="7410">
                  <c:v>9</c:v>
                </c:pt>
                <c:pt idx="7411">
                  <c:v>9</c:v>
                </c:pt>
                <c:pt idx="7412">
                  <c:v>9</c:v>
                </c:pt>
                <c:pt idx="7413">
                  <c:v>9</c:v>
                </c:pt>
                <c:pt idx="7414">
                  <c:v>9</c:v>
                </c:pt>
                <c:pt idx="7415">
                  <c:v>9</c:v>
                </c:pt>
                <c:pt idx="7416">
                  <c:v>9</c:v>
                </c:pt>
                <c:pt idx="7417">
                  <c:v>9</c:v>
                </c:pt>
                <c:pt idx="7418">
                  <c:v>9</c:v>
                </c:pt>
                <c:pt idx="7419">
                  <c:v>9</c:v>
                </c:pt>
                <c:pt idx="7420">
                  <c:v>9</c:v>
                </c:pt>
                <c:pt idx="7421">
                  <c:v>9</c:v>
                </c:pt>
                <c:pt idx="7422">
                  <c:v>9</c:v>
                </c:pt>
                <c:pt idx="7423">
                  <c:v>9</c:v>
                </c:pt>
                <c:pt idx="7424">
                  <c:v>9</c:v>
                </c:pt>
                <c:pt idx="7425">
                  <c:v>9</c:v>
                </c:pt>
                <c:pt idx="7426">
                  <c:v>9</c:v>
                </c:pt>
                <c:pt idx="7427">
                  <c:v>9</c:v>
                </c:pt>
                <c:pt idx="7428">
                  <c:v>9</c:v>
                </c:pt>
                <c:pt idx="7429">
                  <c:v>9</c:v>
                </c:pt>
                <c:pt idx="7430">
                  <c:v>9</c:v>
                </c:pt>
                <c:pt idx="7431">
                  <c:v>9</c:v>
                </c:pt>
                <c:pt idx="7432">
                  <c:v>9</c:v>
                </c:pt>
                <c:pt idx="7433">
                  <c:v>9</c:v>
                </c:pt>
                <c:pt idx="7434">
                  <c:v>9</c:v>
                </c:pt>
                <c:pt idx="7435">
                  <c:v>9</c:v>
                </c:pt>
                <c:pt idx="7436">
                  <c:v>9</c:v>
                </c:pt>
                <c:pt idx="7437">
                  <c:v>9</c:v>
                </c:pt>
                <c:pt idx="7438">
                  <c:v>9</c:v>
                </c:pt>
                <c:pt idx="7439">
                  <c:v>9</c:v>
                </c:pt>
                <c:pt idx="7440">
                  <c:v>9</c:v>
                </c:pt>
                <c:pt idx="7441">
                  <c:v>9</c:v>
                </c:pt>
                <c:pt idx="7442">
                  <c:v>9</c:v>
                </c:pt>
                <c:pt idx="7443">
                  <c:v>9</c:v>
                </c:pt>
                <c:pt idx="7444">
                  <c:v>9</c:v>
                </c:pt>
                <c:pt idx="7445">
                  <c:v>9</c:v>
                </c:pt>
                <c:pt idx="7446">
                  <c:v>9</c:v>
                </c:pt>
                <c:pt idx="7447">
                  <c:v>9</c:v>
                </c:pt>
                <c:pt idx="7448">
                  <c:v>9</c:v>
                </c:pt>
                <c:pt idx="7449">
                  <c:v>9</c:v>
                </c:pt>
                <c:pt idx="7450">
                  <c:v>9</c:v>
                </c:pt>
                <c:pt idx="7451">
                  <c:v>9</c:v>
                </c:pt>
                <c:pt idx="7452">
                  <c:v>9</c:v>
                </c:pt>
                <c:pt idx="7453">
                  <c:v>9</c:v>
                </c:pt>
                <c:pt idx="7454">
                  <c:v>9</c:v>
                </c:pt>
                <c:pt idx="7455">
                  <c:v>9</c:v>
                </c:pt>
                <c:pt idx="7456">
                  <c:v>9</c:v>
                </c:pt>
                <c:pt idx="7457">
                  <c:v>9</c:v>
                </c:pt>
                <c:pt idx="7458">
                  <c:v>9</c:v>
                </c:pt>
                <c:pt idx="7459">
                  <c:v>9</c:v>
                </c:pt>
                <c:pt idx="7460">
                  <c:v>9</c:v>
                </c:pt>
                <c:pt idx="7461">
                  <c:v>9</c:v>
                </c:pt>
                <c:pt idx="7462">
                  <c:v>9</c:v>
                </c:pt>
                <c:pt idx="7463">
                  <c:v>9</c:v>
                </c:pt>
                <c:pt idx="7464">
                  <c:v>9</c:v>
                </c:pt>
                <c:pt idx="7465">
                  <c:v>9</c:v>
                </c:pt>
                <c:pt idx="7466">
                  <c:v>9</c:v>
                </c:pt>
                <c:pt idx="7467">
                  <c:v>9</c:v>
                </c:pt>
                <c:pt idx="7468">
                  <c:v>9</c:v>
                </c:pt>
                <c:pt idx="7469">
                  <c:v>9</c:v>
                </c:pt>
                <c:pt idx="7470">
                  <c:v>9</c:v>
                </c:pt>
                <c:pt idx="7471">
                  <c:v>9</c:v>
                </c:pt>
                <c:pt idx="7472">
                  <c:v>9</c:v>
                </c:pt>
                <c:pt idx="7473">
                  <c:v>9</c:v>
                </c:pt>
                <c:pt idx="7474">
                  <c:v>9</c:v>
                </c:pt>
                <c:pt idx="7475">
                  <c:v>9</c:v>
                </c:pt>
                <c:pt idx="7476">
                  <c:v>9</c:v>
                </c:pt>
                <c:pt idx="7477">
                  <c:v>9</c:v>
                </c:pt>
                <c:pt idx="7478">
                  <c:v>9</c:v>
                </c:pt>
                <c:pt idx="7479">
                  <c:v>9</c:v>
                </c:pt>
                <c:pt idx="7480">
                  <c:v>9</c:v>
                </c:pt>
                <c:pt idx="7481">
                  <c:v>9</c:v>
                </c:pt>
                <c:pt idx="7482">
                  <c:v>9</c:v>
                </c:pt>
                <c:pt idx="7483">
                  <c:v>9</c:v>
                </c:pt>
                <c:pt idx="7484">
                  <c:v>9</c:v>
                </c:pt>
                <c:pt idx="7485">
                  <c:v>9</c:v>
                </c:pt>
                <c:pt idx="7486">
                  <c:v>9</c:v>
                </c:pt>
                <c:pt idx="7487">
                  <c:v>9</c:v>
                </c:pt>
                <c:pt idx="7488">
                  <c:v>9</c:v>
                </c:pt>
                <c:pt idx="7489">
                  <c:v>9</c:v>
                </c:pt>
                <c:pt idx="7490">
                  <c:v>9</c:v>
                </c:pt>
                <c:pt idx="7491">
                  <c:v>9</c:v>
                </c:pt>
                <c:pt idx="7492">
                  <c:v>9</c:v>
                </c:pt>
                <c:pt idx="7493">
                  <c:v>9</c:v>
                </c:pt>
                <c:pt idx="7494">
                  <c:v>9</c:v>
                </c:pt>
                <c:pt idx="7495">
                  <c:v>9</c:v>
                </c:pt>
                <c:pt idx="7496">
                  <c:v>9</c:v>
                </c:pt>
                <c:pt idx="7497">
                  <c:v>9</c:v>
                </c:pt>
                <c:pt idx="7498">
                  <c:v>9</c:v>
                </c:pt>
                <c:pt idx="7499">
                  <c:v>9</c:v>
                </c:pt>
                <c:pt idx="7500">
                  <c:v>9</c:v>
                </c:pt>
                <c:pt idx="7501">
                  <c:v>9</c:v>
                </c:pt>
                <c:pt idx="7502">
                  <c:v>9</c:v>
                </c:pt>
                <c:pt idx="7503">
                  <c:v>9</c:v>
                </c:pt>
                <c:pt idx="7504">
                  <c:v>9</c:v>
                </c:pt>
                <c:pt idx="7505">
                  <c:v>9</c:v>
                </c:pt>
                <c:pt idx="7506">
                  <c:v>9</c:v>
                </c:pt>
                <c:pt idx="7507">
                  <c:v>9</c:v>
                </c:pt>
                <c:pt idx="7508">
                  <c:v>9</c:v>
                </c:pt>
                <c:pt idx="7509">
                  <c:v>9</c:v>
                </c:pt>
                <c:pt idx="7510">
                  <c:v>9</c:v>
                </c:pt>
                <c:pt idx="7511">
                  <c:v>9</c:v>
                </c:pt>
                <c:pt idx="7512">
                  <c:v>9</c:v>
                </c:pt>
                <c:pt idx="7513">
                  <c:v>9</c:v>
                </c:pt>
                <c:pt idx="7514">
                  <c:v>9</c:v>
                </c:pt>
                <c:pt idx="7515">
                  <c:v>9</c:v>
                </c:pt>
                <c:pt idx="7516">
                  <c:v>9</c:v>
                </c:pt>
                <c:pt idx="7517">
                  <c:v>9</c:v>
                </c:pt>
                <c:pt idx="7518">
                  <c:v>9</c:v>
                </c:pt>
                <c:pt idx="7519">
                  <c:v>9</c:v>
                </c:pt>
                <c:pt idx="7520">
                  <c:v>9</c:v>
                </c:pt>
                <c:pt idx="7521">
                  <c:v>9</c:v>
                </c:pt>
                <c:pt idx="7522">
                  <c:v>9</c:v>
                </c:pt>
                <c:pt idx="7523">
                  <c:v>9</c:v>
                </c:pt>
                <c:pt idx="7524">
                  <c:v>9</c:v>
                </c:pt>
                <c:pt idx="7525">
                  <c:v>9</c:v>
                </c:pt>
                <c:pt idx="7526">
                  <c:v>9</c:v>
                </c:pt>
                <c:pt idx="7527">
                  <c:v>9</c:v>
                </c:pt>
                <c:pt idx="7528">
                  <c:v>9</c:v>
                </c:pt>
                <c:pt idx="7529">
                  <c:v>9</c:v>
                </c:pt>
                <c:pt idx="7530">
                  <c:v>9</c:v>
                </c:pt>
                <c:pt idx="7531">
                  <c:v>9</c:v>
                </c:pt>
                <c:pt idx="7532">
                  <c:v>9</c:v>
                </c:pt>
                <c:pt idx="753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D-4C9A-ADD2-10FA57F1F1FF}"/>
            </c:ext>
          </c:extLst>
        </c:ser>
        <c:ser>
          <c:idx val="1"/>
          <c:order val="1"/>
          <c:tx>
            <c:strRef>
              <c:f>transpose!$C$1</c:f>
              <c:strCache>
                <c:ptCount val="1"/>
                <c:pt idx="0">
                  <c:v>F2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transpose!$C$2:$C$7686</c:f>
              <c:numCache>
                <c:formatCode>General</c:formatCode>
                <c:ptCount val="7685"/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585">
                  <c:v>4</c:v>
                </c:pt>
                <c:pt idx="3586">
                  <c:v>4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4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4</c:v>
                </c:pt>
                <c:pt idx="3599">
                  <c:v>4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4</c:v>
                </c:pt>
                <c:pt idx="3607">
                  <c:v>4</c:v>
                </c:pt>
                <c:pt idx="3608">
                  <c:v>4</c:v>
                </c:pt>
                <c:pt idx="3609">
                  <c:v>4</c:v>
                </c:pt>
                <c:pt idx="3610">
                  <c:v>4</c:v>
                </c:pt>
                <c:pt idx="3611">
                  <c:v>4</c:v>
                </c:pt>
                <c:pt idx="3612">
                  <c:v>4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  <c:pt idx="3639">
                  <c:v>4</c:v>
                </c:pt>
                <c:pt idx="3640">
                  <c:v>4</c:v>
                </c:pt>
                <c:pt idx="3641">
                  <c:v>4</c:v>
                </c:pt>
                <c:pt idx="3642">
                  <c:v>4</c:v>
                </c:pt>
                <c:pt idx="3643">
                  <c:v>4</c:v>
                </c:pt>
                <c:pt idx="3644">
                  <c:v>4</c:v>
                </c:pt>
                <c:pt idx="3645">
                  <c:v>4</c:v>
                </c:pt>
                <c:pt idx="3646">
                  <c:v>4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4</c:v>
                </c:pt>
                <c:pt idx="3660">
                  <c:v>4</c:v>
                </c:pt>
                <c:pt idx="3661">
                  <c:v>4</c:v>
                </c:pt>
                <c:pt idx="3662">
                  <c:v>4</c:v>
                </c:pt>
                <c:pt idx="3663">
                  <c:v>4</c:v>
                </c:pt>
                <c:pt idx="3664">
                  <c:v>4</c:v>
                </c:pt>
                <c:pt idx="3665">
                  <c:v>4</c:v>
                </c:pt>
                <c:pt idx="3666">
                  <c:v>4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4</c:v>
                </c:pt>
                <c:pt idx="3679">
                  <c:v>4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4</c:v>
                </c:pt>
                <c:pt idx="3697">
                  <c:v>4</c:v>
                </c:pt>
                <c:pt idx="3698">
                  <c:v>4</c:v>
                </c:pt>
                <c:pt idx="3699">
                  <c:v>4</c:v>
                </c:pt>
                <c:pt idx="3700">
                  <c:v>4</c:v>
                </c:pt>
                <c:pt idx="3701">
                  <c:v>4</c:v>
                </c:pt>
                <c:pt idx="3702">
                  <c:v>4</c:v>
                </c:pt>
                <c:pt idx="3703">
                  <c:v>4</c:v>
                </c:pt>
                <c:pt idx="3704">
                  <c:v>4</c:v>
                </c:pt>
                <c:pt idx="3705">
                  <c:v>4</c:v>
                </c:pt>
                <c:pt idx="3706">
                  <c:v>4</c:v>
                </c:pt>
                <c:pt idx="3707">
                  <c:v>4</c:v>
                </c:pt>
                <c:pt idx="3708">
                  <c:v>4</c:v>
                </c:pt>
                <c:pt idx="3709">
                  <c:v>4</c:v>
                </c:pt>
                <c:pt idx="3710">
                  <c:v>4</c:v>
                </c:pt>
                <c:pt idx="3711">
                  <c:v>4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4</c:v>
                </c:pt>
                <c:pt idx="3720">
                  <c:v>4</c:v>
                </c:pt>
                <c:pt idx="3721">
                  <c:v>4</c:v>
                </c:pt>
                <c:pt idx="3722">
                  <c:v>4</c:v>
                </c:pt>
                <c:pt idx="3723">
                  <c:v>4</c:v>
                </c:pt>
                <c:pt idx="3724">
                  <c:v>4</c:v>
                </c:pt>
                <c:pt idx="3725">
                  <c:v>4</c:v>
                </c:pt>
                <c:pt idx="3726">
                  <c:v>4</c:v>
                </c:pt>
                <c:pt idx="3727">
                  <c:v>4</c:v>
                </c:pt>
                <c:pt idx="3728">
                  <c:v>4</c:v>
                </c:pt>
                <c:pt idx="3729">
                  <c:v>4</c:v>
                </c:pt>
                <c:pt idx="3730">
                  <c:v>4</c:v>
                </c:pt>
                <c:pt idx="3731">
                  <c:v>4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4</c:v>
                </c:pt>
                <c:pt idx="3738">
                  <c:v>4</c:v>
                </c:pt>
                <c:pt idx="3739">
                  <c:v>4</c:v>
                </c:pt>
                <c:pt idx="3740">
                  <c:v>4</c:v>
                </c:pt>
                <c:pt idx="3741">
                  <c:v>4</c:v>
                </c:pt>
                <c:pt idx="3742">
                  <c:v>4</c:v>
                </c:pt>
                <c:pt idx="3743">
                  <c:v>4</c:v>
                </c:pt>
                <c:pt idx="3744">
                  <c:v>4</c:v>
                </c:pt>
                <c:pt idx="3745">
                  <c:v>4</c:v>
                </c:pt>
                <c:pt idx="3746">
                  <c:v>4</c:v>
                </c:pt>
                <c:pt idx="3747">
                  <c:v>4</c:v>
                </c:pt>
                <c:pt idx="3748">
                  <c:v>4</c:v>
                </c:pt>
                <c:pt idx="3749">
                  <c:v>4</c:v>
                </c:pt>
                <c:pt idx="3750">
                  <c:v>4</c:v>
                </c:pt>
                <c:pt idx="3751">
                  <c:v>4</c:v>
                </c:pt>
                <c:pt idx="3752">
                  <c:v>4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4</c:v>
                </c:pt>
                <c:pt idx="3761">
                  <c:v>4</c:v>
                </c:pt>
                <c:pt idx="3762">
                  <c:v>4</c:v>
                </c:pt>
                <c:pt idx="3763">
                  <c:v>4</c:v>
                </c:pt>
                <c:pt idx="3764">
                  <c:v>4</c:v>
                </c:pt>
                <c:pt idx="3765">
                  <c:v>4</c:v>
                </c:pt>
                <c:pt idx="3766">
                  <c:v>4</c:v>
                </c:pt>
                <c:pt idx="3767">
                  <c:v>4</c:v>
                </c:pt>
                <c:pt idx="3768">
                  <c:v>4</c:v>
                </c:pt>
                <c:pt idx="3769">
                  <c:v>4</c:v>
                </c:pt>
                <c:pt idx="3770">
                  <c:v>4</c:v>
                </c:pt>
                <c:pt idx="3771">
                  <c:v>4</c:v>
                </c:pt>
                <c:pt idx="3772">
                  <c:v>4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4</c:v>
                </c:pt>
                <c:pt idx="3777">
                  <c:v>4</c:v>
                </c:pt>
                <c:pt idx="3778">
                  <c:v>4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4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4</c:v>
                </c:pt>
                <c:pt idx="3808">
                  <c:v>4</c:v>
                </c:pt>
                <c:pt idx="3809">
                  <c:v>4</c:v>
                </c:pt>
                <c:pt idx="3810">
                  <c:v>4</c:v>
                </c:pt>
                <c:pt idx="3811">
                  <c:v>4</c:v>
                </c:pt>
                <c:pt idx="3812">
                  <c:v>4</c:v>
                </c:pt>
                <c:pt idx="3813">
                  <c:v>4</c:v>
                </c:pt>
                <c:pt idx="3814">
                  <c:v>4</c:v>
                </c:pt>
                <c:pt idx="3815">
                  <c:v>4</c:v>
                </c:pt>
                <c:pt idx="3816">
                  <c:v>4</c:v>
                </c:pt>
                <c:pt idx="3817">
                  <c:v>4</c:v>
                </c:pt>
                <c:pt idx="3818">
                  <c:v>4</c:v>
                </c:pt>
                <c:pt idx="3819">
                  <c:v>4</c:v>
                </c:pt>
                <c:pt idx="3820">
                  <c:v>4</c:v>
                </c:pt>
                <c:pt idx="3821">
                  <c:v>4</c:v>
                </c:pt>
                <c:pt idx="3822">
                  <c:v>4</c:v>
                </c:pt>
                <c:pt idx="3823">
                  <c:v>4</c:v>
                </c:pt>
                <c:pt idx="3824">
                  <c:v>4</c:v>
                </c:pt>
                <c:pt idx="3825">
                  <c:v>4</c:v>
                </c:pt>
                <c:pt idx="3826">
                  <c:v>4</c:v>
                </c:pt>
                <c:pt idx="3827">
                  <c:v>4</c:v>
                </c:pt>
                <c:pt idx="3828">
                  <c:v>4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4729">
                  <c:v>5</c:v>
                </c:pt>
                <c:pt idx="4730">
                  <c:v>5</c:v>
                </c:pt>
                <c:pt idx="4731">
                  <c:v>5</c:v>
                </c:pt>
                <c:pt idx="4732">
                  <c:v>5</c:v>
                </c:pt>
                <c:pt idx="4733">
                  <c:v>5</c:v>
                </c:pt>
                <c:pt idx="4734">
                  <c:v>5</c:v>
                </c:pt>
                <c:pt idx="4735">
                  <c:v>5</c:v>
                </c:pt>
                <c:pt idx="4736">
                  <c:v>5</c:v>
                </c:pt>
                <c:pt idx="4737">
                  <c:v>5</c:v>
                </c:pt>
                <c:pt idx="4738">
                  <c:v>5</c:v>
                </c:pt>
                <c:pt idx="4739">
                  <c:v>5</c:v>
                </c:pt>
                <c:pt idx="4740">
                  <c:v>5</c:v>
                </c:pt>
                <c:pt idx="4741">
                  <c:v>5</c:v>
                </c:pt>
                <c:pt idx="4742">
                  <c:v>5</c:v>
                </c:pt>
                <c:pt idx="4743">
                  <c:v>5</c:v>
                </c:pt>
                <c:pt idx="4744">
                  <c:v>5</c:v>
                </c:pt>
                <c:pt idx="4745">
                  <c:v>5</c:v>
                </c:pt>
                <c:pt idx="4746">
                  <c:v>5</c:v>
                </c:pt>
                <c:pt idx="4747">
                  <c:v>5</c:v>
                </c:pt>
                <c:pt idx="4748">
                  <c:v>5</c:v>
                </c:pt>
                <c:pt idx="4749">
                  <c:v>5</c:v>
                </c:pt>
                <c:pt idx="4750">
                  <c:v>5</c:v>
                </c:pt>
                <c:pt idx="4751">
                  <c:v>5</c:v>
                </c:pt>
                <c:pt idx="4752">
                  <c:v>5</c:v>
                </c:pt>
                <c:pt idx="4753">
                  <c:v>5</c:v>
                </c:pt>
                <c:pt idx="4754">
                  <c:v>5</c:v>
                </c:pt>
                <c:pt idx="4755">
                  <c:v>5</c:v>
                </c:pt>
                <c:pt idx="4756">
                  <c:v>5</c:v>
                </c:pt>
                <c:pt idx="4757">
                  <c:v>5</c:v>
                </c:pt>
                <c:pt idx="4758">
                  <c:v>5</c:v>
                </c:pt>
                <c:pt idx="4759">
                  <c:v>5</c:v>
                </c:pt>
                <c:pt idx="4760">
                  <c:v>5</c:v>
                </c:pt>
                <c:pt idx="4761">
                  <c:v>5</c:v>
                </c:pt>
                <c:pt idx="4762">
                  <c:v>5</c:v>
                </c:pt>
                <c:pt idx="4763">
                  <c:v>5</c:v>
                </c:pt>
                <c:pt idx="4764">
                  <c:v>5</c:v>
                </c:pt>
                <c:pt idx="4765">
                  <c:v>5</c:v>
                </c:pt>
                <c:pt idx="4766">
                  <c:v>5</c:v>
                </c:pt>
                <c:pt idx="4767">
                  <c:v>5</c:v>
                </c:pt>
                <c:pt idx="4768">
                  <c:v>5</c:v>
                </c:pt>
                <c:pt idx="4769">
                  <c:v>5</c:v>
                </c:pt>
                <c:pt idx="4770">
                  <c:v>5</c:v>
                </c:pt>
                <c:pt idx="4771">
                  <c:v>5</c:v>
                </c:pt>
                <c:pt idx="4772">
                  <c:v>5</c:v>
                </c:pt>
                <c:pt idx="4773">
                  <c:v>5</c:v>
                </c:pt>
                <c:pt idx="4774">
                  <c:v>5</c:v>
                </c:pt>
                <c:pt idx="4775">
                  <c:v>5</c:v>
                </c:pt>
                <c:pt idx="4776">
                  <c:v>5</c:v>
                </c:pt>
                <c:pt idx="4777">
                  <c:v>5</c:v>
                </c:pt>
                <c:pt idx="4778">
                  <c:v>5</c:v>
                </c:pt>
                <c:pt idx="4779">
                  <c:v>5</c:v>
                </c:pt>
                <c:pt idx="4780">
                  <c:v>5</c:v>
                </c:pt>
                <c:pt idx="4781">
                  <c:v>5</c:v>
                </c:pt>
                <c:pt idx="4782">
                  <c:v>5</c:v>
                </c:pt>
                <c:pt idx="4783">
                  <c:v>5</c:v>
                </c:pt>
                <c:pt idx="4784">
                  <c:v>5</c:v>
                </c:pt>
                <c:pt idx="4785">
                  <c:v>5</c:v>
                </c:pt>
                <c:pt idx="4786">
                  <c:v>5</c:v>
                </c:pt>
                <c:pt idx="4787">
                  <c:v>5</c:v>
                </c:pt>
                <c:pt idx="4788">
                  <c:v>5</c:v>
                </c:pt>
                <c:pt idx="4789">
                  <c:v>5</c:v>
                </c:pt>
                <c:pt idx="4790">
                  <c:v>5</c:v>
                </c:pt>
                <c:pt idx="4791">
                  <c:v>5</c:v>
                </c:pt>
                <c:pt idx="4792">
                  <c:v>5</c:v>
                </c:pt>
                <c:pt idx="4793">
                  <c:v>5</c:v>
                </c:pt>
                <c:pt idx="4794">
                  <c:v>5</c:v>
                </c:pt>
                <c:pt idx="4795">
                  <c:v>5</c:v>
                </c:pt>
                <c:pt idx="4796">
                  <c:v>5</c:v>
                </c:pt>
                <c:pt idx="4797">
                  <c:v>5</c:v>
                </c:pt>
                <c:pt idx="4798">
                  <c:v>5</c:v>
                </c:pt>
                <c:pt idx="4799">
                  <c:v>5</c:v>
                </c:pt>
                <c:pt idx="4800">
                  <c:v>5</c:v>
                </c:pt>
                <c:pt idx="4801">
                  <c:v>5</c:v>
                </c:pt>
                <c:pt idx="4802">
                  <c:v>5</c:v>
                </c:pt>
                <c:pt idx="4803">
                  <c:v>5</c:v>
                </c:pt>
                <c:pt idx="4804">
                  <c:v>5</c:v>
                </c:pt>
                <c:pt idx="4805">
                  <c:v>5</c:v>
                </c:pt>
                <c:pt idx="4806">
                  <c:v>5</c:v>
                </c:pt>
                <c:pt idx="4807">
                  <c:v>5</c:v>
                </c:pt>
                <c:pt idx="4808">
                  <c:v>5</c:v>
                </c:pt>
                <c:pt idx="4809">
                  <c:v>5</c:v>
                </c:pt>
                <c:pt idx="4810">
                  <c:v>5</c:v>
                </c:pt>
                <c:pt idx="4811">
                  <c:v>5</c:v>
                </c:pt>
                <c:pt idx="4812">
                  <c:v>5</c:v>
                </c:pt>
                <c:pt idx="4813">
                  <c:v>5</c:v>
                </c:pt>
                <c:pt idx="4814">
                  <c:v>5</c:v>
                </c:pt>
                <c:pt idx="4815">
                  <c:v>5</c:v>
                </c:pt>
                <c:pt idx="4816">
                  <c:v>5</c:v>
                </c:pt>
                <c:pt idx="4817">
                  <c:v>5</c:v>
                </c:pt>
                <c:pt idx="4818">
                  <c:v>5</c:v>
                </c:pt>
                <c:pt idx="4819">
                  <c:v>5</c:v>
                </c:pt>
                <c:pt idx="4820">
                  <c:v>5</c:v>
                </c:pt>
                <c:pt idx="4821">
                  <c:v>5</c:v>
                </c:pt>
                <c:pt idx="4822">
                  <c:v>5</c:v>
                </c:pt>
                <c:pt idx="4823">
                  <c:v>5</c:v>
                </c:pt>
                <c:pt idx="4824">
                  <c:v>5</c:v>
                </c:pt>
                <c:pt idx="4825">
                  <c:v>5</c:v>
                </c:pt>
                <c:pt idx="4826">
                  <c:v>5</c:v>
                </c:pt>
                <c:pt idx="4827">
                  <c:v>5</c:v>
                </c:pt>
                <c:pt idx="4828">
                  <c:v>5</c:v>
                </c:pt>
                <c:pt idx="4829">
                  <c:v>5</c:v>
                </c:pt>
                <c:pt idx="4830">
                  <c:v>5</c:v>
                </c:pt>
                <c:pt idx="4831">
                  <c:v>5</c:v>
                </c:pt>
                <c:pt idx="4832">
                  <c:v>5</c:v>
                </c:pt>
                <c:pt idx="4833">
                  <c:v>5</c:v>
                </c:pt>
                <c:pt idx="4834">
                  <c:v>5</c:v>
                </c:pt>
                <c:pt idx="4835">
                  <c:v>5</c:v>
                </c:pt>
                <c:pt idx="4836">
                  <c:v>5</c:v>
                </c:pt>
                <c:pt idx="4837">
                  <c:v>5</c:v>
                </c:pt>
                <c:pt idx="4838">
                  <c:v>5</c:v>
                </c:pt>
                <c:pt idx="4839">
                  <c:v>5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5</c:v>
                </c:pt>
                <c:pt idx="4844">
                  <c:v>5</c:v>
                </c:pt>
                <c:pt idx="4845">
                  <c:v>5</c:v>
                </c:pt>
                <c:pt idx="4846">
                  <c:v>5</c:v>
                </c:pt>
                <c:pt idx="4847">
                  <c:v>5</c:v>
                </c:pt>
                <c:pt idx="4848">
                  <c:v>5</c:v>
                </c:pt>
                <c:pt idx="4849">
                  <c:v>5</c:v>
                </c:pt>
                <c:pt idx="4850">
                  <c:v>5</c:v>
                </c:pt>
                <c:pt idx="4851">
                  <c:v>5</c:v>
                </c:pt>
                <c:pt idx="4852">
                  <c:v>5</c:v>
                </c:pt>
                <c:pt idx="4853">
                  <c:v>5</c:v>
                </c:pt>
                <c:pt idx="4854">
                  <c:v>5</c:v>
                </c:pt>
                <c:pt idx="4855">
                  <c:v>5</c:v>
                </c:pt>
                <c:pt idx="4856">
                  <c:v>5</c:v>
                </c:pt>
                <c:pt idx="4857">
                  <c:v>5</c:v>
                </c:pt>
                <c:pt idx="4858">
                  <c:v>5</c:v>
                </c:pt>
                <c:pt idx="4859">
                  <c:v>5</c:v>
                </c:pt>
                <c:pt idx="4860">
                  <c:v>5</c:v>
                </c:pt>
                <c:pt idx="4861">
                  <c:v>5</c:v>
                </c:pt>
                <c:pt idx="4862">
                  <c:v>5</c:v>
                </c:pt>
                <c:pt idx="4863">
                  <c:v>5</c:v>
                </c:pt>
                <c:pt idx="4864">
                  <c:v>5</c:v>
                </c:pt>
                <c:pt idx="4865">
                  <c:v>5</c:v>
                </c:pt>
                <c:pt idx="4866">
                  <c:v>5</c:v>
                </c:pt>
                <c:pt idx="4867">
                  <c:v>5</c:v>
                </c:pt>
                <c:pt idx="4868">
                  <c:v>5</c:v>
                </c:pt>
                <c:pt idx="4869">
                  <c:v>5</c:v>
                </c:pt>
                <c:pt idx="4870">
                  <c:v>5</c:v>
                </c:pt>
                <c:pt idx="4871">
                  <c:v>5</c:v>
                </c:pt>
                <c:pt idx="4872">
                  <c:v>5</c:v>
                </c:pt>
                <c:pt idx="4873">
                  <c:v>5</c:v>
                </c:pt>
                <c:pt idx="4874">
                  <c:v>5</c:v>
                </c:pt>
                <c:pt idx="4875">
                  <c:v>5</c:v>
                </c:pt>
                <c:pt idx="4876">
                  <c:v>5</c:v>
                </c:pt>
                <c:pt idx="4877">
                  <c:v>5</c:v>
                </c:pt>
                <c:pt idx="4878">
                  <c:v>5</c:v>
                </c:pt>
                <c:pt idx="4879">
                  <c:v>5</c:v>
                </c:pt>
                <c:pt idx="4880">
                  <c:v>5</c:v>
                </c:pt>
                <c:pt idx="4881">
                  <c:v>5</c:v>
                </c:pt>
                <c:pt idx="4882">
                  <c:v>5</c:v>
                </c:pt>
                <c:pt idx="4883">
                  <c:v>5</c:v>
                </c:pt>
                <c:pt idx="4884">
                  <c:v>5</c:v>
                </c:pt>
                <c:pt idx="4885">
                  <c:v>5</c:v>
                </c:pt>
                <c:pt idx="4886">
                  <c:v>5</c:v>
                </c:pt>
                <c:pt idx="4887">
                  <c:v>5</c:v>
                </c:pt>
                <c:pt idx="4888">
                  <c:v>5</c:v>
                </c:pt>
                <c:pt idx="4889">
                  <c:v>5</c:v>
                </c:pt>
                <c:pt idx="4890">
                  <c:v>5</c:v>
                </c:pt>
                <c:pt idx="4891">
                  <c:v>5</c:v>
                </c:pt>
                <c:pt idx="4892">
                  <c:v>5</c:v>
                </c:pt>
                <c:pt idx="4893">
                  <c:v>5</c:v>
                </c:pt>
                <c:pt idx="4894">
                  <c:v>5</c:v>
                </c:pt>
                <c:pt idx="4895">
                  <c:v>5</c:v>
                </c:pt>
                <c:pt idx="4896">
                  <c:v>5</c:v>
                </c:pt>
                <c:pt idx="4897">
                  <c:v>5</c:v>
                </c:pt>
                <c:pt idx="4898">
                  <c:v>5</c:v>
                </c:pt>
                <c:pt idx="4899">
                  <c:v>5</c:v>
                </c:pt>
                <c:pt idx="4900">
                  <c:v>5</c:v>
                </c:pt>
                <c:pt idx="4901">
                  <c:v>5</c:v>
                </c:pt>
                <c:pt idx="4902">
                  <c:v>5</c:v>
                </c:pt>
                <c:pt idx="4903">
                  <c:v>5</c:v>
                </c:pt>
                <c:pt idx="4904">
                  <c:v>5</c:v>
                </c:pt>
                <c:pt idx="4905">
                  <c:v>5</c:v>
                </c:pt>
                <c:pt idx="4906">
                  <c:v>5</c:v>
                </c:pt>
                <c:pt idx="4907">
                  <c:v>5</c:v>
                </c:pt>
                <c:pt idx="4908">
                  <c:v>5</c:v>
                </c:pt>
                <c:pt idx="4909">
                  <c:v>5</c:v>
                </c:pt>
                <c:pt idx="4910">
                  <c:v>5</c:v>
                </c:pt>
                <c:pt idx="4911">
                  <c:v>5</c:v>
                </c:pt>
                <c:pt idx="4912">
                  <c:v>5</c:v>
                </c:pt>
                <c:pt idx="4913">
                  <c:v>5</c:v>
                </c:pt>
                <c:pt idx="4914">
                  <c:v>5</c:v>
                </c:pt>
                <c:pt idx="4915">
                  <c:v>5</c:v>
                </c:pt>
                <c:pt idx="4916">
                  <c:v>5</c:v>
                </c:pt>
                <c:pt idx="4917">
                  <c:v>5</c:v>
                </c:pt>
                <c:pt idx="4918">
                  <c:v>5</c:v>
                </c:pt>
                <c:pt idx="4919">
                  <c:v>5</c:v>
                </c:pt>
                <c:pt idx="4920">
                  <c:v>5</c:v>
                </c:pt>
                <c:pt idx="4921">
                  <c:v>5</c:v>
                </c:pt>
                <c:pt idx="4922">
                  <c:v>5</c:v>
                </c:pt>
                <c:pt idx="4923">
                  <c:v>5</c:v>
                </c:pt>
                <c:pt idx="4924">
                  <c:v>5</c:v>
                </c:pt>
                <c:pt idx="4925">
                  <c:v>5</c:v>
                </c:pt>
                <c:pt idx="4926">
                  <c:v>5</c:v>
                </c:pt>
                <c:pt idx="4927">
                  <c:v>5</c:v>
                </c:pt>
                <c:pt idx="4928">
                  <c:v>5</c:v>
                </c:pt>
                <c:pt idx="4929">
                  <c:v>5</c:v>
                </c:pt>
                <c:pt idx="4930">
                  <c:v>5</c:v>
                </c:pt>
                <c:pt idx="4931">
                  <c:v>5</c:v>
                </c:pt>
                <c:pt idx="4932">
                  <c:v>5</c:v>
                </c:pt>
                <c:pt idx="4933">
                  <c:v>5</c:v>
                </c:pt>
                <c:pt idx="4934">
                  <c:v>5</c:v>
                </c:pt>
                <c:pt idx="4935">
                  <c:v>5</c:v>
                </c:pt>
                <c:pt idx="4936">
                  <c:v>5</c:v>
                </c:pt>
                <c:pt idx="4937">
                  <c:v>5</c:v>
                </c:pt>
                <c:pt idx="4938">
                  <c:v>5</c:v>
                </c:pt>
                <c:pt idx="4939">
                  <c:v>5</c:v>
                </c:pt>
                <c:pt idx="4940">
                  <c:v>5</c:v>
                </c:pt>
                <c:pt idx="4941">
                  <c:v>5</c:v>
                </c:pt>
                <c:pt idx="4942">
                  <c:v>5</c:v>
                </c:pt>
                <c:pt idx="4943">
                  <c:v>5</c:v>
                </c:pt>
                <c:pt idx="4944">
                  <c:v>5</c:v>
                </c:pt>
                <c:pt idx="4945">
                  <c:v>5</c:v>
                </c:pt>
                <c:pt idx="4946">
                  <c:v>5</c:v>
                </c:pt>
                <c:pt idx="4947">
                  <c:v>5</c:v>
                </c:pt>
                <c:pt idx="4948">
                  <c:v>5</c:v>
                </c:pt>
                <c:pt idx="4949">
                  <c:v>5</c:v>
                </c:pt>
                <c:pt idx="4950">
                  <c:v>5</c:v>
                </c:pt>
                <c:pt idx="4951">
                  <c:v>5</c:v>
                </c:pt>
                <c:pt idx="4952">
                  <c:v>5</c:v>
                </c:pt>
                <c:pt idx="4953">
                  <c:v>5</c:v>
                </c:pt>
                <c:pt idx="4954">
                  <c:v>5</c:v>
                </c:pt>
                <c:pt idx="4955">
                  <c:v>5</c:v>
                </c:pt>
                <c:pt idx="4956">
                  <c:v>5</c:v>
                </c:pt>
                <c:pt idx="4957">
                  <c:v>5</c:v>
                </c:pt>
                <c:pt idx="4958">
                  <c:v>5</c:v>
                </c:pt>
                <c:pt idx="4959">
                  <c:v>5</c:v>
                </c:pt>
                <c:pt idx="4960">
                  <c:v>5</c:v>
                </c:pt>
                <c:pt idx="4961">
                  <c:v>5</c:v>
                </c:pt>
                <c:pt idx="4962">
                  <c:v>5</c:v>
                </c:pt>
                <c:pt idx="4963">
                  <c:v>5</c:v>
                </c:pt>
                <c:pt idx="4964">
                  <c:v>5</c:v>
                </c:pt>
                <c:pt idx="4965">
                  <c:v>5</c:v>
                </c:pt>
                <c:pt idx="4966">
                  <c:v>5</c:v>
                </c:pt>
                <c:pt idx="4967">
                  <c:v>5</c:v>
                </c:pt>
                <c:pt idx="4968">
                  <c:v>5</c:v>
                </c:pt>
                <c:pt idx="4969">
                  <c:v>5</c:v>
                </c:pt>
                <c:pt idx="4970">
                  <c:v>5</c:v>
                </c:pt>
                <c:pt idx="4971">
                  <c:v>5</c:v>
                </c:pt>
                <c:pt idx="4972">
                  <c:v>5</c:v>
                </c:pt>
                <c:pt idx="4973">
                  <c:v>5</c:v>
                </c:pt>
                <c:pt idx="4974">
                  <c:v>5</c:v>
                </c:pt>
                <c:pt idx="4975">
                  <c:v>5</c:v>
                </c:pt>
                <c:pt idx="4976">
                  <c:v>5</c:v>
                </c:pt>
                <c:pt idx="4977">
                  <c:v>5</c:v>
                </c:pt>
                <c:pt idx="4978">
                  <c:v>5</c:v>
                </c:pt>
                <c:pt idx="4979">
                  <c:v>5</c:v>
                </c:pt>
                <c:pt idx="4980">
                  <c:v>5</c:v>
                </c:pt>
                <c:pt idx="4981">
                  <c:v>5</c:v>
                </c:pt>
                <c:pt idx="4982">
                  <c:v>5</c:v>
                </c:pt>
                <c:pt idx="4983">
                  <c:v>5</c:v>
                </c:pt>
                <c:pt idx="4984">
                  <c:v>5</c:v>
                </c:pt>
                <c:pt idx="4985">
                  <c:v>5</c:v>
                </c:pt>
                <c:pt idx="4986">
                  <c:v>5</c:v>
                </c:pt>
                <c:pt idx="4987">
                  <c:v>5</c:v>
                </c:pt>
                <c:pt idx="4988">
                  <c:v>5</c:v>
                </c:pt>
                <c:pt idx="4989">
                  <c:v>5</c:v>
                </c:pt>
                <c:pt idx="4990">
                  <c:v>5</c:v>
                </c:pt>
                <c:pt idx="4991">
                  <c:v>5</c:v>
                </c:pt>
                <c:pt idx="4992">
                  <c:v>5</c:v>
                </c:pt>
                <c:pt idx="4993">
                  <c:v>5</c:v>
                </c:pt>
                <c:pt idx="4994">
                  <c:v>5</c:v>
                </c:pt>
                <c:pt idx="4995">
                  <c:v>5</c:v>
                </c:pt>
                <c:pt idx="4996">
                  <c:v>5</c:v>
                </c:pt>
                <c:pt idx="4997">
                  <c:v>5</c:v>
                </c:pt>
                <c:pt idx="4998">
                  <c:v>5</c:v>
                </c:pt>
                <c:pt idx="4999">
                  <c:v>5</c:v>
                </c:pt>
                <c:pt idx="5000">
                  <c:v>5</c:v>
                </c:pt>
                <c:pt idx="5001">
                  <c:v>5</c:v>
                </c:pt>
                <c:pt idx="5965">
                  <c:v>6</c:v>
                </c:pt>
                <c:pt idx="5966">
                  <c:v>6</c:v>
                </c:pt>
                <c:pt idx="5967">
                  <c:v>6</c:v>
                </c:pt>
                <c:pt idx="5968">
                  <c:v>6</c:v>
                </c:pt>
                <c:pt idx="5969">
                  <c:v>6</c:v>
                </c:pt>
                <c:pt idx="5970">
                  <c:v>6</c:v>
                </c:pt>
                <c:pt idx="5971">
                  <c:v>6</c:v>
                </c:pt>
                <c:pt idx="5972">
                  <c:v>6</c:v>
                </c:pt>
                <c:pt idx="5973">
                  <c:v>6</c:v>
                </c:pt>
                <c:pt idx="5974">
                  <c:v>6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6</c:v>
                </c:pt>
                <c:pt idx="5983">
                  <c:v>6</c:v>
                </c:pt>
                <c:pt idx="5984">
                  <c:v>6</c:v>
                </c:pt>
                <c:pt idx="5985">
                  <c:v>6</c:v>
                </c:pt>
                <c:pt idx="5986">
                  <c:v>6</c:v>
                </c:pt>
                <c:pt idx="5987">
                  <c:v>6</c:v>
                </c:pt>
                <c:pt idx="5988">
                  <c:v>6</c:v>
                </c:pt>
                <c:pt idx="5989">
                  <c:v>6</c:v>
                </c:pt>
                <c:pt idx="5990">
                  <c:v>6</c:v>
                </c:pt>
                <c:pt idx="5991">
                  <c:v>6</c:v>
                </c:pt>
                <c:pt idx="5992">
                  <c:v>6</c:v>
                </c:pt>
                <c:pt idx="5993">
                  <c:v>6</c:v>
                </c:pt>
                <c:pt idx="5994">
                  <c:v>6</c:v>
                </c:pt>
                <c:pt idx="5995">
                  <c:v>6</c:v>
                </c:pt>
                <c:pt idx="5996">
                  <c:v>6</c:v>
                </c:pt>
                <c:pt idx="5997">
                  <c:v>6</c:v>
                </c:pt>
                <c:pt idx="5998">
                  <c:v>6</c:v>
                </c:pt>
                <c:pt idx="5999">
                  <c:v>6</c:v>
                </c:pt>
                <c:pt idx="6000">
                  <c:v>6</c:v>
                </c:pt>
                <c:pt idx="6001">
                  <c:v>6</c:v>
                </c:pt>
                <c:pt idx="6002">
                  <c:v>6</c:v>
                </c:pt>
                <c:pt idx="6003">
                  <c:v>6</c:v>
                </c:pt>
                <c:pt idx="6004">
                  <c:v>6</c:v>
                </c:pt>
                <c:pt idx="6005">
                  <c:v>6</c:v>
                </c:pt>
                <c:pt idx="6006">
                  <c:v>6</c:v>
                </c:pt>
                <c:pt idx="6007">
                  <c:v>6</c:v>
                </c:pt>
                <c:pt idx="6008">
                  <c:v>6</c:v>
                </c:pt>
                <c:pt idx="6009">
                  <c:v>6</c:v>
                </c:pt>
                <c:pt idx="6010">
                  <c:v>6</c:v>
                </c:pt>
                <c:pt idx="6011">
                  <c:v>6</c:v>
                </c:pt>
                <c:pt idx="6012">
                  <c:v>6</c:v>
                </c:pt>
                <c:pt idx="6013">
                  <c:v>6</c:v>
                </c:pt>
                <c:pt idx="6014">
                  <c:v>6</c:v>
                </c:pt>
                <c:pt idx="6015">
                  <c:v>6</c:v>
                </c:pt>
                <c:pt idx="6016">
                  <c:v>6</c:v>
                </c:pt>
                <c:pt idx="6017">
                  <c:v>6</c:v>
                </c:pt>
                <c:pt idx="6018">
                  <c:v>6</c:v>
                </c:pt>
                <c:pt idx="6019">
                  <c:v>6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6</c:v>
                </c:pt>
                <c:pt idx="6026">
                  <c:v>6</c:v>
                </c:pt>
                <c:pt idx="6027">
                  <c:v>6</c:v>
                </c:pt>
                <c:pt idx="6028">
                  <c:v>6</c:v>
                </c:pt>
                <c:pt idx="6029">
                  <c:v>6</c:v>
                </c:pt>
                <c:pt idx="6030">
                  <c:v>6</c:v>
                </c:pt>
                <c:pt idx="6031">
                  <c:v>6</c:v>
                </c:pt>
                <c:pt idx="6032">
                  <c:v>6</c:v>
                </c:pt>
                <c:pt idx="6033">
                  <c:v>6</c:v>
                </c:pt>
                <c:pt idx="6034">
                  <c:v>6</c:v>
                </c:pt>
                <c:pt idx="6035">
                  <c:v>6</c:v>
                </c:pt>
                <c:pt idx="6036">
                  <c:v>6</c:v>
                </c:pt>
                <c:pt idx="6037">
                  <c:v>6</c:v>
                </c:pt>
                <c:pt idx="6038">
                  <c:v>6</c:v>
                </c:pt>
                <c:pt idx="6039">
                  <c:v>6</c:v>
                </c:pt>
                <c:pt idx="6040">
                  <c:v>6</c:v>
                </c:pt>
                <c:pt idx="6041">
                  <c:v>6</c:v>
                </c:pt>
                <c:pt idx="6042">
                  <c:v>6</c:v>
                </c:pt>
                <c:pt idx="6043">
                  <c:v>6</c:v>
                </c:pt>
                <c:pt idx="6044">
                  <c:v>6</c:v>
                </c:pt>
                <c:pt idx="6045">
                  <c:v>6</c:v>
                </c:pt>
                <c:pt idx="6046">
                  <c:v>6</c:v>
                </c:pt>
                <c:pt idx="6047">
                  <c:v>6</c:v>
                </c:pt>
                <c:pt idx="6048">
                  <c:v>6</c:v>
                </c:pt>
                <c:pt idx="6049">
                  <c:v>6</c:v>
                </c:pt>
                <c:pt idx="6050">
                  <c:v>6</c:v>
                </c:pt>
                <c:pt idx="6051">
                  <c:v>6</c:v>
                </c:pt>
                <c:pt idx="6052">
                  <c:v>6</c:v>
                </c:pt>
                <c:pt idx="6053">
                  <c:v>6</c:v>
                </c:pt>
                <c:pt idx="6054">
                  <c:v>6</c:v>
                </c:pt>
                <c:pt idx="6055">
                  <c:v>6</c:v>
                </c:pt>
                <c:pt idx="6056">
                  <c:v>6</c:v>
                </c:pt>
                <c:pt idx="6057">
                  <c:v>6</c:v>
                </c:pt>
                <c:pt idx="6058">
                  <c:v>6</c:v>
                </c:pt>
                <c:pt idx="6059">
                  <c:v>6</c:v>
                </c:pt>
                <c:pt idx="6060">
                  <c:v>6</c:v>
                </c:pt>
                <c:pt idx="6061">
                  <c:v>6</c:v>
                </c:pt>
                <c:pt idx="6062">
                  <c:v>6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6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6</c:v>
                </c:pt>
                <c:pt idx="6092">
                  <c:v>6</c:v>
                </c:pt>
                <c:pt idx="6093">
                  <c:v>6</c:v>
                </c:pt>
                <c:pt idx="6094">
                  <c:v>6</c:v>
                </c:pt>
                <c:pt idx="6095">
                  <c:v>6</c:v>
                </c:pt>
                <c:pt idx="6096">
                  <c:v>6</c:v>
                </c:pt>
                <c:pt idx="6097">
                  <c:v>6</c:v>
                </c:pt>
                <c:pt idx="6098">
                  <c:v>6</c:v>
                </c:pt>
                <c:pt idx="6099">
                  <c:v>6</c:v>
                </c:pt>
                <c:pt idx="6100">
                  <c:v>6</c:v>
                </c:pt>
                <c:pt idx="6101">
                  <c:v>6</c:v>
                </c:pt>
                <c:pt idx="6102">
                  <c:v>6</c:v>
                </c:pt>
                <c:pt idx="6103">
                  <c:v>6</c:v>
                </c:pt>
                <c:pt idx="6104">
                  <c:v>6</c:v>
                </c:pt>
                <c:pt idx="6105">
                  <c:v>6</c:v>
                </c:pt>
                <c:pt idx="6106">
                  <c:v>6</c:v>
                </c:pt>
                <c:pt idx="6107">
                  <c:v>6</c:v>
                </c:pt>
                <c:pt idx="6108">
                  <c:v>6</c:v>
                </c:pt>
                <c:pt idx="6109">
                  <c:v>6</c:v>
                </c:pt>
                <c:pt idx="6110">
                  <c:v>6</c:v>
                </c:pt>
                <c:pt idx="6111">
                  <c:v>6</c:v>
                </c:pt>
                <c:pt idx="6112">
                  <c:v>6</c:v>
                </c:pt>
                <c:pt idx="6113">
                  <c:v>6</c:v>
                </c:pt>
                <c:pt idx="6114">
                  <c:v>6</c:v>
                </c:pt>
                <c:pt idx="6115">
                  <c:v>6</c:v>
                </c:pt>
                <c:pt idx="6116">
                  <c:v>6</c:v>
                </c:pt>
                <c:pt idx="6117">
                  <c:v>6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6</c:v>
                </c:pt>
                <c:pt idx="6122">
                  <c:v>6</c:v>
                </c:pt>
                <c:pt idx="6123">
                  <c:v>6</c:v>
                </c:pt>
                <c:pt idx="6124">
                  <c:v>6</c:v>
                </c:pt>
                <c:pt idx="6125">
                  <c:v>6</c:v>
                </c:pt>
                <c:pt idx="6126">
                  <c:v>6</c:v>
                </c:pt>
                <c:pt idx="6127">
                  <c:v>6</c:v>
                </c:pt>
                <c:pt idx="6128">
                  <c:v>6</c:v>
                </c:pt>
                <c:pt idx="6129">
                  <c:v>6</c:v>
                </c:pt>
                <c:pt idx="6130">
                  <c:v>6</c:v>
                </c:pt>
                <c:pt idx="6131">
                  <c:v>6</c:v>
                </c:pt>
                <c:pt idx="6132">
                  <c:v>6</c:v>
                </c:pt>
                <c:pt idx="6133">
                  <c:v>6</c:v>
                </c:pt>
                <c:pt idx="6134">
                  <c:v>6</c:v>
                </c:pt>
                <c:pt idx="6135">
                  <c:v>6</c:v>
                </c:pt>
                <c:pt idx="6136">
                  <c:v>6</c:v>
                </c:pt>
                <c:pt idx="6137">
                  <c:v>6</c:v>
                </c:pt>
                <c:pt idx="6138">
                  <c:v>6</c:v>
                </c:pt>
                <c:pt idx="6139">
                  <c:v>6</c:v>
                </c:pt>
                <c:pt idx="6140">
                  <c:v>6</c:v>
                </c:pt>
                <c:pt idx="6141">
                  <c:v>6</c:v>
                </c:pt>
                <c:pt idx="6142">
                  <c:v>6</c:v>
                </c:pt>
                <c:pt idx="6143">
                  <c:v>6</c:v>
                </c:pt>
                <c:pt idx="6144">
                  <c:v>6</c:v>
                </c:pt>
                <c:pt idx="6145">
                  <c:v>6</c:v>
                </c:pt>
                <c:pt idx="6146">
                  <c:v>6</c:v>
                </c:pt>
                <c:pt idx="6147">
                  <c:v>6</c:v>
                </c:pt>
                <c:pt idx="6148">
                  <c:v>6</c:v>
                </c:pt>
                <c:pt idx="6149">
                  <c:v>6</c:v>
                </c:pt>
                <c:pt idx="6150">
                  <c:v>6</c:v>
                </c:pt>
                <c:pt idx="6151">
                  <c:v>6</c:v>
                </c:pt>
                <c:pt idx="6152">
                  <c:v>6</c:v>
                </c:pt>
                <c:pt idx="6153">
                  <c:v>6</c:v>
                </c:pt>
                <c:pt idx="6154">
                  <c:v>6</c:v>
                </c:pt>
                <c:pt idx="6155">
                  <c:v>6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6</c:v>
                </c:pt>
                <c:pt idx="6163">
                  <c:v>6</c:v>
                </c:pt>
                <c:pt idx="6164">
                  <c:v>6</c:v>
                </c:pt>
                <c:pt idx="6165">
                  <c:v>6</c:v>
                </c:pt>
                <c:pt idx="6166">
                  <c:v>6</c:v>
                </c:pt>
                <c:pt idx="6167">
                  <c:v>6</c:v>
                </c:pt>
                <c:pt idx="6168">
                  <c:v>6</c:v>
                </c:pt>
                <c:pt idx="6169">
                  <c:v>6</c:v>
                </c:pt>
                <c:pt idx="6170">
                  <c:v>6</c:v>
                </c:pt>
                <c:pt idx="6171">
                  <c:v>6</c:v>
                </c:pt>
                <c:pt idx="6172">
                  <c:v>6</c:v>
                </c:pt>
                <c:pt idx="6173">
                  <c:v>6</c:v>
                </c:pt>
                <c:pt idx="6174">
                  <c:v>6</c:v>
                </c:pt>
                <c:pt idx="6175">
                  <c:v>6</c:v>
                </c:pt>
                <c:pt idx="6176">
                  <c:v>6</c:v>
                </c:pt>
                <c:pt idx="6177">
                  <c:v>6</c:v>
                </c:pt>
                <c:pt idx="6178">
                  <c:v>6</c:v>
                </c:pt>
                <c:pt idx="6179">
                  <c:v>6</c:v>
                </c:pt>
                <c:pt idx="6180">
                  <c:v>6</c:v>
                </c:pt>
                <c:pt idx="6181">
                  <c:v>6</c:v>
                </c:pt>
                <c:pt idx="6182">
                  <c:v>6</c:v>
                </c:pt>
                <c:pt idx="6183">
                  <c:v>6</c:v>
                </c:pt>
                <c:pt idx="6184">
                  <c:v>6</c:v>
                </c:pt>
                <c:pt idx="6185">
                  <c:v>6</c:v>
                </c:pt>
                <c:pt idx="6186">
                  <c:v>6</c:v>
                </c:pt>
                <c:pt idx="6187">
                  <c:v>6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6</c:v>
                </c:pt>
                <c:pt idx="6200">
                  <c:v>6</c:v>
                </c:pt>
                <c:pt idx="6201">
                  <c:v>6</c:v>
                </c:pt>
                <c:pt idx="6202">
                  <c:v>6</c:v>
                </c:pt>
                <c:pt idx="6203">
                  <c:v>6</c:v>
                </c:pt>
                <c:pt idx="6204">
                  <c:v>6</c:v>
                </c:pt>
                <c:pt idx="6205">
                  <c:v>6</c:v>
                </c:pt>
                <c:pt idx="6206">
                  <c:v>6</c:v>
                </c:pt>
                <c:pt idx="6207">
                  <c:v>6</c:v>
                </c:pt>
                <c:pt idx="6208">
                  <c:v>6</c:v>
                </c:pt>
                <c:pt idx="6209">
                  <c:v>6</c:v>
                </c:pt>
                <c:pt idx="6210">
                  <c:v>6</c:v>
                </c:pt>
                <c:pt idx="6211">
                  <c:v>6</c:v>
                </c:pt>
                <c:pt idx="6212">
                  <c:v>6</c:v>
                </c:pt>
                <c:pt idx="6213">
                  <c:v>6</c:v>
                </c:pt>
                <c:pt idx="6214">
                  <c:v>6</c:v>
                </c:pt>
                <c:pt idx="6215">
                  <c:v>6</c:v>
                </c:pt>
                <c:pt idx="6216">
                  <c:v>6</c:v>
                </c:pt>
                <c:pt idx="6217">
                  <c:v>6</c:v>
                </c:pt>
                <c:pt idx="6218">
                  <c:v>6</c:v>
                </c:pt>
                <c:pt idx="6219">
                  <c:v>6</c:v>
                </c:pt>
                <c:pt idx="6220">
                  <c:v>6</c:v>
                </c:pt>
                <c:pt idx="6221">
                  <c:v>6</c:v>
                </c:pt>
                <c:pt idx="6222">
                  <c:v>6</c:v>
                </c:pt>
                <c:pt idx="6223">
                  <c:v>6</c:v>
                </c:pt>
                <c:pt idx="6224">
                  <c:v>6</c:v>
                </c:pt>
                <c:pt idx="6225">
                  <c:v>6</c:v>
                </c:pt>
                <c:pt idx="6226">
                  <c:v>6</c:v>
                </c:pt>
                <c:pt idx="6227">
                  <c:v>6</c:v>
                </c:pt>
                <c:pt idx="6228">
                  <c:v>6</c:v>
                </c:pt>
                <c:pt idx="6229">
                  <c:v>6</c:v>
                </c:pt>
                <c:pt idx="6230">
                  <c:v>6</c:v>
                </c:pt>
                <c:pt idx="6231">
                  <c:v>6</c:v>
                </c:pt>
                <c:pt idx="6232">
                  <c:v>6</c:v>
                </c:pt>
                <c:pt idx="6233">
                  <c:v>6</c:v>
                </c:pt>
                <c:pt idx="6234">
                  <c:v>6</c:v>
                </c:pt>
                <c:pt idx="6235">
                  <c:v>6</c:v>
                </c:pt>
                <c:pt idx="6236">
                  <c:v>6</c:v>
                </c:pt>
                <c:pt idx="6237">
                  <c:v>6</c:v>
                </c:pt>
                <c:pt idx="6238">
                  <c:v>6</c:v>
                </c:pt>
                <c:pt idx="6239">
                  <c:v>6</c:v>
                </c:pt>
                <c:pt idx="6240">
                  <c:v>6</c:v>
                </c:pt>
                <c:pt idx="6241">
                  <c:v>6</c:v>
                </c:pt>
                <c:pt idx="6242">
                  <c:v>6</c:v>
                </c:pt>
                <c:pt idx="6243">
                  <c:v>6</c:v>
                </c:pt>
                <c:pt idx="6244">
                  <c:v>6</c:v>
                </c:pt>
                <c:pt idx="6245">
                  <c:v>6</c:v>
                </c:pt>
                <c:pt idx="6246">
                  <c:v>6</c:v>
                </c:pt>
                <c:pt idx="6247">
                  <c:v>6</c:v>
                </c:pt>
                <c:pt idx="6248">
                  <c:v>6</c:v>
                </c:pt>
                <c:pt idx="6249">
                  <c:v>6</c:v>
                </c:pt>
                <c:pt idx="6250">
                  <c:v>6</c:v>
                </c:pt>
                <c:pt idx="6251">
                  <c:v>6</c:v>
                </c:pt>
                <c:pt idx="6252">
                  <c:v>6</c:v>
                </c:pt>
                <c:pt idx="6253">
                  <c:v>6</c:v>
                </c:pt>
                <c:pt idx="6254">
                  <c:v>6</c:v>
                </c:pt>
                <c:pt idx="6255">
                  <c:v>6</c:v>
                </c:pt>
                <c:pt idx="6256">
                  <c:v>6</c:v>
                </c:pt>
                <c:pt idx="6257">
                  <c:v>6</c:v>
                </c:pt>
                <c:pt idx="6258">
                  <c:v>6</c:v>
                </c:pt>
                <c:pt idx="6259">
                  <c:v>6</c:v>
                </c:pt>
                <c:pt idx="6260">
                  <c:v>6</c:v>
                </c:pt>
                <c:pt idx="6261">
                  <c:v>6</c:v>
                </c:pt>
                <c:pt idx="6262">
                  <c:v>6</c:v>
                </c:pt>
                <c:pt idx="6263">
                  <c:v>6</c:v>
                </c:pt>
                <c:pt idx="6264">
                  <c:v>6</c:v>
                </c:pt>
                <c:pt idx="6265">
                  <c:v>6</c:v>
                </c:pt>
                <c:pt idx="6266">
                  <c:v>6</c:v>
                </c:pt>
                <c:pt idx="6267">
                  <c:v>6</c:v>
                </c:pt>
                <c:pt idx="6268">
                  <c:v>6</c:v>
                </c:pt>
                <c:pt idx="6269">
                  <c:v>6</c:v>
                </c:pt>
                <c:pt idx="6270">
                  <c:v>6</c:v>
                </c:pt>
                <c:pt idx="6271">
                  <c:v>6</c:v>
                </c:pt>
                <c:pt idx="6272">
                  <c:v>6</c:v>
                </c:pt>
                <c:pt idx="6273">
                  <c:v>6</c:v>
                </c:pt>
                <c:pt idx="6274">
                  <c:v>6</c:v>
                </c:pt>
                <c:pt idx="6275">
                  <c:v>6</c:v>
                </c:pt>
                <c:pt idx="6276">
                  <c:v>6</c:v>
                </c:pt>
                <c:pt idx="6277">
                  <c:v>6</c:v>
                </c:pt>
                <c:pt idx="6278">
                  <c:v>6</c:v>
                </c:pt>
                <c:pt idx="6279">
                  <c:v>6</c:v>
                </c:pt>
                <c:pt idx="6280">
                  <c:v>6</c:v>
                </c:pt>
                <c:pt idx="6281">
                  <c:v>6</c:v>
                </c:pt>
                <c:pt idx="6282">
                  <c:v>6</c:v>
                </c:pt>
                <c:pt idx="6283">
                  <c:v>6</c:v>
                </c:pt>
                <c:pt idx="6871">
                  <c:v>7</c:v>
                </c:pt>
                <c:pt idx="6872">
                  <c:v>7</c:v>
                </c:pt>
                <c:pt idx="6873">
                  <c:v>7</c:v>
                </c:pt>
                <c:pt idx="6874">
                  <c:v>7</c:v>
                </c:pt>
                <c:pt idx="6875">
                  <c:v>7</c:v>
                </c:pt>
                <c:pt idx="6876">
                  <c:v>7</c:v>
                </c:pt>
                <c:pt idx="6877">
                  <c:v>7</c:v>
                </c:pt>
                <c:pt idx="6878">
                  <c:v>7</c:v>
                </c:pt>
                <c:pt idx="6879">
                  <c:v>7</c:v>
                </c:pt>
                <c:pt idx="6880">
                  <c:v>7</c:v>
                </c:pt>
                <c:pt idx="6881">
                  <c:v>7</c:v>
                </c:pt>
                <c:pt idx="6882">
                  <c:v>7</c:v>
                </c:pt>
                <c:pt idx="6883">
                  <c:v>7</c:v>
                </c:pt>
                <c:pt idx="6884">
                  <c:v>7</c:v>
                </c:pt>
                <c:pt idx="6885">
                  <c:v>7</c:v>
                </c:pt>
                <c:pt idx="6886">
                  <c:v>7</c:v>
                </c:pt>
                <c:pt idx="6887">
                  <c:v>7</c:v>
                </c:pt>
                <c:pt idx="6888">
                  <c:v>7</c:v>
                </c:pt>
                <c:pt idx="6889">
                  <c:v>7</c:v>
                </c:pt>
                <c:pt idx="6890">
                  <c:v>7</c:v>
                </c:pt>
                <c:pt idx="6891">
                  <c:v>7</c:v>
                </c:pt>
                <c:pt idx="6892">
                  <c:v>7</c:v>
                </c:pt>
                <c:pt idx="6893">
                  <c:v>7</c:v>
                </c:pt>
                <c:pt idx="6894">
                  <c:v>7</c:v>
                </c:pt>
                <c:pt idx="6895">
                  <c:v>7</c:v>
                </c:pt>
                <c:pt idx="6896">
                  <c:v>7</c:v>
                </c:pt>
                <c:pt idx="6897">
                  <c:v>7</c:v>
                </c:pt>
                <c:pt idx="6898">
                  <c:v>7</c:v>
                </c:pt>
                <c:pt idx="6899">
                  <c:v>7</c:v>
                </c:pt>
                <c:pt idx="6900">
                  <c:v>7</c:v>
                </c:pt>
                <c:pt idx="6901">
                  <c:v>7</c:v>
                </c:pt>
                <c:pt idx="6902">
                  <c:v>7</c:v>
                </c:pt>
                <c:pt idx="6903">
                  <c:v>7</c:v>
                </c:pt>
                <c:pt idx="6904">
                  <c:v>7</c:v>
                </c:pt>
                <c:pt idx="6905">
                  <c:v>7</c:v>
                </c:pt>
                <c:pt idx="6906">
                  <c:v>7</c:v>
                </c:pt>
                <c:pt idx="6907">
                  <c:v>7</c:v>
                </c:pt>
                <c:pt idx="6908">
                  <c:v>7</c:v>
                </c:pt>
                <c:pt idx="6909">
                  <c:v>7</c:v>
                </c:pt>
                <c:pt idx="6910">
                  <c:v>7</c:v>
                </c:pt>
                <c:pt idx="6911">
                  <c:v>7</c:v>
                </c:pt>
                <c:pt idx="6912">
                  <c:v>7</c:v>
                </c:pt>
                <c:pt idx="6913">
                  <c:v>7</c:v>
                </c:pt>
                <c:pt idx="6914">
                  <c:v>7</c:v>
                </c:pt>
                <c:pt idx="6915">
                  <c:v>7</c:v>
                </c:pt>
                <c:pt idx="6916">
                  <c:v>7</c:v>
                </c:pt>
                <c:pt idx="6917">
                  <c:v>7</c:v>
                </c:pt>
                <c:pt idx="6918">
                  <c:v>7</c:v>
                </c:pt>
                <c:pt idx="6919">
                  <c:v>7</c:v>
                </c:pt>
                <c:pt idx="6920">
                  <c:v>7</c:v>
                </c:pt>
                <c:pt idx="6921">
                  <c:v>7</c:v>
                </c:pt>
                <c:pt idx="6922">
                  <c:v>7</c:v>
                </c:pt>
                <c:pt idx="6923">
                  <c:v>7</c:v>
                </c:pt>
                <c:pt idx="6924">
                  <c:v>7</c:v>
                </c:pt>
                <c:pt idx="6925">
                  <c:v>7</c:v>
                </c:pt>
                <c:pt idx="6926">
                  <c:v>7</c:v>
                </c:pt>
                <c:pt idx="6927">
                  <c:v>7</c:v>
                </c:pt>
                <c:pt idx="6928">
                  <c:v>7</c:v>
                </c:pt>
                <c:pt idx="6929">
                  <c:v>7</c:v>
                </c:pt>
                <c:pt idx="6930">
                  <c:v>7</c:v>
                </c:pt>
                <c:pt idx="6931">
                  <c:v>7</c:v>
                </c:pt>
                <c:pt idx="6932">
                  <c:v>7</c:v>
                </c:pt>
                <c:pt idx="6933">
                  <c:v>7</c:v>
                </c:pt>
                <c:pt idx="6934">
                  <c:v>7</c:v>
                </c:pt>
                <c:pt idx="6935">
                  <c:v>7</c:v>
                </c:pt>
                <c:pt idx="6936">
                  <c:v>7</c:v>
                </c:pt>
                <c:pt idx="6937">
                  <c:v>7</c:v>
                </c:pt>
                <c:pt idx="6938">
                  <c:v>7</c:v>
                </c:pt>
                <c:pt idx="6939">
                  <c:v>7</c:v>
                </c:pt>
                <c:pt idx="6940">
                  <c:v>7</c:v>
                </c:pt>
                <c:pt idx="6941">
                  <c:v>7</c:v>
                </c:pt>
                <c:pt idx="6942">
                  <c:v>7</c:v>
                </c:pt>
                <c:pt idx="6943">
                  <c:v>7</c:v>
                </c:pt>
                <c:pt idx="6944">
                  <c:v>7</c:v>
                </c:pt>
                <c:pt idx="6945">
                  <c:v>7</c:v>
                </c:pt>
                <c:pt idx="6946">
                  <c:v>7</c:v>
                </c:pt>
                <c:pt idx="6947">
                  <c:v>7</c:v>
                </c:pt>
                <c:pt idx="6948">
                  <c:v>7</c:v>
                </c:pt>
                <c:pt idx="6949">
                  <c:v>7</c:v>
                </c:pt>
                <c:pt idx="6950">
                  <c:v>7</c:v>
                </c:pt>
                <c:pt idx="6951">
                  <c:v>7</c:v>
                </c:pt>
                <c:pt idx="6952">
                  <c:v>7</c:v>
                </c:pt>
                <c:pt idx="6953">
                  <c:v>7</c:v>
                </c:pt>
                <c:pt idx="6954">
                  <c:v>7</c:v>
                </c:pt>
                <c:pt idx="6955">
                  <c:v>7</c:v>
                </c:pt>
                <c:pt idx="6956">
                  <c:v>7</c:v>
                </c:pt>
                <c:pt idx="6957">
                  <c:v>7</c:v>
                </c:pt>
                <c:pt idx="6958">
                  <c:v>7</c:v>
                </c:pt>
                <c:pt idx="6959">
                  <c:v>7</c:v>
                </c:pt>
                <c:pt idx="6960">
                  <c:v>7</c:v>
                </c:pt>
                <c:pt idx="6961">
                  <c:v>7</c:v>
                </c:pt>
                <c:pt idx="6962">
                  <c:v>7</c:v>
                </c:pt>
                <c:pt idx="6963">
                  <c:v>7</c:v>
                </c:pt>
                <c:pt idx="6964">
                  <c:v>7</c:v>
                </c:pt>
                <c:pt idx="6965">
                  <c:v>7</c:v>
                </c:pt>
                <c:pt idx="6966">
                  <c:v>7</c:v>
                </c:pt>
                <c:pt idx="6967">
                  <c:v>7</c:v>
                </c:pt>
                <c:pt idx="6968">
                  <c:v>7</c:v>
                </c:pt>
                <c:pt idx="6969">
                  <c:v>7</c:v>
                </c:pt>
                <c:pt idx="6970">
                  <c:v>7</c:v>
                </c:pt>
                <c:pt idx="6971">
                  <c:v>7</c:v>
                </c:pt>
                <c:pt idx="6972">
                  <c:v>7</c:v>
                </c:pt>
                <c:pt idx="6973">
                  <c:v>7</c:v>
                </c:pt>
                <c:pt idx="6974">
                  <c:v>7</c:v>
                </c:pt>
                <c:pt idx="6975">
                  <c:v>7</c:v>
                </c:pt>
                <c:pt idx="6976">
                  <c:v>7</c:v>
                </c:pt>
                <c:pt idx="6977">
                  <c:v>7</c:v>
                </c:pt>
                <c:pt idx="6978">
                  <c:v>7</c:v>
                </c:pt>
                <c:pt idx="6979">
                  <c:v>7</c:v>
                </c:pt>
                <c:pt idx="6980">
                  <c:v>7</c:v>
                </c:pt>
                <c:pt idx="6981">
                  <c:v>7</c:v>
                </c:pt>
                <c:pt idx="6982">
                  <c:v>7</c:v>
                </c:pt>
                <c:pt idx="6983">
                  <c:v>7</c:v>
                </c:pt>
                <c:pt idx="6984">
                  <c:v>7</c:v>
                </c:pt>
                <c:pt idx="6985">
                  <c:v>7</c:v>
                </c:pt>
                <c:pt idx="6986">
                  <c:v>7</c:v>
                </c:pt>
                <c:pt idx="6987">
                  <c:v>7</c:v>
                </c:pt>
                <c:pt idx="7055">
                  <c:v>8</c:v>
                </c:pt>
                <c:pt idx="7056">
                  <c:v>8</c:v>
                </c:pt>
                <c:pt idx="7057">
                  <c:v>8</c:v>
                </c:pt>
                <c:pt idx="7058">
                  <c:v>8</c:v>
                </c:pt>
                <c:pt idx="7059">
                  <c:v>8</c:v>
                </c:pt>
                <c:pt idx="7060">
                  <c:v>8</c:v>
                </c:pt>
                <c:pt idx="7061">
                  <c:v>8</c:v>
                </c:pt>
                <c:pt idx="7062">
                  <c:v>8</c:v>
                </c:pt>
                <c:pt idx="7063">
                  <c:v>8</c:v>
                </c:pt>
                <c:pt idx="7064">
                  <c:v>8</c:v>
                </c:pt>
                <c:pt idx="7065">
                  <c:v>8</c:v>
                </c:pt>
                <c:pt idx="7066">
                  <c:v>8</c:v>
                </c:pt>
                <c:pt idx="7067">
                  <c:v>8</c:v>
                </c:pt>
                <c:pt idx="7068">
                  <c:v>8</c:v>
                </c:pt>
                <c:pt idx="7069">
                  <c:v>8</c:v>
                </c:pt>
                <c:pt idx="7070">
                  <c:v>8</c:v>
                </c:pt>
                <c:pt idx="7071">
                  <c:v>8</c:v>
                </c:pt>
                <c:pt idx="7072">
                  <c:v>8</c:v>
                </c:pt>
                <c:pt idx="7073">
                  <c:v>8</c:v>
                </c:pt>
                <c:pt idx="7074">
                  <c:v>8</c:v>
                </c:pt>
                <c:pt idx="7075">
                  <c:v>8</c:v>
                </c:pt>
                <c:pt idx="7076">
                  <c:v>8</c:v>
                </c:pt>
                <c:pt idx="7077">
                  <c:v>8</c:v>
                </c:pt>
                <c:pt idx="7078">
                  <c:v>8</c:v>
                </c:pt>
                <c:pt idx="7079">
                  <c:v>8</c:v>
                </c:pt>
                <c:pt idx="7080">
                  <c:v>8</c:v>
                </c:pt>
                <c:pt idx="7081">
                  <c:v>8</c:v>
                </c:pt>
                <c:pt idx="7082">
                  <c:v>8</c:v>
                </c:pt>
                <c:pt idx="7083">
                  <c:v>8</c:v>
                </c:pt>
                <c:pt idx="7084">
                  <c:v>8</c:v>
                </c:pt>
                <c:pt idx="7085">
                  <c:v>8</c:v>
                </c:pt>
                <c:pt idx="7086">
                  <c:v>8</c:v>
                </c:pt>
                <c:pt idx="7087">
                  <c:v>8</c:v>
                </c:pt>
                <c:pt idx="7088">
                  <c:v>8</c:v>
                </c:pt>
                <c:pt idx="7089">
                  <c:v>8</c:v>
                </c:pt>
                <c:pt idx="7090">
                  <c:v>8</c:v>
                </c:pt>
                <c:pt idx="7091">
                  <c:v>8</c:v>
                </c:pt>
                <c:pt idx="7092">
                  <c:v>8</c:v>
                </c:pt>
                <c:pt idx="7093">
                  <c:v>8</c:v>
                </c:pt>
                <c:pt idx="7094">
                  <c:v>8</c:v>
                </c:pt>
                <c:pt idx="7095">
                  <c:v>8</c:v>
                </c:pt>
                <c:pt idx="7096">
                  <c:v>8</c:v>
                </c:pt>
                <c:pt idx="7097">
                  <c:v>8</c:v>
                </c:pt>
                <c:pt idx="7098">
                  <c:v>8</c:v>
                </c:pt>
                <c:pt idx="7099">
                  <c:v>8</c:v>
                </c:pt>
                <c:pt idx="7100">
                  <c:v>8</c:v>
                </c:pt>
                <c:pt idx="7101">
                  <c:v>8</c:v>
                </c:pt>
                <c:pt idx="7102">
                  <c:v>8</c:v>
                </c:pt>
                <c:pt idx="7103">
                  <c:v>8</c:v>
                </c:pt>
                <c:pt idx="7104">
                  <c:v>8</c:v>
                </c:pt>
                <c:pt idx="7105">
                  <c:v>8</c:v>
                </c:pt>
                <c:pt idx="7106">
                  <c:v>8</c:v>
                </c:pt>
                <c:pt idx="7107">
                  <c:v>8</c:v>
                </c:pt>
                <c:pt idx="7108">
                  <c:v>8</c:v>
                </c:pt>
                <c:pt idx="7109">
                  <c:v>8</c:v>
                </c:pt>
                <c:pt idx="7110">
                  <c:v>8</c:v>
                </c:pt>
                <c:pt idx="7111">
                  <c:v>8</c:v>
                </c:pt>
                <c:pt idx="7112">
                  <c:v>8</c:v>
                </c:pt>
                <c:pt idx="7113">
                  <c:v>8</c:v>
                </c:pt>
                <c:pt idx="7114">
                  <c:v>8</c:v>
                </c:pt>
                <c:pt idx="7115">
                  <c:v>8</c:v>
                </c:pt>
                <c:pt idx="7116">
                  <c:v>8</c:v>
                </c:pt>
                <c:pt idx="7117">
                  <c:v>8</c:v>
                </c:pt>
                <c:pt idx="7118">
                  <c:v>8</c:v>
                </c:pt>
                <c:pt idx="7119">
                  <c:v>8</c:v>
                </c:pt>
                <c:pt idx="7120">
                  <c:v>8</c:v>
                </c:pt>
                <c:pt idx="7121">
                  <c:v>8</c:v>
                </c:pt>
                <c:pt idx="7122">
                  <c:v>8</c:v>
                </c:pt>
                <c:pt idx="7123">
                  <c:v>8</c:v>
                </c:pt>
                <c:pt idx="7124">
                  <c:v>8</c:v>
                </c:pt>
                <c:pt idx="7125">
                  <c:v>8</c:v>
                </c:pt>
                <c:pt idx="7126">
                  <c:v>8</c:v>
                </c:pt>
                <c:pt idx="7127">
                  <c:v>8</c:v>
                </c:pt>
                <c:pt idx="7128">
                  <c:v>8</c:v>
                </c:pt>
                <c:pt idx="7129">
                  <c:v>8</c:v>
                </c:pt>
                <c:pt idx="7130">
                  <c:v>8</c:v>
                </c:pt>
                <c:pt idx="7131">
                  <c:v>8</c:v>
                </c:pt>
                <c:pt idx="7132">
                  <c:v>8</c:v>
                </c:pt>
                <c:pt idx="7133">
                  <c:v>8</c:v>
                </c:pt>
                <c:pt idx="7134">
                  <c:v>8</c:v>
                </c:pt>
                <c:pt idx="7135">
                  <c:v>8</c:v>
                </c:pt>
                <c:pt idx="7136">
                  <c:v>8</c:v>
                </c:pt>
                <c:pt idx="7137">
                  <c:v>8</c:v>
                </c:pt>
                <c:pt idx="7138">
                  <c:v>8</c:v>
                </c:pt>
                <c:pt idx="7139">
                  <c:v>8</c:v>
                </c:pt>
                <c:pt idx="7140">
                  <c:v>8</c:v>
                </c:pt>
                <c:pt idx="7141">
                  <c:v>8</c:v>
                </c:pt>
                <c:pt idx="7142">
                  <c:v>8</c:v>
                </c:pt>
                <c:pt idx="7143">
                  <c:v>8</c:v>
                </c:pt>
                <c:pt idx="7144">
                  <c:v>8</c:v>
                </c:pt>
                <c:pt idx="7145">
                  <c:v>8</c:v>
                </c:pt>
                <c:pt idx="7146">
                  <c:v>8</c:v>
                </c:pt>
                <c:pt idx="7147">
                  <c:v>8</c:v>
                </c:pt>
                <c:pt idx="7148">
                  <c:v>8</c:v>
                </c:pt>
                <c:pt idx="7149">
                  <c:v>8</c:v>
                </c:pt>
                <c:pt idx="7150">
                  <c:v>8</c:v>
                </c:pt>
                <c:pt idx="7151">
                  <c:v>8</c:v>
                </c:pt>
                <c:pt idx="7152">
                  <c:v>8</c:v>
                </c:pt>
                <c:pt idx="7153">
                  <c:v>8</c:v>
                </c:pt>
                <c:pt idx="7154">
                  <c:v>8</c:v>
                </c:pt>
                <c:pt idx="7155">
                  <c:v>8</c:v>
                </c:pt>
                <c:pt idx="7156">
                  <c:v>8</c:v>
                </c:pt>
                <c:pt idx="7157">
                  <c:v>8</c:v>
                </c:pt>
                <c:pt idx="7158">
                  <c:v>8</c:v>
                </c:pt>
                <c:pt idx="7159">
                  <c:v>8</c:v>
                </c:pt>
                <c:pt idx="7160">
                  <c:v>8</c:v>
                </c:pt>
                <c:pt idx="7161">
                  <c:v>8</c:v>
                </c:pt>
                <c:pt idx="7162">
                  <c:v>8</c:v>
                </c:pt>
                <c:pt idx="7163">
                  <c:v>8</c:v>
                </c:pt>
                <c:pt idx="7164">
                  <c:v>8</c:v>
                </c:pt>
                <c:pt idx="7165">
                  <c:v>8</c:v>
                </c:pt>
                <c:pt idx="7166">
                  <c:v>8</c:v>
                </c:pt>
                <c:pt idx="7167">
                  <c:v>8</c:v>
                </c:pt>
                <c:pt idx="7168">
                  <c:v>8</c:v>
                </c:pt>
                <c:pt idx="7169">
                  <c:v>8</c:v>
                </c:pt>
                <c:pt idx="7170">
                  <c:v>8</c:v>
                </c:pt>
                <c:pt idx="7171">
                  <c:v>8</c:v>
                </c:pt>
                <c:pt idx="7172">
                  <c:v>8</c:v>
                </c:pt>
                <c:pt idx="7173">
                  <c:v>8</c:v>
                </c:pt>
                <c:pt idx="7174">
                  <c:v>8</c:v>
                </c:pt>
                <c:pt idx="7175">
                  <c:v>8</c:v>
                </c:pt>
                <c:pt idx="7176">
                  <c:v>8</c:v>
                </c:pt>
                <c:pt idx="7177">
                  <c:v>8</c:v>
                </c:pt>
                <c:pt idx="7178">
                  <c:v>8</c:v>
                </c:pt>
                <c:pt idx="7179">
                  <c:v>8</c:v>
                </c:pt>
                <c:pt idx="7180">
                  <c:v>8</c:v>
                </c:pt>
                <c:pt idx="7181">
                  <c:v>8</c:v>
                </c:pt>
                <c:pt idx="7182">
                  <c:v>8</c:v>
                </c:pt>
                <c:pt idx="7183">
                  <c:v>8</c:v>
                </c:pt>
                <c:pt idx="7184">
                  <c:v>8</c:v>
                </c:pt>
                <c:pt idx="7185">
                  <c:v>8</c:v>
                </c:pt>
                <c:pt idx="7186">
                  <c:v>8</c:v>
                </c:pt>
                <c:pt idx="7187">
                  <c:v>8</c:v>
                </c:pt>
                <c:pt idx="7188">
                  <c:v>8</c:v>
                </c:pt>
                <c:pt idx="7189">
                  <c:v>8</c:v>
                </c:pt>
                <c:pt idx="7190">
                  <c:v>8</c:v>
                </c:pt>
                <c:pt idx="7191">
                  <c:v>8</c:v>
                </c:pt>
                <c:pt idx="7192">
                  <c:v>8</c:v>
                </c:pt>
                <c:pt idx="7193">
                  <c:v>8</c:v>
                </c:pt>
                <c:pt idx="7194">
                  <c:v>8</c:v>
                </c:pt>
                <c:pt idx="7195">
                  <c:v>8</c:v>
                </c:pt>
                <c:pt idx="7196">
                  <c:v>8</c:v>
                </c:pt>
                <c:pt idx="7197">
                  <c:v>8</c:v>
                </c:pt>
                <c:pt idx="7198">
                  <c:v>8</c:v>
                </c:pt>
                <c:pt idx="7199">
                  <c:v>8</c:v>
                </c:pt>
                <c:pt idx="7200">
                  <c:v>8</c:v>
                </c:pt>
                <c:pt idx="7201">
                  <c:v>8</c:v>
                </c:pt>
                <c:pt idx="7202">
                  <c:v>8</c:v>
                </c:pt>
                <c:pt idx="7203">
                  <c:v>8</c:v>
                </c:pt>
                <c:pt idx="7204">
                  <c:v>8</c:v>
                </c:pt>
                <c:pt idx="7205">
                  <c:v>8</c:v>
                </c:pt>
                <c:pt idx="7206">
                  <c:v>8</c:v>
                </c:pt>
                <c:pt idx="7207">
                  <c:v>8</c:v>
                </c:pt>
                <c:pt idx="7208">
                  <c:v>8</c:v>
                </c:pt>
                <c:pt idx="7209">
                  <c:v>8</c:v>
                </c:pt>
                <c:pt idx="7210">
                  <c:v>8</c:v>
                </c:pt>
                <c:pt idx="7211">
                  <c:v>8</c:v>
                </c:pt>
                <c:pt idx="7212">
                  <c:v>8</c:v>
                </c:pt>
                <c:pt idx="7213">
                  <c:v>8</c:v>
                </c:pt>
                <c:pt idx="7214">
                  <c:v>8</c:v>
                </c:pt>
                <c:pt idx="7215">
                  <c:v>8</c:v>
                </c:pt>
                <c:pt idx="7216">
                  <c:v>8</c:v>
                </c:pt>
                <c:pt idx="7217">
                  <c:v>8</c:v>
                </c:pt>
                <c:pt idx="7218">
                  <c:v>8</c:v>
                </c:pt>
                <c:pt idx="7219">
                  <c:v>8</c:v>
                </c:pt>
                <c:pt idx="7220">
                  <c:v>8</c:v>
                </c:pt>
                <c:pt idx="7221">
                  <c:v>8</c:v>
                </c:pt>
                <c:pt idx="7222">
                  <c:v>8</c:v>
                </c:pt>
                <c:pt idx="7223">
                  <c:v>8</c:v>
                </c:pt>
                <c:pt idx="7224">
                  <c:v>8</c:v>
                </c:pt>
                <c:pt idx="7225">
                  <c:v>8</c:v>
                </c:pt>
                <c:pt idx="7226">
                  <c:v>8</c:v>
                </c:pt>
                <c:pt idx="7227">
                  <c:v>8</c:v>
                </c:pt>
                <c:pt idx="7228">
                  <c:v>8</c:v>
                </c:pt>
                <c:pt idx="7229">
                  <c:v>8</c:v>
                </c:pt>
                <c:pt idx="7230">
                  <c:v>8</c:v>
                </c:pt>
                <c:pt idx="7231">
                  <c:v>8</c:v>
                </c:pt>
                <c:pt idx="7232">
                  <c:v>8</c:v>
                </c:pt>
                <c:pt idx="7233">
                  <c:v>8</c:v>
                </c:pt>
                <c:pt idx="7234">
                  <c:v>8</c:v>
                </c:pt>
                <c:pt idx="7235">
                  <c:v>8</c:v>
                </c:pt>
                <c:pt idx="7236">
                  <c:v>8</c:v>
                </c:pt>
                <c:pt idx="7237">
                  <c:v>8</c:v>
                </c:pt>
                <c:pt idx="7238">
                  <c:v>8</c:v>
                </c:pt>
                <c:pt idx="7239">
                  <c:v>8</c:v>
                </c:pt>
                <c:pt idx="7240">
                  <c:v>8</c:v>
                </c:pt>
                <c:pt idx="7241">
                  <c:v>8</c:v>
                </c:pt>
                <c:pt idx="7242">
                  <c:v>8</c:v>
                </c:pt>
                <c:pt idx="7243">
                  <c:v>8</c:v>
                </c:pt>
                <c:pt idx="7244">
                  <c:v>8</c:v>
                </c:pt>
                <c:pt idx="7245">
                  <c:v>8</c:v>
                </c:pt>
                <c:pt idx="7246">
                  <c:v>8</c:v>
                </c:pt>
                <c:pt idx="7247">
                  <c:v>8</c:v>
                </c:pt>
                <c:pt idx="7248">
                  <c:v>8</c:v>
                </c:pt>
                <c:pt idx="7249">
                  <c:v>8</c:v>
                </c:pt>
                <c:pt idx="7250">
                  <c:v>8</c:v>
                </c:pt>
                <c:pt idx="7251">
                  <c:v>8</c:v>
                </c:pt>
                <c:pt idx="7252">
                  <c:v>8</c:v>
                </c:pt>
                <c:pt idx="7253">
                  <c:v>8</c:v>
                </c:pt>
                <c:pt idx="7254">
                  <c:v>8</c:v>
                </c:pt>
                <c:pt idx="7255">
                  <c:v>8</c:v>
                </c:pt>
                <c:pt idx="7256">
                  <c:v>8</c:v>
                </c:pt>
                <c:pt idx="7257">
                  <c:v>8</c:v>
                </c:pt>
                <c:pt idx="7258">
                  <c:v>8</c:v>
                </c:pt>
                <c:pt idx="7259">
                  <c:v>8</c:v>
                </c:pt>
                <c:pt idx="7260">
                  <c:v>8</c:v>
                </c:pt>
                <c:pt idx="7261">
                  <c:v>8</c:v>
                </c:pt>
                <c:pt idx="7262">
                  <c:v>8</c:v>
                </c:pt>
                <c:pt idx="7263">
                  <c:v>8</c:v>
                </c:pt>
                <c:pt idx="7264">
                  <c:v>8</c:v>
                </c:pt>
                <c:pt idx="7265">
                  <c:v>8</c:v>
                </c:pt>
                <c:pt idx="7266">
                  <c:v>8</c:v>
                </c:pt>
                <c:pt idx="7267">
                  <c:v>8</c:v>
                </c:pt>
                <c:pt idx="7268">
                  <c:v>8</c:v>
                </c:pt>
                <c:pt idx="7269">
                  <c:v>8</c:v>
                </c:pt>
                <c:pt idx="7270">
                  <c:v>8</c:v>
                </c:pt>
                <c:pt idx="7271">
                  <c:v>8</c:v>
                </c:pt>
                <c:pt idx="7272">
                  <c:v>8</c:v>
                </c:pt>
                <c:pt idx="7273">
                  <c:v>8</c:v>
                </c:pt>
                <c:pt idx="7274">
                  <c:v>8</c:v>
                </c:pt>
                <c:pt idx="7275">
                  <c:v>8</c:v>
                </c:pt>
                <c:pt idx="7276">
                  <c:v>8</c:v>
                </c:pt>
                <c:pt idx="7277">
                  <c:v>8</c:v>
                </c:pt>
                <c:pt idx="7278">
                  <c:v>8</c:v>
                </c:pt>
                <c:pt idx="7279">
                  <c:v>8</c:v>
                </c:pt>
                <c:pt idx="7280">
                  <c:v>8</c:v>
                </c:pt>
                <c:pt idx="7281">
                  <c:v>8</c:v>
                </c:pt>
                <c:pt idx="7282">
                  <c:v>8</c:v>
                </c:pt>
                <c:pt idx="7283">
                  <c:v>8</c:v>
                </c:pt>
                <c:pt idx="7284">
                  <c:v>8</c:v>
                </c:pt>
                <c:pt idx="7285">
                  <c:v>8</c:v>
                </c:pt>
                <c:pt idx="7286">
                  <c:v>8</c:v>
                </c:pt>
                <c:pt idx="7287">
                  <c:v>8</c:v>
                </c:pt>
                <c:pt idx="7288">
                  <c:v>8</c:v>
                </c:pt>
                <c:pt idx="7289">
                  <c:v>8</c:v>
                </c:pt>
                <c:pt idx="7290">
                  <c:v>8</c:v>
                </c:pt>
                <c:pt idx="7291">
                  <c:v>8</c:v>
                </c:pt>
                <c:pt idx="7292">
                  <c:v>8</c:v>
                </c:pt>
                <c:pt idx="7293">
                  <c:v>8</c:v>
                </c:pt>
                <c:pt idx="7294">
                  <c:v>8</c:v>
                </c:pt>
                <c:pt idx="7295">
                  <c:v>8</c:v>
                </c:pt>
                <c:pt idx="7296">
                  <c:v>8</c:v>
                </c:pt>
                <c:pt idx="7297">
                  <c:v>8</c:v>
                </c:pt>
                <c:pt idx="7298">
                  <c:v>8</c:v>
                </c:pt>
                <c:pt idx="7299">
                  <c:v>8</c:v>
                </c:pt>
                <c:pt idx="7300">
                  <c:v>8</c:v>
                </c:pt>
                <c:pt idx="7301">
                  <c:v>8</c:v>
                </c:pt>
                <c:pt idx="7302">
                  <c:v>8</c:v>
                </c:pt>
                <c:pt idx="7303">
                  <c:v>8</c:v>
                </c:pt>
                <c:pt idx="7304">
                  <c:v>8</c:v>
                </c:pt>
                <c:pt idx="7305">
                  <c:v>8</c:v>
                </c:pt>
                <c:pt idx="7306">
                  <c:v>8</c:v>
                </c:pt>
                <c:pt idx="7307">
                  <c:v>8</c:v>
                </c:pt>
                <c:pt idx="7308">
                  <c:v>8</c:v>
                </c:pt>
                <c:pt idx="7309">
                  <c:v>8</c:v>
                </c:pt>
                <c:pt idx="7310">
                  <c:v>8</c:v>
                </c:pt>
                <c:pt idx="7311">
                  <c:v>8</c:v>
                </c:pt>
                <c:pt idx="7312">
                  <c:v>8</c:v>
                </c:pt>
                <c:pt idx="7313">
                  <c:v>8</c:v>
                </c:pt>
                <c:pt idx="7314">
                  <c:v>8</c:v>
                </c:pt>
                <c:pt idx="7315">
                  <c:v>8</c:v>
                </c:pt>
                <c:pt idx="7316">
                  <c:v>8</c:v>
                </c:pt>
                <c:pt idx="7317">
                  <c:v>8</c:v>
                </c:pt>
                <c:pt idx="7318">
                  <c:v>8</c:v>
                </c:pt>
                <c:pt idx="7319">
                  <c:v>8</c:v>
                </c:pt>
                <c:pt idx="7320">
                  <c:v>8</c:v>
                </c:pt>
                <c:pt idx="7321">
                  <c:v>8</c:v>
                </c:pt>
                <c:pt idx="7322">
                  <c:v>8</c:v>
                </c:pt>
                <c:pt idx="7323">
                  <c:v>8</c:v>
                </c:pt>
                <c:pt idx="7324">
                  <c:v>8</c:v>
                </c:pt>
                <c:pt idx="7325">
                  <c:v>8</c:v>
                </c:pt>
                <c:pt idx="7326">
                  <c:v>8</c:v>
                </c:pt>
                <c:pt idx="7327">
                  <c:v>8</c:v>
                </c:pt>
                <c:pt idx="7328">
                  <c:v>8</c:v>
                </c:pt>
                <c:pt idx="7329">
                  <c:v>8</c:v>
                </c:pt>
                <c:pt idx="7330">
                  <c:v>8</c:v>
                </c:pt>
                <c:pt idx="7331">
                  <c:v>8</c:v>
                </c:pt>
                <c:pt idx="7332">
                  <c:v>8</c:v>
                </c:pt>
                <c:pt idx="7333">
                  <c:v>8</c:v>
                </c:pt>
                <c:pt idx="7334">
                  <c:v>8</c:v>
                </c:pt>
                <c:pt idx="7335">
                  <c:v>8</c:v>
                </c:pt>
                <c:pt idx="7336">
                  <c:v>8</c:v>
                </c:pt>
                <c:pt idx="7337">
                  <c:v>8</c:v>
                </c:pt>
                <c:pt idx="7338">
                  <c:v>8</c:v>
                </c:pt>
                <c:pt idx="7339">
                  <c:v>8</c:v>
                </c:pt>
                <c:pt idx="7340">
                  <c:v>8</c:v>
                </c:pt>
                <c:pt idx="7341">
                  <c:v>8</c:v>
                </c:pt>
                <c:pt idx="7342">
                  <c:v>8</c:v>
                </c:pt>
                <c:pt idx="7343">
                  <c:v>8</c:v>
                </c:pt>
                <c:pt idx="7344">
                  <c:v>8</c:v>
                </c:pt>
                <c:pt idx="7345">
                  <c:v>8</c:v>
                </c:pt>
                <c:pt idx="7346">
                  <c:v>8</c:v>
                </c:pt>
                <c:pt idx="7347">
                  <c:v>8</c:v>
                </c:pt>
                <c:pt idx="7348">
                  <c:v>8</c:v>
                </c:pt>
                <c:pt idx="7349">
                  <c:v>8</c:v>
                </c:pt>
                <c:pt idx="7350">
                  <c:v>8</c:v>
                </c:pt>
                <c:pt idx="7351">
                  <c:v>8</c:v>
                </c:pt>
                <c:pt idx="7352">
                  <c:v>8</c:v>
                </c:pt>
                <c:pt idx="7353">
                  <c:v>8</c:v>
                </c:pt>
                <c:pt idx="7354">
                  <c:v>8</c:v>
                </c:pt>
                <c:pt idx="7355">
                  <c:v>8</c:v>
                </c:pt>
                <c:pt idx="7356">
                  <c:v>8</c:v>
                </c:pt>
                <c:pt idx="7357">
                  <c:v>8</c:v>
                </c:pt>
                <c:pt idx="7358">
                  <c:v>8</c:v>
                </c:pt>
                <c:pt idx="7359">
                  <c:v>8</c:v>
                </c:pt>
                <c:pt idx="7360">
                  <c:v>8</c:v>
                </c:pt>
                <c:pt idx="7361">
                  <c:v>8</c:v>
                </c:pt>
                <c:pt idx="7362">
                  <c:v>8</c:v>
                </c:pt>
                <c:pt idx="7363">
                  <c:v>8</c:v>
                </c:pt>
                <c:pt idx="7364">
                  <c:v>8</c:v>
                </c:pt>
                <c:pt idx="7365">
                  <c:v>8</c:v>
                </c:pt>
                <c:pt idx="7366">
                  <c:v>8</c:v>
                </c:pt>
                <c:pt idx="7367">
                  <c:v>8</c:v>
                </c:pt>
                <c:pt idx="7368">
                  <c:v>8</c:v>
                </c:pt>
                <c:pt idx="7369">
                  <c:v>8</c:v>
                </c:pt>
                <c:pt idx="7370">
                  <c:v>8</c:v>
                </c:pt>
                <c:pt idx="7371">
                  <c:v>8</c:v>
                </c:pt>
                <c:pt idx="7372">
                  <c:v>8</c:v>
                </c:pt>
                <c:pt idx="7373">
                  <c:v>8</c:v>
                </c:pt>
                <c:pt idx="7374">
                  <c:v>8</c:v>
                </c:pt>
                <c:pt idx="7375">
                  <c:v>8</c:v>
                </c:pt>
                <c:pt idx="7376">
                  <c:v>8</c:v>
                </c:pt>
                <c:pt idx="7377">
                  <c:v>8</c:v>
                </c:pt>
                <c:pt idx="7378">
                  <c:v>8</c:v>
                </c:pt>
                <c:pt idx="7379">
                  <c:v>8</c:v>
                </c:pt>
                <c:pt idx="7380">
                  <c:v>8</c:v>
                </c:pt>
                <c:pt idx="7381">
                  <c:v>8</c:v>
                </c:pt>
                <c:pt idx="7382">
                  <c:v>8</c:v>
                </c:pt>
                <c:pt idx="7383">
                  <c:v>8</c:v>
                </c:pt>
                <c:pt idx="7384">
                  <c:v>8</c:v>
                </c:pt>
                <c:pt idx="7385">
                  <c:v>8</c:v>
                </c:pt>
                <c:pt idx="7386">
                  <c:v>8</c:v>
                </c:pt>
                <c:pt idx="7387">
                  <c:v>8</c:v>
                </c:pt>
                <c:pt idx="7388">
                  <c:v>8</c:v>
                </c:pt>
                <c:pt idx="7389">
                  <c:v>8</c:v>
                </c:pt>
                <c:pt idx="7390">
                  <c:v>8</c:v>
                </c:pt>
                <c:pt idx="7391">
                  <c:v>8</c:v>
                </c:pt>
                <c:pt idx="7392">
                  <c:v>8</c:v>
                </c:pt>
                <c:pt idx="7393">
                  <c:v>8</c:v>
                </c:pt>
                <c:pt idx="7394">
                  <c:v>8</c:v>
                </c:pt>
                <c:pt idx="7395">
                  <c:v>8</c:v>
                </c:pt>
                <c:pt idx="7396">
                  <c:v>8</c:v>
                </c:pt>
                <c:pt idx="7397">
                  <c:v>8</c:v>
                </c:pt>
                <c:pt idx="7398">
                  <c:v>8</c:v>
                </c:pt>
                <c:pt idx="7399">
                  <c:v>8</c:v>
                </c:pt>
                <c:pt idx="7400">
                  <c:v>8</c:v>
                </c:pt>
                <c:pt idx="7401">
                  <c:v>8</c:v>
                </c:pt>
                <c:pt idx="7402">
                  <c:v>8</c:v>
                </c:pt>
                <c:pt idx="7403">
                  <c:v>8</c:v>
                </c:pt>
                <c:pt idx="7404">
                  <c:v>8</c:v>
                </c:pt>
                <c:pt idx="7405">
                  <c:v>8</c:v>
                </c:pt>
                <c:pt idx="7406">
                  <c:v>8</c:v>
                </c:pt>
                <c:pt idx="7407">
                  <c:v>8</c:v>
                </c:pt>
                <c:pt idx="7408">
                  <c:v>8</c:v>
                </c:pt>
                <c:pt idx="7409">
                  <c:v>8</c:v>
                </c:pt>
                <c:pt idx="7410">
                  <c:v>8</c:v>
                </c:pt>
                <c:pt idx="7411">
                  <c:v>8</c:v>
                </c:pt>
                <c:pt idx="7412">
                  <c:v>8</c:v>
                </c:pt>
                <c:pt idx="7413">
                  <c:v>8</c:v>
                </c:pt>
                <c:pt idx="7414">
                  <c:v>8</c:v>
                </c:pt>
                <c:pt idx="7415">
                  <c:v>8</c:v>
                </c:pt>
                <c:pt idx="7416">
                  <c:v>8</c:v>
                </c:pt>
                <c:pt idx="7417">
                  <c:v>8</c:v>
                </c:pt>
                <c:pt idx="7418">
                  <c:v>8</c:v>
                </c:pt>
                <c:pt idx="7419">
                  <c:v>8</c:v>
                </c:pt>
                <c:pt idx="7420">
                  <c:v>8</c:v>
                </c:pt>
                <c:pt idx="7421">
                  <c:v>8</c:v>
                </c:pt>
                <c:pt idx="7422">
                  <c:v>8</c:v>
                </c:pt>
                <c:pt idx="7423">
                  <c:v>8</c:v>
                </c:pt>
                <c:pt idx="7424">
                  <c:v>8</c:v>
                </c:pt>
                <c:pt idx="7425">
                  <c:v>8</c:v>
                </c:pt>
                <c:pt idx="7426">
                  <c:v>8</c:v>
                </c:pt>
                <c:pt idx="7427">
                  <c:v>8</c:v>
                </c:pt>
                <c:pt idx="7428">
                  <c:v>8</c:v>
                </c:pt>
                <c:pt idx="7429">
                  <c:v>8</c:v>
                </c:pt>
                <c:pt idx="7430">
                  <c:v>8</c:v>
                </c:pt>
                <c:pt idx="7431">
                  <c:v>8</c:v>
                </c:pt>
                <c:pt idx="7432">
                  <c:v>8</c:v>
                </c:pt>
                <c:pt idx="7433">
                  <c:v>8</c:v>
                </c:pt>
                <c:pt idx="7434">
                  <c:v>8</c:v>
                </c:pt>
                <c:pt idx="7435">
                  <c:v>8</c:v>
                </c:pt>
                <c:pt idx="7436">
                  <c:v>8</c:v>
                </c:pt>
                <c:pt idx="7437">
                  <c:v>8</c:v>
                </c:pt>
                <c:pt idx="7438">
                  <c:v>8</c:v>
                </c:pt>
                <c:pt idx="7439">
                  <c:v>8</c:v>
                </c:pt>
                <c:pt idx="7440">
                  <c:v>8</c:v>
                </c:pt>
                <c:pt idx="7441">
                  <c:v>8</c:v>
                </c:pt>
                <c:pt idx="7442">
                  <c:v>8</c:v>
                </c:pt>
                <c:pt idx="7443">
                  <c:v>8</c:v>
                </c:pt>
                <c:pt idx="7444">
                  <c:v>8</c:v>
                </c:pt>
                <c:pt idx="7445">
                  <c:v>8</c:v>
                </c:pt>
                <c:pt idx="7446">
                  <c:v>8</c:v>
                </c:pt>
                <c:pt idx="7447">
                  <c:v>8</c:v>
                </c:pt>
                <c:pt idx="7448">
                  <c:v>8</c:v>
                </c:pt>
                <c:pt idx="7449">
                  <c:v>8</c:v>
                </c:pt>
                <c:pt idx="7450">
                  <c:v>8</c:v>
                </c:pt>
                <c:pt idx="7451">
                  <c:v>8</c:v>
                </c:pt>
                <c:pt idx="7452">
                  <c:v>8</c:v>
                </c:pt>
                <c:pt idx="7453">
                  <c:v>8</c:v>
                </c:pt>
                <c:pt idx="7454">
                  <c:v>8</c:v>
                </c:pt>
                <c:pt idx="7455">
                  <c:v>8</c:v>
                </c:pt>
                <c:pt idx="7456">
                  <c:v>8</c:v>
                </c:pt>
                <c:pt idx="7457">
                  <c:v>8</c:v>
                </c:pt>
                <c:pt idx="7458">
                  <c:v>8</c:v>
                </c:pt>
                <c:pt idx="7459">
                  <c:v>8</c:v>
                </c:pt>
                <c:pt idx="7460">
                  <c:v>8</c:v>
                </c:pt>
                <c:pt idx="7461">
                  <c:v>8</c:v>
                </c:pt>
                <c:pt idx="7462">
                  <c:v>8</c:v>
                </c:pt>
                <c:pt idx="7463">
                  <c:v>8</c:v>
                </c:pt>
                <c:pt idx="7464">
                  <c:v>8</c:v>
                </c:pt>
                <c:pt idx="7465">
                  <c:v>8</c:v>
                </c:pt>
                <c:pt idx="7466">
                  <c:v>8</c:v>
                </c:pt>
                <c:pt idx="7467">
                  <c:v>8</c:v>
                </c:pt>
                <c:pt idx="7468">
                  <c:v>8</c:v>
                </c:pt>
                <c:pt idx="7469">
                  <c:v>8</c:v>
                </c:pt>
                <c:pt idx="7470">
                  <c:v>8</c:v>
                </c:pt>
                <c:pt idx="7471">
                  <c:v>8</c:v>
                </c:pt>
                <c:pt idx="7472">
                  <c:v>8</c:v>
                </c:pt>
                <c:pt idx="7473">
                  <c:v>8</c:v>
                </c:pt>
                <c:pt idx="7474">
                  <c:v>8</c:v>
                </c:pt>
                <c:pt idx="7475">
                  <c:v>8</c:v>
                </c:pt>
                <c:pt idx="7476">
                  <c:v>8</c:v>
                </c:pt>
                <c:pt idx="7477">
                  <c:v>8</c:v>
                </c:pt>
                <c:pt idx="7478">
                  <c:v>8</c:v>
                </c:pt>
                <c:pt idx="7479">
                  <c:v>8</c:v>
                </c:pt>
                <c:pt idx="7480">
                  <c:v>8</c:v>
                </c:pt>
                <c:pt idx="7481">
                  <c:v>8</c:v>
                </c:pt>
                <c:pt idx="7482">
                  <c:v>8</c:v>
                </c:pt>
                <c:pt idx="7483">
                  <c:v>8</c:v>
                </c:pt>
                <c:pt idx="7484">
                  <c:v>8</c:v>
                </c:pt>
                <c:pt idx="7485">
                  <c:v>8</c:v>
                </c:pt>
                <c:pt idx="7486">
                  <c:v>8</c:v>
                </c:pt>
                <c:pt idx="7487">
                  <c:v>8</c:v>
                </c:pt>
                <c:pt idx="7488">
                  <c:v>8</c:v>
                </c:pt>
                <c:pt idx="7489">
                  <c:v>8</c:v>
                </c:pt>
                <c:pt idx="7490">
                  <c:v>8</c:v>
                </c:pt>
                <c:pt idx="7491">
                  <c:v>8</c:v>
                </c:pt>
                <c:pt idx="7492">
                  <c:v>8</c:v>
                </c:pt>
                <c:pt idx="7493">
                  <c:v>8</c:v>
                </c:pt>
                <c:pt idx="7494">
                  <c:v>8</c:v>
                </c:pt>
                <c:pt idx="7495">
                  <c:v>8</c:v>
                </c:pt>
                <c:pt idx="7496">
                  <c:v>8</c:v>
                </c:pt>
                <c:pt idx="7497">
                  <c:v>8</c:v>
                </c:pt>
                <c:pt idx="7498">
                  <c:v>8</c:v>
                </c:pt>
                <c:pt idx="7499">
                  <c:v>8</c:v>
                </c:pt>
                <c:pt idx="7500">
                  <c:v>8</c:v>
                </c:pt>
                <c:pt idx="7501">
                  <c:v>8</c:v>
                </c:pt>
                <c:pt idx="7502">
                  <c:v>8</c:v>
                </c:pt>
                <c:pt idx="7503">
                  <c:v>8</c:v>
                </c:pt>
                <c:pt idx="7504">
                  <c:v>8</c:v>
                </c:pt>
                <c:pt idx="7505">
                  <c:v>8</c:v>
                </c:pt>
                <c:pt idx="7506">
                  <c:v>8</c:v>
                </c:pt>
                <c:pt idx="7507">
                  <c:v>8</c:v>
                </c:pt>
                <c:pt idx="7508">
                  <c:v>8</c:v>
                </c:pt>
                <c:pt idx="7509">
                  <c:v>8</c:v>
                </c:pt>
                <c:pt idx="7510">
                  <c:v>8</c:v>
                </c:pt>
                <c:pt idx="7511">
                  <c:v>8</c:v>
                </c:pt>
                <c:pt idx="751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D-4C9A-ADD2-10FA57F1F1FF}"/>
            </c:ext>
          </c:extLst>
        </c:ser>
        <c:ser>
          <c:idx val="2"/>
          <c:order val="2"/>
          <c:tx>
            <c:v>F3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transpose!$D$2:$D$7686</c:f>
              <c:numCache>
                <c:formatCode>General</c:formatCode>
                <c:ptCount val="7685"/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3010">
                  <c:v>4</c:v>
                </c:pt>
                <c:pt idx="3011">
                  <c:v>4</c:v>
                </c:pt>
                <c:pt idx="3012">
                  <c:v>4</c:v>
                </c:pt>
                <c:pt idx="3013">
                  <c:v>4</c:v>
                </c:pt>
                <c:pt idx="3014">
                  <c:v>4</c:v>
                </c:pt>
                <c:pt idx="3015">
                  <c:v>4</c:v>
                </c:pt>
                <c:pt idx="3016">
                  <c:v>4</c:v>
                </c:pt>
                <c:pt idx="3017">
                  <c:v>4</c:v>
                </c:pt>
                <c:pt idx="3018">
                  <c:v>4</c:v>
                </c:pt>
                <c:pt idx="3019">
                  <c:v>4</c:v>
                </c:pt>
                <c:pt idx="3020">
                  <c:v>4</c:v>
                </c:pt>
                <c:pt idx="3021">
                  <c:v>4</c:v>
                </c:pt>
                <c:pt idx="3022">
                  <c:v>4</c:v>
                </c:pt>
                <c:pt idx="3023">
                  <c:v>4</c:v>
                </c:pt>
                <c:pt idx="3024">
                  <c:v>4</c:v>
                </c:pt>
                <c:pt idx="3025">
                  <c:v>4</c:v>
                </c:pt>
                <c:pt idx="3026">
                  <c:v>4</c:v>
                </c:pt>
                <c:pt idx="3027">
                  <c:v>4</c:v>
                </c:pt>
                <c:pt idx="3028">
                  <c:v>4</c:v>
                </c:pt>
                <c:pt idx="3029">
                  <c:v>4</c:v>
                </c:pt>
                <c:pt idx="3030">
                  <c:v>4</c:v>
                </c:pt>
                <c:pt idx="3031">
                  <c:v>4</c:v>
                </c:pt>
                <c:pt idx="3032">
                  <c:v>4</c:v>
                </c:pt>
                <c:pt idx="3033">
                  <c:v>4</c:v>
                </c:pt>
                <c:pt idx="3034">
                  <c:v>4</c:v>
                </c:pt>
                <c:pt idx="3035">
                  <c:v>4</c:v>
                </c:pt>
                <c:pt idx="3036">
                  <c:v>4</c:v>
                </c:pt>
                <c:pt idx="3037">
                  <c:v>4</c:v>
                </c:pt>
                <c:pt idx="3038">
                  <c:v>4</c:v>
                </c:pt>
                <c:pt idx="3039">
                  <c:v>4</c:v>
                </c:pt>
                <c:pt idx="3040">
                  <c:v>4</c:v>
                </c:pt>
                <c:pt idx="3041">
                  <c:v>4</c:v>
                </c:pt>
                <c:pt idx="3042">
                  <c:v>4</c:v>
                </c:pt>
                <c:pt idx="3043">
                  <c:v>4</c:v>
                </c:pt>
                <c:pt idx="3044">
                  <c:v>4</c:v>
                </c:pt>
                <c:pt idx="3045">
                  <c:v>4</c:v>
                </c:pt>
                <c:pt idx="3046">
                  <c:v>4</c:v>
                </c:pt>
                <c:pt idx="3047">
                  <c:v>4</c:v>
                </c:pt>
                <c:pt idx="3048">
                  <c:v>4</c:v>
                </c:pt>
                <c:pt idx="3049">
                  <c:v>4</c:v>
                </c:pt>
                <c:pt idx="3050">
                  <c:v>4</c:v>
                </c:pt>
                <c:pt idx="3051">
                  <c:v>4</c:v>
                </c:pt>
                <c:pt idx="3052">
                  <c:v>4</c:v>
                </c:pt>
                <c:pt idx="3053">
                  <c:v>4</c:v>
                </c:pt>
                <c:pt idx="3054">
                  <c:v>4</c:v>
                </c:pt>
                <c:pt idx="3055">
                  <c:v>4</c:v>
                </c:pt>
                <c:pt idx="3056">
                  <c:v>4</c:v>
                </c:pt>
                <c:pt idx="3057">
                  <c:v>4</c:v>
                </c:pt>
                <c:pt idx="3058">
                  <c:v>4</c:v>
                </c:pt>
                <c:pt idx="3059">
                  <c:v>4</c:v>
                </c:pt>
                <c:pt idx="3060">
                  <c:v>4</c:v>
                </c:pt>
                <c:pt idx="3061">
                  <c:v>4</c:v>
                </c:pt>
                <c:pt idx="3062">
                  <c:v>4</c:v>
                </c:pt>
                <c:pt idx="3063">
                  <c:v>4</c:v>
                </c:pt>
                <c:pt idx="3064">
                  <c:v>4</c:v>
                </c:pt>
                <c:pt idx="3065">
                  <c:v>4</c:v>
                </c:pt>
                <c:pt idx="3066">
                  <c:v>4</c:v>
                </c:pt>
                <c:pt idx="3067">
                  <c:v>4</c:v>
                </c:pt>
                <c:pt idx="3068">
                  <c:v>4</c:v>
                </c:pt>
                <c:pt idx="3069">
                  <c:v>4</c:v>
                </c:pt>
                <c:pt idx="3070">
                  <c:v>4</c:v>
                </c:pt>
                <c:pt idx="3071">
                  <c:v>4</c:v>
                </c:pt>
                <c:pt idx="3072">
                  <c:v>4</c:v>
                </c:pt>
                <c:pt idx="3073">
                  <c:v>4</c:v>
                </c:pt>
                <c:pt idx="3074">
                  <c:v>4</c:v>
                </c:pt>
                <c:pt idx="3075">
                  <c:v>4</c:v>
                </c:pt>
                <c:pt idx="3076">
                  <c:v>4</c:v>
                </c:pt>
                <c:pt idx="3077">
                  <c:v>4</c:v>
                </c:pt>
                <c:pt idx="3078">
                  <c:v>4</c:v>
                </c:pt>
                <c:pt idx="3079">
                  <c:v>4</c:v>
                </c:pt>
                <c:pt idx="3080">
                  <c:v>4</c:v>
                </c:pt>
                <c:pt idx="3081">
                  <c:v>4</c:v>
                </c:pt>
                <c:pt idx="3082">
                  <c:v>4</c:v>
                </c:pt>
                <c:pt idx="3083">
                  <c:v>4</c:v>
                </c:pt>
                <c:pt idx="3084">
                  <c:v>4</c:v>
                </c:pt>
                <c:pt idx="3085">
                  <c:v>4</c:v>
                </c:pt>
                <c:pt idx="3086">
                  <c:v>4</c:v>
                </c:pt>
                <c:pt idx="3087">
                  <c:v>4</c:v>
                </c:pt>
                <c:pt idx="3088">
                  <c:v>4</c:v>
                </c:pt>
                <c:pt idx="3089">
                  <c:v>4</c:v>
                </c:pt>
                <c:pt idx="3090">
                  <c:v>4</c:v>
                </c:pt>
                <c:pt idx="3091">
                  <c:v>4</c:v>
                </c:pt>
                <c:pt idx="3092">
                  <c:v>4</c:v>
                </c:pt>
                <c:pt idx="3093">
                  <c:v>4</c:v>
                </c:pt>
                <c:pt idx="3094">
                  <c:v>4</c:v>
                </c:pt>
                <c:pt idx="3095">
                  <c:v>4</c:v>
                </c:pt>
                <c:pt idx="3096">
                  <c:v>4</c:v>
                </c:pt>
                <c:pt idx="3097">
                  <c:v>4</c:v>
                </c:pt>
                <c:pt idx="3098">
                  <c:v>4</c:v>
                </c:pt>
                <c:pt idx="3099">
                  <c:v>4</c:v>
                </c:pt>
                <c:pt idx="3100">
                  <c:v>4</c:v>
                </c:pt>
                <c:pt idx="3101">
                  <c:v>4</c:v>
                </c:pt>
                <c:pt idx="3102">
                  <c:v>4</c:v>
                </c:pt>
                <c:pt idx="3103">
                  <c:v>4</c:v>
                </c:pt>
                <c:pt idx="3104">
                  <c:v>4</c:v>
                </c:pt>
                <c:pt idx="3105">
                  <c:v>4</c:v>
                </c:pt>
                <c:pt idx="3106">
                  <c:v>4</c:v>
                </c:pt>
                <c:pt idx="3107">
                  <c:v>4</c:v>
                </c:pt>
                <c:pt idx="3108">
                  <c:v>4</c:v>
                </c:pt>
                <c:pt idx="3109">
                  <c:v>4</c:v>
                </c:pt>
                <c:pt idx="3110">
                  <c:v>4</c:v>
                </c:pt>
                <c:pt idx="3111">
                  <c:v>4</c:v>
                </c:pt>
                <c:pt idx="3112">
                  <c:v>4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4</c:v>
                </c:pt>
                <c:pt idx="3117">
                  <c:v>4</c:v>
                </c:pt>
                <c:pt idx="3118">
                  <c:v>4</c:v>
                </c:pt>
                <c:pt idx="3119">
                  <c:v>4</c:v>
                </c:pt>
                <c:pt idx="3120">
                  <c:v>4</c:v>
                </c:pt>
                <c:pt idx="3121">
                  <c:v>4</c:v>
                </c:pt>
                <c:pt idx="3122">
                  <c:v>4</c:v>
                </c:pt>
                <c:pt idx="3123">
                  <c:v>4</c:v>
                </c:pt>
                <c:pt idx="3124">
                  <c:v>4</c:v>
                </c:pt>
                <c:pt idx="3125">
                  <c:v>4</c:v>
                </c:pt>
                <c:pt idx="3126">
                  <c:v>4</c:v>
                </c:pt>
                <c:pt idx="3127">
                  <c:v>4</c:v>
                </c:pt>
                <c:pt idx="3128">
                  <c:v>4</c:v>
                </c:pt>
                <c:pt idx="3129">
                  <c:v>4</c:v>
                </c:pt>
                <c:pt idx="3130">
                  <c:v>4</c:v>
                </c:pt>
                <c:pt idx="3131">
                  <c:v>4</c:v>
                </c:pt>
                <c:pt idx="3132">
                  <c:v>4</c:v>
                </c:pt>
                <c:pt idx="3133">
                  <c:v>4</c:v>
                </c:pt>
                <c:pt idx="3134">
                  <c:v>4</c:v>
                </c:pt>
                <c:pt idx="3135">
                  <c:v>4</c:v>
                </c:pt>
                <c:pt idx="3136">
                  <c:v>4</c:v>
                </c:pt>
                <c:pt idx="3137">
                  <c:v>4</c:v>
                </c:pt>
                <c:pt idx="3138">
                  <c:v>4</c:v>
                </c:pt>
                <c:pt idx="3139">
                  <c:v>4</c:v>
                </c:pt>
                <c:pt idx="3140">
                  <c:v>4</c:v>
                </c:pt>
                <c:pt idx="3141">
                  <c:v>4</c:v>
                </c:pt>
                <c:pt idx="3142">
                  <c:v>4</c:v>
                </c:pt>
                <c:pt idx="3143">
                  <c:v>4</c:v>
                </c:pt>
                <c:pt idx="3144">
                  <c:v>4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4</c:v>
                </c:pt>
                <c:pt idx="3149">
                  <c:v>4</c:v>
                </c:pt>
                <c:pt idx="3150">
                  <c:v>4</c:v>
                </c:pt>
                <c:pt idx="3151">
                  <c:v>4</c:v>
                </c:pt>
                <c:pt idx="3152">
                  <c:v>4</c:v>
                </c:pt>
                <c:pt idx="3153">
                  <c:v>4</c:v>
                </c:pt>
                <c:pt idx="3154">
                  <c:v>4</c:v>
                </c:pt>
                <c:pt idx="3155">
                  <c:v>4</c:v>
                </c:pt>
                <c:pt idx="3156">
                  <c:v>4</c:v>
                </c:pt>
                <c:pt idx="3157">
                  <c:v>4</c:v>
                </c:pt>
                <c:pt idx="3158">
                  <c:v>4</c:v>
                </c:pt>
                <c:pt idx="3159">
                  <c:v>4</c:v>
                </c:pt>
                <c:pt idx="3160">
                  <c:v>4</c:v>
                </c:pt>
                <c:pt idx="3161">
                  <c:v>4</c:v>
                </c:pt>
                <c:pt idx="3162">
                  <c:v>4</c:v>
                </c:pt>
                <c:pt idx="3163">
                  <c:v>4</c:v>
                </c:pt>
                <c:pt idx="3164">
                  <c:v>4</c:v>
                </c:pt>
                <c:pt idx="3165">
                  <c:v>4</c:v>
                </c:pt>
                <c:pt idx="3166">
                  <c:v>4</c:v>
                </c:pt>
                <c:pt idx="3167">
                  <c:v>4</c:v>
                </c:pt>
                <c:pt idx="3168">
                  <c:v>4</c:v>
                </c:pt>
                <c:pt idx="3169">
                  <c:v>4</c:v>
                </c:pt>
                <c:pt idx="3170">
                  <c:v>4</c:v>
                </c:pt>
                <c:pt idx="3171">
                  <c:v>4</c:v>
                </c:pt>
                <c:pt idx="3172">
                  <c:v>4</c:v>
                </c:pt>
                <c:pt idx="3173">
                  <c:v>4</c:v>
                </c:pt>
                <c:pt idx="3174">
                  <c:v>4</c:v>
                </c:pt>
                <c:pt idx="3175">
                  <c:v>4</c:v>
                </c:pt>
                <c:pt idx="3176">
                  <c:v>4</c:v>
                </c:pt>
                <c:pt idx="3177">
                  <c:v>4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4</c:v>
                </c:pt>
                <c:pt idx="3183">
                  <c:v>4</c:v>
                </c:pt>
                <c:pt idx="3184">
                  <c:v>4</c:v>
                </c:pt>
                <c:pt idx="3185">
                  <c:v>4</c:v>
                </c:pt>
                <c:pt idx="3186">
                  <c:v>4</c:v>
                </c:pt>
                <c:pt idx="3187">
                  <c:v>4</c:v>
                </c:pt>
                <c:pt idx="3188">
                  <c:v>4</c:v>
                </c:pt>
                <c:pt idx="3189">
                  <c:v>4</c:v>
                </c:pt>
                <c:pt idx="3190">
                  <c:v>4</c:v>
                </c:pt>
                <c:pt idx="3191">
                  <c:v>4</c:v>
                </c:pt>
                <c:pt idx="3192">
                  <c:v>4</c:v>
                </c:pt>
                <c:pt idx="3193">
                  <c:v>4</c:v>
                </c:pt>
                <c:pt idx="3194">
                  <c:v>4</c:v>
                </c:pt>
                <c:pt idx="3195">
                  <c:v>4</c:v>
                </c:pt>
                <c:pt idx="3196">
                  <c:v>4</c:v>
                </c:pt>
                <c:pt idx="3197">
                  <c:v>4</c:v>
                </c:pt>
                <c:pt idx="3198">
                  <c:v>4</c:v>
                </c:pt>
                <c:pt idx="3199">
                  <c:v>4</c:v>
                </c:pt>
                <c:pt idx="3200">
                  <c:v>4</c:v>
                </c:pt>
                <c:pt idx="3201">
                  <c:v>4</c:v>
                </c:pt>
                <c:pt idx="3202">
                  <c:v>4</c:v>
                </c:pt>
                <c:pt idx="3203">
                  <c:v>4</c:v>
                </c:pt>
                <c:pt idx="3204">
                  <c:v>4</c:v>
                </c:pt>
                <c:pt idx="3205">
                  <c:v>4</c:v>
                </c:pt>
                <c:pt idx="3206">
                  <c:v>4</c:v>
                </c:pt>
                <c:pt idx="3207">
                  <c:v>4</c:v>
                </c:pt>
                <c:pt idx="3208">
                  <c:v>4</c:v>
                </c:pt>
                <c:pt idx="3209">
                  <c:v>4</c:v>
                </c:pt>
                <c:pt idx="3210">
                  <c:v>4</c:v>
                </c:pt>
                <c:pt idx="3211">
                  <c:v>4</c:v>
                </c:pt>
                <c:pt idx="3212">
                  <c:v>4</c:v>
                </c:pt>
                <c:pt idx="3213">
                  <c:v>4</c:v>
                </c:pt>
                <c:pt idx="3214">
                  <c:v>4</c:v>
                </c:pt>
                <c:pt idx="3215">
                  <c:v>4</c:v>
                </c:pt>
                <c:pt idx="3216">
                  <c:v>4</c:v>
                </c:pt>
                <c:pt idx="3217">
                  <c:v>4</c:v>
                </c:pt>
                <c:pt idx="3218">
                  <c:v>4</c:v>
                </c:pt>
                <c:pt idx="3219">
                  <c:v>4</c:v>
                </c:pt>
                <c:pt idx="3220">
                  <c:v>4</c:v>
                </c:pt>
                <c:pt idx="3221">
                  <c:v>4</c:v>
                </c:pt>
                <c:pt idx="3222">
                  <c:v>4</c:v>
                </c:pt>
                <c:pt idx="3223">
                  <c:v>4</c:v>
                </c:pt>
                <c:pt idx="3224">
                  <c:v>4</c:v>
                </c:pt>
                <c:pt idx="3225">
                  <c:v>4</c:v>
                </c:pt>
                <c:pt idx="3226">
                  <c:v>4</c:v>
                </c:pt>
                <c:pt idx="3227">
                  <c:v>4</c:v>
                </c:pt>
                <c:pt idx="3228">
                  <c:v>4</c:v>
                </c:pt>
                <c:pt idx="3229">
                  <c:v>4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33">
                  <c:v>4</c:v>
                </c:pt>
                <c:pt idx="3234">
                  <c:v>4</c:v>
                </c:pt>
                <c:pt idx="3825">
                  <c:v>5</c:v>
                </c:pt>
                <c:pt idx="3826">
                  <c:v>5</c:v>
                </c:pt>
                <c:pt idx="3827">
                  <c:v>5</c:v>
                </c:pt>
                <c:pt idx="3828">
                  <c:v>5</c:v>
                </c:pt>
                <c:pt idx="3829">
                  <c:v>5</c:v>
                </c:pt>
                <c:pt idx="3830">
                  <c:v>5</c:v>
                </c:pt>
                <c:pt idx="3831">
                  <c:v>5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5</c:v>
                </c:pt>
                <c:pt idx="3837">
                  <c:v>5</c:v>
                </c:pt>
                <c:pt idx="3838">
                  <c:v>5</c:v>
                </c:pt>
                <c:pt idx="3839">
                  <c:v>5</c:v>
                </c:pt>
                <c:pt idx="3840">
                  <c:v>5</c:v>
                </c:pt>
                <c:pt idx="3841">
                  <c:v>5</c:v>
                </c:pt>
                <c:pt idx="3842">
                  <c:v>5</c:v>
                </c:pt>
                <c:pt idx="3843">
                  <c:v>5</c:v>
                </c:pt>
                <c:pt idx="3844">
                  <c:v>5</c:v>
                </c:pt>
                <c:pt idx="3845">
                  <c:v>5</c:v>
                </c:pt>
                <c:pt idx="3846">
                  <c:v>5</c:v>
                </c:pt>
                <c:pt idx="3847">
                  <c:v>5</c:v>
                </c:pt>
                <c:pt idx="3848">
                  <c:v>5</c:v>
                </c:pt>
                <c:pt idx="3849">
                  <c:v>5</c:v>
                </c:pt>
                <c:pt idx="3850">
                  <c:v>5</c:v>
                </c:pt>
                <c:pt idx="3851">
                  <c:v>5</c:v>
                </c:pt>
                <c:pt idx="3852">
                  <c:v>5</c:v>
                </c:pt>
                <c:pt idx="3853">
                  <c:v>5</c:v>
                </c:pt>
                <c:pt idx="3854">
                  <c:v>5</c:v>
                </c:pt>
                <c:pt idx="3855">
                  <c:v>5</c:v>
                </c:pt>
                <c:pt idx="3856">
                  <c:v>5</c:v>
                </c:pt>
                <c:pt idx="3857">
                  <c:v>5</c:v>
                </c:pt>
                <c:pt idx="3858">
                  <c:v>5</c:v>
                </c:pt>
                <c:pt idx="3859">
                  <c:v>5</c:v>
                </c:pt>
                <c:pt idx="3860">
                  <c:v>5</c:v>
                </c:pt>
                <c:pt idx="3861">
                  <c:v>5</c:v>
                </c:pt>
                <c:pt idx="3862">
                  <c:v>5</c:v>
                </c:pt>
                <c:pt idx="3863">
                  <c:v>5</c:v>
                </c:pt>
                <c:pt idx="3864">
                  <c:v>5</c:v>
                </c:pt>
                <c:pt idx="3865">
                  <c:v>5</c:v>
                </c:pt>
                <c:pt idx="3866">
                  <c:v>5</c:v>
                </c:pt>
                <c:pt idx="3867">
                  <c:v>5</c:v>
                </c:pt>
                <c:pt idx="3868">
                  <c:v>5</c:v>
                </c:pt>
                <c:pt idx="3869">
                  <c:v>5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5</c:v>
                </c:pt>
                <c:pt idx="3874">
                  <c:v>5</c:v>
                </c:pt>
                <c:pt idx="3875">
                  <c:v>5</c:v>
                </c:pt>
                <c:pt idx="3876">
                  <c:v>5</c:v>
                </c:pt>
                <c:pt idx="3877">
                  <c:v>5</c:v>
                </c:pt>
                <c:pt idx="3878">
                  <c:v>5</c:v>
                </c:pt>
                <c:pt idx="3879">
                  <c:v>5</c:v>
                </c:pt>
                <c:pt idx="3880">
                  <c:v>5</c:v>
                </c:pt>
                <c:pt idx="3881">
                  <c:v>5</c:v>
                </c:pt>
                <c:pt idx="3882">
                  <c:v>5</c:v>
                </c:pt>
                <c:pt idx="3883">
                  <c:v>5</c:v>
                </c:pt>
                <c:pt idx="3884">
                  <c:v>5</c:v>
                </c:pt>
                <c:pt idx="3885">
                  <c:v>5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5</c:v>
                </c:pt>
                <c:pt idx="3895">
                  <c:v>5</c:v>
                </c:pt>
                <c:pt idx="3896">
                  <c:v>5</c:v>
                </c:pt>
                <c:pt idx="3897">
                  <c:v>5</c:v>
                </c:pt>
                <c:pt idx="3898">
                  <c:v>5</c:v>
                </c:pt>
                <c:pt idx="3899">
                  <c:v>5</c:v>
                </c:pt>
                <c:pt idx="3900">
                  <c:v>5</c:v>
                </c:pt>
                <c:pt idx="3901">
                  <c:v>5</c:v>
                </c:pt>
                <c:pt idx="3902">
                  <c:v>5</c:v>
                </c:pt>
                <c:pt idx="3903">
                  <c:v>5</c:v>
                </c:pt>
                <c:pt idx="3904">
                  <c:v>5</c:v>
                </c:pt>
                <c:pt idx="3905">
                  <c:v>5</c:v>
                </c:pt>
                <c:pt idx="3906">
                  <c:v>5</c:v>
                </c:pt>
                <c:pt idx="3907">
                  <c:v>5</c:v>
                </c:pt>
                <c:pt idx="3908">
                  <c:v>5</c:v>
                </c:pt>
                <c:pt idx="3909">
                  <c:v>5</c:v>
                </c:pt>
                <c:pt idx="3910">
                  <c:v>5</c:v>
                </c:pt>
                <c:pt idx="3911">
                  <c:v>5</c:v>
                </c:pt>
                <c:pt idx="3912">
                  <c:v>5</c:v>
                </c:pt>
                <c:pt idx="3913">
                  <c:v>5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5</c:v>
                </c:pt>
                <c:pt idx="3918">
                  <c:v>5</c:v>
                </c:pt>
                <c:pt idx="3919">
                  <c:v>5</c:v>
                </c:pt>
                <c:pt idx="3920">
                  <c:v>5</c:v>
                </c:pt>
                <c:pt idx="3921">
                  <c:v>5</c:v>
                </c:pt>
                <c:pt idx="3922">
                  <c:v>5</c:v>
                </c:pt>
                <c:pt idx="3923">
                  <c:v>5</c:v>
                </c:pt>
                <c:pt idx="3924">
                  <c:v>5</c:v>
                </c:pt>
                <c:pt idx="3925">
                  <c:v>5</c:v>
                </c:pt>
                <c:pt idx="3926">
                  <c:v>5</c:v>
                </c:pt>
                <c:pt idx="3927">
                  <c:v>5</c:v>
                </c:pt>
                <c:pt idx="3928">
                  <c:v>5</c:v>
                </c:pt>
                <c:pt idx="3929">
                  <c:v>5</c:v>
                </c:pt>
                <c:pt idx="3930">
                  <c:v>5</c:v>
                </c:pt>
                <c:pt idx="3931">
                  <c:v>5</c:v>
                </c:pt>
                <c:pt idx="3932">
                  <c:v>5</c:v>
                </c:pt>
                <c:pt idx="3933">
                  <c:v>5</c:v>
                </c:pt>
                <c:pt idx="3934">
                  <c:v>5</c:v>
                </c:pt>
                <c:pt idx="3935">
                  <c:v>5</c:v>
                </c:pt>
                <c:pt idx="3936">
                  <c:v>5</c:v>
                </c:pt>
                <c:pt idx="3937">
                  <c:v>5</c:v>
                </c:pt>
                <c:pt idx="3938">
                  <c:v>5</c:v>
                </c:pt>
                <c:pt idx="3939">
                  <c:v>5</c:v>
                </c:pt>
                <c:pt idx="3940">
                  <c:v>5</c:v>
                </c:pt>
                <c:pt idx="3941">
                  <c:v>5</c:v>
                </c:pt>
                <c:pt idx="3942">
                  <c:v>5</c:v>
                </c:pt>
                <c:pt idx="3943">
                  <c:v>5</c:v>
                </c:pt>
                <c:pt idx="3944">
                  <c:v>5</c:v>
                </c:pt>
                <c:pt idx="3945">
                  <c:v>5</c:v>
                </c:pt>
                <c:pt idx="3946">
                  <c:v>5</c:v>
                </c:pt>
                <c:pt idx="3947">
                  <c:v>5</c:v>
                </c:pt>
                <c:pt idx="3948">
                  <c:v>5</c:v>
                </c:pt>
                <c:pt idx="3949">
                  <c:v>5</c:v>
                </c:pt>
                <c:pt idx="3950">
                  <c:v>5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3955">
                  <c:v>5</c:v>
                </c:pt>
                <c:pt idx="3956">
                  <c:v>5</c:v>
                </c:pt>
                <c:pt idx="3957">
                  <c:v>5</c:v>
                </c:pt>
                <c:pt idx="3958">
                  <c:v>5</c:v>
                </c:pt>
                <c:pt idx="3959">
                  <c:v>5</c:v>
                </c:pt>
                <c:pt idx="3960">
                  <c:v>5</c:v>
                </c:pt>
                <c:pt idx="3961">
                  <c:v>5</c:v>
                </c:pt>
                <c:pt idx="3962">
                  <c:v>5</c:v>
                </c:pt>
                <c:pt idx="3963">
                  <c:v>5</c:v>
                </c:pt>
                <c:pt idx="3964">
                  <c:v>5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5</c:v>
                </c:pt>
                <c:pt idx="3970">
                  <c:v>5</c:v>
                </c:pt>
                <c:pt idx="3971">
                  <c:v>5</c:v>
                </c:pt>
                <c:pt idx="3972">
                  <c:v>5</c:v>
                </c:pt>
                <c:pt idx="3973">
                  <c:v>5</c:v>
                </c:pt>
                <c:pt idx="3974">
                  <c:v>5</c:v>
                </c:pt>
                <c:pt idx="3975">
                  <c:v>5</c:v>
                </c:pt>
                <c:pt idx="3976">
                  <c:v>5</c:v>
                </c:pt>
                <c:pt idx="3977">
                  <c:v>5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5</c:v>
                </c:pt>
                <c:pt idx="3982">
                  <c:v>5</c:v>
                </c:pt>
                <c:pt idx="3983">
                  <c:v>5</c:v>
                </c:pt>
                <c:pt idx="3984">
                  <c:v>5</c:v>
                </c:pt>
                <c:pt idx="3985">
                  <c:v>5</c:v>
                </c:pt>
                <c:pt idx="3986">
                  <c:v>5</c:v>
                </c:pt>
                <c:pt idx="3987">
                  <c:v>5</c:v>
                </c:pt>
                <c:pt idx="3988">
                  <c:v>5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5</c:v>
                </c:pt>
                <c:pt idx="3997">
                  <c:v>5</c:v>
                </c:pt>
                <c:pt idx="3998">
                  <c:v>5</c:v>
                </c:pt>
                <c:pt idx="3999">
                  <c:v>5</c:v>
                </c:pt>
                <c:pt idx="4000">
                  <c:v>5</c:v>
                </c:pt>
                <c:pt idx="4001">
                  <c:v>5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937">
                  <c:v>6</c:v>
                </c:pt>
                <c:pt idx="4938">
                  <c:v>6</c:v>
                </c:pt>
                <c:pt idx="4939">
                  <c:v>6</c:v>
                </c:pt>
                <c:pt idx="4940">
                  <c:v>6</c:v>
                </c:pt>
                <c:pt idx="4941">
                  <c:v>6</c:v>
                </c:pt>
                <c:pt idx="4942">
                  <c:v>6</c:v>
                </c:pt>
                <c:pt idx="4943">
                  <c:v>6</c:v>
                </c:pt>
                <c:pt idx="4944">
                  <c:v>6</c:v>
                </c:pt>
                <c:pt idx="4945">
                  <c:v>6</c:v>
                </c:pt>
                <c:pt idx="4946">
                  <c:v>6</c:v>
                </c:pt>
                <c:pt idx="4947">
                  <c:v>6</c:v>
                </c:pt>
                <c:pt idx="4948">
                  <c:v>6</c:v>
                </c:pt>
                <c:pt idx="4949">
                  <c:v>6</c:v>
                </c:pt>
                <c:pt idx="4950">
                  <c:v>6</c:v>
                </c:pt>
                <c:pt idx="4951">
                  <c:v>6</c:v>
                </c:pt>
                <c:pt idx="4952">
                  <c:v>6</c:v>
                </c:pt>
                <c:pt idx="4953">
                  <c:v>6</c:v>
                </c:pt>
                <c:pt idx="4954">
                  <c:v>6</c:v>
                </c:pt>
                <c:pt idx="4955">
                  <c:v>6</c:v>
                </c:pt>
                <c:pt idx="4956">
                  <c:v>6</c:v>
                </c:pt>
                <c:pt idx="4957">
                  <c:v>6</c:v>
                </c:pt>
                <c:pt idx="4958">
                  <c:v>6</c:v>
                </c:pt>
                <c:pt idx="4959">
                  <c:v>6</c:v>
                </c:pt>
                <c:pt idx="4960">
                  <c:v>6</c:v>
                </c:pt>
                <c:pt idx="4961">
                  <c:v>6</c:v>
                </c:pt>
                <c:pt idx="4962">
                  <c:v>6</c:v>
                </c:pt>
                <c:pt idx="4963">
                  <c:v>6</c:v>
                </c:pt>
                <c:pt idx="4964">
                  <c:v>6</c:v>
                </c:pt>
                <c:pt idx="4965">
                  <c:v>6</c:v>
                </c:pt>
                <c:pt idx="4966">
                  <c:v>6</c:v>
                </c:pt>
                <c:pt idx="4967">
                  <c:v>6</c:v>
                </c:pt>
                <c:pt idx="4968">
                  <c:v>6</c:v>
                </c:pt>
                <c:pt idx="4969">
                  <c:v>6</c:v>
                </c:pt>
                <c:pt idx="4970">
                  <c:v>6</c:v>
                </c:pt>
                <c:pt idx="4971">
                  <c:v>6</c:v>
                </c:pt>
                <c:pt idx="4972">
                  <c:v>6</c:v>
                </c:pt>
                <c:pt idx="4973">
                  <c:v>6</c:v>
                </c:pt>
                <c:pt idx="4974">
                  <c:v>6</c:v>
                </c:pt>
                <c:pt idx="4975">
                  <c:v>6</c:v>
                </c:pt>
                <c:pt idx="4976">
                  <c:v>6</c:v>
                </c:pt>
                <c:pt idx="4977">
                  <c:v>6</c:v>
                </c:pt>
                <c:pt idx="4978">
                  <c:v>6</c:v>
                </c:pt>
                <c:pt idx="4979">
                  <c:v>6</c:v>
                </c:pt>
                <c:pt idx="4980">
                  <c:v>6</c:v>
                </c:pt>
                <c:pt idx="4981">
                  <c:v>6</c:v>
                </c:pt>
                <c:pt idx="4982">
                  <c:v>6</c:v>
                </c:pt>
                <c:pt idx="4983">
                  <c:v>6</c:v>
                </c:pt>
                <c:pt idx="4984">
                  <c:v>6</c:v>
                </c:pt>
                <c:pt idx="4985">
                  <c:v>6</c:v>
                </c:pt>
                <c:pt idx="4986">
                  <c:v>6</c:v>
                </c:pt>
                <c:pt idx="4987">
                  <c:v>6</c:v>
                </c:pt>
                <c:pt idx="4988">
                  <c:v>6</c:v>
                </c:pt>
                <c:pt idx="4989">
                  <c:v>6</c:v>
                </c:pt>
                <c:pt idx="4990">
                  <c:v>6</c:v>
                </c:pt>
                <c:pt idx="4991">
                  <c:v>6</c:v>
                </c:pt>
                <c:pt idx="4992">
                  <c:v>6</c:v>
                </c:pt>
                <c:pt idx="4993">
                  <c:v>6</c:v>
                </c:pt>
                <c:pt idx="4994">
                  <c:v>6</c:v>
                </c:pt>
                <c:pt idx="4995">
                  <c:v>6</c:v>
                </c:pt>
                <c:pt idx="4996">
                  <c:v>6</c:v>
                </c:pt>
                <c:pt idx="4997">
                  <c:v>6</c:v>
                </c:pt>
                <c:pt idx="4998">
                  <c:v>6</c:v>
                </c:pt>
                <c:pt idx="4999">
                  <c:v>6</c:v>
                </c:pt>
                <c:pt idx="5000">
                  <c:v>6</c:v>
                </c:pt>
                <c:pt idx="5001">
                  <c:v>6</c:v>
                </c:pt>
                <c:pt idx="5002">
                  <c:v>6</c:v>
                </c:pt>
                <c:pt idx="5003">
                  <c:v>6</c:v>
                </c:pt>
                <c:pt idx="5004">
                  <c:v>6</c:v>
                </c:pt>
                <c:pt idx="5005">
                  <c:v>6</c:v>
                </c:pt>
                <c:pt idx="5006">
                  <c:v>6</c:v>
                </c:pt>
                <c:pt idx="5007">
                  <c:v>6</c:v>
                </c:pt>
                <c:pt idx="5008">
                  <c:v>6</c:v>
                </c:pt>
                <c:pt idx="5009">
                  <c:v>6</c:v>
                </c:pt>
                <c:pt idx="5010">
                  <c:v>6</c:v>
                </c:pt>
                <c:pt idx="5011">
                  <c:v>6</c:v>
                </c:pt>
                <c:pt idx="5012">
                  <c:v>6</c:v>
                </c:pt>
                <c:pt idx="5013">
                  <c:v>6</c:v>
                </c:pt>
                <c:pt idx="5014">
                  <c:v>6</c:v>
                </c:pt>
                <c:pt idx="5015">
                  <c:v>6</c:v>
                </c:pt>
                <c:pt idx="5016">
                  <c:v>6</c:v>
                </c:pt>
                <c:pt idx="5017">
                  <c:v>6</c:v>
                </c:pt>
                <c:pt idx="5018">
                  <c:v>6</c:v>
                </c:pt>
                <c:pt idx="5019">
                  <c:v>6</c:v>
                </c:pt>
                <c:pt idx="5020">
                  <c:v>6</c:v>
                </c:pt>
                <c:pt idx="5021">
                  <c:v>6</c:v>
                </c:pt>
                <c:pt idx="5022">
                  <c:v>6</c:v>
                </c:pt>
                <c:pt idx="5023">
                  <c:v>6</c:v>
                </c:pt>
                <c:pt idx="5024">
                  <c:v>6</c:v>
                </c:pt>
                <c:pt idx="5025">
                  <c:v>6</c:v>
                </c:pt>
                <c:pt idx="5026">
                  <c:v>6</c:v>
                </c:pt>
                <c:pt idx="5027">
                  <c:v>6</c:v>
                </c:pt>
                <c:pt idx="5028">
                  <c:v>6</c:v>
                </c:pt>
                <c:pt idx="5029">
                  <c:v>6</c:v>
                </c:pt>
                <c:pt idx="5030">
                  <c:v>6</c:v>
                </c:pt>
                <c:pt idx="5031">
                  <c:v>6</c:v>
                </c:pt>
                <c:pt idx="5032">
                  <c:v>6</c:v>
                </c:pt>
                <c:pt idx="5033">
                  <c:v>6</c:v>
                </c:pt>
                <c:pt idx="5034">
                  <c:v>6</c:v>
                </c:pt>
                <c:pt idx="5035">
                  <c:v>6</c:v>
                </c:pt>
                <c:pt idx="5036">
                  <c:v>6</c:v>
                </c:pt>
                <c:pt idx="5037">
                  <c:v>6</c:v>
                </c:pt>
                <c:pt idx="5038">
                  <c:v>6</c:v>
                </c:pt>
                <c:pt idx="5039">
                  <c:v>6</c:v>
                </c:pt>
                <c:pt idx="5040">
                  <c:v>6</c:v>
                </c:pt>
                <c:pt idx="5041">
                  <c:v>6</c:v>
                </c:pt>
                <c:pt idx="5042">
                  <c:v>6</c:v>
                </c:pt>
                <c:pt idx="5043">
                  <c:v>6</c:v>
                </c:pt>
                <c:pt idx="5044">
                  <c:v>6</c:v>
                </c:pt>
                <c:pt idx="5045">
                  <c:v>6</c:v>
                </c:pt>
                <c:pt idx="5046">
                  <c:v>6</c:v>
                </c:pt>
                <c:pt idx="5047">
                  <c:v>6</c:v>
                </c:pt>
                <c:pt idx="5048">
                  <c:v>6</c:v>
                </c:pt>
                <c:pt idx="5049">
                  <c:v>6</c:v>
                </c:pt>
                <c:pt idx="5050">
                  <c:v>6</c:v>
                </c:pt>
                <c:pt idx="5051">
                  <c:v>6</c:v>
                </c:pt>
                <c:pt idx="5052">
                  <c:v>6</c:v>
                </c:pt>
                <c:pt idx="5053">
                  <c:v>6</c:v>
                </c:pt>
                <c:pt idx="5054">
                  <c:v>6</c:v>
                </c:pt>
                <c:pt idx="5055">
                  <c:v>6</c:v>
                </c:pt>
                <c:pt idx="5056">
                  <c:v>6</c:v>
                </c:pt>
                <c:pt idx="5057">
                  <c:v>6</c:v>
                </c:pt>
                <c:pt idx="5058">
                  <c:v>6</c:v>
                </c:pt>
                <c:pt idx="5059">
                  <c:v>6</c:v>
                </c:pt>
                <c:pt idx="5060">
                  <c:v>6</c:v>
                </c:pt>
                <c:pt idx="5061">
                  <c:v>6</c:v>
                </c:pt>
                <c:pt idx="5062">
                  <c:v>6</c:v>
                </c:pt>
                <c:pt idx="5063">
                  <c:v>6</c:v>
                </c:pt>
                <c:pt idx="5064">
                  <c:v>6</c:v>
                </c:pt>
                <c:pt idx="5065">
                  <c:v>6</c:v>
                </c:pt>
                <c:pt idx="5066">
                  <c:v>6</c:v>
                </c:pt>
                <c:pt idx="5067">
                  <c:v>6</c:v>
                </c:pt>
                <c:pt idx="5068">
                  <c:v>6</c:v>
                </c:pt>
                <c:pt idx="5069">
                  <c:v>6</c:v>
                </c:pt>
                <c:pt idx="5070">
                  <c:v>6</c:v>
                </c:pt>
                <c:pt idx="5071">
                  <c:v>6</c:v>
                </c:pt>
                <c:pt idx="5072">
                  <c:v>6</c:v>
                </c:pt>
                <c:pt idx="5073">
                  <c:v>6</c:v>
                </c:pt>
                <c:pt idx="5074">
                  <c:v>6</c:v>
                </c:pt>
                <c:pt idx="5075">
                  <c:v>6</c:v>
                </c:pt>
                <c:pt idx="5076">
                  <c:v>6</c:v>
                </c:pt>
                <c:pt idx="5077">
                  <c:v>6</c:v>
                </c:pt>
                <c:pt idx="5078">
                  <c:v>6</c:v>
                </c:pt>
                <c:pt idx="5079">
                  <c:v>6</c:v>
                </c:pt>
                <c:pt idx="5080">
                  <c:v>6</c:v>
                </c:pt>
                <c:pt idx="5081">
                  <c:v>6</c:v>
                </c:pt>
                <c:pt idx="5082">
                  <c:v>6</c:v>
                </c:pt>
                <c:pt idx="5083">
                  <c:v>6</c:v>
                </c:pt>
                <c:pt idx="5084">
                  <c:v>6</c:v>
                </c:pt>
                <c:pt idx="5085">
                  <c:v>6</c:v>
                </c:pt>
                <c:pt idx="5086">
                  <c:v>6</c:v>
                </c:pt>
                <c:pt idx="5087">
                  <c:v>6</c:v>
                </c:pt>
                <c:pt idx="5088">
                  <c:v>6</c:v>
                </c:pt>
                <c:pt idx="5089">
                  <c:v>6</c:v>
                </c:pt>
                <c:pt idx="5090">
                  <c:v>6</c:v>
                </c:pt>
                <c:pt idx="5091">
                  <c:v>6</c:v>
                </c:pt>
                <c:pt idx="5092">
                  <c:v>6</c:v>
                </c:pt>
                <c:pt idx="5093">
                  <c:v>6</c:v>
                </c:pt>
                <c:pt idx="5094">
                  <c:v>6</c:v>
                </c:pt>
                <c:pt idx="5095">
                  <c:v>6</c:v>
                </c:pt>
                <c:pt idx="5096">
                  <c:v>6</c:v>
                </c:pt>
                <c:pt idx="5097">
                  <c:v>6</c:v>
                </c:pt>
                <c:pt idx="5098">
                  <c:v>6</c:v>
                </c:pt>
                <c:pt idx="5099">
                  <c:v>6</c:v>
                </c:pt>
                <c:pt idx="5100">
                  <c:v>6</c:v>
                </c:pt>
                <c:pt idx="5101">
                  <c:v>6</c:v>
                </c:pt>
                <c:pt idx="5102">
                  <c:v>6</c:v>
                </c:pt>
                <c:pt idx="5103">
                  <c:v>6</c:v>
                </c:pt>
                <c:pt idx="5104">
                  <c:v>6</c:v>
                </c:pt>
                <c:pt idx="5105">
                  <c:v>6</c:v>
                </c:pt>
                <c:pt idx="5106">
                  <c:v>6</c:v>
                </c:pt>
                <c:pt idx="5107">
                  <c:v>6</c:v>
                </c:pt>
                <c:pt idx="5108">
                  <c:v>6</c:v>
                </c:pt>
                <c:pt idx="5109">
                  <c:v>6</c:v>
                </c:pt>
                <c:pt idx="5110">
                  <c:v>6</c:v>
                </c:pt>
                <c:pt idx="5111">
                  <c:v>6</c:v>
                </c:pt>
                <c:pt idx="5112">
                  <c:v>6</c:v>
                </c:pt>
                <c:pt idx="5113">
                  <c:v>6</c:v>
                </c:pt>
                <c:pt idx="5114">
                  <c:v>6</c:v>
                </c:pt>
                <c:pt idx="5115">
                  <c:v>6</c:v>
                </c:pt>
                <c:pt idx="5116">
                  <c:v>6</c:v>
                </c:pt>
                <c:pt idx="5117">
                  <c:v>6</c:v>
                </c:pt>
                <c:pt idx="5118">
                  <c:v>6</c:v>
                </c:pt>
                <c:pt idx="5119">
                  <c:v>6</c:v>
                </c:pt>
                <c:pt idx="5120">
                  <c:v>6</c:v>
                </c:pt>
                <c:pt idx="5121">
                  <c:v>6</c:v>
                </c:pt>
                <c:pt idx="5122">
                  <c:v>6</c:v>
                </c:pt>
                <c:pt idx="5123">
                  <c:v>6</c:v>
                </c:pt>
                <c:pt idx="5124">
                  <c:v>6</c:v>
                </c:pt>
                <c:pt idx="5125">
                  <c:v>6</c:v>
                </c:pt>
                <c:pt idx="5126">
                  <c:v>6</c:v>
                </c:pt>
                <c:pt idx="5127">
                  <c:v>6</c:v>
                </c:pt>
                <c:pt idx="5128">
                  <c:v>6</c:v>
                </c:pt>
                <c:pt idx="5129">
                  <c:v>6</c:v>
                </c:pt>
                <c:pt idx="5130">
                  <c:v>6</c:v>
                </c:pt>
                <c:pt idx="5131">
                  <c:v>6</c:v>
                </c:pt>
                <c:pt idx="5132">
                  <c:v>6</c:v>
                </c:pt>
                <c:pt idx="5133">
                  <c:v>6</c:v>
                </c:pt>
                <c:pt idx="5134">
                  <c:v>6</c:v>
                </c:pt>
                <c:pt idx="5135">
                  <c:v>6</c:v>
                </c:pt>
                <c:pt idx="5136">
                  <c:v>6</c:v>
                </c:pt>
                <c:pt idx="5137">
                  <c:v>6</c:v>
                </c:pt>
                <c:pt idx="5138">
                  <c:v>6</c:v>
                </c:pt>
                <c:pt idx="5139">
                  <c:v>6</c:v>
                </c:pt>
                <c:pt idx="5140">
                  <c:v>6</c:v>
                </c:pt>
                <c:pt idx="5141">
                  <c:v>6</c:v>
                </c:pt>
                <c:pt idx="5142">
                  <c:v>6</c:v>
                </c:pt>
                <c:pt idx="5143">
                  <c:v>6</c:v>
                </c:pt>
                <c:pt idx="5144">
                  <c:v>6</c:v>
                </c:pt>
                <c:pt idx="5145">
                  <c:v>6</c:v>
                </c:pt>
                <c:pt idx="5146">
                  <c:v>6</c:v>
                </c:pt>
                <c:pt idx="5147">
                  <c:v>6</c:v>
                </c:pt>
                <c:pt idx="5148">
                  <c:v>6</c:v>
                </c:pt>
                <c:pt idx="5149">
                  <c:v>6</c:v>
                </c:pt>
                <c:pt idx="5150">
                  <c:v>6</c:v>
                </c:pt>
                <c:pt idx="5151">
                  <c:v>6</c:v>
                </c:pt>
                <c:pt idx="5152">
                  <c:v>6</c:v>
                </c:pt>
                <c:pt idx="5153">
                  <c:v>6</c:v>
                </c:pt>
                <c:pt idx="5154">
                  <c:v>6</c:v>
                </c:pt>
                <c:pt idx="5155">
                  <c:v>6</c:v>
                </c:pt>
                <c:pt idx="5156">
                  <c:v>6</c:v>
                </c:pt>
                <c:pt idx="5157">
                  <c:v>6</c:v>
                </c:pt>
                <c:pt idx="5158">
                  <c:v>6</c:v>
                </c:pt>
                <c:pt idx="5159">
                  <c:v>6</c:v>
                </c:pt>
                <c:pt idx="5160">
                  <c:v>6</c:v>
                </c:pt>
                <c:pt idx="5161">
                  <c:v>6</c:v>
                </c:pt>
                <c:pt idx="5162">
                  <c:v>6</c:v>
                </c:pt>
                <c:pt idx="5163">
                  <c:v>6</c:v>
                </c:pt>
                <c:pt idx="5164">
                  <c:v>6</c:v>
                </c:pt>
                <c:pt idx="5165">
                  <c:v>6</c:v>
                </c:pt>
                <c:pt idx="5166">
                  <c:v>6</c:v>
                </c:pt>
                <c:pt idx="5167">
                  <c:v>6</c:v>
                </c:pt>
                <c:pt idx="5168">
                  <c:v>6</c:v>
                </c:pt>
                <c:pt idx="5169">
                  <c:v>6</c:v>
                </c:pt>
                <c:pt idx="5170">
                  <c:v>6</c:v>
                </c:pt>
                <c:pt idx="5171">
                  <c:v>6</c:v>
                </c:pt>
                <c:pt idx="5172">
                  <c:v>6</c:v>
                </c:pt>
                <c:pt idx="5173">
                  <c:v>6</c:v>
                </c:pt>
                <c:pt idx="5174">
                  <c:v>6</c:v>
                </c:pt>
                <c:pt idx="5175">
                  <c:v>6</c:v>
                </c:pt>
                <c:pt idx="5176">
                  <c:v>6</c:v>
                </c:pt>
                <c:pt idx="5177">
                  <c:v>6</c:v>
                </c:pt>
                <c:pt idx="5178">
                  <c:v>6</c:v>
                </c:pt>
                <c:pt idx="5179">
                  <c:v>6</c:v>
                </c:pt>
                <c:pt idx="5180">
                  <c:v>6</c:v>
                </c:pt>
                <c:pt idx="5181">
                  <c:v>6</c:v>
                </c:pt>
                <c:pt idx="5182">
                  <c:v>6</c:v>
                </c:pt>
                <c:pt idx="5183">
                  <c:v>6</c:v>
                </c:pt>
                <c:pt idx="5184">
                  <c:v>6</c:v>
                </c:pt>
                <c:pt idx="5185">
                  <c:v>6</c:v>
                </c:pt>
                <c:pt idx="5186">
                  <c:v>6</c:v>
                </c:pt>
                <c:pt idx="6275">
                  <c:v>7</c:v>
                </c:pt>
                <c:pt idx="6276">
                  <c:v>7</c:v>
                </c:pt>
                <c:pt idx="6277">
                  <c:v>7</c:v>
                </c:pt>
                <c:pt idx="6278">
                  <c:v>7</c:v>
                </c:pt>
                <c:pt idx="6279">
                  <c:v>7</c:v>
                </c:pt>
                <c:pt idx="6280">
                  <c:v>7</c:v>
                </c:pt>
                <c:pt idx="6281">
                  <c:v>7</c:v>
                </c:pt>
                <c:pt idx="6282">
                  <c:v>7</c:v>
                </c:pt>
                <c:pt idx="6283">
                  <c:v>7</c:v>
                </c:pt>
                <c:pt idx="6284">
                  <c:v>7</c:v>
                </c:pt>
                <c:pt idx="6285">
                  <c:v>7</c:v>
                </c:pt>
                <c:pt idx="6286">
                  <c:v>7</c:v>
                </c:pt>
                <c:pt idx="6287">
                  <c:v>7</c:v>
                </c:pt>
                <c:pt idx="6288">
                  <c:v>7</c:v>
                </c:pt>
                <c:pt idx="6289">
                  <c:v>7</c:v>
                </c:pt>
                <c:pt idx="6290">
                  <c:v>7</c:v>
                </c:pt>
                <c:pt idx="6291">
                  <c:v>7</c:v>
                </c:pt>
                <c:pt idx="6292">
                  <c:v>7</c:v>
                </c:pt>
                <c:pt idx="6293">
                  <c:v>7</c:v>
                </c:pt>
                <c:pt idx="6294">
                  <c:v>7</c:v>
                </c:pt>
                <c:pt idx="6295">
                  <c:v>7</c:v>
                </c:pt>
                <c:pt idx="6296">
                  <c:v>7</c:v>
                </c:pt>
                <c:pt idx="6297">
                  <c:v>7</c:v>
                </c:pt>
                <c:pt idx="6298">
                  <c:v>7</c:v>
                </c:pt>
                <c:pt idx="6299">
                  <c:v>7</c:v>
                </c:pt>
                <c:pt idx="6300">
                  <c:v>7</c:v>
                </c:pt>
                <c:pt idx="6301">
                  <c:v>7</c:v>
                </c:pt>
                <c:pt idx="6302">
                  <c:v>7</c:v>
                </c:pt>
                <c:pt idx="6303">
                  <c:v>7</c:v>
                </c:pt>
                <c:pt idx="6304">
                  <c:v>7</c:v>
                </c:pt>
                <c:pt idx="6305">
                  <c:v>7</c:v>
                </c:pt>
                <c:pt idx="6306">
                  <c:v>7</c:v>
                </c:pt>
                <c:pt idx="6307">
                  <c:v>7</c:v>
                </c:pt>
                <c:pt idx="6308">
                  <c:v>7</c:v>
                </c:pt>
                <c:pt idx="6309">
                  <c:v>7</c:v>
                </c:pt>
                <c:pt idx="6310">
                  <c:v>7</c:v>
                </c:pt>
                <c:pt idx="6311">
                  <c:v>7</c:v>
                </c:pt>
                <c:pt idx="6312">
                  <c:v>7</c:v>
                </c:pt>
                <c:pt idx="6313">
                  <c:v>7</c:v>
                </c:pt>
                <c:pt idx="6314">
                  <c:v>7</c:v>
                </c:pt>
                <c:pt idx="6315">
                  <c:v>7</c:v>
                </c:pt>
                <c:pt idx="6316">
                  <c:v>7</c:v>
                </c:pt>
                <c:pt idx="6317">
                  <c:v>7</c:v>
                </c:pt>
                <c:pt idx="6318">
                  <c:v>7</c:v>
                </c:pt>
                <c:pt idx="6319">
                  <c:v>7</c:v>
                </c:pt>
                <c:pt idx="6320">
                  <c:v>7</c:v>
                </c:pt>
                <c:pt idx="6321">
                  <c:v>7</c:v>
                </c:pt>
                <c:pt idx="6322">
                  <c:v>7</c:v>
                </c:pt>
                <c:pt idx="6323">
                  <c:v>7</c:v>
                </c:pt>
                <c:pt idx="6324">
                  <c:v>7</c:v>
                </c:pt>
                <c:pt idx="6325">
                  <c:v>7</c:v>
                </c:pt>
                <c:pt idx="6326">
                  <c:v>7</c:v>
                </c:pt>
                <c:pt idx="6327">
                  <c:v>7</c:v>
                </c:pt>
                <c:pt idx="6328">
                  <c:v>7</c:v>
                </c:pt>
                <c:pt idx="6329">
                  <c:v>7</c:v>
                </c:pt>
                <c:pt idx="6330">
                  <c:v>7</c:v>
                </c:pt>
                <c:pt idx="6331">
                  <c:v>7</c:v>
                </c:pt>
                <c:pt idx="6332">
                  <c:v>7</c:v>
                </c:pt>
                <c:pt idx="6333">
                  <c:v>7</c:v>
                </c:pt>
                <c:pt idx="6334">
                  <c:v>7</c:v>
                </c:pt>
                <c:pt idx="6335">
                  <c:v>7</c:v>
                </c:pt>
                <c:pt idx="6336">
                  <c:v>7</c:v>
                </c:pt>
                <c:pt idx="6337">
                  <c:v>7</c:v>
                </c:pt>
                <c:pt idx="6338">
                  <c:v>7</c:v>
                </c:pt>
                <c:pt idx="6339">
                  <c:v>7</c:v>
                </c:pt>
                <c:pt idx="6340">
                  <c:v>7</c:v>
                </c:pt>
                <c:pt idx="6341">
                  <c:v>7</c:v>
                </c:pt>
                <c:pt idx="6342">
                  <c:v>7</c:v>
                </c:pt>
                <c:pt idx="6343">
                  <c:v>7</c:v>
                </c:pt>
                <c:pt idx="6344">
                  <c:v>7</c:v>
                </c:pt>
                <c:pt idx="6345">
                  <c:v>7</c:v>
                </c:pt>
                <c:pt idx="6346">
                  <c:v>7</c:v>
                </c:pt>
                <c:pt idx="6347">
                  <c:v>7</c:v>
                </c:pt>
                <c:pt idx="6348">
                  <c:v>7</c:v>
                </c:pt>
                <c:pt idx="6349">
                  <c:v>7</c:v>
                </c:pt>
                <c:pt idx="6350">
                  <c:v>7</c:v>
                </c:pt>
                <c:pt idx="6351">
                  <c:v>7</c:v>
                </c:pt>
                <c:pt idx="6352">
                  <c:v>7</c:v>
                </c:pt>
                <c:pt idx="6353">
                  <c:v>7</c:v>
                </c:pt>
                <c:pt idx="6354">
                  <c:v>7</c:v>
                </c:pt>
                <c:pt idx="6355">
                  <c:v>7</c:v>
                </c:pt>
                <c:pt idx="6356">
                  <c:v>7</c:v>
                </c:pt>
                <c:pt idx="6357">
                  <c:v>7</c:v>
                </c:pt>
                <c:pt idx="6358">
                  <c:v>7</c:v>
                </c:pt>
                <c:pt idx="6359">
                  <c:v>7</c:v>
                </c:pt>
                <c:pt idx="6360">
                  <c:v>7</c:v>
                </c:pt>
                <c:pt idx="6361">
                  <c:v>7</c:v>
                </c:pt>
                <c:pt idx="6362">
                  <c:v>7</c:v>
                </c:pt>
                <c:pt idx="6363">
                  <c:v>7</c:v>
                </c:pt>
                <c:pt idx="6364">
                  <c:v>7</c:v>
                </c:pt>
                <c:pt idx="6365">
                  <c:v>7</c:v>
                </c:pt>
                <c:pt idx="6366">
                  <c:v>7</c:v>
                </c:pt>
                <c:pt idx="6367">
                  <c:v>7</c:v>
                </c:pt>
                <c:pt idx="6368">
                  <c:v>7</c:v>
                </c:pt>
                <c:pt idx="6369">
                  <c:v>7</c:v>
                </c:pt>
                <c:pt idx="6370">
                  <c:v>7</c:v>
                </c:pt>
                <c:pt idx="6371">
                  <c:v>7</c:v>
                </c:pt>
                <c:pt idx="6372">
                  <c:v>7</c:v>
                </c:pt>
                <c:pt idx="6373">
                  <c:v>7</c:v>
                </c:pt>
                <c:pt idx="6374">
                  <c:v>7</c:v>
                </c:pt>
                <c:pt idx="6375">
                  <c:v>7</c:v>
                </c:pt>
                <c:pt idx="6376">
                  <c:v>7</c:v>
                </c:pt>
                <c:pt idx="6377">
                  <c:v>7</c:v>
                </c:pt>
                <c:pt idx="6378">
                  <c:v>7</c:v>
                </c:pt>
                <c:pt idx="6379">
                  <c:v>7</c:v>
                </c:pt>
                <c:pt idx="6380">
                  <c:v>7</c:v>
                </c:pt>
                <c:pt idx="6381">
                  <c:v>7</c:v>
                </c:pt>
                <c:pt idx="6382">
                  <c:v>7</c:v>
                </c:pt>
                <c:pt idx="6383">
                  <c:v>7</c:v>
                </c:pt>
                <c:pt idx="6384">
                  <c:v>7</c:v>
                </c:pt>
                <c:pt idx="6385">
                  <c:v>7</c:v>
                </c:pt>
                <c:pt idx="6386">
                  <c:v>7</c:v>
                </c:pt>
                <c:pt idx="6387">
                  <c:v>7</c:v>
                </c:pt>
                <c:pt idx="6388">
                  <c:v>7</c:v>
                </c:pt>
                <c:pt idx="6389">
                  <c:v>7</c:v>
                </c:pt>
                <c:pt idx="6390">
                  <c:v>7</c:v>
                </c:pt>
                <c:pt idx="6391">
                  <c:v>7</c:v>
                </c:pt>
                <c:pt idx="6392">
                  <c:v>7</c:v>
                </c:pt>
                <c:pt idx="6393">
                  <c:v>7</c:v>
                </c:pt>
                <c:pt idx="6394">
                  <c:v>7</c:v>
                </c:pt>
                <c:pt idx="6395">
                  <c:v>7</c:v>
                </c:pt>
                <c:pt idx="6396">
                  <c:v>7</c:v>
                </c:pt>
                <c:pt idx="6397">
                  <c:v>7</c:v>
                </c:pt>
                <c:pt idx="6398">
                  <c:v>7</c:v>
                </c:pt>
                <c:pt idx="6399">
                  <c:v>7</c:v>
                </c:pt>
                <c:pt idx="6400">
                  <c:v>7</c:v>
                </c:pt>
                <c:pt idx="6401">
                  <c:v>7</c:v>
                </c:pt>
                <c:pt idx="6402">
                  <c:v>7</c:v>
                </c:pt>
                <c:pt idx="6403">
                  <c:v>7</c:v>
                </c:pt>
                <c:pt idx="6404">
                  <c:v>7</c:v>
                </c:pt>
                <c:pt idx="6405">
                  <c:v>7</c:v>
                </c:pt>
                <c:pt idx="6406">
                  <c:v>7</c:v>
                </c:pt>
                <c:pt idx="6407">
                  <c:v>7</c:v>
                </c:pt>
                <c:pt idx="6408">
                  <c:v>7</c:v>
                </c:pt>
                <c:pt idx="6409">
                  <c:v>7</c:v>
                </c:pt>
                <c:pt idx="6410">
                  <c:v>7</c:v>
                </c:pt>
                <c:pt idx="6411">
                  <c:v>7</c:v>
                </c:pt>
                <c:pt idx="6412">
                  <c:v>7</c:v>
                </c:pt>
                <c:pt idx="6413">
                  <c:v>7</c:v>
                </c:pt>
                <c:pt idx="6414">
                  <c:v>7</c:v>
                </c:pt>
                <c:pt idx="6415">
                  <c:v>7</c:v>
                </c:pt>
                <c:pt idx="6416">
                  <c:v>7</c:v>
                </c:pt>
                <c:pt idx="6417">
                  <c:v>7</c:v>
                </c:pt>
                <c:pt idx="6418">
                  <c:v>7</c:v>
                </c:pt>
                <c:pt idx="6419">
                  <c:v>7</c:v>
                </c:pt>
                <c:pt idx="6420">
                  <c:v>7</c:v>
                </c:pt>
                <c:pt idx="6421">
                  <c:v>7</c:v>
                </c:pt>
                <c:pt idx="6422">
                  <c:v>7</c:v>
                </c:pt>
                <c:pt idx="6423">
                  <c:v>7</c:v>
                </c:pt>
                <c:pt idx="6424">
                  <c:v>7</c:v>
                </c:pt>
                <c:pt idx="6425">
                  <c:v>7</c:v>
                </c:pt>
                <c:pt idx="6426">
                  <c:v>7</c:v>
                </c:pt>
                <c:pt idx="6427">
                  <c:v>7</c:v>
                </c:pt>
                <c:pt idx="6428">
                  <c:v>7</c:v>
                </c:pt>
                <c:pt idx="6429">
                  <c:v>7</c:v>
                </c:pt>
                <c:pt idx="6430">
                  <c:v>7</c:v>
                </c:pt>
                <c:pt idx="6431">
                  <c:v>7</c:v>
                </c:pt>
                <c:pt idx="6432">
                  <c:v>7</c:v>
                </c:pt>
                <c:pt idx="6433">
                  <c:v>7</c:v>
                </c:pt>
                <c:pt idx="6434">
                  <c:v>7</c:v>
                </c:pt>
                <c:pt idx="6435">
                  <c:v>7</c:v>
                </c:pt>
                <c:pt idx="6436">
                  <c:v>7</c:v>
                </c:pt>
                <c:pt idx="6437">
                  <c:v>7</c:v>
                </c:pt>
                <c:pt idx="6438">
                  <c:v>7</c:v>
                </c:pt>
                <c:pt idx="6439">
                  <c:v>7</c:v>
                </c:pt>
                <c:pt idx="6440">
                  <c:v>7</c:v>
                </c:pt>
                <c:pt idx="6441">
                  <c:v>7</c:v>
                </c:pt>
                <c:pt idx="6442">
                  <c:v>7</c:v>
                </c:pt>
                <c:pt idx="6443">
                  <c:v>7</c:v>
                </c:pt>
                <c:pt idx="6444">
                  <c:v>7</c:v>
                </c:pt>
                <c:pt idx="6445">
                  <c:v>7</c:v>
                </c:pt>
                <c:pt idx="6446">
                  <c:v>7</c:v>
                </c:pt>
                <c:pt idx="6447">
                  <c:v>7</c:v>
                </c:pt>
                <c:pt idx="6448">
                  <c:v>7</c:v>
                </c:pt>
                <c:pt idx="6449">
                  <c:v>7</c:v>
                </c:pt>
                <c:pt idx="6450">
                  <c:v>7</c:v>
                </c:pt>
                <c:pt idx="6451">
                  <c:v>7</c:v>
                </c:pt>
                <c:pt idx="6452">
                  <c:v>7</c:v>
                </c:pt>
                <c:pt idx="6453">
                  <c:v>7</c:v>
                </c:pt>
                <c:pt idx="6454">
                  <c:v>7</c:v>
                </c:pt>
                <c:pt idx="6455">
                  <c:v>7</c:v>
                </c:pt>
                <c:pt idx="6456">
                  <c:v>7</c:v>
                </c:pt>
                <c:pt idx="6457">
                  <c:v>7</c:v>
                </c:pt>
                <c:pt idx="6458">
                  <c:v>7</c:v>
                </c:pt>
                <c:pt idx="6459">
                  <c:v>7</c:v>
                </c:pt>
                <c:pt idx="6460">
                  <c:v>7</c:v>
                </c:pt>
                <c:pt idx="6461">
                  <c:v>7</c:v>
                </c:pt>
                <c:pt idx="6462">
                  <c:v>7</c:v>
                </c:pt>
                <c:pt idx="6463">
                  <c:v>7</c:v>
                </c:pt>
                <c:pt idx="6464">
                  <c:v>7</c:v>
                </c:pt>
                <c:pt idx="6465">
                  <c:v>7</c:v>
                </c:pt>
                <c:pt idx="6466">
                  <c:v>7</c:v>
                </c:pt>
                <c:pt idx="6467">
                  <c:v>7</c:v>
                </c:pt>
                <c:pt idx="6468">
                  <c:v>7</c:v>
                </c:pt>
                <c:pt idx="6469">
                  <c:v>7</c:v>
                </c:pt>
                <c:pt idx="6470">
                  <c:v>7</c:v>
                </c:pt>
                <c:pt idx="6471">
                  <c:v>7</c:v>
                </c:pt>
                <c:pt idx="6472">
                  <c:v>7</c:v>
                </c:pt>
                <c:pt idx="6473">
                  <c:v>7</c:v>
                </c:pt>
                <c:pt idx="6474">
                  <c:v>7</c:v>
                </c:pt>
                <c:pt idx="6475">
                  <c:v>7</c:v>
                </c:pt>
                <c:pt idx="6476">
                  <c:v>7</c:v>
                </c:pt>
                <c:pt idx="6477">
                  <c:v>7</c:v>
                </c:pt>
                <c:pt idx="6478">
                  <c:v>7</c:v>
                </c:pt>
                <c:pt idx="6479">
                  <c:v>7</c:v>
                </c:pt>
                <c:pt idx="6480">
                  <c:v>7</c:v>
                </c:pt>
                <c:pt idx="6481">
                  <c:v>7</c:v>
                </c:pt>
                <c:pt idx="6482">
                  <c:v>7</c:v>
                </c:pt>
                <c:pt idx="6483">
                  <c:v>7</c:v>
                </c:pt>
                <c:pt idx="6484">
                  <c:v>7</c:v>
                </c:pt>
                <c:pt idx="6485">
                  <c:v>7</c:v>
                </c:pt>
                <c:pt idx="6486">
                  <c:v>7</c:v>
                </c:pt>
                <c:pt idx="6487">
                  <c:v>7</c:v>
                </c:pt>
                <c:pt idx="6488">
                  <c:v>7</c:v>
                </c:pt>
                <c:pt idx="6489">
                  <c:v>7</c:v>
                </c:pt>
                <c:pt idx="6490">
                  <c:v>7</c:v>
                </c:pt>
                <c:pt idx="6491">
                  <c:v>7</c:v>
                </c:pt>
                <c:pt idx="6492">
                  <c:v>7</c:v>
                </c:pt>
                <c:pt idx="6493">
                  <c:v>7</c:v>
                </c:pt>
                <c:pt idx="6494">
                  <c:v>7</c:v>
                </c:pt>
                <c:pt idx="6495">
                  <c:v>7</c:v>
                </c:pt>
                <c:pt idx="6496">
                  <c:v>7</c:v>
                </c:pt>
                <c:pt idx="6497">
                  <c:v>7</c:v>
                </c:pt>
                <c:pt idx="6498">
                  <c:v>7</c:v>
                </c:pt>
                <c:pt idx="6499">
                  <c:v>7</c:v>
                </c:pt>
                <c:pt idx="6500">
                  <c:v>7</c:v>
                </c:pt>
                <c:pt idx="6501">
                  <c:v>7</c:v>
                </c:pt>
                <c:pt idx="6502">
                  <c:v>7</c:v>
                </c:pt>
                <c:pt idx="6503">
                  <c:v>7</c:v>
                </c:pt>
                <c:pt idx="6504">
                  <c:v>7</c:v>
                </c:pt>
                <c:pt idx="6505">
                  <c:v>7</c:v>
                </c:pt>
                <c:pt idx="6506">
                  <c:v>7</c:v>
                </c:pt>
                <c:pt idx="6507">
                  <c:v>7</c:v>
                </c:pt>
                <c:pt idx="6508">
                  <c:v>7</c:v>
                </c:pt>
                <c:pt idx="6509">
                  <c:v>7</c:v>
                </c:pt>
                <c:pt idx="6510">
                  <c:v>7</c:v>
                </c:pt>
                <c:pt idx="6511">
                  <c:v>7</c:v>
                </c:pt>
                <c:pt idx="6512">
                  <c:v>7</c:v>
                </c:pt>
                <c:pt idx="6513">
                  <c:v>7</c:v>
                </c:pt>
                <c:pt idx="6514">
                  <c:v>7</c:v>
                </c:pt>
                <c:pt idx="6515">
                  <c:v>7</c:v>
                </c:pt>
                <c:pt idx="6516">
                  <c:v>7</c:v>
                </c:pt>
                <c:pt idx="6517">
                  <c:v>7</c:v>
                </c:pt>
                <c:pt idx="6518">
                  <c:v>7</c:v>
                </c:pt>
                <c:pt idx="6519">
                  <c:v>7</c:v>
                </c:pt>
                <c:pt idx="6520">
                  <c:v>7</c:v>
                </c:pt>
                <c:pt idx="6521">
                  <c:v>7</c:v>
                </c:pt>
                <c:pt idx="6522">
                  <c:v>7</c:v>
                </c:pt>
                <c:pt idx="6523">
                  <c:v>7</c:v>
                </c:pt>
                <c:pt idx="6524">
                  <c:v>7</c:v>
                </c:pt>
                <c:pt idx="6525">
                  <c:v>7</c:v>
                </c:pt>
                <c:pt idx="6526">
                  <c:v>7</c:v>
                </c:pt>
                <c:pt idx="6527">
                  <c:v>7</c:v>
                </c:pt>
                <c:pt idx="6528">
                  <c:v>7</c:v>
                </c:pt>
                <c:pt idx="6529">
                  <c:v>7</c:v>
                </c:pt>
                <c:pt idx="6530">
                  <c:v>7</c:v>
                </c:pt>
                <c:pt idx="6531">
                  <c:v>7</c:v>
                </c:pt>
                <c:pt idx="6532">
                  <c:v>7</c:v>
                </c:pt>
                <c:pt idx="6533">
                  <c:v>7</c:v>
                </c:pt>
                <c:pt idx="6534">
                  <c:v>7</c:v>
                </c:pt>
                <c:pt idx="6535">
                  <c:v>7</c:v>
                </c:pt>
                <c:pt idx="6536">
                  <c:v>7</c:v>
                </c:pt>
                <c:pt idx="6537">
                  <c:v>7</c:v>
                </c:pt>
                <c:pt idx="6538">
                  <c:v>7</c:v>
                </c:pt>
                <c:pt idx="6539">
                  <c:v>7</c:v>
                </c:pt>
                <c:pt idx="6540">
                  <c:v>7</c:v>
                </c:pt>
                <c:pt idx="6541">
                  <c:v>7</c:v>
                </c:pt>
                <c:pt idx="6542">
                  <c:v>7</c:v>
                </c:pt>
                <c:pt idx="6543">
                  <c:v>7</c:v>
                </c:pt>
                <c:pt idx="6544">
                  <c:v>7</c:v>
                </c:pt>
                <c:pt idx="6545">
                  <c:v>7</c:v>
                </c:pt>
                <c:pt idx="6546">
                  <c:v>7</c:v>
                </c:pt>
                <c:pt idx="6547">
                  <c:v>7</c:v>
                </c:pt>
                <c:pt idx="6548">
                  <c:v>7</c:v>
                </c:pt>
                <c:pt idx="6549">
                  <c:v>7</c:v>
                </c:pt>
                <c:pt idx="6550">
                  <c:v>7</c:v>
                </c:pt>
                <c:pt idx="6551">
                  <c:v>7</c:v>
                </c:pt>
                <c:pt idx="6552">
                  <c:v>7</c:v>
                </c:pt>
                <c:pt idx="6553">
                  <c:v>7</c:v>
                </c:pt>
                <c:pt idx="6554">
                  <c:v>7</c:v>
                </c:pt>
                <c:pt idx="6555">
                  <c:v>7</c:v>
                </c:pt>
                <c:pt idx="6556">
                  <c:v>7</c:v>
                </c:pt>
                <c:pt idx="6557">
                  <c:v>7</c:v>
                </c:pt>
                <c:pt idx="6558">
                  <c:v>7</c:v>
                </c:pt>
                <c:pt idx="6559">
                  <c:v>7</c:v>
                </c:pt>
                <c:pt idx="6560">
                  <c:v>7</c:v>
                </c:pt>
                <c:pt idx="6561">
                  <c:v>7</c:v>
                </c:pt>
                <c:pt idx="6562">
                  <c:v>7</c:v>
                </c:pt>
                <c:pt idx="6563">
                  <c:v>7</c:v>
                </c:pt>
                <c:pt idx="6564">
                  <c:v>7</c:v>
                </c:pt>
                <c:pt idx="6565">
                  <c:v>7</c:v>
                </c:pt>
                <c:pt idx="6566">
                  <c:v>7</c:v>
                </c:pt>
                <c:pt idx="6567">
                  <c:v>7</c:v>
                </c:pt>
                <c:pt idx="6568">
                  <c:v>7</c:v>
                </c:pt>
                <c:pt idx="6569">
                  <c:v>7</c:v>
                </c:pt>
                <c:pt idx="6570">
                  <c:v>7</c:v>
                </c:pt>
                <c:pt idx="6571">
                  <c:v>7</c:v>
                </c:pt>
                <c:pt idx="6572">
                  <c:v>7</c:v>
                </c:pt>
                <c:pt idx="6573">
                  <c:v>7</c:v>
                </c:pt>
                <c:pt idx="6574">
                  <c:v>7</c:v>
                </c:pt>
                <c:pt idx="6575">
                  <c:v>7</c:v>
                </c:pt>
                <c:pt idx="6576">
                  <c:v>7</c:v>
                </c:pt>
                <c:pt idx="6577">
                  <c:v>7</c:v>
                </c:pt>
                <c:pt idx="6578">
                  <c:v>7</c:v>
                </c:pt>
                <c:pt idx="6579">
                  <c:v>7</c:v>
                </c:pt>
                <c:pt idx="6973">
                  <c:v>8</c:v>
                </c:pt>
                <c:pt idx="6974">
                  <c:v>8</c:v>
                </c:pt>
                <c:pt idx="6975">
                  <c:v>8</c:v>
                </c:pt>
                <c:pt idx="6976">
                  <c:v>8</c:v>
                </c:pt>
                <c:pt idx="6977">
                  <c:v>8</c:v>
                </c:pt>
                <c:pt idx="6978">
                  <c:v>8</c:v>
                </c:pt>
                <c:pt idx="6979">
                  <c:v>8</c:v>
                </c:pt>
                <c:pt idx="6980">
                  <c:v>8</c:v>
                </c:pt>
                <c:pt idx="6981">
                  <c:v>8</c:v>
                </c:pt>
                <c:pt idx="6982">
                  <c:v>8</c:v>
                </c:pt>
                <c:pt idx="6983">
                  <c:v>8</c:v>
                </c:pt>
                <c:pt idx="6984">
                  <c:v>8</c:v>
                </c:pt>
                <c:pt idx="6985">
                  <c:v>8</c:v>
                </c:pt>
                <c:pt idx="6986">
                  <c:v>8</c:v>
                </c:pt>
                <c:pt idx="6987">
                  <c:v>8</c:v>
                </c:pt>
                <c:pt idx="6988">
                  <c:v>8</c:v>
                </c:pt>
                <c:pt idx="6989">
                  <c:v>8</c:v>
                </c:pt>
                <c:pt idx="6990">
                  <c:v>8</c:v>
                </c:pt>
                <c:pt idx="6991">
                  <c:v>8</c:v>
                </c:pt>
                <c:pt idx="6992">
                  <c:v>8</c:v>
                </c:pt>
                <c:pt idx="6993">
                  <c:v>8</c:v>
                </c:pt>
                <c:pt idx="6994">
                  <c:v>8</c:v>
                </c:pt>
                <c:pt idx="6995">
                  <c:v>8</c:v>
                </c:pt>
                <c:pt idx="6996">
                  <c:v>8</c:v>
                </c:pt>
                <c:pt idx="6997">
                  <c:v>8</c:v>
                </c:pt>
                <c:pt idx="6998">
                  <c:v>8</c:v>
                </c:pt>
                <c:pt idx="6999">
                  <c:v>8</c:v>
                </c:pt>
                <c:pt idx="7000">
                  <c:v>8</c:v>
                </c:pt>
                <c:pt idx="7001">
                  <c:v>8</c:v>
                </c:pt>
                <c:pt idx="7002">
                  <c:v>8</c:v>
                </c:pt>
                <c:pt idx="7003">
                  <c:v>8</c:v>
                </c:pt>
                <c:pt idx="7004">
                  <c:v>8</c:v>
                </c:pt>
                <c:pt idx="7005">
                  <c:v>8</c:v>
                </c:pt>
                <c:pt idx="7006">
                  <c:v>8</c:v>
                </c:pt>
                <c:pt idx="7007">
                  <c:v>8</c:v>
                </c:pt>
                <c:pt idx="7008">
                  <c:v>8</c:v>
                </c:pt>
                <c:pt idx="7009">
                  <c:v>8</c:v>
                </c:pt>
                <c:pt idx="7010">
                  <c:v>8</c:v>
                </c:pt>
                <c:pt idx="7011">
                  <c:v>8</c:v>
                </c:pt>
                <c:pt idx="7012">
                  <c:v>8</c:v>
                </c:pt>
                <c:pt idx="7013">
                  <c:v>8</c:v>
                </c:pt>
                <c:pt idx="7014">
                  <c:v>8</c:v>
                </c:pt>
                <c:pt idx="7015">
                  <c:v>8</c:v>
                </c:pt>
                <c:pt idx="7016">
                  <c:v>8</c:v>
                </c:pt>
                <c:pt idx="7017">
                  <c:v>8</c:v>
                </c:pt>
                <c:pt idx="7018">
                  <c:v>8</c:v>
                </c:pt>
                <c:pt idx="7019">
                  <c:v>8</c:v>
                </c:pt>
                <c:pt idx="7020">
                  <c:v>8</c:v>
                </c:pt>
                <c:pt idx="7021">
                  <c:v>8</c:v>
                </c:pt>
                <c:pt idx="7022">
                  <c:v>8</c:v>
                </c:pt>
                <c:pt idx="7023">
                  <c:v>8</c:v>
                </c:pt>
                <c:pt idx="7024">
                  <c:v>8</c:v>
                </c:pt>
                <c:pt idx="7025">
                  <c:v>8</c:v>
                </c:pt>
                <c:pt idx="7026">
                  <c:v>8</c:v>
                </c:pt>
                <c:pt idx="7027">
                  <c:v>8</c:v>
                </c:pt>
                <c:pt idx="7028">
                  <c:v>8</c:v>
                </c:pt>
                <c:pt idx="7029">
                  <c:v>8</c:v>
                </c:pt>
                <c:pt idx="7030">
                  <c:v>8</c:v>
                </c:pt>
                <c:pt idx="7031">
                  <c:v>8</c:v>
                </c:pt>
                <c:pt idx="7032">
                  <c:v>8</c:v>
                </c:pt>
                <c:pt idx="7033">
                  <c:v>8</c:v>
                </c:pt>
                <c:pt idx="7034">
                  <c:v>8</c:v>
                </c:pt>
                <c:pt idx="7035">
                  <c:v>8</c:v>
                </c:pt>
                <c:pt idx="7036">
                  <c:v>8</c:v>
                </c:pt>
                <c:pt idx="7037">
                  <c:v>8</c:v>
                </c:pt>
                <c:pt idx="7038">
                  <c:v>8</c:v>
                </c:pt>
                <c:pt idx="7039">
                  <c:v>8</c:v>
                </c:pt>
                <c:pt idx="7040">
                  <c:v>8</c:v>
                </c:pt>
                <c:pt idx="7041">
                  <c:v>8</c:v>
                </c:pt>
                <c:pt idx="7042">
                  <c:v>8</c:v>
                </c:pt>
                <c:pt idx="7043">
                  <c:v>8</c:v>
                </c:pt>
                <c:pt idx="7044">
                  <c:v>8</c:v>
                </c:pt>
                <c:pt idx="7045">
                  <c:v>8</c:v>
                </c:pt>
                <c:pt idx="7046">
                  <c:v>8</c:v>
                </c:pt>
                <c:pt idx="7047">
                  <c:v>8</c:v>
                </c:pt>
                <c:pt idx="7048">
                  <c:v>8</c:v>
                </c:pt>
                <c:pt idx="7049">
                  <c:v>8</c:v>
                </c:pt>
                <c:pt idx="7050">
                  <c:v>8</c:v>
                </c:pt>
                <c:pt idx="7051">
                  <c:v>8</c:v>
                </c:pt>
                <c:pt idx="7052">
                  <c:v>8</c:v>
                </c:pt>
                <c:pt idx="7053">
                  <c:v>8</c:v>
                </c:pt>
                <c:pt idx="7054">
                  <c:v>8</c:v>
                </c:pt>
                <c:pt idx="7055">
                  <c:v>8</c:v>
                </c:pt>
                <c:pt idx="7056">
                  <c:v>8</c:v>
                </c:pt>
                <c:pt idx="7057">
                  <c:v>8</c:v>
                </c:pt>
                <c:pt idx="7058">
                  <c:v>8</c:v>
                </c:pt>
                <c:pt idx="7059">
                  <c:v>8</c:v>
                </c:pt>
                <c:pt idx="7060">
                  <c:v>8</c:v>
                </c:pt>
                <c:pt idx="7061">
                  <c:v>8</c:v>
                </c:pt>
                <c:pt idx="7062">
                  <c:v>8</c:v>
                </c:pt>
                <c:pt idx="7063">
                  <c:v>8</c:v>
                </c:pt>
                <c:pt idx="7064">
                  <c:v>8</c:v>
                </c:pt>
                <c:pt idx="7065">
                  <c:v>8</c:v>
                </c:pt>
                <c:pt idx="7066">
                  <c:v>8</c:v>
                </c:pt>
                <c:pt idx="7067">
                  <c:v>8</c:v>
                </c:pt>
                <c:pt idx="7068">
                  <c:v>8</c:v>
                </c:pt>
                <c:pt idx="7069">
                  <c:v>8</c:v>
                </c:pt>
                <c:pt idx="7070">
                  <c:v>8</c:v>
                </c:pt>
                <c:pt idx="7071">
                  <c:v>8</c:v>
                </c:pt>
                <c:pt idx="7072">
                  <c:v>8</c:v>
                </c:pt>
                <c:pt idx="7073">
                  <c:v>8</c:v>
                </c:pt>
                <c:pt idx="7074">
                  <c:v>8</c:v>
                </c:pt>
                <c:pt idx="7075">
                  <c:v>8</c:v>
                </c:pt>
                <c:pt idx="7076">
                  <c:v>8</c:v>
                </c:pt>
                <c:pt idx="7077">
                  <c:v>8</c:v>
                </c:pt>
                <c:pt idx="7078">
                  <c:v>8</c:v>
                </c:pt>
                <c:pt idx="7079">
                  <c:v>8</c:v>
                </c:pt>
                <c:pt idx="7080">
                  <c:v>8</c:v>
                </c:pt>
                <c:pt idx="7081">
                  <c:v>8</c:v>
                </c:pt>
                <c:pt idx="7082">
                  <c:v>8</c:v>
                </c:pt>
                <c:pt idx="7083">
                  <c:v>8</c:v>
                </c:pt>
                <c:pt idx="7084">
                  <c:v>8</c:v>
                </c:pt>
                <c:pt idx="7085">
                  <c:v>8</c:v>
                </c:pt>
                <c:pt idx="7086">
                  <c:v>8</c:v>
                </c:pt>
                <c:pt idx="7087">
                  <c:v>8</c:v>
                </c:pt>
                <c:pt idx="7088">
                  <c:v>8</c:v>
                </c:pt>
                <c:pt idx="7089">
                  <c:v>8</c:v>
                </c:pt>
                <c:pt idx="7090">
                  <c:v>8</c:v>
                </c:pt>
                <c:pt idx="7091">
                  <c:v>8</c:v>
                </c:pt>
                <c:pt idx="7092">
                  <c:v>8</c:v>
                </c:pt>
                <c:pt idx="7093">
                  <c:v>8</c:v>
                </c:pt>
                <c:pt idx="7094">
                  <c:v>8</c:v>
                </c:pt>
                <c:pt idx="7095">
                  <c:v>8</c:v>
                </c:pt>
                <c:pt idx="7096">
                  <c:v>8</c:v>
                </c:pt>
                <c:pt idx="7097">
                  <c:v>8</c:v>
                </c:pt>
                <c:pt idx="7098">
                  <c:v>8</c:v>
                </c:pt>
                <c:pt idx="7099">
                  <c:v>8</c:v>
                </c:pt>
                <c:pt idx="7100">
                  <c:v>8</c:v>
                </c:pt>
                <c:pt idx="7101">
                  <c:v>8</c:v>
                </c:pt>
                <c:pt idx="7102">
                  <c:v>8</c:v>
                </c:pt>
                <c:pt idx="7103">
                  <c:v>8</c:v>
                </c:pt>
                <c:pt idx="7104">
                  <c:v>8</c:v>
                </c:pt>
                <c:pt idx="7105">
                  <c:v>8</c:v>
                </c:pt>
                <c:pt idx="7106">
                  <c:v>8</c:v>
                </c:pt>
                <c:pt idx="7107">
                  <c:v>8</c:v>
                </c:pt>
                <c:pt idx="7108">
                  <c:v>8</c:v>
                </c:pt>
                <c:pt idx="7109">
                  <c:v>8</c:v>
                </c:pt>
                <c:pt idx="7110">
                  <c:v>8</c:v>
                </c:pt>
                <c:pt idx="7111">
                  <c:v>8</c:v>
                </c:pt>
                <c:pt idx="7112">
                  <c:v>8</c:v>
                </c:pt>
                <c:pt idx="7113">
                  <c:v>8</c:v>
                </c:pt>
                <c:pt idx="7114">
                  <c:v>8</c:v>
                </c:pt>
                <c:pt idx="7115">
                  <c:v>8</c:v>
                </c:pt>
                <c:pt idx="7116">
                  <c:v>8</c:v>
                </c:pt>
                <c:pt idx="7117">
                  <c:v>8</c:v>
                </c:pt>
                <c:pt idx="7118">
                  <c:v>8</c:v>
                </c:pt>
                <c:pt idx="7119">
                  <c:v>8</c:v>
                </c:pt>
                <c:pt idx="7120">
                  <c:v>8</c:v>
                </c:pt>
                <c:pt idx="7121">
                  <c:v>8</c:v>
                </c:pt>
                <c:pt idx="7122">
                  <c:v>8</c:v>
                </c:pt>
                <c:pt idx="7123">
                  <c:v>8</c:v>
                </c:pt>
                <c:pt idx="7124">
                  <c:v>8</c:v>
                </c:pt>
                <c:pt idx="7125">
                  <c:v>8</c:v>
                </c:pt>
                <c:pt idx="7126">
                  <c:v>8</c:v>
                </c:pt>
                <c:pt idx="7127">
                  <c:v>8</c:v>
                </c:pt>
                <c:pt idx="7128">
                  <c:v>8</c:v>
                </c:pt>
                <c:pt idx="7129">
                  <c:v>8</c:v>
                </c:pt>
                <c:pt idx="7130">
                  <c:v>8</c:v>
                </c:pt>
                <c:pt idx="7131">
                  <c:v>8</c:v>
                </c:pt>
                <c:pt idx="7132">
                  <c:v>8</c:v>
                </c:pt>
                <c:pt idx="7133">
                  <c:v>8</c:v>
                </c:pt>
                <c:pt idx="7134">
                  <c:v>8</c:v>
                </c:pt>
                <c:pt idx="7135">
                  <c:v>8</c:v>
                </c:pt>
                <c:pt idx="7136">
                  <c:v>8</c:v>
                </c:pt>
                <c:pt idx="7137">
                  <c:v>8</c:v>
                </c:pt>
                <c:pt idx="7138">
                  <c:v>8</c:v>
                </c:pt>
                <c:pt idx="7139">
                  <c:v>8</c:v>
                </c:pt>
                <c:pt idx="7140">
                  <c:v>8</c:v>
                </c:pt>
                <c:pt idx="7141">
                  <c:v>8</c:v>
                </c:pt>
                <c:pt idx="7142">
                  <c:v>8</c:v>
                </c:pt>
                <c:pt idx="7143">
                  <c:v>8</c:v>
                </c:pt>
                <c:pt idx="7144">
                  <c:v>8</c:v>
                </c:pt>
                <c:pt idx="7145">
                  <c:v>8</c:v>
                </c:pt>
                <c:pt idx="7146">
                  <c:v>8</c:v>
                </c:pt>
                <c:pt idx="7147">
                  <c:v>8</c:v>
                </c:pt>
                <c:pt idx="7148">
                  <c:v>8</c:v>
                </c:pt>
                <c:pt idx="7149">
                  <c:v>8</c:v>
                </c:pt>
                <c:pt idx="7150">
                  <c:v>8</c:v>
                </c:pt>
                <c:pt idx="7151">
                  <c:v>8</c:v>
                </c:pt>
                <c:pt idx="7152">
                  <c:v>8</c:v>
                </c:pt>
                <c:pt idx="7153">
                  <c:v>8</c:v>
                </c:pt>
                <c:pt idx="7154">
                  <c:v>8</c:v>
                </c:pt>
                <c:pt idx="7155">
                  <c:v>8</c:v>
                </c:pt>
                <c:pt idx="7156">
                  <c:v>8</c:v>
                </c:pt>
                <c:pt idx="7157">
                  <c:v>8</c:v>
                </c:pt>
                <c:pt idx="7158">
                  <c:v>8</c:v>
                </c:pt>
                <c:pt idx="7159">
                  <c:v>8</c:v>
                </c:pt>
                <c:pt idx="7160">
                  <c:v>8</c:v>
                </c:pt>
                <c:pt idx="7161">
                  <c:v>8</c:v>
                </c:pt>
                <c:pt idx="7162">
                  <c:v>8</c:v>
                </c:pt>
                <c:pt idx="7163">
                  <c:v>8</c:v>
                </c:pt>
                <c:pt idx="716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D-4C9A-ADD2-10FA57F1F1FF}"/>
            </c:ext>
          </c:extLst>
        </c:ser>
        <c:ser>
          <c:idx val="3"/>
          <c:order val="3"/>
          <c:tx>
            <c:v>F4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transpose!$E$2:$E$7686</c:f>
              <c:numCache>
                <c:formatCode>General</c:formatCode>
                <c:ptCount val="7685"/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559">
                  <c:v>4</c:v>
                </c:pt>
                <c:pt idx="2560">
                  <c:v>4</c:v>
                </c:pt>
                <c:pt idx="2561">
                  <c:v>4</c:v>
                </c:pt>
                <c:pt idx="2562">
                  <c:v>4</c:v>
                </c:pt>
                <c:pt idx="2563">
                  <c:v>4</c:v>
                </c:pt>
                <c:pt idx="2564">
                  <c:v>4</c:v>
                </c:pt>
                <c:pt idx="2565">
                  <c:v>4</c:v>
                </c:pt>
                <c:pt idx="2566">
                  <c:v>4</c:v>
                </c:pt>
                <c:pt idx="2567">
                  <c:v>4</c:v>
                </c:pt>
                <c:pt idx="2568">
                  <c:v>4</c:v>
                </c:pt>
                <c:pt idx="2569">
                  <c:v>4</c:v>
                </c:pt>
                <c:pt idx="2570">
                  <c:v>4</c:v>
                </c:pt>
                <c:pt idx="2571">
                  <c:v>4</c:v>
                </c:pt>
                <c:pt idx="2572">
                  <c:v>4</c:v>
                </c:pt>
                <c:pt idx="2573">
                  <c:v>4</c:v>
                </c:pt>
                <c:pt idx="2574">
                  <c:v>4</c:v>
                </c:pt>
                <c:pt idx="2575">
                  <c:v>4</c:v>
                </c:pt>
                <c:pt idx="2576">
                  <c:v>4</c:v>
                </c:pt>
                <c:pt idx="2577">
                  <c:v>4</c:v>
                </c:pt>
                <c:pt idx="2578">
                  <c:v>4</c:v>
                </c:pt>
                <c:pt idx="2579">
                  <c:v>4</c:v>
                </c:pt>
                <c:pt idx="2580">
                  <c:v>4</c:v>
                </c:pt>
                <c:pt idx="2581">
                  <c:v>4</c:v>
                </c:pt>
                <c:pt idx="2582">
                  <c:v>4</c:v>
                </c:pt>
                <c:pt idx="2583">
                  <c:v>4</c:v>
                </c:pt>
                <c:pt idx="2584">
                  <c:v>4</c:v>
                </c:pt>
                <c:pt idx="2585">
                  <c:v>4</c:v>
                </c:pt>
                <c:pt idx="2586">
                  <c:v>4</c:v>
                </c:pt>
                <c:pt idx="2587">
                  <c:v>4</c:v>
                </c:pt>
                <c:pt idx="2588">
                  <c:v>4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4</c:v>
                </c:pt>
                <c:pt idx="2593">
                  <c:v>4</c:v>
                </c:pt>
                <c:pt idx="2594">
                  <c:v>4</c:v>
                </c:pt>
                <c:pt idx="2595">
                  <c:v>4</c:v>
                </c:pt>
                <c:pt idx="2596">
                  <c:v>4</c:v>
                </c:pt>
                <c:pt idx="2597">
                  <c:v>4</c:v>
                </c:pt>
                <c:pt idx="2598">
                  <c:v>4</c:v>
                </c:pt>
                <c:pt idx="2599">
                  <c:v>4</c:v>
                </c:pt>
                <c:pt idx="2600">
                  <c:v>4</c:v>
                </c:pt>
                <c:pt idx="2601">
                  <c:v>4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4</c:v>
                </c:pt>
                <c:pt idx="2606">
                  <c:v>4</c:v>
                </c:pt>
                <c:pt idx="2607">
                  <c:v>4</c:v>
                </c:pt>
                <c:pt idx="2608">
                  <c:v>4</c:v>
                </c:pt>
                <c:pt idx="2609">
                  <c:v>4</c:v>
                </c:pt>
                <c:pt idx="2610">
                  <c:v>4</c:v>
                </c:pt>
                <c:pt idx="2611">
                  <c:v>4</c:v>
                </c:pt>
                <c:pt idx="2612">
                  <c:v>4</c:v>
                </c:pt>
                <c:pt idx="2613">
                  <c:v>4</c:v>
                </c:pt>
                <c:pt idx="2614">
                  <c:v>4</c:v>
                </c:pt>
                <c:pt idx="2615">
                  <c:v>4</c:v>
                </c:pt>
                <c:pt idx="2616">
                  <c:v>4</c:v>
                </c:pt>
                <c:pt idx="2617">
                  <c:v>4</c:v>
                </c:pt>
                <c:pt idx="2618">
                  <c:v>4</c:v>
                </c:pt>
                <c:pt idx="2619">
                  <c:v>4</c:v>
                </c:pt>
                <c:pt idx="2620">
                  <c:v>4</c:v>
                </c:pt>
                <c:pt idx="2621">
                  <c:v>4</c:v>
                </c:pt>
                <c:pt idx="2622">
                  <c:v>4</c:v>
                </c:pt>
                <c:pt idx="2623">
                  <c:v>4</c:v>
                </c:pt>
                <c:pt idx="2624">
                  <c:v>4</c:v>
                </c:pt>
                <c:pt idx="2625">
                  <c:v>4</c:v>
                </c:pt>
                <c:pt idx="2626">
                  <c:v>4</c:v>
                </c:pt>
                <c:pt idx="2627">
                  <c:v>4</c:v>
                </c:pt>
                <c:pt idx="2628">
                  <c:v>4</c:v>
                </c:pt>
                <c:pt idx="2629">
                  <c:v>4</c:v>
                </c:pt>
                <c:pt idx="2630">
                  <c:v>4</c:v>
                </c:pt>
                <c:pt idx="2631">
                  <c:v>4</c:v>
                </c:pt>
                <c:pt idx="2632">
                  <c:v>4</c:v>
                </c:pt>
                <c:pt idx="2633">
                  <c:v>4</c:v>
                </c:pt>
                <c:pt idx="2634">
                  <c:v>4</c:v>
                </c:pt>
                <c:pt idx="2635">
                  <c:v>4</c:v>
                </c:pt>
                <c:pt idx="2636">
                  <c:v>4</c:v>
                </c:pt>
                <c:pt idx="2637">
                  <c:v>4</c:v>
                </c:pt>
                <c:pt idx="2638">
                  <c:v>4</c:v>
                </c:pt>
                <c:pt idx="2639">
                  <c:v>4</c:v>
                </c:pt>
                <c:pt idx="2640">
                  <c:v>4</c:v>
                </c:pt>
                <c:pt idx="2641">
                  <c:v>4</c:v>
                </c:pt>
                <c:pt idx="2642">
                  <c:v>4</c:v>
                </c:pt>
                <c:pt idx="2643">
                  <c:v>4</c:v>
                </c:pt>
                <c:pt idx="2644">
                  <c:v>4</c:v>
                </c:pt>
                <c:pt idx="2645">
                  <c:v>4</c:v>
                </c:pt>
                <c:pt idx="2646">
                  <c:v>4</c:v>
                </c:pt>
                <c:pt idx="2647">
                  <c:v>4</c:v>
                </c:pt>
                <c:pt idx="2648">
                  <c:v>4</c:v>
                </c:pt>
                <c:pt idx="2649">
                  <c:v>4</c:v>
                </c:pt>
                <c:pt idx="2650">
                  <c:v>4</c:v>
                </c:pt>
                <c:pt idx="2651">
                  <c:v>4</c:v>
                </c:pt>
                <c:pt idx="2652">
                  <c:v>4</c:v>
                </c:pt>
                <c:pt idx="2653">
                  <c:v>4</c:v>
                </c:pt>
                <c:pt idx="2654">
                  <c:v>4</c:v>
                </c:pt>
                <c:pt idx="2655">
                  <c:v>4</c:v>
                </c:pt>
                <c:pt idx="2656">
                  <c:v>4</c:v>
                </c:pt>
                <c:pt idx="2657">
                  <c:v>4</c:v>
                </c:pt>
                <c:pt idx="2658">
                  <c:v>4</c:v>
                </c:pt>
                <c:pt idx="2659">
                  <c:v>4</c:v>
                </c:pt>
                <c:pt idx="2660">
                  <c:v>4</c:v>
                </c:pt>
                <c:pt idx="2661">
                  <c:v>4</c:v>
                </c:pt>
                <c:pt idx="2662">
                  <c:v>4</c:v>
                </c:pt>
                <c:pt idx="2663">
                  <c:v>4</c:v>
                </c:pt>
                <c:pt idx="2664">
                  <c:v>4</c:v>
                </c:pt>
                <c:pt idx="2665">
                  <c:v>4</c:v>
                </c:pt>
                <c:pt idx="2666">
                  <c:v>4</c:v>
                </c:pt>
                <c:pt idx="2667">
                  <c:v>4</c:v>
                </c:pt>
                <c:pt idx="2668">
                  <c:v>4</c:v>
                </c:pt>
                <c:pt idx="2669">
                  <c:v>4</c:v>
                </c:pt>
                <c:pt idx="2670">
                  <c:v>4</c:v>
                </c:pt>
                <c:pt idx="2671">
                  <c:v>4</c:v>
                </c:pt>
                <c:pt idx="2672">
                  <c:v>4</c:v>
                </c:pt>
                <c:pt idx="2673">
                  <c:v>4</c:v>
                </c:pt>
                <c:pt idx="2674">
                  <c:v>4</c:v>
                </c:pt>
                <c:pt idx="2675">
                  <c:v>4</c:v>
                </c:pt>
                <c:pt idx="2676">
                  <c:v>4</c:v>
                </c:pt>
                <c:pt idx="2677">
                  <c:v>4</c:v>
                </c:pt>
                <c:pt idx="2678">
                  <c:v>4</c:v>
                </c:pt>
                <c:pt idx="2679">
                  <c:v>4</c:v>
                </c:pt>
                <c:pt idx="2680">
                  <c:v>4</c:v>
                </c:pt>
                <c:pt idx="2681">
                  <c:v>4</c:v>
                </c:pt>
                <c:pt idx="2682">
                  <c:v>4</c:v>
                </c:pt>
                <c:pt idx="2683">
                  <c:v>4</c:v>
                </c:pt>
                <c:pt idx="2684">
                  <c:v>4</c:v>
                </c:pt>
                <c:pt idx="2685">
                  <c:v>4</c:v>
                </c:pt>
                <c:pt idx="2686">
                  <c:v>4</c:v>
                </c:pt>
                <c:pt idx="2687">
                  <c:v>4</c:v>
                </c:pt>
                <c:pt idx="2688">
                  <c:v>4</c:v>
                </c:pt>
                <c:pt idx="2689">
                  <c:v>4</c:v>
                </c:pt>
                <c:pt idx="2690">
                  <c:v>4</c:v>
                </c:pt>
                <c:pt idx="2691">
                  <c:v>4</c:v>
                </c:pt>
                <c:pt idx="2692">
                  <c:v>4</c:v>
                </c:pt>
                <c:pt idx="2693">
                  <c:v>4</c:v>
                </c:pt>
                <c:pt idx="2694">
                  <c:v>4</c:v>
                </c:pt>
                <c:pt idx="2695">
                  <c:v>4</c:v>
                </c:pt>
                <c:pt idx="2696">
                  <c:v>4</c:v>
                </c:pt>
                <c:pt idx="2697">
                  <c:v>4</c:v>
                </c:pt>
                <c:pt idx="2698">
                  <c:v>4</c:v>
                </c:pt>
                <c:pt idx="2699">
                  <c:v>4</c:v>
                </c:pt>
                <c:pt idx="2700">
                  <c:v>4</c:v>
                </c:pt>
                <c:pt idx="2701">
                  <c:v>4</c:v>
                </c:pt>
                <c:pt idx="2702">
                  <c:v>4</c:v>
                </c:pt>
                <c:pt idx="2703">
                  <c:v>4</c:v>
                </c:pt>
                <c:pt idx="2704">
                  <c:v>4</c:v>
                </c:pt>
                <c:pt idx="2705">
                  <c:v>4</c:v>
                </c:pt>
                <c:pt idx="2706">
                  <c:v>4</c:v>
                </c:pt>
                <c:pt idx="2707">
                  <c:v>4</c:v>
                </c:pt>
                <c:pt idx="2708">
                  <c:v>4</c:v>
                </c:pt>
                <c:pt idx="2709">
                  <c:v>4</c:v>
                </c:pt>
                <c:pt idx="2710">
                  <c:v>4</c:v>
                </c:pt>
                <c:pt idx="2711">
                  <c:v>4</c:v>
                </c:pt>
                <c:pt idx="2712">
                  <c:v>4</c:v>
                </c:pt>
                <c:pt idx="2713">
                  <c:v>4</c:v>
                </c:pt>
                <c:pt idx="2714">
                  <c:v>4</c:v>
                </c:pt>
                <c:pt idx="2715">
                  <c:v>4</c:v>
                </c:pt>
                <c:pt idx="2716">
                  <c:v>4</c:v>
                </c:pt>
                <c:pt idx="2717">
                  <c:v>4</c:v>
                </c:pt>
                <c:pt idx="2718">
                  <c:v>4</c:v>
                </c:pt>
                <c:pt idx="2719">
                  <c:v>4</c:v>
                </c:pt>
                <c:pt idx="2720">
                  <c:v>4</c:v>
                </c:pt>
                <c:pt idx="2721">
                  <c:v>4</c:v>
                </c:pt>
                <c:pt idx="2722">
                  <c:v>4</c:v>
                </c:pt>
                <c:pt idx="2723">
                  <c:v>4</c:v>
                </c:pt>
                <c:pt idx="2724">
                  <c:v>4</c:v>
                </c:pt>
                <c:pt idx="2725">
                  <c:v>4</c:v>
                </c:pt>
                <c:pt idx="2726">
                  <c:v>4</c:v>
                </c:pt>
                <c:pt idx="2727">
                  <c:v>4</c:v>
                </c:pt>
                <c:pt idx="2728">
                  <c:v>4</c:v>
                </c:pt>
                <c:pt idx="2729">
                  <c:v>4</c:v>
                </c:pt>
                <c:pt idx="2730">
                  <c:v>4</c:v>
                </c:pt>
                <c:pt idx="2731">
                  <c:v>4</c:v>
                </c:pt>
                <c:pt idx="2732">
                  <c:v>4</c:v>
                </c:pt>
                <c:pt idx="2733">
                  <c:v>4</c:v>
                </c:pt>
                <c:pt idx="2734">
                  <c:v>4</c:v>
                </c:pt>
                <c:pt idx="2735">
                  <c:v>4</c:v>
                </c:pt>
                <c:pt idx="2736">
                  <c:v>4</c:v>
                </c:pt>
                <c:pt idx="2737">
                  <c:v>4</c:v>
                </c:pt>
                <c:pt idx="2738">
                  <c:v>4</c:v>
                </c:pt>
                <c:pt idx="2739">
                  <c:v>4</c:v>
                </c:pt>
                <c:pt idx="2740">
                  <c:v>4</c:v>
                </c:pt>
                <c:pt idx="2741">
                  <c:v>4</c:v>
                </c:pt>
                <c:pt idx="2742">
                  <c:v>4</c:v>
                </c:pt>
                <c:pt idx="2743">
                  <c:v>4</c:v>
                </c:pt>
                <c:pt idx="2744">
                  <c:v>4</c:v>
                </c:pt>
                <c:pt idx="2745">
                  <c:v>4</c:v>
                </c:pt>
                <c:pt idx="2746">
                  <c:v>4</c:v>
                </c:pt>
                <c:pt idx="2747">
                  <c:v>4</c:v>
                </c:pt>
                <c:pt idx="2748">
                  <c:v>4</c:v>
                </c:pt>
                <c:pt idx="2749">
                  <c:v>4</c:v>
                </c:pt>
                <c:pt idx="2750">
                  <c:v>4</c:v>
                </c:pt>
                <c:pt idx="2751">
                  <c:v>4</c:v>
                </c:pt>
                <c:pt idx="3185">
                  <c:v>5</c:v>
                </c:pt>
                <c:pt idx="3186">
                  <c:v>5</c:v>
                </c:pt>
                <c:pt idx="3187">
                  <c:v>5</c:v>
                </c:pt>
                <c:pt idx="3188">
                  <c:v>5</c:v>
                </c:pt>
                <c:pt idx="3189">
                  <c:v>5</c:v>
                </c:pt>
                <c:pt idx="3190">
                  <c:v>5</c:v>
                </c:pt>
                <c:pt idx="3191">
                  <c:v>5</c:v>
                </c:pt>
                <c:pt idx="3192">
                  <c:v>5</c:v>
                </c:pt>
                <c:pt idx="3193">
                  <c:v>5</c:v>
                </c:pt>
                <c:pt idx="3194">
                  <c:v>5</c:v>
                </c:pt>
                <c:pt idx="3195">
                  <c:v>5</c:v>
                </c:pt>
                <c:pt idx="3196">
                  <c:v>5</c:v>
                </c:pt>
                <c:pt idx="3197">
                  <c:v>5</c:v>
                </c:pt>
                <c:pt idx="3198">
                  <c:v>5</c:v>
                </c:pt>
                <c:pt idx="3199">
                  <c:v>5</c:v>
                </c:pt>
                <c:pt idx="3200">
                  <c:v>5</c:v>
                </c:pt>
                <c:pt idx="3201">
                  <c:v>5</c:v>
                </c:pt>
                <c:pt idx="3202">
                  <c:v>5</c:v>
                </c:pt>
                <c:pt idx="3203">
                  <c:v>5</c:v>
                </c:pt>
                <c:pt idx="3204">
                  <c:v>5</c:v>
                </c:pt>
                <c:pt idx="3205">
                  <c:v>5</c:v>
                </c:pt>
                <c:pt idx="3206">
                  <c:v>5</c:v>
                </c:pt>
                <c:pt idx="3207">
                  <c:v>5</c:v>
                </c:pt>
                <c:pt idx="3208">
                  <c:v>5</c:v>
                </c:pt>
                <c:pt idx="3209">
                  <c:v>5</c:v>
                </c:pt>
                <c:pt idx="3210">
                  <c:v>5</c:v>
                </c:pt>
                <c:pt idx="3211">
                  <c:v>5</c:v>
                </c:pt>
                <c:pt idx="3212">
                  <c:v>5</c:v>
                </c:pt>
                <c:pt idx="3213">
                  <c:v>5</c:v>
                </c:pt>
                <c:pt idx="3214">
                  <c:v>5</c:v>
                </c:pt>
                <c:pt idx="3215">
                  <c:v>5</c:v>
                </c:pt>
                <c:pt idx="3216">
                  <c:v>5</c:v>
                </c:pt>
                <c:pt idx="3217">
                  <c:v>5</c:v>
                </c:pt>
                <c:pt idx="3218">
                  <c:v>5</c:v>
                </c:pt>
                <c:pt idx="3219">
                  <c:v>5</c:v>
                </c:pt>
                <c:pt idx="3220">
                  <c:v>5</c:v>
                </c:pt>
                <c:pt idx="3221">
                  <c:v>5</c:v>
                </c:pt>
                <c:pt idx="3222">
                  <c:v>5</c:v>
                </c:pt>
                <c:pt idx="3223">
                  <c:v>5</c:v>
                </c:pt>
                <c:pt idx="3224">
                  <c:v>5</c:v>
                </c:pt>
                <c:pt idx="3225">
                  <c:v>5</c:v>
                </c:pt>
                <c:pt idx="3226">
                  <c:v>5</c:v>
                </c:pt>
                <c:pt idx="3227">
                  <c:v>5</c:v>
                </c:pt>
                <c:pt idx="3228">
                  <c:v>5</c:v>
                </c:pt>
                <c:pt idx="3229">
                  <c:v>5</c:v>
                </c:pt>
                <c:pt idx="3230">
                  <c:v>5</c:v>
                </c:pt>
                <c:pt idx="3231">
                  <c:v>5</c:v>
                </c:pt>
                <c:pt idx="3232">
                  <c:v>5</c:v>
                </c:pt>
                <c:pt idx="3233">
                  <c:v>5</c:v>
                </c:pt>
                <c:pt idx="3234">
                  <c:v>5</c:v>
                </c:pt>
                <c:pt idx="3235">
                  <c:v>5</c:v>
                </c:pt>
                <c:pt idx="3236">
                  <c:v>5</c:v>
                </c:pt>
                <c:pt idx="3237">
                  <c:v>5</c:v>
                </c:pt>
                <c:pt idx="3238">
                  <c:v>5</c:v>
                </c:pt>
                <c:pt idx="3239">
                  <c:v>5</c:v>
                </c:pt>
                <c:pt idx="3240">
                  <c:v>5</c:v>
                </c:pt>
                <c:pt idx="3241">
                  <c:v>5</c:v>
                </c:pt>
                <c:pt idx="3242">
                  <c:v>5</c:v>
                </c:pt>
                <c:pt idx="3243">
                  <c:v>5</c:v>
                </c:pt>
                <c:pt idx="3244">
                  <c:v>5</c:v>
                </c:pt>
                <c:pt idx="3245">
                  <c:v>5</c:v>
                </c:pt>
                <c:pt idx="3246">
                  <c:v>5</c:v>
                </c:pt>
                <c:pt idx="3247">
                  <c:v>5</c:v>
                </c:pt>
                <c:pt idx="3248">
                  <c:v>5</c:v>
                </c:pt>
                <c:pt idx="3249">
                  <c:v>5</c:v>
                </c:pt>
                <c:pt idx="3250">
                  <c:v>5</c:v>
                </c:pt>
                <c:pt idx="3251">
                  <c:v>5</c:v>
                </c:pt>
                <c:pt idx="3252">
                  <c:v>5</c:v>
                </c:pt>
                <c:pt idx="3253">
                  <c:v>5</c:v>
                </c:pt>
                <c:pt idx="3254">
                  <c:v>5</c:v>
                </c:pt>
                <c:pt idx="3255">
                  <c:v>5</c:v>
                </c:pt>
                <c:pt idx="3256">
                  <c:v>5</c:v>
                </c:pt>
                <c:pt idx="3257">
                  <c:v>5</c:v>
                </c:pt>
                <c:pt idx="3258">
                  <c:v>5</c:v>
                </c:pt>
                <c:pt idx="3259">
                  <c:v>5</c:v>
                </c:pt>
                <c:pt idx="3260">
                  <c:v>5</c:v>
                </c:pt>
                <c:pt idx="3261">
                  <c:v>5</c:v>
                </c:pt>
                <c:pt idx="3262">
                  <c:v>5</c:v>
                </c:pt>
                <c:pt idx="3263">
                  <c:v>5</c:v>
                </c:pt>
                <c:pt idx="3264">
                  <c:v>5</c:v>
                </c:pt>
                <c:pt idx="3265">
                  <c:v>5</c:v>
                </c:pt>
                <c:pt idx="3266">
                  <c:v>5</c:v>
                </c:pt>
                <c:pt idx="3267">
                  <c:v>5</c:v>
                </c:pt>
                <c:pt idx="3268">
                  <c:v>5</c:v>
                </c:pt>
                <c:pt idx="3269">
                  <c:v>5</c:v>
                </c:pt>
                <c:pt idx="3270">
                  <c:v>5</c:v>
                </c:pt>
                <c:pt idx="3271">
                  <c:v>5</c:v>
                </c:pt>
                <c:pt idx="3272">
                  <c:v>5</c:v>
                </c:pt>
                <c:pt idx="3273">
                  <c:v>5</c:v>
                </c:pt>
                <c:pt idx="3274">
                  <c:v>5</c:v>
                </c:pt>
                <c:pt idx="3275">
                  <c:v>5</c:v>
                </c:pt>
                <c:pt idx="3276">
                  <c:v>5</c:v>
                </c:pt>
                <c:pt idx="3277">
                  <c:v>5</c:v>
                </c:pt>
                <c:pt idx="3278">
                  <c:v>5</c:v>
                </c:pt>
                <c:pt idx="3279">
                  <c:v>5</c:v>
                </c:pt>
                <c:pt idx="3280">
                  <c:v>5</c:v>
                </c:pt>
                <c:pt idx="3281">
                  <c:v>5</c:v>
                </c:pt>
                <c:pt idx="3282">
                  <c:v>5</c:v>
                </c:pt>
                <c:pt idx="3283">
                  <c:v>5</c:v>
                </c:pt>
                <c:pt idx="3284">
                  <c:v>5</c:v>
                </c:pt>
                <c:pt idx="3285">
                  <c:v>5</c:v>
                </c:pt>
                <c:pt idx="3286">
                  <c:v>5</c:v>
                </c:pt>
                <c:pt idx="3287">
                  <c:v>5</c:v>
                </c:pt>
                <c:pt idx="3288">
                  <c:v>5</c:v>
                </c:pt>
                <c:pt idx="3289">
                  <c:v>5</c:v>
                </c:pt>
                <c:pt idx="3290">
                  <c:v>5</c:v>
                </c:pt>
                <c:pt idx="3291">
                  <c:v>5</c:v>
                </c:pt>
                <c:pt idx="3292">
                  <c:v>5</c:v>
                </c:pt>
                <c:pt idx="3293">
                  <c:v>5</c:v>
                </c:pt>
                <c:pt idx="3294">
                  <c:v>5</c:v>
                </c:pt>
                <c:pt idx="3295">
                  <c:v>5</c:v>
                </c:pt>
                <c:pt idx="3296">
                  <c:v>5</c:v>
                </c:pt>
                <c:pt idx="3297">
                  <c:v>5</c:v>
                </c:pt>
                <c:pt idx="3298">
                  <c:v>5</c:v>
                </c:pt>
                <c:pt idx="3299">
                  <c:v>5</c:v>
                </c:pt>
                <c:pt idx="3300">
                  <c:v>5</c:v>
                </c:pt>
                <c:pt idx="3301">
                  <c:v>5</c:v>
                </c:pt>
                <c:pt idx="3302">
                  <c:v>5</c:v>
                </c:pt>
                <c:pt idx="3303">
                  <c:v>5</c:v>
                </c:pt>
                <c:pt idx="3304">
                  <c:v>5</c:v>
                </c:pt>
                <c:pt idx="3305">
                  <c:v>5</c:v>
                </c:pt>
                <c:pt idx="3306">
                  <c:v>5</c:v>
                </c:pt>
                <c:pt idx="3307">
                  <c:v>5</c:v>
                </c:pt>
                <c:pt idx="3308">
                  <c:v>5</c:v>
                </c:pt>
                <c:pt idx="3309">
                  <c:v>5</c:v>
                </c:pt>
                <c:pt idx="3310">
                  <c:v>5</c:v>
                </c:pt>
                <c:pt idx="3311">
                  <c:v>5</c:v>
                </c:pt>
                <c:pt idx="3312">
                  <c:v>5</c:v>
                </c:pt>
                <c:pt idx="3313">
                  <c:v>5</c:v>
                </c:pt>
                <c:pt idx="3314">
                  <c:v>5</c:v>
                </c:pt>
                <c:pt idx="3315">
                  <c:v>5</c:v>
                </c:pt>
                <c:pt idx="3316">
                  <c:v>5</c:v>
                </c:pt>
                <c:pt idx="3317">
                  <c:v>5</c:v>
                </c:pt>
                <c:pt idx="3318">
                  <c:v>5</c:v>
                </c:pt>
                <c:pt idx="3319">
                  <c:v>5</c:v>
                </c:pt>
                <c:pt idx="3320">
                  <c:v>5</c:v>
                </c:pt>
                <c:pt idx="3321">
                  <c:v>5</c:v>
                </c:pt>
                <c:pt idx="3322">
                  <c:v>5</c:v>
                </c:pt>
                <c:pt idx="3323">
                  <c:v>5</c:v>
                </c:pt>
                <c:pt idx="3324">
                  <c:v>5</c:v>
                </c:pt>
                <c:pt idx="3325">
                  <c:v>5</c:v>
                </c:pt>
                <c:pt idx="3326">
                  <c:v>5</c:v>
                </c:pt>
                <c:pt idx="3327">
                  <c:v>5</c:v>
                </c:pt>
                <c:pt idx="3328">
                  <c:v>5</c:v>
                </c:pt>
                <c:pt idx="3329">
                  <c:v>5</c:v>
                </c:pt>
                <c:pt idx="3330">
                  <c:v>5</c:v>
                </c:pt>
                <c:pt idx="3331">
                  <c:v>5</c:v>
                </c:pt>
                <c:pt idx="3332">
                  <c:v>5</c:v>
                </c:pt>
                <c:pt idx="3333">
                  <c:v>5</c:v>
                </c:pt>
                <c:pt idx="3334">
                  <c:v>5</c:v>
                </c:pt>
                <c:pt idx="3335">
                  <c:v>5</c:v>
                </c:pt>
                <c:pt idx="3336">
                  <c:v>5</c:v>
                </c:pt>
                <c:pt idx="3337">
                  <c:v>5</c:v>
                </c:pt>
                <c:pt idx="3338">
                  <c:v>5</c:v>
                </c:pt>
                <c:pt idx="3339">
                  <c:v>5</c:v>
                </c:pt>
                <c:pt idx="3340">
                  <c:v>5</c:v>
                </c:pt>
                <c:pt idx="3341">
                  <c:v>5</c:v>
                </c:pt>
                <c:pt idx="3342">
                  <c:v>5</c:v>
                </c:pt>
                <c:pt idx="3343">
                  <c:v>5</c:v>
                </c:pt>
                <c:pt idx="3344">
                  <c:v>5</c:v>
                </c:pt>
                <c:pt idx="3345">
                  <c:v>5</c:v>
                </c:pt>
                <c:pt idx="3346">
                  <c:v>5</c:v>
                </c:pt>
                <c:pt idx="3347">
                  <c:v>5</c:v>
                </c:pt>
                <c:pt idx="3348">
                  <c:v>5</c:v>
                </c:pt>
                <c:pt idx="3349">
                  <c:v>5</c:v>
                </c:pt>
                <c:pt idx="3350">
                  <c:v>5</c:v>
                </c:pt>
                <c:pt idx="3351">
                  <c:v>5</c:v>
                </c:pt>
                <c:pt idx="3352">
                  <c:v>5</c:v>
                </c:pt>
                <c:pt idx="3353">
                  <c:v>5</c:v>
                </c:pt>
                <c:pt idx="3354">
                  <c:v>5</c:v>
                </c:pt>
                <c:pt idx="3355">
                  <c:v>5</c:v>
                </c:pt>
                <c:pt idx="3356">
                  <c:v>5</c:v>
                </c:pt>
                <c:pt idx="3357">
                  <c:v>5</c:v>
                </c:pt>
                <c:pt idx="3358">
                  <c:v>5</c:v>
                </c:pt>
                <c:pt idx="3359">
                  <c:v>5</c:v>
                </c:pt>
                <c:pt idx="3360">
                  <c:v>5</c:v>
                </c:pt>
                <c:pt idx="3361">
                  <c:v>5</c:v>
                </c:pt>
                <c:pt idx="3362">
                  <c:v>5</c:v>
                </c:pt>
                <c:pt idx="3363">
                  <c:v>5</c:v>
                </c:pt>
                <c:pt idx="3364">
                  <c:v>5</c:v>
                </c:pt>
                <c:pt idx="3365">
                  <c:v>5</c:v>
                </c:pt>
                <c:pt idx="3366">
                  <c:v>5</c:v>
                </c:pt>
                <c:pt idx="3367">
                  <c:v>5</c:v>
                </c:pt>
                <c:pt idx="3368">
                  <c:v>5</c:v>
                </c:pt>
                <c:pt idx="3369">
                  <c:v>5</c:v>
                </c:pt>
                <c:pt idx="3370">
                  <c:v>5</c:v>
                </c:pt>
                <c:pt idx="3371">
                  <c:v>5</c:v>
                </c:pt>
                <c:pt idx="3372">
                  <c:v>5</c:v>
                </c:pt>
                <c:pt idx="3373">
                  <c:v>5</c:v>
                </c:pt>
                <c:pt idx="3374">
                  <c:v>5</c:v>
                </c:pt>
                <c:pt idx="3375">
                  <c:v>5</c:v>
                </c:pt>
                <c:pt idx="3376">
                  <c:v>5</c:v>
                </c:pt>
                <c:pt idx="3377">
                  <c:v>5</c:v>
                </c:pt>
                <c:pt idx="3378">
                  <c:v>5</c:v>
                </c:pt>
                <c:pt idx="3379">
                  <c:v>5</c:v>
                </c:pt>
                <c:pt idx="3380">
                  <c:v>5</c:v>
                </c:pt>
                <c:pt idx="3381">
                  <c:v>5</c:v>
                </c:pt>
                <c:pt idx="3382">
                  <c:v>5</c:v>
                </c:pt>
                <c:pt idx="3383">
                  <c:v>5</c:v>
                </c:pt>
                <c:pt idx="3384">
                  <c:v>5</c:v>
                </c:pt>
                <c:pt idx="3385">
                  <c:v>5</c:v>
                </c:pt>
                <c:pt idx="3386">
                  <c:v>5</c:v>
                </c:pt>
                <c:pt idx="3387">
                  <c:v>5</c:v>
                </c:pt>
                <c:pt idx="3388">
                  <c:v>5</c:v>
                </c:pt>
                <c:pt idx="3389">
                  <c:v>5</c:v>
                </c:pt>
                <c:pt idx="3390">
                  <c:v>5</c:v>
                </c:pt>
                <c:pt idx="3391">
                  <c:v>5</c:v>
                </c:pt>
                <c:pt idx="3392">
                  <c:v>5</c:v>
                </c:pt>
                <c:pt idx="3393">
                  <c:v>5</c:v>
                </c:pt>
                <c:pt idx="3394">
                  <c:v>5</c:v>
                </c:pt>
                <c:pt idx="3395">
                  <c:v>5</c:v>
                </c:pt>
                <c:pt idx="3396">
                  <c:v>5</c:v>
                </c:pt>
                <c:pt idx="3397">
                  <c:v>5</c:v>
                </c:pt>
                <c:pt idx="3398">
                  <c:v>5</c:v>
                </c:pt>
                <c:pt idx="3399">
                  <c:v>5</c:v>
                </c:pt>
                <c:pt idx="3400">
                  <c:v>5</c:v>
                </c:pt>
                <c:pt idx="3401">
                  <c:v>5</c:v>
                </c:pt>
                <c:pt idx="3402">
                  <c:v>5</c:v>
                </c:pt>
                <c:pt idx="3403">
                  <c:v>5</c:v>
                </c:pt>
                <c:pt idx="3404">
                  <c:v>5</c:v>
                </c:pt>
                <c:pt idx="3405">
                  <c:v>5</c:v>
                </c:pt>
                <c:pt idx="3406">
                  <c:v>5</c:v>
                </c:pt>
                <c:pt idx="3407">
                  <c:v>5</c:v>
                </c:pt>
                <c:pt idx="3408">
                  <c:v>5</c:v>
                </c:pt>
                <c:pt idx="3409">
                  <c:v>5</c:v>
                </c:pt>
                <c:pt idx="3410">
                  <c:v>5</c:v>
                </c:pt>
                <c:pt idx="3411">
                  <c:v>5</c:v>
                </c:pt>
                <c:pt idx="3412">
                  <c:v>5</c:v>
                </c:pt>
                <c:pt idx="3413">
                  <c:v>5</c:v>
                </c:pt>
                <c:pt idx="3414">
                  <c:v>5</c:v>
                </c:pt>
                <c:pt idx="3415">
                  <c:v>5</c:v>
                </c:pt>
                <c:pt idx="3416">
                  <c:v>5</c:v>
                </c:pt>
                <c:pt idx="3417">
                  <c:v>5</c:v>
                </c:pt>
                <c:pt idx="3418">
                  <c:v>5</c:v>
                </c:pt>
                <c:pt idx="3419">
                  <c:v>5</c:v>
                </c:pt>
                <c:pt idx="3420">
                  <c:v>5</c:v>
                </c:pt>
                <c:pt idx="3421">
                  <c:v>5</c:v>
                </c:pt>
                <c:pt idx="3422">
                  <c:v>5</c:v>
                </c:pt>
                <c:pt idx="3423">
                  <c:v>5</c:v>
                </c:pt>
                <c:pt idx="3424">
                  <c:v>5</c:v>
                </c:pt>
                <c:pt idx="3425">
                  <c:v>5</c:v>
                </c:pt>
                <c:pt idx="3426">
                  <c:v>5</c:v>
                </c:pt>
                <c:pt idx="3427">
                  <c:v>5</c:v>
                </c:pt>
                <c:pt idx="3428">
                  <c:v>5</c:v>
                </c:pt>
                <c:pt idx="3429">
                  <c:v>5</c:v>
                </c:pt>
                <c:pt idx="3430">
                  <c:v>5</c:v>
                </c:pt>
                <c:pt idx="3431">
                  <c:v>5</c:v>
                </c:pt>
                <c:pt idx="3432">
                  <c:v>5</c:v>
                </c:pt>
                <c:pt idx="3433">
                  <c:v>5</c:v>
                </c:pt>
                <c:pt idx="3434">
                  <c:v>5</c:v>
                </c:pt>
                <c:pt idx="3435">
                  <c:v>5</c:v>
                </c:pt>
                <c:pt idx="3436">
                  <c:v>5</c:v>
                </c:pt>
                <c:pt idx="3437">
                  <c:v>5</c:v>
                </c:pt>
                <c:pt idx="3438">
                  <c:v>5</c:v>
                </c:pt>
                <c:pt idx="3439">
                  <c:v>5</c:v>
                </c:pt>
                <c:pt idx="3440">
                  <c:v>5</c:v>
                </c:pt>
                <c:pt idx="3441">
                  <c:v>5</c:v>
                </c:pt>
                <c:pt idx="3442">
                  <c:v>5</c:v>
                </c:pt>
                <c:pt idx="3443">
                  <c:v>5</c:v>
                </c:pt>
                <c:pt idx="3444">
                  <c:v>5</c:v>
                </c:pt>
                <c:pt idx="3445">
                  <c:v>5</c:v>
                </c:pt>
                <c:pt idx="3446">
                  <c:v>5</c:v>
                </c:pt>
                <c:pt idx="3447">
                  <c:v>5</c:v>
                </c:pt>
                <c:pt idx="3448">
                  <c:v>5</c:v>
                </c:pt>
                <c:pt idx="3449">
                  <c:v>5</c:v>
                </c:pt>
                <c:pt idx="3450">
                  <c:v>5</c:v>
                </c:pt>
                <c:pt idx="3451">
                  <c:v>5</c:v>
                </c:pt>
                <c:pt idx="3452">
                  <c:v>5</c:v>
                </c:pt>
                <c:pt idx="3453">
                  <c:v>5</c:v>
                </c:pt>
                <c:pt idx="3454">
                  <c:v>5</c:v>
                </c:pt>
                <c:pt idx="3455">
                  <c:v>5</c:v>
                </c:pt>
                <c:pt idx="3456">
                  <c:v>5</c:v>
                </c:pt>
                <c:pt idx="3457">
                  <c:v>5</c:v>
                </c:pt>
                <c:pt idx="3458">
                  <c:v>5</c:v>
                </c:pt>
                <c:pt idx="3459">
                  <c:v>5</c:v>
                </c:pt>
                <c:pt idx="3460">
                  <c:v>5</c:v>
                </c:pt>
                <c:pt idx="3461">
                  <c:v>5</c:v>
                </c:pt>
                <c:pt idx="3462">
                  <c:v>5</c:v>
                </c:pt>
                <c:pt idx="3463">
                  <c:v>5</c:v>
                </c:pt>
                <c:pt idx="3464">
                  <c:v>5</c:v>
                </c:pt>
                <c:pt idx="3465">
                  <c:v>5</c:v>
                </c:pt>
                <c:pt idx="3466">
                  <c:v>5</c:v>
                </c:pt>
                <c:pt idx="3467">
                  <c:v>5</c:v>
                </c:pt>
                <c:pt idx="3468">
                  <c:v>5</c:v>
                </c:pt>
                <c:pt idx="3469">
                  <c:v>5</c:v>
                </c:pt>
                <c:pt idx="3470">
                  <c:v>5</c:v>
                </c:pt>
                <c:pt idx="3471">
                  <c:v>5</c:v>
                </c:pt>
                <c:pt idx="3472">
                  <c:v>5</c:v>
                </c:pt>
                <c:pt idx="3945">
                  <c:v>6</c:v>
                </c:pt>
                <c:pt idx="3946">
                  <c:v>6</c:v>
                </c:pt>
                <c:pt idx="3947">
                  <c:v>6</c:v>
                </c:pt>
                <c:pt idx="3948">
                  <c:v>6</c:v>
                </c:pt>
                <c:pt idx="3949">
                  <c:v>6</c:v>
                </c:pt>
                <c:pt idx="3950">
                  <c:v>6</c:v>
                </c:pt>
                <c:pt idx="3951">
                  <c:v>6</c:v>
                </c:pt>
                <c:pt idx="3952">
                  <c:v>6</c:v>
                </c:pt>
                <c:pt idx="3953">
                  <c:v>6</c:v>
                </c:pt>
                <c:pt idx="3954">
                  <c:v>6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6</c:v>
                </c:pt>
                <c:pt idx="3959">
                  <c:v>6</c:v>
                </c:pt>
                <c:pt idx="3960">
                  <c:v>6</c:v>
                </c:pt>
                <c:pt idx="3961">
                  <c:v>6</c:v>
                </c:pt>
                <c:pt idx="3962">
                  <c:v>6</c:v>
                </c:pt>
                <c:pt idx="3963">
                  <c:v>6</c:v>
                </c:pt>
                <c:pt idx="3964">
                  <c:v>6</c:v>
                </c:pt>
                <c:pt idx="3965">
                  <c:v>6</c:v>
                </c:pt>
                <c:pt idx="3966">
                  <c:v>6</c:v>
                </c:pt>
                <c:pt idx="3967">
                  <c:v>6</c:v>
                </c:pt>
                <c:pt idx="3968">
                  <c:v>6</c:v>
                </c:pt>
                <c:pt idx="3969">
                  <c:v>6</c:v>
                </c:pt>
                <c:pt idx="3970">
                  <c:v>6</c:v>
                </c:pt>
                <c:pt idx="3971">
                  <c:v>6</c:v>
                </c:pt>
                <c:pt idx="3972">
                  <c:v>6</c:v>
                </c:pt>
                <c:pt idx="3973">
                  <c:v>6</c:v>
                </c:pt>
                <c:pt idx="3974">
                  <c:v>6</c:v>
                </c:pt>
                <c:pt idx="3975">
                  <c:v>6</c:v>
                </c:pt>
                <c:pt idx="3976">
                  <c:v>6</c:v>
                </c:pt>
                <c:pt idx="3977">
                  <c:v>6</c:v>
                </c:pt>
                <c:pt idx="3978">
                  <c:v>6</c:v>
                </c:pt>
                <c:pt idx="3979">
                  <c:v>6</c:v>
                </c:pt>
                <c:pt idx="3980">
                  <c:v>6</c:v>
                </c:pt>
                <c:pt idx="3981">
                  <c:v>6</c:v>
                </c:pt>
                <c:pt idx="3982">
                  <c:v>6</c:v>
                </c:pt>
                <c:pt idx="3983">
                  <c:v>6</c:v>
                </c:pt>
                <c:pt idx="3984">
                  <c:v>6</c:v>
                </c:pt>
                <c:pt idx="3985">
                  <c:v>6</c:v>
                </c:pt>
                <c:pt idx="3986">
                  <c:v>6</c:v>
                </c:pt>
                <c:pt idx="3987">
                  <c:v>6</c:v>
                </c:pt>
                <c:pt idx="3988">
                  <c:v>6</c:v>
                </c:pt>
                <c:pt idx="3989">
                  <c:v>6</c:v>
                </c:pt>
                <c:pt idx="3990">
                  <c:v>6</c:v>
                </c:pt>
                <c:pt idx="3991">
                  <c:v>6</c:v>
                </c:pt>
                <c:pt idx="3992">
                  <c:v>6</c:v>
                </c:pt>
                <c:pt idx="3993">
                  <c:v>6</c:v>
                </c:pt>
                <c:pt idx="3994">
                  <c:v>6</c:v>
                </c:pt>
                <c:pt idx="3995">
                  <c:v>6</c:v>
                </c:pt>
                <c:pt idx="3996">
                  <c:v>6</c:v>
                </c:pt>
                <c:pt idx="3997">
                  <c:v>6</c:v>
                </c:pt>
                <c:pt idx="3998">
                  <c:v>6</c:v>
                </c:pt>
                <c:pt idx="3999">
                  <c:v>6</c:v>
                </c:pt>
                <c:pt idx="4000">
                  <c:v>6</c:v>
                </c:pt>
                <c:pt idx="4001">
                  <c:v>6</c:v>
                </c:pt>
                <c:pt idx="4002">
                  <c:v>6</c:v>
                </c:pt>
                <c:pt idx="4003">
                  <c:v>6</c:v>
                </c:pt>
                <c:pt idx="4004">
                  <c:v>6</c:v>
                </c:pt>
                <c:pt idx="4005">
                  <c:v>6</c:v>
                </c:pt>
                <c:pt idx="4006">
                  <c:v>6</c:v>
                </c:pt>
                <c:pt idx="4007">
                  <c:v>6</c:v>
                </c:pt>
                <c:pt idx="4008">
                  <c:v>6</c:v>
                </c:pt>
                <c:pt idx="4009">
                  <c:v>6</c:v>
                </c:pt>
                <c:pt idx="4010">
                  <c:v>6</c:v>
                </c:pt>
                <c:pt idx="4011">
                  <c:v>6</c:v>
                </c:pt>
                <c:pt idx="4012">
                  <c:v>6</c:v>
                </c:pt>
                <c:pt idx="4013">
                  <c:v>6</c:v>
                </c:pt>
                <c:pt idx="4014">
                  <c:v>6</c:v>
                </c:pt>
                <c:pt idx="4015">
                  <c:v>6</c:v>
                </c:pt>
                <c:pt idx="4016">
                  <c:v>6</c:v>
                </c:pt>
                <c:pt idx="4017">
                  <c:v>6</c:v>
                </c:pt>
                <c:pt idx="4018">
                  <c:v>6</c:v>
                </c:pt>
                <c:pt idx="4019">
                  <c:v>6</c:v>
                </c:pt>
                <c:pt idx="4020">
                  <c:v>6</c:v>
                </c:pt>
                <c:pt idx="4021">
                  <c:v>6</c:v>
                </c:pt>
                <c:pt idx="4022">
                  <c:v>6</c:v>
                </c:pt>
                <c:pt idx="4023">
                  <c:v>6</c:v>
                </c:pt>
                <c:pt idx="4024">
                  <c:v>6</c:v>
                </c:pt>
                <c:pt idx="4025">
                  <c:v>6</c:v>
                </c:pt>
                <c:pt idx="4026">
                  <c:v>6</c:v>
                </c:pt>
                <c:pt idx="4027">
                  <c:v>6</c:v>
                </c:pt>
                <c:pt idx="4028">
                  <c:v>6</c:v>
                </c:pt>
                <c:pt idx="4029">
                  <c:v>6</c:v>
                </c:pt>
                <c:pt idx="4030">
                  <c:v>6</c:v>
                </c:pt>
                <c:pt idx="4031">
                  <c:v>6</c:v>
                </c:pt>
                <c:pt idx="4032">
                  <c:v>6</c:v>
                </c:pt>
                <c:pt idx="4033">
                  <c:v>6</c:v>
                </c:pt>
                <c:pt idx="4034">
                  <c:v>6</c:v>
                </c:pt>
                <c:pt idx="4035">
                  <c:v>6</c:v>
                </c:pt>
                <c:pt idx="4036">
                  <c:v>6</c:v>
                </c:pt>
                <c:pt idx="4037">
                  <c:v>6</c:v>
                </c:pt>
                <c:pt idx="4038">
                  <c:v>6</c:v>
                </c:pt>
                <c:pt idx="4039">
                  <c:v>6</c:v>
                </c:pt>
                <c:pt idx="4040">
                  <c:v>6</c:v>
                </c:pt>
                <c:pt idx="4041">
                  <c:v>6</c:v>
                </c:pt>
                <c:pt idx="4042">
                  <c:v>6</c:v>
                </c:pt>
                <c:pt idx="4043">
                  <c:v>6</c:v>
                </c:pt>
                <c:pt idx="4044">
                  <c:v>6</c:v>
                </c:pt>
                <c:pt idx="4045">
                  <c:v>6</c:v>
                </c:pt>
                <c:pt idx="4046">
                  <c:v>6</c:v>
                </c:pt>
                <c:pt idx="4047">
                  <c:v>6</c:v>
                </c:pt>
                <c:pt idx="4048">
                  <c:v>6</c:v>
                </c:pt>
                <c:pt idx="4049">
                  <c:v>6</c:v>
                </c:pt>
                <c:pt idx="4050">
                  <c:v>6</c:v>
                </c:pt>
                <c:pt idx="4051">
                  <c:v>6</c:v>
                </c:pt>
                <c:pt idx="4052">
                  <c:v>6</c:v>
                </c:pt>
                <c:pt idx="4053">
                  <c:v>6</c:v>
                </c:pt>
                <c:pt idx="4054">
                  <c:v>6</c:v>
                </c:pt>
                <c:pt idx="4055">
                  <c:v>6</c:v>
                </c:pt>
                <c:pt idx="4056">
                  <c:v>6</c:v>
                </c:pt>
                <c:pt idx="4057">
                  <c:v>6</c:v>
                </c:pt>
                <c:pt idx="4058">
                  <c:v>6</c:v>
                </c:pt>
                <c:pt idx="4059">
                  <c:v>6</c:v>
                </c:pt>
                <c:pt idx="4060">
                  <c:v>6</c:v>
                </c:pt>
                <c:pt idx="4061">
                  <c:v>6</c:v>
                </c:pt>
                <c:pt idx="4062">
                  <c:v>6</c:v>
                </c:pt>
                <c:pt idx="4063">
                  <c:v>6</c:v>
                </c:pt>
                <c:pt idx="4064">
                  <c:v>6</c:v>
                </c:pt>
                <c:pt idx="4065">
                  <c:v>6</c:v>
                </c:pt>
                <c:pt idx="4066">
                  <c:v>6</c:v>
                </c:pt>
                <c:pt idx="4067">
                  <c:v>6</c:v>
                </c:pt>
                <c:pt idx="4068">
                  <c:v>6</c:v>
                </c:pt>
                <c:pt idx="4069">
                  <c:v>6</c:v>
                </c:pt>
                <c:pt idx="4070">
                  <c:v>6</c:v>
                </c:pt>
                <c:pt idx="4071">
                  <c:v>6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6</c:v>
                </c:pt>
                <c:pt idx="4076">
                  <c:v>6</c:v>
                </c:pt>
                <c:pt idx="4077">
                  <c:v>6</c:v>
                </c:pt>
                <c:pt idx="4078">
                  <c:v>6</c:v>
                </c:pt>
                <c:pt idx="4079">
                  <c:v>6</c:v>
                </c:pt>
                <c:pt idx="4080">
                  <c:v>6</c:v>
                </c:pt>
                <c:pt idx="4081">
                  <c:v>6</c:v>
                </c:pt>
                <c:pt idx="4082">
                  <c:v>6</c:v>
                </c:pt>
                <c:pt idx="4083">
                  <c:v>6</c:v>
                </c:pt>
                <c:pt idx="4084">
                  <c:v>6</c:v>
                </c:pt>
                <c:pt idx="4085">
                  <c:v>6</c:v>
                </c:pt>
                <c:pt idx="4086">
                  <c:v>6</c:v>
                </c:pt>
                <c:pt idx="4087">
                  <c:v>6</c:v>
                </c:pt>
                <c:pt idx="4088">
                  <c:v>6</c:v>
                </c:pt>
                <c:pt idx="4089">
                  <c:v>6</c:v>
                </c:pt>
                <c:pt idx="4090">
                  <c:v>6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6</c:v>
                </c:pt>
                <c:pt idx="4095">
                  <c:v>6</c:v>
                </c:pt>
                <c:pt idx="4096">
                  <c:v>6</c:v>
                </c:pt>
                <c:pt idx="4097">
                  <c:v>6</c:v>
                </c:pt>
                <c:pt idx="4098">
                  <c:v>6</c:v>
                </c:pt>
                <c:pt idx="4099">
                  <c:v>6</c:v>
                </c:pt>
                <c:pt idx="4100">
                  <c:v>6</c:v>
                </c:pt>
                <c:pt idx="4101">
                  <c:v>6</c:v>
                </c:pt>
                <c:pt idx="4102">
                  <c:v>6</c:v>
                </c:pt>
                <c:pt idx="4103">
                  <c:v>6</c:v>
                </c:pt>
                <c:pt idx="4104">
                  <c:v>6</c:v>
                </c:pt>
                <c:pt idx="4105">
                  <c:v>6</c:v>
                </c:pt>
                <c:pt idx="4106">
                  <c:v>6</c:v>
                </c:pt>
                <c:pt idx="4107">
                  <c:v>6</c:v>
                </c:pt>
                <c:pt idx="4108">
                  <c:v>6</c:v>
                </c:pt>
                <c:pt idx="4109">
                  <c:v>6</c:v>
                </c:pt>
                <c:pt idx="4110">
                  <c:v>6</c:v>
                </c:pt>
                <c:pt idx="4111">
                  <c:v>6</c:v>
                </c:pt>
                <c:pt idx="4112">
                  <c:v>6</c:v>
                </c:pt>
                <c:pt idx="4113">
                  <c:v>6</c:v>
                </c:pt>
                <c:pt idx="4114">
                  <c:v>6</c:v>
                </c:pt>
                <c:pt idx="4115">
                  <c:v>6</c:v>
                </c:pt>
                <c:pt idx="4116">
                  <c:v>6</c:v>
                </c:pt>
                <c:pt idx="4117">
                  <c:v>6</c:v>
                </c:pt>
                <c:pt idx="4118">
                  <c:v>6</c:v>
                </c:pt>
                <c:pt idx="4119">
                  <c:v>6</c:v>
                </c:pt>
                <c:pt idx="4120">
                  <c:v>6</c:v>
                </c:pt>
                <c:pt idx="4121">
                  <c:v>6</c:v>
                </c:pt>
                <c:pt idx="4122">
                  <c:v>6</c:v>
                </c:pt>
                <c:pt idx="4123">
                  <c:v>6</c:v>
                </c:pt>
                <c:pt idx="4124">
                  <c:v>6</c:v>
                </c:pt>
                <c:pt idx="4125">
                  <c:v>6</c:v>
                </c:pt>
                <c:pt idx="4126">
                  <c:v>6</c:v>
                </c:pt>
                <c:pt idx="4127">
                  <c:v>6</c:v>
                </c:pt>
                <c:pt idx="4128">
                  <c:v>6</c:v>
                </c:pt>
                <c:pt idx="4129">
                  <c:v>6</c:v>
                </c:pt>
                <c:pt idx="4130">
                  <c:v>6</c:v>
                </c:pt>
                <c:pt idx="4131">
                  <c:v>6</c:v>
                </c:pt>
                <c:pt idx="4132">
                  <c:v>6</c:v>
                </c:pt>
                <c:pt idx="4133">
                  <c:v>6</c:v>
                </c:pt>
                <c:pt idx="4134">
                  <c:v>6</c:v>
                </c:pt>
                <c:pt idx="4135">
                  <c:v>6</c:v>
                </c:pt>
                <c:pt idx="4136">
                  <c:v>6</c:v>
                </c:pt>
                <c:pt idx="4137">
                  <c:v>6</c:v>
                </c:pt>
                <c:pt idx="4138">
                  <c:v>6</c:v>
                </c:pt>
                <c:pt idx="4139">
                  <c:v>6</c:v>
                </c:pt>
                <c:pt idx="4140">
                  <c:v>6</c:v>
                </c:pt>
                <c:pt idx="4141">
                  <c:v>6</c:v>
                </c:pt>
                <c:pt idx="4142">
                  <c:v>6</c:v>
                </c:pt>
                <c:pt idx="4143">
                  <c:v>6</c:v>
                </c:pt>
                <c:pt idx="4144">
                  <c:v>6</c:v>
                </c:pt>
                <c:pt idx="4145">
                  <c:v>6</c:v>
                </c:pt>
                <c:pt idx="4146">
                  <c:v>6</c:v>
                </c:pt>
                <c:pt idx="4147">
                  <c:v>6</c:v>
                </c:pt>
                <c:pt idx="4148">
                  <c:v>6</c:v>
                </c:pt>
                <c:pt idx="4149">
                  <c:v>6</c:v>
                </c:pt>
                <c:pt idx="4150">
                  <c:v>6</c:v>
                </c:pt>
                <c:pt idx="4151">
                  <c:v>6</c:v>
                </c:pt>
                <c:pt idx="4152">
                  <c:v>6</c:v>
                </c:pt>
                <c:pt idx="4153">
                  <c:v>6</c:v>
                </c:pt>
                <c:pt idx="4154">
                  <c:v>6</c:v>
                </c:pt>
                <c:pt idx="4155">
                  <c:v>6</c:v>
                </c:pt>
                <c:pt idx="4156">
                  <c:v>6</c:v>
                </c:pt>
                <c:pt idx="4157">
                  <c:v>6</c:v>
                </c:pt>
                <c:pt idx="4158">
                  <c:v>6</c:v>
                </c:pt>
                <c:pt idx="4159">
                  <c:v>6</c:v>
                </c:pt>
                <c:pt idx="4160">
                  <c:v>6</c:v>
                </c:pt>
                <c:pt idx="4161">
                  <c:v>6</c:v>
                </c:pt>
                <c:pt idx="4162">
                  <c:v>6</c:v>
                </c:pt>
                <c:pt idx="4163">
                  <c:v>6</c:v>
                </c:pt>
                <c:pt idx="4164">
                  <c:v>6</c:v>
                </c:pt>
                <c:pt idx="4165">
                  <c:v>6</c:v>
                </c:pt>
                <c:pt idx="4166">
                  <c:v>6</c:v>
                </c:pt>
                <c:pt idx="4167">
                  <c:v>6</c:v>
                </c:pt>
                <c:pt idx="4168">
                  <c:v>6</c:v>
                </c:pt>
                <c:pt idx="4169">
                  <c:v>6</c:v>
                </c:pt>
                <c:pt idx="4170">
                  <c:v>6</c:v>
                </c:pt>
                <c:pt idx="4171">
                  <c:v>6</c:v>
                </c:pt>
                <c:pt idx="4172">
                  <c:v>6</c:v>
                </c:pt>
                <c:pt idx="4173">
                  <c:v>6</c:v>
                </c:pt>
                <c:pt idx="4174">
                  <c:v>6</c:v>
                </c:pt>
                <c:pt idx="4175">
                  <c:v>6</c:v>
                </c:pt>
                <c:pt idx="4176">
                  <c:v>6</c:v>
                </c:pt>
                <c:pt idx="4177">
                  <c:v>6</c:v>
                </c:pt>
                <c:pt idx="4178">
                  <c:v>6</c:v>
                </c:pt>
                <c:pt idx="4179">
                  <c:v>6</c:v>
                </c:pt>
                <c:pt idx="4180">
                  <c:v>6</c:v>
                </c:pt>
                <c:pt idx="4181">
                  <c:v>6</c:v>
                </c:pt>
                <c:pt idx="4182">
                  <c:v>6</c:v>
                </c:pt>
                <c:pt idx="4183">
                  <c:v>6</c:v>
                </c:pt>
                <c:pt idx="4184">
                  <c:v>6</c:v>
                </c:pt>
                <c:pt idx="4185">
                  <c:v>6</c:v>
                </c:pt>
                <c:pt idx="4186">
                  <c:v>6</c:v>
                </c:pt>
                <c:pt idx="4187">
                  <c:v>6</c:v>
                </c:pt>
                <c:pt idx="4188">
                  <c:v>6</c:v>
                </c:pt>
                <c:pt idx="4189">
                  <c:v>6</c:v>
                </c:pt>
                <c:pt idx="4190">
                  <c:v>6</c:v>
                </c:pt>
                <c:pt idx="4191">
                  <c:v>6</c:v>
                </c:pt>
                <c:pt idx="4192">
                  <c:v>6</c:v>
                </c:pt>
                <c:pt idx="4193">
                  <c:v>6</c:v>
                </c:pt>
                <c:pt idx="4194">
                  <c:v>6</c:v>
                </c:pt>
                <c:pt idx="4195">
                  <c:v>6</c:v>
                </c:pt>
                <c:pt idx="4196">
                  <c:v>6</c:v>
                </c:pt>
                <c:pt idx="4197">
                  <c:v>6</c:v>
                </c:pt>
                <c:pt idx="4198">
                  <c:v>6</c:v>
                </c:pt>
                <c:pt idx="4199">
                  <c:v>6</c:v>
                </c:pt>
                <c:pt idx="4200">
                  <c:v>6</c:v>
                </c:pt>
                <c:pt idx="4201">
                  <c:v>6</c:v>
                </c:pt>
                <c:pt idx="4202">
                  <c:v>6</c:v>
                </c:pt>
                <c:pt idx="4203">
                  <c:v>6</c:v>
                </c:pt>
                <c:pt idx="4204">
                  <c:v>6</c:v>
                </c:pt>
                <c:pt idx="4205">
                  <c:v>6</c:v>
                </c:pt>
                <c:pt idx="4206">
                  <c:v>6</c:v>
                </c:pt>
                <c:pt idx="4207">
                  <c:v>6</c:v>
                </c:pt>
                <c:pt idx="4208">
                  <c:v>6</c:v>
                </c:pt>
                <c:pt idx="4209">
                  <c:v>6</c:v>
                </c:pt>
                <c:pt idx="4210">
                  <c:v>6</c:v>
                </c:pt>
                <c:pt idx="4211">
                  <c:v>6</c:v>
                </c:pt>
                <c:pt idx="4212">
                  <c:v>6</c:v>
                </c:pt>
                <c:pt idx="4213">
                  <c:v>6</c:v>
                </c:pt>
                <c:pt idx="4214">
                  <c:v>6</c:v>
                </c:pt>
                <c:pt idx="4215">
                  <c:v>6</c:v>
                </c:pt>
                <c:pt idx="4216">
                  <c:v>6</c:v>
                </c:pt>
                <c:pt idx="4217">
                  <c:v>6</c:v>
                </c:pt>
                <c:pt idx="4218">
                  <c:v>6</c:v>
                </c:pt>
                <c:pt idx="4219">
                  <c:v>6</c:v>
                </c:pt>
                <c:pt idx="4220">
                  <c:v>6</c:v>
                </c:pt>
                <c:pt idx="4221">
                  <c:v>6</c:v>
                </c:pt>
                <c:pt idx="4222">
                  <c:v>6</c:v>
                </c:pt>
                <c:pt idx="4223">
                  <c:v>6</c:v>
                </c:pt>
                <c:pt idx="4224">
                  <c:v>6</c:v>
                </c:pt>
                <c:pt idx="4225">
                  <c:v>6</c:v>
                </c:pt>
                <c:pt idx="4226">
                  <c:v>6</c:v>
                </c:pt>
                <c:pt idx="4227">
                  <c:v>6</c:v>
                </c:pt>
                <c:pt idx="4228">
                  <c:v>6</c:v>
                </c:pt>
                <c:pt idx="4229">
                  <c:v>6</c:v>
                </c:pt>
                <c:pt idx="4230">
                  <c:v>6</c:v>
                </c:pt>
                <c:pt idx="4231">
                  <c:v>6</c:v>
                </c:pt>
                <c:pt idx="4232">
                  <c:v>6</c:v>
                </c:pt>
                <c:pt idx="4233">
                  <c:v>6</c:v>
                </c:pt>
                <c:pt idx="4234">
                  <c:v>6</c:v>
                </c:pt>
                <c:pt idx="4235">
                  <c:v>6</c:v>
                </c:pt>
                <c:pt idx="4236">
                  <c:v>6</c:v>
                </c:pt>
                <c:pt idx="4237">
                  <c:v>6</c:v>
                </c:pt>
                <c:pt idx="4238">
                  <c:v>6</c:v>
                </c:pt>
                <c:pt idx="4239">
                  <c:v>6</c:v>
                </c:pt>
                <c:pt idx="4240">
                  <c:v>6</c:v>
                </c:pt>
                <c:pt idx="4241">
                  <c:v>6</c:v>
                </c:pt>
                <c:pt idx="4242">
                  <c:v>6</c:v>
                </c:pt>
                <c:pt idx="4243">
                  <c:v>6</c:v>
                </c:pt>
                <c:pt idx="4244">
                  <c:v>6</c:v>
                </c:pt>
                <c:pt idx="4245">
                  <c:v>6</c:v>
                </c:pt>
                <c:pt idx="4246">
                  <c:v>6</c:v>
                </c:pt>
                <c:pt idx="4247">
                  <c:v>6</c:v>
                </c:pt>
                <c:pt idx="4248">
                  <c:v>6</c:v>
                </c:pt>
                <c:pt idx="4249">
                  <c:v>6</c:v>
                </c:pt>
                <c:pt idx="4250">
                  <c:v>6</c:v>
                </c:pt>
                <c:pt idx="4251">
                  <c:v>6</c:v>
                </c:pt>
                <c:pt idx="4252">
                  <c:v>6</c:v>
                </c:pt>
                <c:pt idx="4253">
                  <c:v>6</c:v>
                </c:pt>
                <c:pt idx="4254">
                  <c:v>6</c:v>
                </c:pt>
                <c:pt idx="4255">
                  <c:v>6</c:v>
                </c:pt>
                <c:pt idx="4256">
                  <c:v>6</c:v>
                </c:pt>
                <c:pt idx="4257">
                  <c:v>6</c:v>
                </c:pt>
                <c:pt idx="4258">
                  <c:v>6</c:v>
                </c:pt>
                <c:pt idx="4259">
                  <c:v>6</c:v>
                </c:pt>
                <c:pt idx="4260">
                  <c:v>6</c:v>
                </c:pt>
                <c:pt idx="4261">
                  <c:v>6</c:v>
                </c:pt>
                <c:pt idx="4262">
                  <c:v>6</c:v>
                </c:pt>
                <c:pt idx="4263">
                  <c:v>6</c:v>
                </c:pt>
                <c:pt idx="4264">
                  <c:v>6</c:v>
                </c:pt>
                <c:pt idx="4265">
                  <c:v>6</c:v>
                </c:pt>
                <c:pt idx="4266">
                  <c:v>6</c:v>
                </c:pt>
                <c:pt idx="4267">
                  <c:v>6</c:v>
                </c:pt>
                <c:pt idx="4268">
                  <c:v>6</c:v>
                </c:pt>
                <c:pt idx="4269">
                  <c:v>6</c:v>
                </c:pt>
                <c:pt idx="4270">
                  <c:v>6</c:v>
                </c:pt>
                <c:pt idx="4271">
                  <c:v>6</c:v>
                </c:pt>
                <c:pt idx="4272">
                  <c:v>6</c:v>
                </c:pt>
                <c:pt idx="4273">
                  <c:v>6</c:v>
                </c:pt>
                <c:pt idx="4274">
                  <c:v>6</c:v>
                </c:pt>
                <c:pt idx="4275">
                  <c:v>6</c:v>
                </c:pt>
                <c:pt idx="4276">
                  <c:v>6</c:v>
                </c:pt>
                <c:pt idx="4277">
                  <c:v>6</c:v>
                </c:pt>
                <c:pt idx="4278">
                  <c:v>6</c:v>
                </c:pt>
                <c:pt idx="4279">
                  <c:v>6</c:v>
                </c:pt>
                <c:pt idx="4280">
                  <c:v>6</c:v>
                </c:pt>
                <c:pt idx="4281">
                  <c:v>6</c:v>
                </c:pt>
                <c:pt idx="4282">
                  <c:v>6</c:v>
                </c:pt>
                <c:pt idx="4283">
                  <c:v>6</c:v>
                </c:pt>
                <c:pt idx="4284">
                  <c:v>6</c:v>
                </c:pt>
                <c:pt idx="4285">
                  <c:v>6</c:v>
                </c:pt>
                <c:pt idx="4286">
                  <c:v>6</c:v>
                </c:pt>
                <c:pt idx="4287">
                  <c:v>6</c:v>
                </c:pt>
                <c:pt idx="4288">
                  <c:v>6</c:v>
                </c:pt>
                <c:pt idx="4289">
                  <c:v>6</c:v>
                </c:pt>
                <c:pt idx="4290">
                  <c:v>6</c:v>
                </c:pt>
                <c:pt idx="4291">
                  <c:v>6</c:v>
                </c:pt>
                <c:pt idx="4292">
                  <c:v>6</c:v>
                </c:pt>
                <c:pt idx="4293">
                  <c:v>6</c:v>
                </c:pt>
                <c:pt idx="4294">
                  <c:v>6</c:v>
                </c:pt>
                <c:pt idx="4295">
                  <c:v>6</c:v>
                </c:pt>
                <c:pt idx="4296">
                  <c:v>6</c:v>
                </c:pt>
                <c:pt idx="4297">
                  <c:v>6</c:v>
                </c:pt>
                <c:pt idx="4298">
                  <c:v>6</c:v>
                </c:pt>
                <c:pt idx="4299">
                  <c:v>6</c:v>
                </c:pt>
                <c:pt idx="4300">
                  <c:v>6</c:v>
                </c:pt>
                <c:pt idx="4301">
                  <c:v>6</c:v>
                </c:pt>
                <c:pt idx="4302">
                  <c:v>6</c:v>
                </c:pt>
                <c:pt idx="4303">
                  <c:v>6</c:v>
                </c:pt>
                <c:pt idx="4304">
                  <c:v>6</c:v>
                </c:pt>
                <c:pt idx="4305">
                  <c:v>6</c:v>
                </c:pt>
                <c:pt idx="4306">
                  <c:v>6</c:v>
                </c:pt>
                <c:pt idx="4307">
                  <c:v>6</c:v>
                </c:pt>
                <c:pt idx="4308">
                  <c:v>6</c:v>
                </c:pt>
                <c:pt idx="4309">
                  <c:v>6</c:v>
                </c:pt>
                <c:pt idx="4310">
                  <c:v>6</c:v>
                </c:pt>
                <c:pt idx="4311">
                  <c:v>6</c:v>
                </c:pt>
                <c:pt idx="4312">
                  <c:v>6</c:v>
                </c:pt>
                <c:pt idx="4313">
                  <c:v>6</c:v>
                </c:pt>
                <c:pt idx="4314">
                  <c:v>6</c:v>
                </c:pt>
                <c:pt idx="4315">
                  <c:v>6</c:v>
                </c:pt>
                <c:pt idx="4316">
                  <c:v>6</c:v>
                </c:pt>
                <c:pt idx="4317">
                  <c:v>6</c:v>
                </c:pt>
                <c:pt idx="4318">
                  <c:v>6</c:v>
                </c:pt>
                <c:pt idx="4319">
                  <c:v>6</c:v>
                </c:pt>
                <c:pt idx="4320">
                  <c:v>6</c:v>
                </c:pt>
                <c:pt idx="4321">
                  <c:v>6</c:v>
                </c:pt>
                <c:pt idx="4322">
                  <c:v>6</c:v>
                </c:pt>
                <c:pt idx="4323">
                  <c:v>6</c:v>
                </c:pt>
                <c:pt idx="4324">
                  <c:v>6</c:v>
                </c:pt>
                <c:pt idx="4325">
                  <c:v>6</c:v>
                </c:pt>
                <c:pt idx="4326">
                  <c:v>6</c:v>
                </c:pt>
                <c:pt idx="4327">
                  <c:v>6</c:v>
                </c:pt>
                <c:pt idx="4328">
                  <c:v>6</c:v>
                </c:pt>
                <c:pt idx="4329">
                  <c:v>6</c:v>
                </c:pt>
                <c:pt idx="4330">
                  <c:v>6</c:v>
                </c:pt>
                <c:pt idx="4331">
                  <c:v>6</c:v>
                </c:pt>
                <c:pt idx="4332">
                  <c:v>6</c:v>
                </c:pt>
                <c:pt idx="4333">
                  <c:v>6</c:v>
                </c:pt>
                <c:pt idx="4334">
                  <c:v>6</c:v>
                </c:pt>
                <c:pt idx="4335">
                  <c:v>6</c:v>
                </c:pt>
                <c:pt idx="4336">
                  <c:v>6</c:v>
                </c:pt>
                <c:pt idx="4337">
                  <c:v>6</c:v>
                </c:pt>
                <c:pt idx="4338">
                  <c:v>6</c:v>
                </c:pt>
                <c:pt idx="4339">
                  <c:v>6</c:v>
                </c:pt>
                <c:pt idx="4340">
                  <c:v>6</c:v>
                </c:pt>
                <c:pt idx="4341">
                  <c:v>6</c:v>
                </c:pt>
                <c:pt idx="4342">
                  <c:v>6</c:v>
                </c:pt>
                <c:pt idx="4343">
                  <c:v>6</c:v>
                </c:pt>
                <c:pt idx="4344">
                  <c:v>6</c:v>
                </c:pt>
                <c:pt idx="4345">
                  <c:v>6</c:v>
                </c:pt>
                <c:pt idx="4346">
                  <c:v>6</c:v>
                </c:pt>
                <c:pt idx="4347">
                  <c:v>6</c:v>
                </c:pt>
                <c:pt idx="4348">
                  <c:v>6</c:v>
                </c:pt>
                <c:pt idx="4349">
                  <c:v>6</c:v>
                </c:pt>
                <c:pt idx="4350">
                  <c:v>6</c:v>
                </c:pt>
                <c:pt idx="4351">
                  <c:v>6</c:v>
                </c:pt>
                <c:pt idx="4352">
                  <c:v>6</c:v>
                </c:pt>
                <c:pt idx="4353">
                  <c:v>6</c:v>
                </c:pt>
                <c:pt idx="4354">
                  <c:v>6</c:v>
                </c:pt>
                <c:pt idx="4355">
                  <c:v>6</c:v>
                </c:pt>
                <c:pt idx="4356">
                  <c:v>6</c:v>
                </c:pt>
                <c:pt idx="4357">
                  <c:v>6</c:v>
                </c:pt>
                <c:pt idx="4358">
                  <c:v>6</c:v>
                </c:pt>
                <c:pt idx="4359">
                  <c:v>6</c:v>
                </c:pt>
                <c:pt idx="4360">
                  <c:v>6</c:v>
                </c:pt>
                <c:pt idx="4361">
                  <c:v>6</c:v>
                </c:pt>
                <c:pt idx="4362">
                  <c:v>6</c:v>
                </c:pt>
                <c:pt idx="4363">
                  <c:v>6</c:v>
                </c:pt>
                <c:pt idx="4364">
                  <c:v>6</c:v>
                </c:pt>
                <c:pt idx="4365">
                  <c:v>6</c:v>
                </c:pt>
                <c:pt idx="4366">
                  <c:v>6</c:v>
                </c:pt>
                <c:pt idx="4367">
                  <c:v>6</c:v>
                </c:pt>
                <c:pt idx="4368">
                  <c:v>6</c:v>
                </c:pt>
                <c:pt idx="4369">
                  <c:v>6</c:v>
                </c:pt>
                <c:pt idx="4370">
                  <c:v>6</c:v>
                </c:pt>
                <c:pt idx="4371">
                  <c:v>6</c:v>
                </c:pt>
                <c:pt idx="4372">
                  <c:v>6</c:v>
                </c:pt>
                <c:pt idx="4373">
                  <c:v>6</c:v>
                </c:pt>
                <c:pt idx="4374">
                  <c:v>6</c:v>
                </c:pt>
                <c:pt idx="4375">
                  <c:v>6</c:v>
                </c:pt>
                <c:pt idx="4376">
                  <c:v>6</c:v>
                </c:pt>
                <c:pt idx="4377">
                  <c:v>6</c:v>
                </c:pt>
                <c:pt idx="4378">
                  <c:v>6</c:v>
                </c:pt>
                <c:pt idx="4379">
                  <c:v>6</c:v>
                </c:pt>
                <c:pt idx="4380">
                  <c:v>6</c:v>
                </c:pt>
                <c:pt idx="4381">
                  <c:v>6</c:v>
                </c:pt>
                <c:pt idx="4382">
                  <c:v>6</c:v>
                </c:pt>
                <c:pt idx="4383">
                  <c:v>6</c:v>
                </c:pt>
                <c:pt idx="4384">
                  <c:v>6</c:v>
                </c:pt>
                <c:pt idx="4385">
                  <c:v>6</c:v>
                </c:pt>
                <c:pt idx="4386">
                  <c:v>6</c:v>
                </c:pt>
                <c:pt idx="4387">
                  <c:v>6</c:v>
                </c:pt>
                <c:pt idx="4388">
                  <c:v>6</c:v>
                </c:pt>
                <c:pt idx="4389">
                  <c:v>6</c:v>
                </c:pt>
                <c:pt idx="4390">
                  <c:v>6</c:v>
                </c:pt>
                <c:pt idx="4391">
                  <c:v>6</c:v>
                </c:pt>
                <c:pt idx="4392">
                  <c:v>6</c:v>
                </c:pt>
                <c:pt idx="4393">
                  <c:v>6</c:v>
                </c:pt>
                <c:pt idx="4394">
                  <c:v>6</c:v>
                </c:pt>
                <c:pt idx="4395">
                  <c:v>6</c:v>
                </c:pt>
                <c:pt idx="4396">
                  <c:v>6</c:v>
                </c:pt>
                <c:pt idx="4397">
                  <c:v>6</c:v>
                </c:pt>
                <c:pt idx="4398">
                  <c:v>6</c:v>
                </c:pt>
                <c:pt idx="4399">
                  <c:v>6</c:v>
                </c:pt>
                <c:pt idx="4400">
                  <c:v>6</c:v>
                </c:pt>
                <c:pt idx="4401">
                  <c:v>6</c:v>
                </c:pt>
                <c:pt idx="4402">
                  <c:v>6</c:v>
                </c:pt>
                <c:pt idx="4403">
                  <c:v>6</c:v>
                </c:pt>
                <c:pt idx="4404">
                  <c:v>6</c:v>
                </c:pt>
                <c:pt idx="4405">
                  <c:v>6</c:v>
                </c:pt>
                <c:pt idx="4406">
                  <c:v>6</c:v>
                </c:pt>
                <c:pt idx="4407">
                  <c:v>6</c:v>
                </c:pt>
                <c:pt idx="4408">
                  <c:v>6</c:v>
                </c:pt>
                <c:pt idx="4409">
                  <c:v>6</c:v>
                </c:pt>
                <c:pt idx="4410">
                  <c:v>6</c:v>
                </c:pt>
                <c:pt idx="4411">
                  <c:v>6</c:v>
                </c:pt>
                <c:pt idx="4412">
                  <c:v>6</c:v>
                </c:pt>
                <c:pt idx="4413">
                  <c:v>6</c:v>
                </c:pt>
                <c:pt idx="4414">
                  <c:v>6</c:v>
                </c:pt>
                <c:pt idx="4415">
                  <c:v>6</c:v>
                </c:pt>
                <c:pt idx="4416">
                  <c:v>6</c:v>
                </c:pt>
                <c:pt idx="4417">
                  <c:v>6</c:v>
                </c:pt>
                <c:pt idx="4418">
                  <c:v>6</c:v>
                </c:pt>
                <c:pt idx="4419">
                  <c:v>6</c:v>
                </c:pt>
                <c:pt idx="4420">
                  <c:v>6</c:v>
                </c:pt>
                <c:pt idx="4421">
                  <c:v>6</c:v>
                </c:pt>
                <c:pt idx="4422">
                  <c:v>6</c:v>
                </c:pt>
                <c:pt idx="4423">
                  <c:v>6</c:v>
                </c:pt>
                <c:pt idx="4424">
                  <c:v>6</c:v>
                </c:pt>
                <c:pt idx="4425">
                  <c:v>6</c:v>
                </c:pt>
                <c:pt idx="4426">
                  <c:v>6</c:v>
                </c:pt>
                <c:pt idx="4427">
                  <c:v>6</c:v>
                </c:pt>
                <c:pt idx="4428">
                  <c:v>6</c:v>
                </c:pt>
                <c:pt idx="4429">
                  <c:v>6</c:v>
                </c:pt>
                <c:pt idx="4430">
                  <c:v>6</c:v>
                </c:pt>
                <c:pt idx="4431">
                  <c:v>6</c:v>
                </c:pt>
                <c:pt idx="4432">
                  <c:v>6</c:v>
                </c:pt>
                <c:pt idx="4433">
                  <c:v>6</c:v>
                </c:pt>
                <c:pt idx="4434">
                  <c:v>6</c:v>
                </c:pt>
                <c:pt idx="4435">
                  <c:v>6</c:v>
                </c:pt>
                <c:pt idx="4436">
                  <c:v>6</c:v>
                </c:pt>
                <c:pt idx="4437">
                  <c:v>6</c:v>
                </c:pt>
                <c:pt idx="4438">
                  <c:v>6</c:v>
                </c:pt>
                <c:pt idx="4439">
                  <c:v>6</c:v>
                </c:pt>
                <c:pt idx="4440">
                  <c:v>6</c:v>
                </c:pt>
                <c:pt idx="4441">
                  <c:v>6</c:v>
                </c:pt>
                <c:pt idx="4442">
                  <c:v>6</c:v>
                </c:pt>
                <c:pt idx="4443">
                  <c:v>6</c:v>
                </c:pt>
                <c:pt idx="4444">
                  <c:v>6</c:v>
                </c:pt>
                <c:pt idx="4445">
                  <c:v>6</c:v>
                </c:pt>
                <c:pt idx="4446">
                  <c:v>6</c:v>
                </c:pt>
                <c:pt idx="4447">
                  <c:v>6</c:v>
                </c:pt>
                <c:pt idx="4448">
                  <c:v>6</c:v>
                </c:pt>
                <c:pt idx="4449">
                  <c:v>6</c:v>
                </c:pt>
                <c:pt idx="4450">
                  <c:v>6</c:v>
                </c:pt>
                <c:pt idx="4451">
                  <c:v>6</c:v>
                </c:pt>
                <c:pt idx="4452">
                  <c:v>6</c:v>
                </c:pt>
                <c:pt idx="4453">
                  <c:v>6</c:v>
                </c:pt>
                <c:pt idx="4454">
                  <c:v>6</c:v>
                </c:pt>
                <c:pt idx="4455">
                  <c:v>6</c:v>
                </c:pt>
                <c:pt idx="4456">
                  <c:v>6</c:v>
                </c:pt>
                <c:pt idx="4457">
                  <c:v>6</c:v>
                </c:pt>
                <c:pt idx="4458">
                  <c:v>6</c:v>
                </c:pt>
                <c:pt idx="4459">
                  <c:v>6</c:v>
                </c:pt>
                <c:pt idx="4460">
                  <c:v>6</c:v>
                </c:pt>
                <c:pt idx="4461">
                  <c:v>6</c:v>
                </c:pt>
                <c:pt idx="4462">
                  <c:v>6</c:v>
                </c:pt>
                <c:pt idx="4463">
                  <c:v>6</c:v>
                </c:pt>
                <c:pt idx="4464">
                  <c:v>6</c:v>
                </c:pt>
                <c:pt idx="5134">
                  <c:v>7</c:v>
                </c:pt>
                <c:pt idx="5135">
                  <c:v>7</c:v>
                </c:pt>
                <c:pt idx="5136">
                  <c:v>7</c:v>
                </c:pt>
                <c:pt idx="5137">
                  <c:v>7</c:v>
                </c:pt>
                <c:pt idx="5138">
                  <c:v>7</c:v>
                </c:pt>
                <c:pt idx="5139">
                  <c:v>7</c:v>
                </c:pt>
                <c:pt idx="5140">
                  <c:v>7</c:v>
                </c:pt>
                <c:pt idx="5141">
                  <c:v>7</c:v>
                </c:pt>
                <c:pt idx="5142">
                  <c:v>7</c:v>
                </c:pt>
                <c:pt idx="5143">
                  <c:v>7</c:v>
                </c:pt>
                <c:pt idx="5144">
                  <c:v>7</c:v>
                </c:pt>
                <c:pt idx="5145">
                  <c:v>7</c:v>
                </c:pt>
                <c:pt idx="5146">
                  <c:v>7</c:v>
                </c:pt>
                <c:pt idx="5147">
                  <c:v>7</c:v>
                </c:pt>
                <c:pt idx="5148">
                  <c:v>7</c:v>
                </c:pt>
                <c:pt idx="5149">
                  <c:v>7</c:v>
                </c:pt>
                <c:pt idx="5150">
                  <c:v>7</c:v>
                </c:pt>
                <c:pt idx="5151">
                  <c:v>7</c:v>
                </c:pt>
                <c:pt idx="5152">
                  <c:v>7</c:v>
                </c:pt>
                <c:pt idx="5153">
                  <c:v>7</c:v>
                </c:pt>
                <c:pt idx="5154">
                  <c:v>7</c:v>
                </c:pt>
                <c:pt idx="5155">
                  <c:v>7</c:v>
                </c:pt>
                <c:pt idx="5156">
                  <c:v>7</c:v>
                </c:pt>
                <c:pt idx="5157">
                  <c:v>7</c:v>
                </c:pt>
                <c:pt idx="5158">
                  <c:v>7</c:v>
                </c:pt>
                <c:pt idx="5159">
                  <c:v>7</c:v>
                </c:pt>
                <c:pt idx="5160">
                  <c:v>7</c:v>
                </c:pt>
                <c:pt idx="5161">
                  <c:v>7</c:v>
                </c:pt>
                <c:pt idx="5162">
                  <c:v>7</c:v>
                </c:pt>
                <c:pt idx="5163">
                  <c:v>7</c:v>
                </c:pt>
                <c:pt idx="5164">
                  <c:v>7</c:v>
                </c:pt>
                <c:pt idx="5165">
                  <c:v>7</c:v>
                </c:pt>
                <c:pt idx="5166">
                  <c:v>7</c:v>
                </c:pt>
                <c:pt idx="5167">
                  <c:v>7</c:v>
                </c:pt>
                <c:pt idx="5168">
                  <c:v>7</c:v>
                </c:pt>
                <c:pt idx="5169">
                  <c:v>7</c:v>
                </c:pt>
                <c:pt idx="5170">
                  <c:v>7</c:v>
                </c:pt>
                <c:pt idx="5171">
                  <c:v>7</c:v>
                </c:pt>
                <c:pt idx="5172">
                  <c:v>7</c:v>
                </c:pt>
                <c:pt idx="5173">
                  <c:v>7</c:v>
                </c:pt>
                <c:pt idx="5174">
                  <c:v>7</c:v>
                </c:pt>
                <c:pt idx="5175">
                  <c:v>7</c:v>
                </c:pt>
                <c:pt idx="5176">
                  <c:v>7</c:v>
                </c:pt>
                <c:pt idx="5177">
                  <c:v>7</c:v>
                </c:pt>
                <c:pt idx="5178">
                  <c:v>7</c:v>
                </c:pt>
                <c:pt idx="5179">
                  <c:v>7</c:v>
                </c:pt>
                <c:pt idx="5180">
                  <c:v>7</c:v>
                </c:pt>
                <c:pt idx="5181">
                  <c:v>7</c:v>
                </c:pt>
                <c:pt idx="5182">
                  <c:v>7</c:v>
                </c:pt>
                <c:pt idx="5183">
                  <c:v>7</c:v>
                </c:pt>
                <c:pt idx="5184">
                  <c:v>7</c:v>
                </c:pt>
                <c:pt idx="5185">
                  <c:v>7</c:v>
                </c:pt>
                <c:pt idx="5186">
                  <c:v>7</c:v>
                </c:pt>
                <c:pt idx="5187">
                  <c:v>7</c:v>
                </c:pt>
                <c:pt idx="5188">
                  <c:v>7</c:v>
                </c:pt>
                <c:pt idx="5189">
                  <c:v>7</c:v>
                </c:pt>
                <c:pt idx="5190">
                  <c:v>7</c:v>
                </c:pt>
                <c:pt idx="5191">
                  <c:v>7</c:v>
                </c:pt>
                <c:pt idx="5192">
                  <c:v>7</c:v>
                </c:pt>
                <c:pt idx="5193">
                  <c:v>7</c:v>
                </c:pt>
                <c:pt idx="5194">
                  <c:v>7</c:v>
                </c:pt>
                <c:pt idx="5195">
                  <c:v>7</c:v>
                </c:pt>
                <c:pt idx="5196">
                  <c:v>7</c:v>
                </c:pt>
                <c:pt idx="5197">
                  <c:v>7</c:v>
                </c:pt>
                <c:pt idx="5198">
                  <c:v>7</c:v>
                </c:pt>
                <c:pt idx="5199">
                  <c:v>7</c:v>
                </c:pt>
                <c:pt idx="5200">
                  <c:v>7</c:v>
                </c:pt>
                <c:pt idx="5201">
                  <c:v>7</c:v>
                </c:pt>
                <c:pt idx="5202">
                  <c:v>7</c:v>
                </c:pt>
                <c:pt idx="5203">
                  <c:v>7</c:v>
                </c:pt>
                <c:pt idx="5204">
                  <c:v>7</c:v>
                </c:pt>
                <c:pt idx="5205">
                  <c:v>7</c:v>
                </c:pt>
                <c:pt idx="5206">
                  <c:v>7</c:v>
                </c:pt>
                <c:pt idx="5207">
                  <c:v>7</c:v>
                </c:pt>
                <c:pt idx="5208">
                  <c:v>7</c:v>
                </c:pt>
                <c:pt idx="5209">
                  <c:v>7</c:v>
                </c:pt>
                <c:pt idx="5210">
                  <c:v>7</c:v>
                </c:pt>
                <c:pt idx="5211">
                  <c:v>7</c:v>
                </c:pt>
                <c:pt idx="5212">
                  <c:v>7</c:v>
                </c:pt>
                <c:pt idx="5213">
                  <c:v>7</c:v>
                </c:pt>
                <c:pt idx="5214">
                  <c:v>7</c:v>
                </c:pt>
                <c:pt idx="5215">
                  <c:v>7</c:v>
                </c:pt>
                <c:pt idx="5216">
                  <c:v>7</c:v>
                </c:pt>
                <c:pt idx="5217">
                  <c:v>7</c:v>
                </c:pt>
                <c:pt idx="5218">
                  <c:v>7</c:v>
                </c:pt>
                <c:pt idx="5219">
                  <c:v>7</c:v>
                </c:pt>
                <c:pt idx="5220">
                  <c:v>7</c:v>
                </c:pt>
                <c:pt idx="5221">
                  <c:v>7</c:v>
                </c:pt>
                <c:pt idx="5222">
                  <c:v>7</c:v>
                </c:pt>
                <c:pt idx="5223">
                  <c:v>7</c:v>
                </c:pt>
                <c:pt idx="5224">
                  <c:v>7</c:v>
                </c:pt>
                <c:pt idx="5225">
                  <c:v>7</c:v>
                </c:pt>
                <c:pt idx="5226">
                  <c:v>7</c:v>
                </c:pt>
                <c:pt idx="5227">
                  <c:v>7</c:v>
                </c:pt>
                <c:pt idx="5228">
                  <c:v>7</c:v>
                </c:pt>
                <c:pt idx="5229">
                  <c:v>7</c:v>
                </c:pt>
                <c:pt idx="5230">
                  <c:v>7</c:v>
                </c:pt>
                <c:pt idx="5231">
                  <c:v>7</c:v>
                </c:pt>
                <c:pt idx="5232">
                  <c:v>7</c:v>
                </c:pt>
                <c:pt idx="5233">
                  <c:v>7</c:v>
                </c:pt>
                <c:pt idx="5234">
                  <c:v>7</c:v>
                </c:pt>
                <c:pt idx="5235">
                  <c:v>7</c:v>
                </c:pt>
                <c:pt idx="5236">
                  <c:v>7</c:v>
                </c:pt>
                <c:pt idx="5237">
                  <c:v>7</c:v>
                </c:pt>
                <c:pt idx="5238">
                  <c:v>7</c:v>
                </c:pt>
                <c:pt idx="5239">
                  <c:v>7</c:v>
                </c:pt>
                <c:pt idx="5240">
                  <c:v>7</c:v>
                </c:pt>
                <c:pt idx="5241">
                  <c:v>7</c:v>
                </c:pt>
                <c:pt idx="5242">
                  <c:v>7</c:v>
                </c:pt>
                <c:pt idx="5243">
                  <c:v>7</c:v>
                </c:pt>
                <c:pt idx="5244">
                  <c:v>7</c:v>
                </c:pt>
                <c:pt idx="5245">
                  <c:v>7</c:v>
                </c:pt>
                <c:pt idx="5246">
                  <c:v>7</c:v>
                </c:pt>
                <c:pt idx="5247">
                  <c:v>7</c:v>
                </c:pt>
                <c:pt idx="5248">
                  <c:v>7</c:v>
                </c:pt>
                <c:pt idx="5249">
                  <c:v>7</c:v>
                </c:pt>
                <c:pt idx="5250">
                  <c:v>7</c:v>
                </c:pt>
                <c:pt idx="5251">
                  <c:v>7</c:v>
                </c:pt>
                <c:pt idx="5252">
                  <c:v>7</c:v>
                </c:pt>
                <c:pt idx="5253">
                  <c:v>7</c:v>
                </c:pt>
                <c:pt idx="5254">
                  <c:v>7</c:v>
                </c:pt>
                <c:pt idx="5255">
                  <c:v>7</c:v>
                </c:pt>
                <c:pt idx="5256">
                  <c:v>7</c:v>
                </c:pt>
                <c:pt idx="5257">
                  <c:v>7</c:v>
                </c:pt>
                <c:pt idx="5258">
                  <c:v>7</c:v>
                </c:pt>
                <c:pt idx="5259">
                  <c:v>7</c:v>
                </c:pt>
                <c:pt idx="5260">
                  <c:v>7</c:v>
                </c:pt>
                <c:pt idx="5261">
                  <c:v>7</c:v>
                </c:pt>
                <c:pt idx="5262">
                  <c:v>7</c:v>
                </c:pt>
                <c:pt idx="5263">
                  <c:v>7</c:v>
                </c:pt>
                <c:pt idx="5264">
                  <c:v>7</c:v>
                </c:pt>
                <c:pt idx="5265">
                  <c:v>7</c:v>
                </c:pt>
                <c:pt idx="5266">
                  <c:v>7</c:v>
                </c:pt>
                <c:pt idx="5267">
                  <c:v>7</c:v>
                </c:pt>
                <c:pt idx="5268">
                  <c:v>7</c:v>
                </c:pt>
                <c:pt idx="5269">
                  <c:v>7</c:v>
                </c:pt>
                <c:pt idx="5270">
                  <c:v>7</c:v>
                </c:pt>
                <c:pt idx="5271">
                  <c:v>7</c:v>
                </c:pt>
                <c:pt idx="5272">
                  <c:v>7</c:v>
                </c:pt>
                <c:pt idx="5273">
                  <c:v>7</c:v>
                </c:pt>
                <c:pt idx="5274">
                  <c:v>7</c:v>
                </c:pt>
                <c:pt idx="5275">
                  <c:v>7</c:v>
                </c:pt>
                <c:pt idx="5276">
                  <c:v>7</c:v>
                </c:pt>
                <c:pt idx="5277">
                  <c:v>7</c:v>
                </c:pt>
                <c:pt idx="5278">
                  <c:v>7</c:v>
                </c:pt>
                <c:pt idx="5279">
                  <c:v>7</c:v>
                </c:pt>
                <c:pt idx="5280">
                  <c:v>7</c:v>
                </c:pt>
                <c:pt idx="5281">
                  <c:v>7</c:v>
                </c:pt>
                <c:pt idx="5282">
                  <c:v>7</c:v>
                </c:pt>
                <c:pt idx="5283">
                  <c:v>7</c:v>
                </c:pt>
                <c:pt idx="5284">
                  <c:v>7</c:v>
                </c:pt>
                <c:pt idx="5285">
                  <c:v>7</c:v>
                </c:pt>
                <c:pt idx="5286">
                  <c:v>7</c:v>
                </c:pt>
                <c:pt idx="5287">
                  <c:v>7</c:v>
                </c:pt>
                <c:pt idx="5288">
                  <c:v>7</c:v>
                </c:pt>
                <c:pt idx="5289">
                  <c:v>7</c:v>
                </c:pt>
                <c:pt idx="5290">
                  <c:v>7</c:v>
                </c:pt>
                <c:pt idx="5291">
                  <c:v>7</c:v>
                </c:pt>
                <c:pt idx="5292">
                  <c:v>7</c:v>
                </c:pt>
                <c:pt idx="5293">
                  <c:v>7</c:v>
                </c:pt>
                <c:pt idx="5294">
                  <c:v>7</c:v>
                </c:pt>
                <c:pt idx="5295">
                  <c:v>7</c:v>
                </c:pt>
                <c:pt idx="5296">
                  <c:v>7</c:v>
                </c:pt>
                <c:pt idx="5297">
                  <c:v>7</c:v>
                </c:pt>
                <c:pt idx="5298">
                  <c:v>7</c:v>
                </c:pt>
                <c:pt idx="5299">
                  <c:v>7</c:v>
                </c:pt>
                <c:pt idx="5300">
                  <c:v>7</c:v>
                </c:pt>
                <c:pt idx="5301">
                  <c:v>7</c:v>
                </c:pt>
                <c:pt idx="5302">
                  <c:v>7</c:v>
                </c:pt>
                <c:pt idx="5303">
                  <c:v>7</c:v>
                </c:pt>
                <c:pt idx="5304">
                  <c:v>7</c:v>
                </c:pt>
                <c:pt idx="5305">
                  <c:v>7</c:v>
                </c:pt>
                <c:pt idx="5306">
                  <c:v>7</c:v>
                </c:pt>
                <c:pt idx="5307">
                  <c:v>7</c:v>
                </c:pt>
                <c:pt idx="5308">
                  <c:v>7</c:v>
                </c:pt>
                <c:pt idx="5309">
                  <c:v>7</c:v>
                </c:pt>
                <c:pt idx="5310">
                  <c:v>7</c:v>
                </c:pt>
                <c:pt idx="5311">
                  <c:v>7</c:v>
                </c:pt>
                <c:pt idx="5312">
                  <c:v>7</c:v>
                </c:pt>
                <c:pt idx="5313">
                  <c:v>7</c:v>
                </c:pt>
                <c:pt idx="5314">
                  <c:v>7</c:v>
                </c:pt>
                <c:pt idx="5315">
                  <c:v>7</c:v>
                </c:pt>
                <c:pt idx="5316">
                  <c:v>7</c:v>
                </c:pt>
                <c:pt idx="5317">
                  <c:v>7</c:v>
                </c:pt>
                <c:pt idx="5318">
                  <c:v>7</c:v>
                </c:pt>
                <c:pt idx="5319">
                  <c:v>7</c:v>
                </c:pt>
                <c:pt idx="5320">
                  <c:v>7</c:v>
                </c:pt>
                <c:pt idx="5321">
                  <c:v>7</c:v>
                </c:pt>
                <c:pt idx="5322">
                  <c:v>7</c:v>
                </c:pt>
                <c:pt idx="5323">
                  <c:v>7</c:v>
                </c:pt>
                <c:pt idx="5324">
                  <c:v>7</c:v>
                </c:pt>
                <c:pt idx="5325">
                  <c:v>7</c:v>
                </c:pt>
                <c:pt idx="5326">
                  <c:v>7</c:v>
                </c:pt>
                <c:pt idx="5327">
                  <c:v>7</c:v>
                </c:pt>
                <c:pt idx="5328">
                  <c:v>7</c:v>
                </c:pt>
                <c:pt idx="5329">
                  <c:v>7</c:v>
                </c:pt>
                <c:pt idx="5330">
                  <c:v>7</c:v>
                </c:pt>
                <c:pt idx="5331">
                  <c:v>7</c:v>
                </c:pt>
                <c:pt idx="5332">
                  <c:v>7</c:v>
                </c:pt>
                <c:pt idx="5333">
                  <c:v>7</c:v>
                </c:pt>
                <c:pt idx="5334">
                  <c:v>7</c:v>
                </c:pt>
                <c:pt idx="5335">
                  <c:v>7</c:v>
                </c:pt>
                <c:pt idx="5336">
                  <c:v>7</c:v>
                </c:pt>
                <c:pt idx="5337">
                  <c:v>7</c:v>
                </c:pt>
                <c:pt idx="5338">
                  <c:v>7</c:v>
                </c:pt>
                <c:pt idx="5339">
                  <c:v>7</c:v>
                </c:pt>
                <c:pt idx="5340">
                  <c:v>7</c:v>
                </c:pt>
                <c:pt idx="5341">
                  <c:v>7</c:v>
                </c:pt>
                <c:pt idx="5342">
                  <c:v>7</c:v>
                </c:pt>
                <c:pt idx="5343">
                  <c:v>7</c:v>
                </c:pt>
                <c:pt idx="5344">
                  <c:v>7</c:v>
                </c:pt>
                <c:pt idx="5345">
                  <c:v>7</c:v>
                </c:pt>
                <c:pt idx="5346">
                  <c:v>7</c:v>
                </c:pt>
                <c:pt idx="5347">
                  <c:v>7</c:v>
                </c:pt>
                <c:pt idx="5348">
                  <c:v>7</c:v>
                </c:pt>
                <c:pt idx="5349">
                  <c:v>7</c:v>
                </c:pt>
                <c:pt idx="5350">
                  <c:v>7</c:v>
                </c:pt>
                <c:pt idx="5351">
                  <c:v>7</c:v>
                </c:pt>
                <c:pt idx="5352">
                  <c:v>7</c:v>
                </c:pt>
                <c:pt idx="5353">
                  <c:v>7</c:v>
                </c:pt>
                <c:pt idx="5354">
                  <c:v>7</c:v>
                </c:pt>
                <c:pt idx="5355">
                  <c:v>7</c:v>
                </c:pt>
                <c:pt idx="5356">
                  <c:v>7</c:v>
                </c:pt>
                <c:pt idx="5357">
                  <c:v>7</c:v>
                </c:pt>
                <c:pt idx="5358">
                  <c:v>7</c:v>
                </c:pt>
                <c:pt idx="5359">
                  <c:v>7</c:v>
                </c:pt>
                <c:pt idx="5360">
                  <c:v>7</c:v>
                </c:pt>
                <c:pt idx="5361">
                  <c:v>7</c:v>
                </c:pt>
                <c:pt idx="5362">
                  <c:v>7</c:v>
                </c:pt>
                <c:pt idx="5363">
                  <c:v>7</c:v>
                </c:pt>
                <c:pt idx="5364">
                  <c:v>7</c:v>
                </c:pt>
                <c:pt idx="5365">
                  <c:v>7</c:v>
                </c:pt>
                <c:pt idx="5366">
                  <c:v>7</c:v>
                </c:pt>
                <c:pt idx="5367">
                  <c:v>7</c:v>
                </c:pt>
                <c:pt idx="5368">
                  <c:v>7</c:v>
                </c:pt>
                <c:pt idx="5369">
                  <c:v>7</c:v>
                </c:pt>
                <c:pt idx="5370">
                  <c:v>7</c:v>
                </c:pt>
                <c:pt idx="5371">
                  <c:v>7</c:v>
                </c:pt>
                <c:pt idx="5372">
                  <c:v>7</c:v>
                </c:pt>
                <c:pt idx="5373">
                  <c:v>7</c:v>
                </c:pt>
                <c:pt idx="5374">
                  <c:v>7</c:v>
                </c:pt>
                <c:pt idx="5375">
                  <c:v>7</c:v>
                </c:pt>
                <c:pt idx="5376">
                  <c:v>7</c:v>
                </c:pt>
                <c:pt idx="5377">
                  <c:v>7</c:v>
                </c:pt>
                <c:pt idx="5378">
                  <c:v>7</c:v>
                </c:pt>
                <c:pt idx="5379">
                  <c:v>7</c:v>
                </c:pt>
                <c:pt idx="5380">
                  <c:v>7</c:v>
                </c:pt>
                <c:pt idx="5381">
                  <c:v>7</c:v>
                </c:pt>
                <c:pt idx="5382">
                  <c:v>7</c:v>
                </c:pt>
                <c:pt idx="5383">
                  <c:v>7</c:v>
                </c:pt>
                <c:pt idx="5384">
                  <c:v>7</c:v>
                </c:pt>
                <c:pt idx="5385">
                  <c:v>7</c:v>
                </c:pt>
                <c:pt idx="5386">
                  <c:v>7</c:v>
                </c:pt>
                <c:pt idx="5387">
                  <c:v>7</c:v>
                </c:pt>
                <c:pt idx="5388">
                  <c:v>7</c:v>
                </c:pt>
                <c:pt idx="5389">
                  <c:v>7</c:v>
                </c:pt>
                <c:pt idx="5390">
                  <c:v>7</c:v>
                </c:pt>
                <c:pt idx="5391">
                  <c:v>7</c:v>
                </c:pt>
                <c:pt idx="5392">
                  <c:v>7</c:v>
                </c:pt>
                <c:pt idx="5393">
                  <c:v>7</c:v>
                </c:pt>
                <c:pt idx="5394">
                  <c:v>7</c:v>
                </c:pt>
                <c:pt idx="5395">
                  <c:v>7</c:v>
                </c:pt>
                <c:pt idx="5396">
                  <c:v>7</c:v>
                </c:pt>
                <c:pt idx="5397">
                  <c:v>7</c:v>
                </c:pt>
                <c:pt idx="5398">
                  <c:v>7</c:v>
                </c:pt>
                <c:pt idx="5399">
                  <c:v>7</c:v>
                </c:pt>
                <c:pt idx="5400">
                  <c:v>7</c:v>
                </c:pt>
                <c:pt idx="5401">
                  <c:v>7</c:v>
                </c:pt>
                <c:pt idx="5402">
                  <c:v>7</c:v>
                </c:pt>
                <c:pt idx="5403">
                  <c:v>7</c:v>
                </c:pt>
                <c:pt idx="5404">
                  <c:v>7</c:v>
                </c:pt>
                <c:pt idx="5405">
                  <c:v>7</c:v>
                </c:pt>
                <c:pt idx="5406">
                  <c:v>7</c:v>
                </c:pt>
                <c:pt idx="5407">
                  <c:v>7</c:v>
                </c:pt>
                <c:pt idx="5408">
                  <c:v>7</c:v>
                </c:pt>
                <c:pt idx="5409">
                  <c:v>7</c:v>
                </c:pt>
                <c:pt idx="5410">
                  <c:v>7</c:v>
                </c:pt>
                <c:pt idx="5411">
                  <c:v>7</c:v>
                </c:pt>
                <c:pt idx="5412">
                  <c:v>7</c:v>
                </c:pt>
                <c:pt idx="5413">
                  <c:v>7</c:v>
                </c:pt>
                <c:pt idx="5414">
                  <c:v>7</c:v>
                </c:pt>
                <c:pt idx="5415">
                  <c:v>7</c:v>
                </c:pt>
                <c:pt idx="5416">
                  <c:v>7</c:v>
                </c:pt>
                <c:pt idx="5417">
                  <c:v>7</c:v>
                </c:pt>
                <c:pt idx="5418">
                  <c:v>7</c:v>
                </c:pt>
                <c:pt idx="5419">
                  <c:v>7</c:v>
                </c:pt>
                <c:pt idx="5420">
                  <c:v>7</c:v>
                </c:pt>
                <c:pt idx="5421">
                  <c:v>7</c:v>
                </c:pt>
                <c:pt idx="5422">
                  <c:v>7</c:v>
                </c:pt>
                <c:pt idx="5423">
                  <c:v>7</c:v>
                </c:pt>
                <c:pt idx="5424">
                  <c:v>7</c:v>
                </c:pt>
                <c:pt idx="5425">
                  <c:v>7</c:v>
                </c:pt>
                <c:pt idx="5426">
                  <c:v>7</c:v>
                </c:pt>
                <c:pt idx="5427">
                  <c:v>7</c:v>
                </c:pt>
                <c:pt idx="5428">
                  <c:v>7</c:v>
                </c:pt>
                <c:pt idx="5429">
                  <c:v>7</c:v>
                </c:pt>
                <c:pt idx="5430">
                  <c:v>7</c:v>
                </c:pt>
                <c:pt idx="5431">
                  <c:v>7</c:v>
                </c:pt>
                <c:pt idx="5432">
                  <c:v>7</c:v>
                </c:pt>
                <c:pt idx="5433">
                  <c:v>7</c:v>
                </c:pt>
                <c:pt idx="5434">
                  <c:v>7</c:v>
                </c:pt>
                <c:pt idx="5435">
                  <c:v>7</c:v>
                </c:pt>
                <c:pt idx="5436">
                  <c:v>7</c:v>
                </c:pt>
                <c:pt idx="5437">
                  <c:v>7</c:v>
                </c:pt>
                <c:pt idx="5438">
                  <c:v>7</c:v>
                </c:pt>
                <c:pt idx="5439">
                  <c:v>7</c:v>
                </c:pt>
                <c:pt idx="5440">
                  <c:v>7</c:v>
                </c:pt>
                <c:pt idx="5441">
                  <c:v>7</c:v>
                </c:pt>
                <c:pt idx="5442">
                  <c:v>7</c:v>
                </c:pt>
                <c:pt idx="5443">
                  <c:v>7</c:v>
                </c:pt>
                <c:pt idx="5444">
                  <c:v>7</c:v>
                </c:pt>
                <c:pt idx="5445">
                  <c:v>7</c:v>
                </c:pt>
                <c:pt idx="5446">
                  <c:v>7</c:v>
                </c:pt>
                <c:pt idx="5447">
                  <c:v>7</c:v>
                </c:pt>
                <c:pt idx="5448">
                  <c:v>7</c:v>
                </c:pt>
                <c:pt idx="5449">
                  <c:v>7</c:v>
                </c:pt>
                <c:pt idx="5450">
                  <c:v>7</c:v>
                </c:pt>
                <c:pt idx="5451">
                  <c:v>7</c:v>
                </c:pt>
                <c:pt idx="5452">
                  <c:v>7</c:v>
                </c:pt>
                <c:pt idx="5453">
                  <c:v>7</c:v>
                </c:pt>
                <c:pt idx="5454">
                  <c:v>7</c:v>
                </c:pt>
                <c:pt idx="5455">
                  <c:v>7</c:v>
                </c:pt>
                <c:pt idx="5456">
                  <c:v>7</c:v>
                </c:pt>
                <c:pt idx="5457">
                  <c:v>7</c:v>
                </c:pt>
                <c:pt idx="5458">
                  <c:v>7</c:v>
                </c:pt>
                <c:pt idx="5459">
                  <c:v>7</c:v>
                </c:pt>
                <c:pt idx="5460">
                  <c:v>7</c:v>
                </c:pt>
                <c:pt idx="5461">
                  <c:v>7</c:v>
                </c:pt>
                <c:pt idx="5462">
                  <c:v>7</c:v>
                </c:pt>
                <c:pt idx="5463">
                  <c:v>7</c:v>
                </c:pt>
                <c:pt idx="5464">
                  <c:v>7</c:v>
                </c:pt>
                <c:pt idx="5465">
                  <c:v>7</c:v>
                </c:pt>
                <c:pt idx="5466">
                  <c:v>7</c:v>
                </c:pt>
                <c:pt idx="5467">
                  <c:v>7</c:v>
                </c:pt>
                <c:pt idx="5468">
                  <c:v>7</c:v>
                </c:pt>
                <c:pt idx="5469">
                  <c:v>7</c:v>
                </c:pt>
                <c:pt idx="5470">
                  <c:v>7</c:v>
                </c:pt>
                <c:pt idx="5471">
                  <c:v>7</c:v>
                </c:pt>
                <c:pt idx="5472">
                  <c:v>7</c:v>
                </c:pt>
                <c:pt idx="5473">
                  <c:v>7</c:v>
                </c:pt>
                <c:pt idx="5474">
                  <c:v>7</c:v>
                </c:pt>
                <c:pt idx="5475">
                  <c:v>7</c:v>
                </c:pt>
                <c:pt idx="5476">
                  <c:v>7</c:v>
                </c:pt>
                <c:pt idx="5477">
                  <c:v>7</c:v>
                </c:pt>
                <c:pt idx="5478">
                  <c:v>7</c:v>
                </c:pt>
                <c:pt idx="5479">
                  <c:v>7</c:v>
                </c:pt>
                <c:pt idx="5480">
                  <c:v>7</c:v>
                </c:pt>
                <c:pt idx="5481">
                  <c:v>7</c:v>
                </c:pt>
                <c:pt idx="5482">
                  <c:v>7</c:v>
                </c:pt>
                <c:pt idx="5483">
                  <c:v>7</c:v>
                </c:pt>
                <c:pt idx="5484">
                  <c:v>7</c:v>
                </c:pt>
                <c:pt idx="5485">
                  <c:v>7</c:v>
                </c:pt>
                <c:pt idx="5486">
                  <c:v>7</c:v>
                </c:pt>
                <c:pt idx="5487">
                  <c:v>7</c:v>
                </c:pt>
                <c:pt idx="5488">
                  <c:v>7</c:v>
                </c:pt>
                <c:pt idx="5489">
                  <c:v>7</c:v>
                </c:pt>
                <c:pt idx="5490">
                  <c:v>7</c:v>
                </c:pt>
                <c:pt idx="5491">
                  <c:v>7</c:v>
                </c:pt>
                <c:pt idx="5492">
                  <c:v>7</c:v>
                </c:pt>
                <c:pt idx="5493">
                  <c:v>7</c:v>
                </c:pt>
                <c:pt idx="5494">
                  <c:v>7</c:v>
                </c:pt>
                <c:pt idx="5495">
                  <c:v>7</c:v>
                </c:pt>
                <c:pt idx="5496">
                  <c:v>7</c:v>
                </c:pt>
                <c:pt idx="5497">
                  <c:v>7</c:v>
                </c:pt>
                <c:pt idx="5498">
                  <c:v>7</c:v>
                </c:pt>
                <c:pt idx="5499">
                  <c:v>7</c:v>
                </c:pt>
                <c:pt idx="5500">
                  <c:v>7</c:v>
                </c:pt>
                <c:pt idx="5501">
                  <c:v>7</c:v>
                </c:pt>
                <c:pt idx="5502">
                  <c:v>7</c:v>
                </c:pt>
                <c:pt idx="5503">
                  <c:v>7</c:v>
                </c:pt>
                <c:pt idx="5504">
                  <c:v>7</c:v>
                </c:pt>
                <c:pt idx="5505">
                  <c:v>7</c:v>
                </c:pt>
                <c:pt idx="5506">
                  <c:v>7</c:v>
                </c:pt>
                <c:pt idx="5507">
                  <c:v>7</c:v>
                </c:pt>
                <c:pt idx="5508">
                  <c:v>7</c:v>
                </c:pt>
                <c:pt idx="5509">
                  <c:v>7</c:v>
                </c:pt>
                <c:pt idx="5510">
                  <c:v>7</c:v>
                </c:pt>
                <c:pt idx="5511">
                  <c:v>7</c:v>
                </c:pt>
                <c:pt idx="5512">
                  <c:v>7</c:v>
                </c:pt>
                <c:pt idx="5513">
                  <c:v>7</c:v>
                </c:pt>
                <c:pt idx="5514">
                  <c:v>7</c:v>
                </c:pt>
                <c:pt idx="5515">
                  <c:v>7</c:v>
                </c:pt>
                <c:pt idx="5516">
                  <c:v>7</c:v>
                </c:pt>
                <c:pt idx="5517">
                  <c:v>7</c:v>
                </c:pt>
                <c:pt idx="5518">
                  <c:v>7</c:v>
                </c:pt>
                <c:pt idx="5519">
                  <c:v>7</c:v>
                </c:pt>
                <c:pt idx="5520">
                  <c:v>7</c:v>
                </c:pt>
                <c:pt idx="5521">
                  <c:v>7</c:v>
                </c:pt>
                <c:pt idx="5522">
                  <c:v>7</c:v>
                </c:pt>
                <c:pt idx="5523">
                  <c:v>7</c:v>
                </c:pt>
                <c:pt idx="5524">
                  <c:v>7</c:v>
                </c:pt>
                <c:pt idx="5525">
                  <c:v>7</c:v>
                </c:pt>
                <c:pt idx="5526">
                  <c:v>7</c:v>
                </c:pt>
                <c:pt idx="5527">
                  <c:v>7</c:v>
                </c:pt>
                <c:pt idx="5528">
                  <c:v>7</c:v>
                </c:pt>
                <c:pt idx="5529">
                  <c:v>7</c:v>
                </c:pt>
                <c:pt idx="5530">
                  <c:v>7</c:v>
                </c:pt>
                <c:pt idx="5531">
                  <c:v>7</c:v>
                </c:pt>
                <c:pt idx="5532">
                  <c:v>7</c:v>
                </c:pt>
                <c:pt idx="5533">
                  <c:v>7</c:v>
                </c:pt>
                <c:pt idx="5534">
                  <c:v>7</c:v>
                </c:pt>
                <c:pt idx="5535">
                  <c:v>7</c:v>
                </c:pt>
                <c:pt idx="5536">
                  <c:v>7</c:v>
                </c:pt>
                <c:pt idx="5537">
                  <c:v>7</c:v>
                </c:pt>
                <c:pt idx="5538">
                  <c:v>7</c:v>
                </c:pt>
                <c:pt idx="5539">
                  <c:v>7</c:v>
                </c:pt>
                <c:pt idx="5540">
                  <c:v>7</c:v>
                </c:pt>
                <c:pt idx="5541">
                  <c:v>7</c:v>
                </c:pt>
                <c:pt idx="5542">
                  <c:v>7</c:v>
                </c:pt>
                <c:pt idx="5543">
                  <c:v>7</c:v>
                </c:pt>
                <c:pt idx="5544">
                  <c:v>7</c:v>
                </c:pt>
                <c:pt idx="5545">
                  <c:v>7</c:v>
                </c:pt>
                <c:pt idx="5546">
                  <c:v>7</c:v>
                </c:pt>
                <c:pt idx="5547">
                  <c:v>7</c:v>
                </c:pt>
                <c:pt idx="5548">
                  <c:v>7</c:v>
                </c:pt>
                <c:pt idx="5549">
                  <c:v>7</c:v>
                </c:pt>
                <c:pt idx="5550">
                  <c:v>7</c:v>
                </c:pt>
                <c:pt idx="5551">
                  <c:v>7</c:v>
                </c:pt>
                <c:pt idx="5552">
                  <c:v>7</c:v>
                </c:pt>
                <c:pt idx="5553">
                  <c:v>7</c:v>
                </c:pt>
                <c:pt idx="5554">
                  <c:v>7</c:v>
                </c:pt>
                <c:pt idx="5555">
                  <c:v>7</c:v>
                </c:pt>
                <c:pt idx="5556">
                  <c:v>7</c:v>
                </c:pt>
                <c:pt idx="5557">
                  <c:v>7</c:v>
                </c:pt>
                <c:pt idx="5558">
                  <c:v>7</c:v>
                </c:pt>
                <c:pt idx="5559">
                  <c:v>7</c:v>
                </c:pt>
                <c:pt idx="5560">
                  <c:v>7</c:v>
                </c:pt>
                <c:pt idx="5561">
                  <c:v>7</c:v>
                </c:pt>
                <c:pt idx="5562">
                  <c:v>7</c:v>
                </c:pt>
                <c:pt idx="5563">
                  <c:v>7</c:v>
                </c:pt>
                <c:pt idx="5564">
                  <c:v>7</c:v>
                </c:pt>
                <c:pt idx="5565">
                  <c:v>7</c:v>
                </c:pt>
                <c:pt idx="5566">
                  <c:v>7</c:v>
                </c:pt>
                <c:pt idx="5567">
                  <c:v>7</c:v>
                </c:pt>
                <c:pt idx="5568">
                  <c:v>7</c:v>
                </c:pt>
                <c:pt idx="5569">
                  <c:v>7</c:v>
                </c:pt>
                <c:pt idx="5570">
                  <c:v>7</c:v>
                </c:pt>
                <c:pt idx="5571">
                  <c:v>7</c:v>
                </c:pt>
                <c:pt idx="5572">
                  <c:v>7</c:v>
                </c:pt>
                <c:pt idx="5573">
                  <c:v>7</c:v>
                </c:pt>
                <c:pt idx="5574">
                  <c:v>7</c:v>
                </c:pt>
                <c:pt idx="5575">
                  <c:v>7</c:v>
                </c:pt>
                <c:pt idx="5576">
                  <c:v>7</c:v>
                </c:pt>
                <c:pt idx="6536">
                  <c:v>8</c:v>
                </c:pt>
                <c:pt idx="6537">
                  <c:v>8</c:v>
                </c:pt>
                <c:pt idx="6538">
                  <c:v>8</c:v>
                </c:pt>
                <c:pt idx="6539">
                  <c:v>8</c:v>
                </c:pt>
                <c:pt idx="6540">
                  <c:v>8</c:v>
                </c:pt>
                <c:pt idx="6541">
                  <c:v>8</c:v>
                </c:pt>
                <c:pt idx="6542">
                  <c:v>8</c:v>
                </c:pt>
                <c:pt idx="6543">
                  <c:v>8</c:v>
                </c:pt>
                <c:pt idx="6544">
                  <c:v>8</c:v>
                </c:pt>
                <c:pt idx="6545">
                  <c:v>8</c:v>
                </c:pt>
                <c:pt idx="6546">
                  <c:v>8</c:v>
                </c:pt>
                <c:pt idx="6547">
                  <c:v>8</c:v>
                </c:pt>
                <c:pt idx="6548">
                  <c:v>8</c:v>
                </c:pt>
                <c:pt idx="6549">
                  <c:v>8</c:v>
                </c:pt>
                <c:pt idx="6550">
                  <c:v>8</c:v>
                </c:pt>
                <c:pt idx="6551">
                  <c:v>8</c:v>
                </c:pt>
                <c:pt idx="6552">
                  <c:v>8</c:v>
                </c:pt>
                <c:pt idx="6553">
                  <c:v>8</c:v>
                </c:pt>
                <c:pt idx="6554">
                  <c:v>8</c:v>
                </c:pt>
                <c:pt idx="6555">
                  <c:v>8</c:v>
                </c:pt>
                <c:pt idx="6556">
                  <c:v>8</c:v>
                </c:pt>
                <c:pt idx="6557">
                  <c:v>8</c:v>
                </c:pt>
                <c:pt idx="6558">
                  <c:v>8</c:v>
                </c:pt>
                <c:pt idx="6559">
                  <c:v>8</c:v>
                </c:pt>
                <c:pt idx="6560">
                  <c:v>8</c:v>
                </c:pt>
                <c:pt idx="6561">
                  <c:v>8</c:v>
                </c:pt>
                <c:pt idx="6562">
                  <c:v>8</c:v>
                </c:pt>
                <c:pt idx="6563">
                  <c:v>8</c:v>
                </c:pt>
                <c:pt idx="6564">
                  <c:v>8</c:v>
                </c:pt>
                <c:pt idx="6565">
                  <c:v>8</c:v>
                </c:pt>
                <c:pt idx="6566">
                  <c:v>8</c:v>
                </c:pt>
                <c:pt idx="6567">
                  <c:v>8</c:v>
                </c:pt>
                <c:pt idx="6568">
                  <c:v>8</c:v>
                </c:pt>
                <c:pt idx="6569">
                  <c:v>8</c:v>
                </c:pt>
                <c:pt idx="6570">
                  <c:v>8</c:v>
                </c:pt>
                <c:pt idx="6571">
                  <c:v>8</c:v>
                </c:pt>
                <c:pt idx="6572">
                  <c:v>8</c:v>
                </c:pt>
                <c:pt idx="6573">
                  <c:v>8</c:v>
                </c:pt>
                <c:pt idx="6574">
                  <c:v>8</c:v>
                </c:pt>
                <c:pt idx="6575">
                  <c:v>8</c:v>
                </c:pt>
                <c:pt idx="6576">
                  <c:v>8</c:v>
                </c:pt>
                <c:pt idx="6577">
                  <c:v>8</c:v>
                </c:pt>
                <c:pt idx="6578">
                  <c:v>8</c:v>
                </c:pt>
                <c:pt idx="6579">
                  <c:v>8</c:v>
                </c:pt>
                <c:pt idx="6580">
                  <c:v>8</c:v>
                </c:pt>
                <c:pt idx="6581">
                  <c:v>8</c:v>
                </c:pt>
                <c:pt idx="6582">
                  <c:v>8</c:v>
                </c:pt>
                <c:pt idx="6583">
                  <c:v>8</c:v>
                </c:pt>
                <c:pt idx="6584">
                  <c:v>8</c:v>
                </c:pt>
                <c:pt idx="6585">
                  <c:v>8</c:v>
                </c:pt>
                <c:pt idx="6586">
                  <c:v>8</c:v>
                </c:pt>
                <c:pt idx="6587">
                  <c:v>8</c:v>
                </c:pt>
                <c:pt idx="6588">
                  <c:v>8</c:v>
                </c:pt>
                <c:pt idx="6589">
                  <c:v>8</c:v>
                </c:pt>
                <c:pt idx="6590">
                  <c:v>8</c:v>
                </c:pt>
                <c:pt idx="6591">
                  <c:v>8</c:v>
                </c:pt>
                <c:pt idx="6592">
                  <c:v>8</c:v>
                </c:pt>
                <c:pt idx="6593">
                  <c:v>8</c:v>
                </c:pt>
                <c:pt idx="6594">
                  <c:v>8</c:v>
                </c:pt>
                <c:pt idx="6595">
                  <c:v>8</c:v>
                </c:pt>
                <c:pt idx="6596">
                  <c:v>8</c:v>
                </c:pt>
                <c:pt idx="6597">
                  <c:v>8</c:v>
                </c:pt>
                <c:pt idx="6598">
                  <c:v>8</c:v>
                </c:pt>
                <c:pt idx="6599">
                  <c:v>8</c:v>
                </c:pt>
                <c:pt idx="6600">
                  <c:v>8</c:v>
                </c:pt>
                <c:pt idx="6601">
                  <c:v>8</c:v>
                </c:pt>
                <c:pt idx="6602">
                  <c:v>8</c:v>
                </c:pt>
                <c:pt idx="6603">
                  <c:v>8</c:v>
                </c:pt>
                <c:pt idx="6604">
                  <c:v>8</c:v>
                </c:pt>
                <c:pt idx="6605">
                  <c:v>8</c:v>
                </c:pt>
                <c:pt idx="6606">
                  <c:v>8</c:v>
                </c:pt>
                <c:pt idx="6607">
                  <c:v>8</c:v>
                </c:pt>
                <c:pt idx="6608">
                  <c:v>8</c:v>
                </c:pt>
                <c:pt idx="6609">
                  <c:v>8</c:v>
                </c:pt>
                <c:pt idx="6610">
                  <c:v>8</c:v>
                </c:pt>
                <c:pt idx="6611">
                  <c:v>8</c:v>
                </c:pt>
                <c:pt idx="6612">
                  <c:v>8</c:v>
                </c:pt>
                <c:pt idx="6613">
                  <c:v>8</c:v>
                </c:pt>
                <c:pt idx="6614">
                  <c:v>8</c:v>
                </c:pt>
                <c:pt idx="6615">
                  <c:v>8</c:v>
                </c:pt>
                <c:pt idx="6616">
                  <c:v>8</c:v>
                </c:pt>
                <c:pt idx="6617">
                  <c:v>8</c:v>
                </c:pt>
                <c:pt idx="6618">
                  <c:v>8</c:v>
                </c:pt>
                <c:pt idx="6619">
                  <c:v>8</c:v>
                </c:pt>
                <c:pt idx="6620">
                  <c:v>8</c:v>
                </c:pt>
                <c:pt idx="6621">
                  <c:v>8</c:v>
                </c:pt>
                <c:pt idx="6622">
                  <c:v>8</c:v>
                </c:pt>
                <c:pt idx="6623">
                  <c:v>8</c:v>
                </c:pt>
                <c:pt idx="6624">
                  <c:v>8</c:v>
                </c:pt>
                <c:pt idx="6625">
                  <c:v>8</c:v>
                </c:pt>
                <c:pt idx="6626">
                  <c:v>8</c:v>
                </c:pt>
                <c:pt idx="6627">
                  <c:v>8</c:v>
                </c:pt>
                <c:pt idx="6628">
                  <c:v>8</c:v>
                </c:pt>
                <c:pt idx="6629">
                  <c:v>8</c:v>
                </c:pt>
                <c:pt idx="6630">
                  <c:v>8</c:v>
                </c:pt>
                <c:pt idx="6631">
                  <c:v>8</c:v>
                </c:pt>
                <c:pt idx="6632">
                  <c:v>8</c:v>
                </c:pt>
                <c:pt idx="6633">
                  <c:v>8</c:v>
                </c:pt>
                <c:pt idx="6634">
                  <c:v>8</c:v>
                </c:pt>
                <c:pt idx="6635">
                  <c:v>8</c:v>
                </c:pt>
                <c:pt idx="6636">
                  <c:v>8</c:v>
                </c:pt>
                <c:pt idx="6637">
                  <c:v>8</c:v>
                </c:pt>
                <c:pt idx="6638">
                  <c:v>8</c:v>
                </c:pt>
                <c:pt idx="6639">
                  <c:v>8</c:v>
                </c:pt>
                <c:pt idx="6640">
                  <c:v>8</c:v>
                </c:pt>
                <c:pt idx="6641">
                  <c:v>8</c:v>
                </c:pt>
                <c:pt idx="6642">
                  <c:v>8</c:v>
                </c:pt>
                <c:pt idx="6643">
                  <c:v>8</c:v>
                </c:pt>
                <c:pt idx="6644">
                  <c:v>8</c:v>
                </c:pt>
                <c:pt idx="6645">
                  <c:v>8</c:v>
                </c:pt>
                <c:pt idx="6646">
                  <c:v>8</c:v>
                </c:pt>
                <c:pt idx="6647">
                  <c:v>8</c:v>
                </c:pt>
                <c:pt idx="6648">
                  <c:v>8</c:v>
                </c:pt>
                <c:pt idx="6649">
                  <c:v>8</c:v>
                </c:pt>
                <c:pt idx="6650">
                  <c:v>8</c:v>
                </c:pt>
                <c:pt idx="6651">
                  <c:v>8</c:v>
                </c:pt>
                <c:pt idx="6652">
                  <c:v>8</c:v>
                </c:pt>
                <c:pt idx="6653">
                  <c:v>8</c:v>
                </c:pt>
                <c:pt idx="6654">
                  <c:v>8</c:v>
                </c:pt>
                <c:pt idx="6655">
                  <c:v>8</c:v>
                </c:pt>
                <c:pt idx="6656">
                  <c:v>8</c:v>
                </c:pt>
                <c:pt idx="6657">
                  <c:v>8</c:v>
                </c:pt>
                <c:pt idx="6658">
                  <c:v>8</c:v>
                </c:pt>
                <c:pt idx="6659">
                  <c:v>8</c:v>
                </c:pt>
                <c:pt idx="6660">
                  <c:v>8</c:v>
                </c:pt>
                <c:pt idx="6661">
                  <c:v>8</c:v>
                </c:pt>
                <c:pt idx="6662">
                  <c:v>8</c:v>
                </c:pt>
                <c:pt idx="6663">
                  <c:v>8</c:v>
                </c:pt>
                <c:pt idx="6664">
                  <c:v>8</c:v>
                </c:pt>
                <c:pt idx="6665">
                  <c:v>8</c:v>
                </c:pt>
                <c:pt idx="6666">
                  <c:v>8</c:v>
                </c:pt>
                <c:pt idx="6667">
                  <c:v>8</c:v>
                </c:pt>
                <c:pt idx="6668">
                  <c:v>8</c:v>
                </c:pt>
                <c:pt idx="6669">
                  <c:v>8</c:v>
                </c:pt>
                <c:pt idx="6670">
                  <c:v>8</c:v>
                </c:pt>
                <c:pt idx="6671">
                  <c:v>8</c:v>
                </c:pt>
                <c:pt idx="6672">
                  <c:v>8</c:v>
                </c:pt>
                <c:pt idx="6673">
                  <c:v>8</c:v>
                </c:pt>
                <c:pt idx="6674">
                  <c:v>8</c:v>
                </c:pt>
                <c:pt idx="6675">
                  <c:v>8</c:v>
                </c:pt>
                <c:pt idx="6676">
                  <c:v>8</c:v>
                </c:pt>
                <c:pt idx="6677">
                  <c:v>8</c:v>
                </c:pt>
                <c:pt idx="6678">
                  <c:v>8</c:v>
                </c:pt>
                <c:pt idx="6679">
                  <c:v>8</c:v>
                </c:pt>
                <c:pt idx="6680">
                  <c:v>8</c:v>
                </c:pt>
                <c:pt idx="6681">
                  <c:v>8</c:v>
                </c:pt>
                <c:pt idx="6682">
                  <c:v>8</c:v>
                </c:pt>
                <c:pt idx="6683">
                  <c:v>8</c:v>
                </c:pt>
                <c:pt idx="6684">
                  <c:v>8</c:v>
                </c:pt>
                <c:pt idx="6685">
                  <c:v>8</c:v>
                </c:pt>
                <c:pt idx="6686">
                  <c:v>8</c:v>
                </c:pt>
                <c:pt idx="6687">
                  <c:v>8</c:v>
                </c:pt>
                <c:pt idx="6688">
                  <c:v>8</c:v>
                </c:pt>
                <c:pt idx="6689">
                  <c:v>8</c:v>
                </c:pt>
                <c:pt idx="6690">
                  <c:v>8</c:v>
                </c:pt>
                <c:pt idx="6691">
                  <c:v>8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8</c:v>
                </c:pt>
                <c:pt idx="6696">
                  <c:v>8</c:v>
                </c:pt>
                <c:pt idx="6697">
                  <c:v>8</c:v>
                </c:pt>
                <c:pt idx="6698">
                  <c:v>8</c:v>
                </c:pt>
                <c:pt idx="6699">
                  <c:v>8</c:v>
                </c:pt>
                <c:pt idx="6700">
                  <c:v>8</c:v>
                </c:pt>
                <c:pt idx="6701">
                  <c:v>8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8</c:v>
                </c:pt>
                <c:pt idx="6706">
                  <c:v>8</c:v>
                </c:pt>
                <c:pt idx="6707">
                  <c:v>8</c:v>
                </c:pt>
                <c:pt idx="6708">
                  <c:v>8</c:v>
                </c:pt>
                <c:pt idx="6709">
                  <c:v>8</c:v>
                </c:pt>
                <c:pt idx="6710">
                  <c:v>8</c:v>
                </c:pt>
                <c:pt idx="6711">
                  <c:v>8</c:v>
                </c:pt>
                <c:pt idx="6712">
                  <c:v>8</c:v>
                </c:pt>
                <c:pt idx="6713">
                  <c:v>8</c:v>
                </c:pt>
                <c:pt idx="6714">
                  <c:v>8</c:v>
                </c:pt>
                <c:pt idx="6715">
                  <c:v>8</c:v>
                </c:pt>
                <c:pt idx="6716">
                  <c:v>8</c:v>
                </c:pt>
                <c:pt idx="6717">
                  <c:v>8</c:v>
                </c:pt>
                <c:pt idx="6718">
                  <c:v>8</c:v>
                </c:pt>
                <c:pt idx="6719">
                  <c:v>8</c:v>
                </c:pt>
                <c:pt idx="6720">
                  <c:v>8</c:v>
                </c:pt>
                <c:pt idx="6721">
                  <c:v>8</c:v>
                </c:pt>
                <c:pt idx="6722">
                  <c:v>8</c:v>
                </c:pt>
                <c:pt idx="6723">
                  <c:v>8</c:v>
                </c:pt>
                <c:pt idx="6724">
                  <c:v>8</c:v>
                </c:pt>
                <c:pt idx="6725">
                  <c:v>8</c:v>
                </c:pt>
                <c:pt idx="6726">
                  <c:v>8</c:v>
                </c:pt>
                <c:pt idx="6727">
                  <c:v>8</c:v>
                </c:pt>
                <c:pt idx="6728">
                  <c:v>8</c:v>
                </c:pt>
                <c:pt idx="6729">
                  <c:v>8</c:v>
                </c:pt>
                <c:pt idx="6730">
                  <c:v>8</c:v>
                </c:pt>
                <c:pt idx="6731">
                  <c:v>8</c:v>
                </c:pt>
                <c:pt idx="6732">
                  <c:v>8</c:v>
                </c:pt>
                <c:pt idx="6733">
                  <c:v>8</c:v>
                </c:pt>
                <c:pt idx="6734">
                  <c:v>8</c:v>
                </c:pt>
                <c:pt idx="673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D-4C9A-ADD2-10FA57F1F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910159"/>
        <c:axId val="775912655"/>
      </c:scatterChart>
      <c:valAx>
        <c:axId val="775910159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5912655"/>
        <c:crosses val="autoZero"/>
        <c:crossBetween val="midCat"/>
        <c:majorUnit val="1000"/>
      </c:valAx>
      <c:valAx>
        <c:axId val="775912655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591015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84745710109974"/>
          <c:y val="0.91015138040557053"/>
          <c:w val="0.75149080850149819"/>
          <c:h val="7.99194722697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transpose!$P$1</c:f>
              <c:strCache>
                <c:ptCount val="1"/>
                <c:pt idx="0">
                  <c:v>B2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transpose!$P$2:$P$7686</c:f>
              <c:numCache>
                <c:formatCode>General</c:formatCode>
                <c:ptCount val="7685"/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6847">
                  <c:v>4</c:v>
                </c:pt>
                <c:pt idx="6848">
                  <c:v>4</c:v>
                </c:pt>
                <c:pt idx="6849">
                  <c:v>4</c:v>
                </c:pt>
                <c:pt idx="6850">
                  <c:v>4</c:v>
                </c:pt>
                <c:pt idx="6851">
                  <c:v>4</c:v>
                </c:pt>
                <c:pt idx="6852">
                  <c:v>4</c:v>
                </c:pt>
                <c:pt idx="6853">
                  <c:v>4</c:v>
                </c:pt>
                <c:pt idx="6854">
                  <c:v>4</c:v>
                </c:pt>
                <c:pt idx="6855">
                  <c:v>4</c:v>
                </c:pt>
                <c:pt idx="6856">
                  <c:v>4</c:v>
                </c:pt>
                <c:pt idx="6857">
                  <c:v>4</c:v>
                </c:pt>
                <c:pt idx="6858">
                  <c:v>4</c:v>
                </c:pt>
                <c:pt idx="6859">
                  <c:v>4</c:v>
                </c:pt>
                <c:pt idx="6860">
                  <c:v>4</c:v>
                </c:pt>
                <c:pt idx="6861">
                  <c:v>4</c:v>
                </c:pt>
                <c:pt idx="6862">
                  <c:v>4</c:v>
                </c:pt>
                <c:pt idx="686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3-421E-88E9-22CAEC3436C6}"/>
            </c:ext>
          </c:extLst>
        </c:ser>
        <c:ser>
          <c:idx val="1"/>
          <c:order val="1"/>
          <c:tx>
            <c:strRef>
              <c:f>transpose!$T$1</c:f>
              <c:strCache>
                <c:ptCount val="1"/>
                <c:pt idx="0">
                  <c:v>B4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transpose!$T$2:$T$7686</c:f>
              <c:numCache>
                <c:formatCode>General</c:formatCode>
                <c:ptCount val="7685"/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884">
                  <c:v>4</c:v>
                </c:pt>
                <c:pt idx="6885">
                  <c:v>4</c:v>
                </c:pt>
                <c:pt idx="6886">
                  <c:v>4</c:v>
                </c:pt>
                <c:pt idx="6887">
                  <c:v>4</c:v>
                </c:pt>
                <c:pt idx="6888">
                  <c:v>4</c:v>
                </c:pt>
                <c:pt idx="6889">
                  <c:v>4</c:v>
                </c:pt>
                <c:pt idx="6890">
                  <c:v>4</c:v>
                </c:pt>
                <c:pt idx="6891">
                  <c:v>4</c:v>
                </c:pt>
                <c:pt idx="6892">
                  <c:v>4</c:v>
                </c:pt>
                <c:pt idx="6893">
                  <c:v>4</c:v>
                </c:pt>
                <c:pt idx="6894">
                  <c:v>4</c:v>
                </c:pt>
                <c:pt idx="6895">
                  <c:v>4</c:v>
                </c:pt>
                <c:pt idx="6896">
                  <c:v>4</c:v>
                </c:pt>
                <c:pt idx="6897">
                  <c:v>4</c:v>
                </c:pt>
                <c:pt idx="6898">
                  <c:v>4</c:v>
                </c:pt>
                <c:pt idx="6899">
                  <c:v>4</c:v>
                </c:pt>
                <c:pt idx="6900">
                  <c:v>4</c:v>
                </c:pt>
                <c:pt idx="6901">
                  <c:v>4</c:v>
                </c:pt>
                <c:pt idx="690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3-421E-88E9-22CAEC3436C6}"/>
            </c:ext>
          </c:extLst>
        </c:ser>
        <c:ser>
          <c:idx val="2"/>
          <c:order val="2"/>
          <c:tx>
            <c:strRef>
              <c:f>transpose!$X$1</c:f>
              <c:strCache>
                <c:ptCount val="1"/>
                <c:pt idx="0">
                  <c:v>B6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transpose!$X$2:$X$7686</c:f>
              <c:numCache>
                <c:formatCode>General</c:formatCode>
                <c:ptCount val="7685"/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932">
                  <c:v>4</c:v>
                </c:pt>
                <c:pt idx="6933">
                  <c:v>4</c:v>
                </c:pt>
                <c:pt idx="6934">
                  <c:v>4</c:v>
                </c:pt>
                <c:pt idx="6935">
                  <c:v>4</c:v>
                </c:pt>
                <c:pt idx="6936">
                  <c:v>4</c:v>
                </c:pt>
                <c:pt idx="6937">
                  <c:v>4</c:v>
                </c:pt>
                <c:pt idx="6938">
                  <c:v>4</c:v>
                </c:pt>
                <c:pt idx="6939">
                  <c:v>4</c:v>
                </c:pt>
                <c:pt idx="6940">
                  <c:v>4</c:v>
                </c:pt>
                <c:pt idx="6941">
                  <c:v>4</c:v>
                </c:pt>
                <c:pt idx="6942">
                  <c:v>4</c:v>
                </c:pt>
                <c:pt idx="6943">
                  <c:v>4</c:v>
                </c:pt>
                <c:pt idx="6944">
                  <c:v>4</c:v>
                </c:pt>
                <c:pt idx="6945">
                  <c:v>4</c:v>
                </c:pt>
                <c:pt idx="6946">
                  <c:v>4</c:v>
                </c:pt>
                <c:pt idx="6947">
                  <c:v>4</c:v>
                </c:pt>
                <c:pt idx="6948">
                  <c:v>4</c:v>
                </c:pt>
                <c:pt idx="6949">
                  <c:v>4</c:v>
                </c:pt>
                <c:pt idx="6950">
                  <c:v>4</c:v>
                </c:pt>
                <c:pt idx="6951">
                  <c:v>4</c:v>
                </c:pt>
                <c:pt idx="6952">
                  <c:v>4</c:v>
                </c:pt>
                <c:pt idx="6953">
                  <c:v>4</c:v>
                </c:pt>
                <c:pt idx="6954">
                  <c:v>4</c:v>
                </c:pt>
                <c:pt idx="6955">
                  <c:v>4</c:v>
                </c:pt>
                <c:pt idx="7168">
                  <c:v>5</c:v>
                </c:pt>
                <c:pt idx="7169">
                  <c:v>5</c:v>
                </c:pt>
                <c:pt idx="7170">
                  <c:v>5</c:v>
                </c:pt>
                <c:pt idx="7171">
                  <c:v>5</c:v>
                </c:pt>
                <c:pt idx="7172">
                  <c:v>5</c:v>
                </c:pt>
                <c:pt idx="7173">
                  <c:v>5</c:v>
                </c:pt>
                <c:pt idx="7174">
                  <c:v>5</c:v>
                </c:pt>
                <c:pt idx="717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83-421E-88E9-22CAEC3436C6}"/>
            </c:ext>
          </c:extLst>
        </c:ser>
        <c:ser>
          <c:idx val="3"/>
          <c:order val="3"/>
          <c:tx>
            <c:strRef>
              <c:f>transpose!$AB$1</c:f>
              <c:strCache>
                <c:ptCount val="1"/>
                <c:pt idx="0">
                  <c:v>B8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transpose!$AB$2:$AB$7686</c:f>
              <c:numCache>
                <c:formatCode>General</c:formatCode>
                <c:ptCount val="7685"/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5008">
                  <c:v>4</c:v>
                </c:pt>
                <c:pt idx="5009">
                  <c:v>4</c:v>
                </c:pt>
                <c:pt idx="5010">
                  <c:v>4</c:v>
                </c:pt>
                <c:pt idx="5011">
                  <c:v>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</c:v>
                </c:pt>
                <c:pt idx="5020">
                  <c:v>4</c:v>
                </c:pt>
                <c:pt idx="5021">
                  <c:v>4</c:v>
                </c:pt>
                <c:pt idx="5022">
                  <c:v>4</c:v>
                </c:pt>
                <c:pt idx="5023">
                  <c:v>4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6989">
                  <c:v>5</c:v>
                </c:pt>
                <c:pt idx="6990">
                  <c:v>5</c:v>
                </c:pt>
                <c:pt idx="6991">
                  <c:v>5</c:v>
                </c:pt>
                <c:pt idx="6992">
                  <c:v>5</c:v>
                </c:pt>
                <c:pt idx="6993">
                  <c:v>5</c:v>
                </c:pt>
                <c:pt idx="6994">
                  <c:v>5</c:v>
                </c:pt>
                <c:pt idx="6995">
                  <c:v>5</c:v>
                </c:pt>
                <c:pt idx="6996">
                  <c:v>5</c:v>
                </c:pt>
                <c:pt idx="6997">
                  <c:v>5</c:v>
                </c:pt>
                <c:pt idx="6998">
                  <c:v>5</c:v>
                </c:pt>
                <c:pt idx="6999">
                  <c:v>5</c:v>
                </c:pt>
                <c:pt idx="7000">
                  <c:v>5</c:v>
                </c:pt>
                <c:pt idx="700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83-421E-88E9-22CAEC3436C6}"/>
            </c:ext>
          </c:extLst>
        </c:ser>
        <c:ser>
          <c:idx val="4"/>
          <c:order val="4"/>
          <c:tx>
            <c:strRef>
              <c:f>transpose!$AF$1</c:f>
              <c:strCache>
                <c:ptCount val="1"/>
                <c:pt idx="0">
                  <c:v>B10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transpose!$AF$2:$AF$7686</c:f>
              <c:numCache>
                <c:formatCode>General</c:formatCode>
                <c:ptCount val="7685"/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83-421E-88E9-22CAEC3436C6}"/>
            </c:ext>
          </c:extLst>
        </c:ser>
        <c:ser>
          <c:idx val="5"/>
          <c:order val="5"/>
          <c:tx>
            <c:strRef>
              <c:f>transpose!$AJ$1</c:f>
              <c:strCache>
                <c:ptCount val="1"/>
                <c:pt idx="0">
                  <c:v>B12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transpose!$AJ$2:$AJ$7686</c:f>
              <c:numCache>
                <c:formatCode>General</c:formatCode>
                <c:ptCount val="7685"/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6582">
                  <c:v>4</c:v>
                </c:pt>
                <c:pt idx="6583">
                  <c:v>4</c:v>
                </c:pt>
                <c:pt idx="6584">
                  <c:v>4</c:v>
                </c:pt>
                <c:pt idx="6585">
                  <c:v>4</c:v>
                </c:pt>
                <c:pt idx="6586">
                  <c:v>4</c:v>
                </c:pt>
                <c:pt idx="6587">
                  <c:v>4</c:v>
                </c:pt>
                <c:pt idx="6588">
                  <c:v>4</c:v>
                </c:pt>
                <c:pt idx="6589">
                  <c:v>4</c:v>
                </c:pt>
                <c:pt idx="6590">
                  <c:v>4</c:v>
                </c:pt>
                <c:pt idx="6591">
                  <c:v>4</c:v>
                </c:pt>
                <c:pt idx="6592">
                  <c:v>4</c:v>
                </c:pt>
                <c:pt idx="6593">
                  <c:v>4</c:v>
                </c:pt>
                <c:pt idx="6594">
                  <c:v>4</c:v>
                </c:pt>
                <c:pt idx="6595">
                  <c:v>4</c:v>
                </c:pt>
                <c:pt idx="6596">
                  <c:v>4</c:v>
                </c:pt>
                <c:pt idx="6597">
                  <c:v>4</c:v>
                </c:pt>
                <c:pt idx="6598">
                  <c:v>4</c:v>
                </c:pt>
                <c:pt idx="6599">
                  <c:v>4</c:v>
                </c:pt>
                <c:pt idx="6600">
                  <c:v>4</c:v>
                </c:pt>
                <c:pt idx="6601">
                  <c:v>4</c:v>
                </c:pt>
                <c:pt idx="6602">
                  <c:v>4</c:v>
                </c:pt>
                <c:pt idx="6603">
                  <c:v>4</c:v>
                </c:pt>
                <c:pt idx="6604">
                  <c:v>4</c:v>
                </c:pt>
                <c:pt idx="6605">
                  <c:v>4</c:v>
                </c:pt>
                <c:pt idx="6606">
                  <c:v>4</c:v>
                </c:pt>
                <c:pt idx="6607">
                  <c:v>4</c:v>
                </c:pt>
                <c:pt idx="6608">
                  <c:v>4</c:v>
                </c:pt>
                <c:pt idx="6609">
                  <c:v>4</c:v>
                </c:pt>
                <c:pt idx="6610">
                  <c:v>4</c:v>
                </c:pt>
                <c:pt idx="6611">
                  <c:v>4</c:v>
                </c:pt>
                <c:pt idx="6612">
                  <c:v>4</c:v>
                </c:pt>
                <c:pt idx="6613">
                  <c:v>4</c:v>
                </c:pt>
                <c:pt idx="6614">
                  <c:v>4</c:v>
                </c:pt>
                <c:pt idx="6615">
                  <c:v>4</c:v>
                </c:pt>
                <c:pt idx="6616">
                  <c:v>4</c:v>
                </c:pt>
                <c:pt idx="6617">
                  <c:v>4</c:v>
                </c:pt>
                <c:pt idx="6618">
                  <c:v>4</c:v>
                </c:pt>
                <c:pt idx="6619">
                  <c:v>4</c:v>
                </c:pt>
                <c:pt idx="6620">
                  <c:v>4</c:v>
                </c:pt>
                <c:pt idx="6621">
                  <c:v>4</c:v>
                </c:pt>
                <c:pt idx="6622">
                  <c:v>4</c:v>
                </c:pt>
                <c:pt idx="6623">
                  <c:v>4</c:v>
                </c:pt>
                <c:pt idx="6624">
                  <c:v>4</c:v>
                </c:pt>
                <c:pt idx="6625">
                  <c:v>4</c:v>
                </c:pt>
                <c:pt idx="6626">
                  <c:v>4</c:v>
                </c:pt>
                <c:pt idx="6627">
                  <c:v>4</c:v>
                </c:pt>
                <c:pt idx="6628">
                  <c:v>4</c:v>
                </c:pt>
                <c:pt idx="6629">
                  <c:v>4</c:v>
                </c:pt>
                <c:pt idx="6630">
                  <c:v>4</c:v>
                </c:pt>
                <c:pt idx="6631">
                  <c:v>4</c:v>
                </c:pt>
                <c:pt idx="6632">
                  <c:v>4</c:v>
                </c:pt>
                <c:pt idx="6633">
                  <c:v>4</c:v>
                </c:pt>
                <c:pt idx="6634">
                  <c:v>4</c:v>
                </c:pt>
                <c:pt idx="6635">
                  <c:v>4</c:v>
                </c:pt>
                <c:pt idx="6636">
                  <c:v>4</c:v>
                </c:pt>
                <c:pt idx="6637">
                  <c:v>4</c:v>
                </c:pt>
                <c:pt idx="6638">
                  <c:v>4</c:v>
                </c:pt>
                <c:pt idx="6639">
                  <c:v>4</c:v>
                </c:pt>
                <c:pt idx="6640">
                  <c:v>4</c:v>
                </c:pt>
                <c:pt idx="6641">
                  <c:v>4</c:v>
                </c:pt>
                <c:pt idx="6642">
                  <c:v>4</c:v>
                </c:pt>
                <c:pt idx="6643">
                  <c:v>4</c:v>
                </c:pt>
                <c:pt idx="6644">
                  <c:v>4</c:v>
                </c:pt>
                <c:pt idx="6645">
                  <c:v>4</c:v>
                </c:pt>
                <c:pt idx="6646">
                  <c:v>4</c:v>
                </c:pt>
                <c:pt idx="6647">
                  <c:v>4</c:v>
                </c:pt>
                <c:pt idx="6648">
                  <c:v>4</c:v>
                </c:pt>
                <c:pt idx="6649">
                  <c:v>4</c:v>
                </c:pt>
                <c:pt idx="6650">
                  <c:v>4</c:v>
                </c:pt>
                <c:pt idx="6651">
                  <c:v>4</c:v>
                </c:pt>
                <c:pt idx="665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83-421E-88E9-22CAEC3436C6}"/>
            </c:ext>
          </c:extLst>
        </c:ser>
        <c:ser>
          <c:idx val="6"/>
          <c:order val="6"/>
          <c:tx>
            <c:strRef>
              <c:f>transpose!$AN$1</c:f>
              <c:strCache>
                <c:ptCount val="1"/>
                <c:pt idx="0">
                  <c:v>B14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transpose!$AN$2:$AN$7686</c:f>
              <c:numCache>
                <c:formatCode>General</c:formatCode>
                <c:ptCount val="7685"/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83-421E-88E9-22CAEC3436C6}"/>
            </c:ext>
          </c:extLst>
        </c:ser>
        <c:ser>
          <c:idx val="7"/>
          <c:order val="7"/>
          <c:tx>
            <c:strRef>
              <c:f>transpose!$AR$1</c:f>
              <c:strCache>
                <c:ptCount val="1"/>
                <c:pt idx="0">
                  <c:v>B16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transpose!$AR$2:$AR$7686</c:f>
              <c:numCache>
                <c:formatCode>General</c:formatCode>
                <c:ptCount val="7685"/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4</c:v>
                </c:pt>
                <c:pt idx="6752">
                  <c:v>4</c:v>
                </c:pt>
                <c:pt idx="6753">
                  <c:v>4</c:v>
                </c:pt>
                <c:pt idx="6754">
                  <c:v>4</c:v>
                </c:pt>
                <c:pt idx="6755">
                  <c:v>4</c:v>
                </c:pt>
                <c:pt idx="6756">
                  <c:v>4</c:v>
                </c:pt>
                <c:pt idx="6757">
                  <c:v>4</c:v>
                </c:pt>
                <c:pt idx="6758">
                  <c:v>4</c:v>
                </c:pt>
                <c:pt idx="6759">
                  <c:v>4</c:v>
                </c:pt>
                <c:pt idx="676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83-421E-88E9-22CAEC34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353391"/>
        <c:axId val="810354223"/>
      </c:scatterChart>
      <c:valAx>
        <c:axId val="810353391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0354223"/>
        <c:crosses val="autoZero"/>
        <c:crossBetween val="midCat"/>
        <c:majorUnit val="1000"/>
      </c:valAx>
      <c:valAx>
        <c:axId val="810354223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035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transpose!$J$1</c:f>
              <c:strCache>
                <c:ptCount val="1"/>
                <c:pt idx="0">
                  <c:v>Megy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transpose!$J$2:$J$7686</c:f>
              <c:numCache>
                <c:formatCode>General</c:formatCode>
                <c:ptCount val="7685"/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  <c:pt idx="501">
                  <c:v>7</c:v>
                </c:pt>
                <c:pt idx="502">
                  <c:v>7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718">
                  <c:v>9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69">
                  <c:v>10</c:v>
                </c:pt>
                <c:pt idx="770">
                  <c:v>10</c:v>
                </c:pt>
                <c:pt idx="771">
                  <c:v>10</c:v>
                </c:pt>
                <c:pt idx="772">
                  <c:v>10</c:v>
                </c:pt>
                <c:pt idx="773">
                  <c:v>10</c:v>
                </c:pt>
                <c:pt idx="774">
                  <c:v>10</c:v>
                </c:pt>
                <c:pt idx="775">
                  <c:v>10</c:v>
                </c:pt>
                <c:pt idx="776">
                  <c:v>10</c:v>
                </c:pt>
                <c:pt idx="777">
                  <c:v>10</c:v>
                </c:pt>
                <c:pt idx="778">
                  <c:v>10</c:v>
                </c:pt>
                <c:pt idx="779">
                  <c:v>10</c:v>
                </c:pt>
                <c:pt idx="780">
                  <c:v>10</c:v>
                </c:pt>
                <c:pt idx="781">
                  <c:v>10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804">
                  <c:v>11</c:v>
                </c:pt>
                <c:pt idx="805">
                  <c:v>11</c:v>
                </c:pt>
                <c:pt idx="806">
                  <c:v>11</c:v>
                </c:pt>
                <c:pt idx="813">
                  <c:v>12</c:v>
                </c:pt>
                <c:pt idx="814">
                  <c:v>12</c:v>
                </c:pt>
                <c:pt idx="815">
                  <c:v>12</c:v>
                </c:pt>
                <c:pt idx="816">
                  <c:v>12</c:v>
                </c:pt>
                <c:pt idx="817">
                  <c:v>12</c:v>
                </c:pt>
                <c:pt idx="818">
                  <c:v>12</c:v>
                </c:pt>
                <c:pt idx="819">
                  <c:v>12</c:v>
                </c:pt>
                <c:pt idx="820">
                  <c:v>12</c:v>
                </c:pt>
                <c:pt idx="821">
                  <c:v>12</c:v>
                </c:pt>
                <c:pt idx="822">
                  <c:v>12</c:v>
                </c:pt>
                <c:pt idx="823">
                  <c:v>12</c:v>
                </c:pt>
                <c:pt idx="824">
                  <c:v>12</c:v>
                </c:pt>
                <c:pt idx="825">
                  <c:v>12</c:v>
                </c:pt>
                <c:pt idx="826">
                  <c:v>12</c:v>
                </c:pt>
                <c:pt idx="827">
                  <c:v>12</c:v>
                </c:pt>
                <c:pt idx="828">
                  <c:v>12</c:v>
                </c:pt>
                <c:pt idx="829">
                  <c:v>12</c:v>
                </c:pt>
                <c:pt idx="830">
                  <c:v>12</c:v>
                </c:pt>
                <c:pt idx="831">
                  <c:v>12</c:v>
                </c:pt>
                <c:pt idx="832">
                  <c:v>12</c:v>
                </c:pt>
                <c:pt idx="833">
                  <c:v>12</c:v>
                </c:pt>
                <c:pt idx="834">
                  <c:v>12</c:v>
                </c:pt>
                <c:pt idx="835">
                  <c:v>12</c:v>
                </c:pt>
                <c:pt idx="836">
                  <c:v>12</c:v>
                </c:pt>
                <c:pt idx="837">
                  <c:v>12</c:v>
                </c:pt>
                <c:pt idx="838">
                  <c:v>12</c:v>
                </c:pt>
                <c:pt idx="839">
                  <c:v>12</c:v>
                </c:pt>
                <c:pt idx="840">
                  <c:v>12</c:v>
                </c:pt>
                <c:pt idx="841">
                  <c:v>12</c:v>
                </c:pt>
                <c:pt idx="842">
                  <c:v>12</c:v>
                </c:pt>
                <c:pt idx="843">
                  <c:v>12</c:v>
                </c:pt>
                <c:pt idx="844">
                  <c:v>12</c:v>
                </c:pt>
                <c:pt idx="845">
                  <c:v>12</c:v>
                </c:pt>
                <c:pt idx="846">
                  <c:v>12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12</c:v>
                </c:pt>
                <c:pt idx="851">
                  <c:v>12</c:v>
                </c:pt>
                <c:pt idx="852">
                  <c:v>12</c:v>
                </c:pt>
                <c:pt idx="853">
                  <c:v>12</c:v>
                </c:pt>
                <c:pt idx="854">
                  <c:v>12</c:v>
                </c:pt>
                <c:pt idx="855">
                  <c:v>12</c:v>
                </c:pt>
                <c:pt idx="856">
                  <c:v>12</c:v>
                </c:pt>
                <c:pt idx="857">
                  <c:v>12</c:v>
                </c:pt>
                <c:pt idx="858">
                  <c:v>12</c:v>
                </c:pt>
                <c:pt idx="859">
                  <c:v>12</c:v>
                </c:pt>
                <c:pt idx="860">
                  <c:v>12</c:v>
                </c:pt>
                <c:pt idx="861">
                  <c:v>12</c:v>
                </c:pt>
                <c:pt idx="862">
                  <c:v>12</c:v>
                </c:pt>
                <c:pt idx="863">
                  <c:v>12</c:v>
                </c:pt>
                <c:pt idx="864">
                  <c:v>12</c:v>
                </c:pt>
                <c:pt idx="865">
                  <c:v>12</c:v>
                </c:pt>
                <c:pt idx="866">
                  <c:v>12</c:v>
                </c:pt>
                <c:pt idx="867">
                  <c:v>12</c:v>
                </c:pt>
                <c:pt idx="868">
                  <c:v>12</c:v>
                </c:pt>
                <c:pt idx="869">
                  <c:v>12</c:v>
                </c:pt>
                <c:pt idx="870">
                  <c:v>12</c:v>
                </c:pt>
                <c:pt idx="871">
                  <c:v>12</c:v>
                </c:pt>
                <c:pt idx="872">
                  <c:v>12</c:v>
                </c:pt>
                <c:pt idx="873">
                  <c:v>12</c:v>
                </c:pt>
                <c:pt idx="874">
                  <c:v>12</c:v>
                </c:pt>
                <c:pt idx="875">
                  <c:v>12</c:v>
                </c:pt>
                <c:pt idx="876">
                  <c:v>12</c:v>
                </c:pt>
                <c:pt idx="877">
                  <c:v>12</c:v>
                </c:pt>
                <c:pt idx="878">
                  <c:v>12</c:v>
                </c:pt>
                <c:pt idx="879">
                  <c:v>12</c:v>
                </c:pt>
                <c:pt idx="880">
                  <c:v>12</c:v>
                </c:pt>
                <c:pt idx="881">
                  <c:v>12</c:v>
                </c:pt>
                <c:pt idx="882">
                  <c:v>12</c:v>
                </c:pt>
                <c:pt idx="883">
                  <c:v>12</c:v>
                </c:pt>
                <c:pt idx="884">
                  <c:v>12</c:v>
                </c:pt>
                <c:pt idx="885">
                  <c:v>12</c:v>
                </c:pt>
                <c:pt idx="886">
                  <c:v>12</c:v>
                </c:pt>
                <c:pt idx="887">
                  <c:v>12</c:v>
                </c:pt>
                <c:pt idx="888">
                  <c:v>12</c:v>
                </c:pt>
                <c:pt idx="889">
                  <c:v>12</c:v>
                </c:pt>
                <c:pt idx="890">
                  <c:v>12</c:v>
                </c:pt>
                <c:pt idx="891">
                  <c:v>12</c:v>
                </c:pt>
                <c:pt idx="938">
                  <c:v>13</c:v>
                </c:pt>
                <c:pt idx="939">
                  <c:v>13</c:v>
                </c:pt>
                <c:pt idx="940">
                  <c:v>13</c:v>
                </c:pt>
                <c:pt idx="941">
                  <c:v>13</c:v>
                </c:pt>
                <c:pt idx="942">
                  <c:v>13</c:v>
                </c:pt>
                <c:pt idx="943">
                  <c:v>13</c:v>
                </c:pt>
                <c:pt idx="944">
                  <c:v>13</c:v>
                </c:pt>
                <c:pt idx="945">
                  <c:v>13</c:v>
                </c:pt>
                <c:pt idx="946">
                  <c:v>13</c:v>
                </c:pt>
                <c:pt idx="947">
                  <c:v>13</c:v>
                </c:pt>
                <c:pt idx="948">
                  <c:v>13</c:v>
                </c:pt>
                <c:pt idx="949">
                  <c:v>13</c:v>
                </c:pt>
                <c:pt idx="950">
                  <c:v>13</c:v>
                </c:pt>
                <c:pt idx="951">
                  <c:v>13</c:v>
                </c:pt>
                <c:pt idx="952">
                  <c:v>13</c:v>
                </c:pt>
                <c:pt idx="953">
                  <c:v>13</c:v>
                </c:pt>
                <c:pt idx="954">
                  <c:v>13</c:v>
                </c:pt>
                <c:pt idx="955">
                  <c:v>13</c:v>
                </c:pt>
                <c:pt idx="956">
                  <c:v>13</c:v>
                </c:pt>
                <c:pt idx="957">
                  <c:v>13</c:v>
                </c:pt>
                <c:pt idx="958">
                  <c:v>13</c:v>
                </c:pt>
                <c:pt idx="959">
                  <c:v>13</c:v>
                </c:pt>
                <c:pt idx="960">
                  <c:v>13</c:v>
                </c:pt>
                <c:pt idx="961">
                  <c:v>13</c:v>
                </c:pt>
                <c:pt idx="962">
                  <c:v>13</c:v>
                </c:pt>
                <c:pt idx="963">
                  <c:v>13</c:v>
                </c:pt>
                <c:pt idx="964">
                  <c:v>13</c:v>
                </c:pt>
                <c:pt idx="1025">
                  <c:v>14</c:v>
                </c:pt>
                <c:pt idx="1026">
                  <c:v>14</c:v>
                </c:pt>
                <c:pt idx="1027">
                  <c:v>14</c:v>
                </c:pt>
                <c:pt idx="1028">
                  <c:v>14</c:v>
                </c:pt>
                <c:pt idx="1029">
                  <c:v>14</c:v>
                </c:pt>
                <c:pt idx="1030">
                  <c:v>14</c:v>
                </c:pt>
                <c:pt idx="1031">
                  <c:v>14</c:v>
                </c:pt>
                <c:pt idx="1032">
                  <c:v>14</c:v>
                </c:pt>
                <c:pt idx="1033">
                  <c:v>14</c:v>
                </c:pt>
                <c:pt idx="1034">
                  <c:v>14</c:v>
                </c:pt>
                <c:pt idx="1035">
                  <c:v>14</c:v>
                </c:pt>
                <c:pt idx="1036">
                  <c:v>14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14</c:v>
                </c:pt>
                <c:pt idx="1041">
                  <c:v>14</c:v>
                </c:pt>
                <c:pt idx="1042">
                  <c:v>14</c:v>
                </c:pt>
                <c:pt idx="1043">
                  <c:v>14</c:v>
                </c:pt>
                <c:pt idx="1044">
                  <c:v>14</c:v>
                </c:pt>
                <c:pt idx="1070">
                  <c:v>15</c:v>
                </c:pt>
                <c:pt idx="1071">
                  <c:v>15</c:v>
                </c:pt>
                <c:pt idx="1072">
                  <c:v>15</c:v>
                </c:pt>
                <c:pt idx="1073">
                  <c:v>15</c:v>
                </c:pt>
                <c:pt idx="1074">
                  <c:v>15</c:v>
                </c:pt>
                <c:pt idx="1075">
                  <c:v>15</c:v>
                </c:pt>
                <c:pt idx="1076">
                  <c:v>15</c:v>
                </c:pt>
                <c:pt idx="1077">
                  <c:v>15</c:v>
                </c:pt>
                <c:pt idx="1078">
                  <c:v>15</c:v>
                </c:pt>
                <c:pt idx="1079">
                  <c:v>15</c:v>
                </c:pt>
                <c:pt idx="1080">
                  <c:v>15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15</c:v>
                </c:pt>
                <c:pt idx="1085">
                  <c:v>15</c:v>
                </c:pt>
                <c:pt idx="1086">
                  <c:v>15</c:v>
                </c:pt>
                <c:pt idx="1087">
                  <c:v>15</c:v>
                </c:pt>
                <c:pt idx="1088">
                  <c:v>15</c:v>
                </c:pt>
                <c:pt idx="1089">
                  <c:v>15</c:v>
                </c:pt>
                <c:pt idx="1090">
                  <c:v>15</c:v>
                </c:pt>
                <c:pt idx="1091">
                  <c:v>15</c:v>
                </c:pt>
                <c:pt idx="1092">
                  <c:v>15</c:v>
                </c:pt>
                <c:pt idx="1093">
                  <c:v>15</c:v>
                </c:pt>
                <c:pt idx="1094">
                  <c:v>15</c:v>
                </c:pt>
                <c:pt idx="1095">
                  <c:v>15</c:v>
                </c:pt>
                <c:pt idx="1096">
                  <c:v>15</c:v>
                </c:pt>
                <c:pt idx="1097">
                  <c:v>15</c:v>
                </c:pt>
                <c:pt idx="1098">
                  <c:v>15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15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15</c:v>
                </c:pt>
                <c:pt idx="1108">
                  <c:v>15</c:v>
                </c:pt>
                <c:pt idx="1109">
                  <c:v>15</c:v>
                </c:pt>
                <c:pt idx="1110">
                  <c:v>15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15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15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50">
                  <c:v>17</c:v>
                </c:pt>
                <c:pt idx="1151">
                  <c:v>17</c:v>
                </c:pt>
                <c:pt idx="1152">
                  <c:v>17</c:v>
                </c:pt>
                <c:pt idx="1153">
                  <c:v>17</c:v>
                </c:pt>
                <c:pt idx="1154">
                  <c:v>17</c:v>
                </c:pt>
                <c:pt idx="1155">
                  <c:v>17</c:v>
                </c:pt>
                <c:pt idx="1156">
                  <c:v>17</c:v>
                </c:pt>
                <c:pt idx="1157">
                  <c:v>17</c:v>
                </c:pt>
                <c:pt idx="1158">
                  <c:v>17</c:v>
                </c:pt>
                <c:pt idx="1159">
                  <c:v>17</c:v>
                </c:pt>
                <c:pt idx="1160">
                  <c:v>17</c:v>
                </c:pt>
                <c:pt idx="1161">
                  <c:v>17</c:v>
                </c:pt>
                <c:pt idx="1162">
                  <c:v>17</c:v>
                </c:pt>
                <c:pt idx="1163">
                  <c:v>17</c:v>
                </c:pt>
                <c:pt idx="1164">
                  <c:v>17</c:v>
                </c:pt>
                <c:pt idx="1165">
                  <c:v>17</c:v>
                </c:pt>
                <c:pt idx="1166">
                  <c:v>17</c:v>
                </c:pt>
                <c:pt idx="1167">
                  <c:v>17</c:v>
                </c:pt>
                <c:pt idx="1168">
                  <c:v>17</c:v>
                </c:pt>
                <c:pt idx="1169">
                  <c:v>17</c:v>
                </c:pt>
                <c:pt idx="1170">
                  <c:v>17</c:v>
                </c:pt>
                <c:pt idx="1171">
                  <c:v>17</c:v>
                </c:pt>
                <c:pt idx="1172">
                  <c:v>17</c:v>
                </c:pt>
                <c:pt idx="1173">
                  <c:v>17</c:v>
                </c:pt>
                <c:pt idx="1174">
                  <c:v>17</c:v>
                </c:pt>
                <c:pt idx="1175">
                  <c:v>17</c:v>
                </c:pt>
                <c:pt idx="1176">
                  <c:v>17</c:v>
                </c:pt>
                <c:pt idx="1177">
                  <c:v>17</c:v>
                </c:pt>
                <c:pt idx="1178">
                  <c:v>17</c:v>
                </c:pt>
                <c:pt idx="1179">
                  <c:v>17</c:v>
                </c:pt>
                <c:pt idx="1180">
                  <c:v>17</c:v>
                </c:pt>
                <c:pt idx="1181">
                  <c:v>17</c:v>
                </c:pt>
                <c:pt idx="1182">
                  <c:v>17</c:v>
                </c:pt>
                <c:pt idx="1183">
                  <c:v>17</c:v>
                </c:pt>
                <c:pt idx="1184">
                  <c:v>17</c:v>
                </c:pt>
                <c:pt idx="1185">
                  <c:v>17</c:v>
                </c:pt>
                <c:pt idx="1186">
                  <c:v>17</c:v>
                </c:pt>
                <c:pt idx="1220">
                  <c:v>18</c:v>
                </c:pt>
                <c:pt idx="1221">
                  <c:v>18</c:v>
                </c:pt>
                <c:pt idx="1222">
                  <c:v>18</c:v>
                </c:pt>
                <c:pt idx="1223">
                  <c:v>18</c:v>
                </c:pt>
                <c:pt idx="1224">
                  <c:v>18</c:v>
                </c:pt>
                <c:pt idx="1225">
                  <c:v>18</c:v>
                </c:pt>
                <c:pt idx="1226">
                  <c:v>18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60">
                  <c:v>19</c:v>
                </c:pt>
                <c:pt idx="1261">
                  <c:v>19</c:v>
                </c:pt>
                <c:pt idx="1262">
                  <c:v>19</c:v>
                </c:pt>
                <c:pt idx="1263">
                  <c:v>19</c:v>
                </c:pt>
                <c:pt idx="1264">
                  <c:v>19</c:v>
                </c:pt>
                <c:pt idx="1265">
                  <c:v>19</c:v>
                </c:pt>
                <c:pt idx="1266">
                  <c:v>19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19</c:v>
                </c:pt>
                <c:pt idx="1285">
                  <c:v>19</c:v>
                </c:pt>
                <c:pt idx="1286">
                  <c:v>19</c:v>
                </c:pt>
                <c:pt idx="1287">
                  <c:v>19</c:v>
                </c:pt>
                <c:pt idx="1288">
                  <c:v>19</c:v>
                </c:pt>
                <c:pt idx="1289">
                  <c:v>19</c:v>
                </c:pt>
                <c:pt idx="1290">
                  <c:v>19</c:v>
                </c:pt>
                <c:pt idx="1291">
                  <c:v>19</c:v>
                </c:pt>
                <c:pt idx="1292">
                  <c:v>19</c:v>
                </c:pt>
                <c:pt idx="1293">
                  <c:v>19</c:v>
                </c:pt>
                <c:pt idx="1294">
                  <c:v>19</c:v>
                </c:pt>
                <c:pt idx="1295">
                  <c:v>19</c:v>
                </c:pt>
                <c:pt idx="1296">
                  <c:v>19</c:v>
                </c:pt>
                <c:pt idx="1297">
                  <c:v>19</c:v>
                </c:pt>
                <c:pt idx="1298">
                  <c:v>19</c:v>
                </c:pt>
                <c:pt idx="1299">
                  <c:v>19</c:v>
                </c:pt>
                <c:pt idx="1300">
                  <c:v>19</c:v>
                </c:pt>
                <c:pt idx="1301">
                  <c:v>19</c:v>
                </c:pt>
                <c:pt idx="1302">
                  <c:v>19</c:v>
                </c:pt>
                <c:pt idx="1303">
                  <c:v>19</c:v>
                </c:pt>
                <c:pt idx="1304">
                  <c:v>19</c:v>
                </c:pt>
                <c:pt idx="1305">
                  <c:v>19</c:v>
                </c:pt>
                <c:pt idx="1306">
                  <c:v>19</c:v>
                </c:pt>
                <c:pt idx="1307">
                  <c:v>19</c:v>
                </c:pt>
                <c:pt idx="1308">
                  <c:v>19</c:v>
                </c:pt>
                <c:pt idx="1309">
                  <c:v>19</c:v>
                </c:pt>
                <c:pt idx="1310">
                  <c:v>19</c:v>
                </c:pt>
                <c:pt idx="1311">
                  <c:v>19</c:v>
                </c:pt>
                <c:pt idx="1312">
                  <c:v>19</c:v>
                </c:pt>
                <c:pt idx="1313">
                  <c:v>19</c:v>
                </c:pt>
                <c:pt idx="1314">
                  <c:v>19</c:v>
                </c:pt>
                <c:pt idx="1315">
                  <c:v>19</c:v>
                </c:pt>
                <c:pt idx="1316">
                  <c:v>19</c:v>
                </c:pt>
                <c:pt idx="1317">
                  <c:v>19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57">
                  <c:v>21</c:v>
                </c:pt>
                <c:pt idx="1358">
                  <c:v>21</c:v>
                </c:pt>
                <c:pt idx="1359">
                  <c:v>21</c:v>
                </c:pt>
                <c:pt idx="1360">
                  <c:v>21</c:v>
                </c:pt>
                <c:pt idx="1361">
                  <c:v>21</c:v>
                </c:pt>
                <c:pt idx="1362">
                  <c:v>21</c:v>
                </c:pt>
                <c:pt idx="1363">
                  <c:v>21</c:v>
                </c:pt>
                <c:pt idx="1364">
                  <c:v>21</c:v>
                </c:pt>
                <c:pt idx="1365">
                  <c:v>21</c:v>
                </c:pt>
                <c:pt idx="1366">
                  <c:v>21</c:v>
                </c:pt>
                <c:pt idx="1367">
                  <c:v>21</c:v>
                </c:pt>
                <c:pt idx="1368">
                  <c:v>21</c:v>
                </c:pt>
                <c:pt idx="1369">
                  <c:v>21</c:v>
                </c:pt>
                <c:pt idx="1370">
                  <c:v>21</c:v>
                </c:pt>
                <c:pt idx="1371">
                  <c:v>21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21</c:v>
                </c:pt>
                <c:pt idx="1377">
                  <c:v>21</c:v>
                </c:pt>
                <c:pt idx="1378">
                  <c:v>21</c:v>
                </c:pt>
                <c:pt idx="1379">
                  <c:v>21</c:v>
                </c:pt>
                <c:pt idx="1380">
                  <c:v>21</c:v>
                </c:pt>
                <c:pt idx="1381">
                  <c:v>21</c:v>
                </c:pt>
                <c:pt idx="1382">
                  <c:v>21</c:v>
                </c:pt>
                <c:pt idx="1383">
                  <c:v>21</c:v>
                </c:pt>
                <c:pt idx="1384">
                  <c:v>21</c:v>
                </c:pt>
                <c:pt idx="1385">
                  <c:v>21</c:v>
                </c:pt>
                <c:pt idx="1386">
                  <c:v>21</c:v>
                </c:pt>
                <c:pt idx="1387">
                  <c:v>21</c:v>
                </c:pt>
                <c:pt idx="1388">
                  <c:v>21</c:v>
                </c:pt>
                <c:pt idx="1389">
                  <c:v>21</c:v>
                </c:pt>
                <c:pt idx="1390">
                  <c:v>21</c:v>
                </c:pt>
                <c:pt idx="1391">
                  <c:v>21</c:v>
                </c:pt>
                <c:pt idx="1392">
                  <c:v>21</c:v>
                </c:pt>
                <c:pt idx="1393">
                  <c:v>21</c:v>
                </c:pt>
                <c:pt idx="1394">
                  <c:v>21</c:v>
                </c:pt>
                <c:pt idx="1395">
                  <c:v>21</c:v>
                </c:pt>
                <c:pt idx="1396">
                  <c:v>21</c:v>
                </c:pt>
                <c:pt idx="1397">
                  <c:v>21</c:v>
                </c:pt>
                <c:pt idx="1398">
                  <c:v>21</c:v>
                </c:pt>
                <c:pt idx="1399">
                  <c:v>21</c:v>
                </c:pt>
                <c:pt idx="1400">
                  <c:v>21</c:v>
                </c:pt>
                <c:pt idx="1401">
                  <c:v>21</c:v>
                </c:pt>
                <c:pt idx="1402">
                  <c:v>21</c:v>
                </c:pt>
                <c:pt idx="1403">
                  <c:v>21</c:v>
                </c:pt>
                <c:pt idx="1404">
                  <c:v>21</c:v>
                </c:pt>
                <c:pt idx="1405">
                  <c:v>21</c:v>
                </c:pt>
                <c:pt idx="1406">
                  <c:v>21</c:v>
                </c:pt>
                <c:pt idx="1407">
                  <c:v>21</c:v>
                </c:pt>
                <c:pt idx="1408">
                  <c:v>21</c:v>
                </c:pt>
                <c:pt idx="1409">
                  <c:v>21</c:v>
                </c:pt>
                <c:pt idx="1410">
                  <c:v>21</c:v>
                </c:pt>
                <c:pt idx="1411">
                  <c:v>21</c:v>
                </c:pt>
                <c:pt idx="1412">
                  <c:v>21</c:v>
                </c:pt>
                <c:pt idx="1413">
                  <c:v>21</c:v>
                </c:pt>
                <c:pt idx="1414">
                  <c:v>21</c:v>
                </c:pt>
                <c:pt idx="1420">
                  <c:v>22</c:v>
                </c:pt>
                <c:pt idx="1421">
                  <c:v>22</c:v>
                </c:pt>
                <c:pt idx="1422">
                  <c:v>22</c:v>
                </c:pt>
                <c:pt idx="1423">
                  <c:v>22</c:v>
                </c:pt>
                <c:pt idx="1424">
                  <c:v>22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23</c:v>
                </c:pt>
                <c:pt idx="1489">
                  <c:v>23</c:v>
                </c:pt>
                <c:pt idx="1490">
                  <c:v>23</c:v>
                </c:pt>
                <c:pt idx="1491">
                  <c:v>23</c:v>
                </c:pt>
                <c:pt idx="1492">
                  <c:v>23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944">
                  <c:v>25</c:v>
                </c:pt>
                <c:pt idx="1945">
                  <c:v>25</c:v>
                </c:pt>
                <c:pt idx="1946">
                  <c:v>25</c:v>
                </c:pt>
                <c:pt idx="1947">
                  <c:v>25</c:v>
                </c:pt>
                <c:pt idx="1948">
                  <c:v>25</c:v>
                </c:pt>
                <c:pt idx="1949">
                  <c:v>25</c:v>
                </c:pt>
                <c:pt idx="1950">
                  <c:v>25</c:v>
                </c:pt>
                <c:pt idx="1951">
                  <c:v>25</c:v>
                </c:pt>
                <c:pt idx="1952">
                  <c:v>25</c:v>
                </c:pt>
                <c:pt idx="1953">
                  <c:v>25</c:v>
                </c:pt>
                <c:pt idx="1954">
                  <c:v>25</c:v>
                </c:pt>
                <c:pt idx="1955">
                  <c:v>25</c:v>
                </c:pt>
                <c:pt idx="1956">
                  <c:v>25</c:v>
                </c:pt>
                <c:pt idx="1957">
                  <c:v>25</c:v>
                </c:pt>
                <c:pt idx="1958">
                  <c:v>25</c:v>
                </c:pt>
                <c:pt idx="1959">
                  <c:v>25</c:v>
                </c:pt>
                <c:pt idx="1960">
                  <c:v>25</c:v>
                </c:pt>
                <c:pt idx="1961">
                  <c:v>25</c:v>
                </c:pt>
                <c:pt idx="1962">
                  <c:v>25</c:v>
                </c:pt>
                <c:pt idx="1963">
                  <c:v>25</c:v>
                </c:pt>
                <c:pt idx="1964">
                  <c:v>25</c:v>
                </c:pt>
                <c:pt idx="1965">
                  <c:v>25</c:v>
                </c:pt>
                <c:pt idx="1966">
                  <c:v>25</c:v>
                </c:pt>
                <c:pt idx="1967">
                  <c:v>25</c:v>
                </c:pt>
                <c:pt idx="1968">
                  <c:v>25</c:v>
                </c:pt>
                <c:pt idx="1969">
                  <c:v>25</c:v>
                </c:pt>
                <c:pt idx="1970">
                  <c:v>25</c:v>
                </c:pt>
                <c:pt idx="1971">
                  <c:v>25</c:v>
                </c:pt>
                <c:pt idx="1972">
                  <c:v>25</c:v>
                </c:pt>
                <c:pt idx="1973">
                  <c:v>25</c:v>
                </c:pt>
                <c:pt idx="2054">
                  <c:v>26</c:v>
                </c:pt>
                <c:pt idx="2055">
                  <c:v>26</c:v>
                </c:pt>
                <c:pt idx="2056">
                  <c:v>26</c:v>
                </c:pt>
                <c:pt idx="2057">
                  <c:v>26</c:v>
                </c:pt>
                <c:pt idx="2058">
                  <c:v>26</c:v>
                </c:pt>
                <c:pt idx="2059">
                  <c:v>26</c:v>
                </c:pt>
                <c:pt idx="2060">
                  <c:v>26</c:v>
                </c:pt>
                <c:pt idx="2061">
                  <c:v>26</c:v>
                </c:pt>
                <c:pt idx="2062">
                  <c:v>26</c:v>
                </c:pt>
                <c:pt idx="2063">
                  <c:v>26</c:v>
                </c:pt>
                <c:pt idx="2064">
                  <c:v>26</c:v>
                </c:pt>
                <c:pt idx="2065">
                  <c:v>26</c:v>
                </c:pt>
                <c:pt idx="2066">
                  <c:v>26</c:v>
                </c:pt>
                <c:pt idx="2067">
                  <c:v>26</c:v>
                </c:pt>
                <c:pt idx="2068">
                  <c:v>26</c:v>
                </c:pt>
                <c:pt idx="2069">
                  <c:v>26</c:v>
                </c:pt>
                <c:pt idx="2070">
                  <c:v>26</c:v>
                </c:pt>
                <c:pt idx="2071">
                  <c:v>26</c:v>
                </c:pt>
                <c:pt idx="2072">
                  <c:v>26</c:v>
                </c:pt>
                <c:pt idx="2103">
                  <c:v>27</c:v>
                </c:pt>
                <c:pt idx="2104">
                  <c:v>27</c:v>
                </c:pt>
                <c:pt idx="2105">
                  <c:v>27</c:v>
                </c:pt>
                <c:pt idx="2106">
                  <c:v>27</c:v>
                </c:pt>
                <c:pt idx="2107">
                  <c:v>27</c:v>
                </c:pt>
                <c:pt idx="2108">
                  <c:v>27</c:v>
                </c:pt>
                <c:pt idx="2109">
                  <c:v>27</c:v>
                </c:pt>
                <c:pt idx="2110">
                  <c:v>27</c:v>
                </c:pt>
                <c:pt idx="2111">
                  <c:v>27</c:v>
                </c:pt>
                <c:pt idx="2112">
                  <c:v>27</c:v>
                </c:pt>
                <c:pt idx="2113">
                  <c:v>27</c:v>
                </c:pt>
                <c:pt idx="2121">
                  <c:v>28</c:v>
                </c:pt>
                <c:pt idx="2122">
                  <c:v>28</c:v>
                </c:pt>
                <c:pt idx="2123">
                  <c:v>28</c:v>
                </c:pt>
                <c:pt idx="2124">
                  <c:v>28</c:v>
                </c:pt>
                <c:pt idx="2125">
                  <c:v>28</c:v>
                </c:pt>
                <c:pt idx="2126">
                  <c:v>28</c:v>
                </c:pt>
                <c:pt idx="2127">
                  <c:v>28</c:v>
                </c:pt>
                <c:pt idx="2128">
                  <c:v>28</c:v>
                </c:pt>
                <c:pt idx="2136">
                  <c:v>29</c:v>
                </c:pt>
                <c:pt idx="2137">
                  <c:v>29</c:v>
                </c:pt>
                <c:pt idx="2138">
                  <c:v>29</c:v>
                </c:pt>
                <c:pt idx="2139">
                  <c:v>29</c:v>
                </c:pt>
                <c:pt idx="2140">
                  <c:v>29</c:v>
                </c:pt>
                <c:pt idx="2141">
                  <c:v>29</c:v>
                </c:pt>
                <c:pt idx="2142">
                  <c:v>29</c:v>
                </c:pt>
                <c:pt idx="2143">
                  <c:v>29</c:v>
                </c:pt>
                <c:pt idx="2144">
                  <c:v>29</c:v>
                </c:pt>
                <c:pt idx="2145">
                  <c:v>29</c:v>
                </c:pt>
                <c:pt idx="2146">
                  <c:v>29</c:v>
                </c:pt>
                <c:pt idx="2147">
                  <c:v>29</c:v>
                </c:pt>
                <c:pt idx="2148">
                  <c:v>29</c:v>
                </c:pt>
                <c:pt idx="2149">
                  <c:v>29</c:v>
                </c:pt>
                <c:pt idx="2150">
                  <c:v>29</c:v>
                </c:pt>
                <c:pt idx="2151">
                  <c:v>29</c:v>
                </c:pt>
                <c:pt idx="2152">
                  <c:v>29</c:v>
                </c:pt>
                <c:pt idx="2153">
                  <c:v>29</c:v>
                </c:pt>
                <c:pt idx="2154">
                  <c:v>29</c:v>
                </c:pt>
                <c:pt idx="2155">
                  <c:v>29</c:v>
                </c:pt>
                <c:pt idx="2156">
                  <c:v>29</c:v>
                </c:pt>
                <c:pt idx="2157">
                  <c:v>29</c:v>
                </c:pt>
                <c:pt idx="2158">
                  <c:v>29</c:v>
                </c:pt>
                <c:pt idx="2159">
                  <c:v>29</c:v>
                </c:pt>
                <c:pt idx="2196">
                  <c:v>30</c:v>
                </c:pt>
                <c:pt idx="2197">
                  <c:v>30</c:v>
                </c:pt>
                <c:pt idx="2198">
                  <c:v>30</c:v>
                </c:pt>
                <c:pt idx="2199">
                  <c:v>30</c:v>
                </c:pt>
                <c:pt idx="2200">
                  <c:v>30</c:v>
                </c:pt>
                <c:pt idx="2201">
                  <c:v>30</c:v>
                </c:pt>
                <c:pt idx="2202">
                  <c:v>30</c:v>
                </c:pt>
                <c:pt idx="2203">
                  <c:v>30</c:v>
                </c:pt>
                <c:pt idx="2204">
                  <c:v>30</c:v>
                </c:pt>
                <c:pt idx="2205">
                  <c:v>30</c:v>
                </c:pt>
                <c:pt idx="2206">
                  <c:v>30</c:v>
                </c:pt>
                <c:pt idx="2207">
                  <c:v>30</c:v>
                </c:pt>
                <c:pt idx="2208">
                  <c:v>30</c:v>
                </c:pt>
                <c:pt idx="2209">
                  <c:v>30</c:v>
                </c:pt>
                <c:pt idx="2210">
                  <c:v>30</c:v>
                </c:pt>
                <c:pt idx="2211">
                  <c:v>30</c:v>
                </c:pt>
                <c:pt idx="2212">
                  <c:v>30</c:v>
                </c:pt>
                <c:pt idx="2213">
                  <c:v>30</c:v>
                </c:pt>
                <c:pt idx="2214">
                  <c:v>30</c:v>
                </c:pt>
                <c:pt idx="2215">
                  <c:v>30</c:v>
                </c:pt>
                <c:pt idx="2216">
                  <c:v>30</c:v>
                </c:pt>
                <c:pt idx="2217">
                  <c:v>30</c:v>
                </c:pt>
                <c:pt idx="2218">
                  <c:v>30</c:v>
                </c:pt>
                <c:pt idx="2219">
                  <c:v>30</c:v>
                </c:pt>
                <c:pt idx="2220">
                  <c:v>30</c:v>
                </c:pt>
                <c:pt idx="2221">
                  <c:v>30</c:v>
                </c:pt>
                <c:pt idx="2222">
                  <c:v>30</c:v>
                </c:pt>
                <c:pt idx="2223">
                  <c:v>30</c:v>
                </c:pt>
                <c:pt idx="2224">
                  <c:v>30</c:v>
                </c:pt>
                <c:pt idx="2225">
                  <c:v>30</c:v>
                </c:pt>
                <c:pt idx="2226">
                  <c:v>30</c:v>
                </c:pt>
                <c:pt idx="2227">
                  <c:v>30</c:v>
                </c:pt>
                <c:pt idx="2228">
                  <c:v>30</c:v>
                </c:pt>
                <c:pt idx="2229">
                  <c:v>30</c:v>
                </c:pt>
                <c:pt idx="2230">
                  <c:v>30</c:v>
                </c:pt>
                <c:pt idx="2231">
                  <c:v>30</c:v>
                </c:pt>
                <c:pt idx="2240">
                  <c:v>31</c:v>
                </c:pt>
                <c:pt idx="2241">
                  <c:v>31</c:v>
                </c:pt>
                <c:pt idx="2242">
                  <c:v>31</c:v>
                </c:pt>
                <c:pt idx="2243">
                  <c:v>31</c:v>
                </c:pt>
                <c:pt idx="2244">
                  <c:v>31</c:v>
                </c:pt>
                <c:pt idx="2245">
                  <c:v>31</c:v>
                </c:pt>
                <c:pt idx="2246">
                  <c:v>31</c:v>
                </c:pt>
                <c:pt idx="2247">
                  <c:v>31</c:v>
                </c:pt>
                <c:pt idx="2248">
                  <c:v>31</c:v>
                </c:pt>
                <c:pt idx="2249">
                  <c:v>31</c:v>
                </c:pt>
                <c:pt idx="2250">
                  <c:v>31</c:v>
                </c:pt>
                <c:pt idx="2256">
                  <c:v>32</c:v>
                </c:pt>
                <c:pt idx="2257">
                  <c:v>32</c:v>
                </c:pt>
                <c:pt idx="2258">
                  <c:v>32</c:v>
                </c:pt>
                <c:pt idx="2259">
                  <c:v>32</c:v>
                </c:pt>
                <c:pt idx="2260">
                  <c:v>32</c:v>
                </c:pt>
                <c:pt idx="2261">
                  <c:v>32</c:v>
                </c:pt>
                <c:pt idx="2262">
                  <c:v>32</c:v>
                </c:pt>
                <c:pt idx="2263">
                  <c:v>32</c:v>
                </c:pt>
                <c:pt idx="2264">
                  <c:v>32</c:v>
                </c:pt>
                <c:pt idx="2265">
                  <c:v>32</c:v>
                </c:pt>
                <c:pt idx="2266">
                  <c:v>32</c:v>
                </c:pt>
                <c:pt idx="2267">
                  <c:v>32</c:v>
                </c:pt>
                <c:pt idx="2268">
                  <c:v>32</c:v>
                </c:pt>
                <c:pt idx="2269">
                  <c:v>32</c:v>
                </c:pt>
                <c:pt idx="2270">
                  <c:v>32</c:v>
                </c:pt>
                <c:pt idx="2271">
                  <c:v>32</c:v>
                </c:pt>
                <c:pt idx="2272">
                  <c:v>32</c:v>
                </c:pt>
                <c:pt idx="2273">
                  <c:v>32</c:v>
                </c:pt>
                <c:pt idx="2274">
                  <c:v>32</c:v>
                </c:pt>
                <c:pt idx="2275">
                  <c:v>32</c:v>
                </c:pt>
                <c:pt idx="2276">
                  <c:v>32</c:v>
                </c:pt>
                <c:pt idx="2277">
                  <c:v>32</c:v>
                </c:pt>
                <c:pt idx="2278">
                  <c:v>32</c:v>
                </c:pt>
                <c:pt idx="2279">
                  <c:v>32</c:v>
                </c:pt>
                <c:pt idx="2280">
                  <c:v>32</c:v>
                </c:pt>
                <c:pt idx="2281">
                  <c:v>32</c:v>
                </c:pt>
                <c:pt idx="2282">
                  <c:v>32</c:v>
                </c:pt>
                <c:pt idx="2283">
                  <c:v>32</c:v>
                </c:pt>
                <c:pt idx="2284">
                  <c:v>32</c:v>
                </c:pt>
                <c:pt idx="2285">
                  <c:v>32</c:v>
                </c:pt>
                <c:pt idx="2286">
                  <c:v>32</c:v>
                </c:pt>
                <c:pt idx="2287">
                  <c:v>32</c:v>
                </c:pt>
                <c:pt idx="2288">
                  <c:v>32</c:v>
                </c:pt>
                <c:pt idx="2289">
                  <c:v>32</c:v>
                </c:pt>
                <c:pt idx="2290">
                  <c:v>32</c:v>
                </c:pt>
                <c:pt idx="2291">
                  <c:v>32</c:v>
                </c:pt>
                <c:pt idx="2292">
                  <c:v>32</c:v>
                </c:pt>
                <c:pt idx="2293">
                  <c:v>32</c:v>
                </c:pt>
                <c:pt idx="2294">
                  <c:v>32</c:v>
                </c:pt>
                <c:pt idx="2295">
                  <c:v>32</c:v>
                </c:pt>
                <c:pt idx="2296">
                  <c:v>32</c:v>
                </c:pt>
                <c:pt idx="2297">
                  <c:v>32</c:v>
                </c:pt>
                <c:pt idx="2298">
                  <c:v>32</c:v>
                </c:pt>
                <c:pt idx="2299">
                  <c:v>32</c:v>
                </c:pt>
                <c:pt idx="2300">
                  <c:v>32</c:v>
                </c:pt>
                <c:pt idx="2301">
                  <c:v>32</c:v>
                </c:pt>
                <c:pt idx="2302">
                  <c:v>32</c:v>
                </c:pt>
                <c:pt idx="2303">
                  <c:v>32</c:v>
                </c:pt>
                <c:pt idx="2304">
                  <c:v>32</c:v>
                </c:pt>
                <c:pt idx="2305">
                  <c:v>32</c:v>
                </c:pt>
                <c:pt idx="2306">
                  <c:v>32</c:v>
                </c:pt>
                <c:pt idx="2307">
                  <c:v>32</c:v>
                </c:pt>
                <c:pt idx="2308">
                  <c:v>32</c:v>
                </c:pt>
                <c:pt idx="2309">
                  <c:v>32</c:v>
                </c:pt>
                <c:pt idx="2310">
                  <c:v>32</c:v>
                </c:pt>
                <c:pt idx="2311">
                  <c:v>32</c:v>
                </c:pt>
                <c:pt idx="2312">
                  <c:v>32</c:v>
                </c:pt>
                <c:pt idx="2313">
                  <c:v>32</c:v>
                </c:pt>
                <c:pt idx="2314">
                  <c:v>32</c:v>
                </c:pt>
                <c:pt idx="2315">
                  <c:v>32</c:v>
                </c:pt>
                <c:pt idx="2316">
                  <c:v>32</c:v>
                </c:pt>
                <c:pt idx="2317">
                  <c:v>32</c:v>
                </c:pt>
                <c:pt idx="2346">
                  <c:v>33</c:v>
                </c:pt>
                <c:pt idx="2347">
                  <c:v>33</c:v>
                </c:pt>
                <c:pt idx="2348">
                  <c:v>33</c:v>
                </c:pt>
                <c:pt idx="2349">
                  <c:v>33</c:v>
                </c:pt>
                <c:pt idx="2350">
                  <c:v>33</c:v>
                </c:pt>
                <c:pt idx="2351">
                  <c:v>33</c:v>
                </c:pt>
                <c:pt idx="2352">
                  <c:v>33</c:v>
                </c:pt>
                <c:pt idx="2353">
                  <c:v>33</c:v>
                </c:pt>
                <c:pt idx="2363">
                  <c:v>34</c:v>
                </c:pt>
                <c:pt idx="2364">
                  <c:v>34</c:v>
                </c:pt>
                <c:pt idx="2365">
                  <c:v>34</c:v>
                </c:pt>
                <c:pt idx="2366">
                  <c:v>34</c:v>
                </c:pt>
                <c:pt idx="2367">
                  <c:v>34</c:v>
                </c:pt>
                <c:pt idx="2368">
                  <c:v>34</c:v>
                </c:pt>
                <c:pt idx="2369">
                  <c:v>34</c:v>
                </c:pt>
                <c:pt idx="2370">
                  <c:v>34</c:v>
                </c:pt>
                <c:pt idx="2371">
                  <c:v>34</c:v>
                </c:pt>
                <c:pt idx="2372">
                  <c:v>34</c:v>
                </c:pt>
                <c:pt idx="2373">
                  <c:v>34</c:v>
                </c:pt>
                <c:pt idx="2374">
                  <c:v>34</c:v>
                </c:pt>
                <c:pt idx="2375">
                  <c:v>34</c:v>
                </c:pt>
                <c:pt idx="2376">
                  <c:v>34</c:v>
                </c:pt>
                <c:pt idx="2377">
                  <c:v>34</c:v>
                </c:pt>
                <c:pt idx="2378">
                  <c:v>34</c:v>
                </c:pt>
                <c:pt idx="2379">
                  <c:v>34</c:v>
                </c:pt>
                <c:pt idx="2380">
                  <c:v>34</c:v>
                </c:pt>
                <c:pt idx="2381">
                  <c:v>34</c:v>
                </c:pt>
                <c:pt idx="2382">
                  <c:v>34</c:v>
                </c:pt>
                <c:pt idx="2383">
                  <c:v>34</c:v>
                </c:pt>
                <c:pt idx="2384">
                  <c:v>34</c:v>
                </c:pt>
                <c:pt idx="2385">
                  <c:v>34</c:v>
                </c:pt>
                <c:pt idx="2386">
                  <c:v>34</c:v>
                </c:pt>
                <c:pt idx="2387">
                  <c:v>34</c:v>
                </c:pt>
                <c:pt idx="2388">
                  <c:v>34</c:v>
                </c:pt>
                <c:pt idx="2389">
                  <c:v>34</c:v>
                </c:pt>
                <c:pt idx="2390">
                  <c:v>34</c:v>
                </c:pt>
                <c:pt idx="2391">
                  <c:v>34</c:v>
                </c:pt>
                <c:pt idx="2392">
                  <c:v>34</c:v>
                </c:pt>
                <c:pt idx="2393">
                  <c:v>34</c:v>
                </c:pt>
                <c:pt idx="2394">
                  <c:v>34</c:v>
                </c:pt>
                <c:pt idx="2395">
                  <c:v>34</c:v>
                </c:pt>
                <c:pt idx="2396">
                  <c:v>34</c:v>
                </c:pt>
                <c:pt idx="2397">
                  <c:v>34</c:v>
                </c:pt>
                <c:pt idx="2398">
                  <c:v>34</c:v>
                </c:pt>
                <c:pt idx="2399">
                  <c:v>34</c:v>
                </c:pt>
                <c:pt idx="2400">
                  <c:v>34</c:v>
                </c:pt>
                <c:pt idx="2401">
                  <c:v>34</c:v>
                </c:pt>
                <c:pt idx="2402">
                  <c:v>34</c:v>
                </c:pt>
                <c:pt idx="2403">
                  <c:v>34</c:v>
                </c:pt>
                <c:pt idx="2404">
                  <c:v>34</c:v>
                </c:pt>
                <c:pt idx="2405">
                  <c:v>34</c:v>
                </c:pt>
                <c:pt idx="2406">
                  <c:v>34</c:v>
                </c:pt>
                <c:pt idx="2407">
                  <c:v>34</c:v>
                </c:pt>
                <c:pt idx="2408">
                  <c:v>34</c:v>
                </c:pt>
                <c:pt idx="2409">
                  <c:v>34</c:v>
                </c:pt>
                <c:pt idx="2410">
                  <c:v>34</c:v>
                </c:pt>
                <c:pt idx="2411">
                  <c:v>34</c:v>
                </c:pt>
                <c:pt idx="2412">
                  <c:v>34</c:v>
                </c:pt>
                <c:pt idx="2413">
                  <c:v>34</c:v>
                </c:pt>
                <c:pt idx="2414">
                  <c:v>34</c:v>
                </c:pt>
                <c:pt idx="2415">
                  <c:v>34</c:v>
                </c:pt>
                <c:pt idx="2416">
                  <c:v>34</c:v>
                </c:pt>
                <c:pt idx="2417">
                  <c:v>34</c:v>
                </c:pt>
                <c:pt idx="2418">
                  <c:v>34</c:v>
                </c:pt>
                <c:pt idx="2419">
                  <c:v>34</c:v>
                </c:pt>
                <c:pt idx="2420">
                  <c:v>34</c:v>
                </c:pt>
                <c:pt idx="2421">
                  <c:v>34</c:v>
                </c:pt>
                <c:pt idx="2435">
                  <c:v>35</c:v>
                </c:pt>
                <c:pt idx="2436">
                  <c:v>35</c:v>
                </c:pt>
                <c:pt idx="2437">
                  <c:v>35</c:v>
                </c:pt>
                <c:pt idx="2438">
                  <c:v>35</c:v>
                </c:pt>
                <c:pt idx="2439">
                  <c:v>35</c:v>
                </c:pt>
                <c:pt idx="2440">
                  <c:v>35</c:v>
                </c:pt>
                <c:pt idx="2441">
                  <c:v>35</c:v>
                </c:pt>
                <c:pt idx="2442">
                  <c:v>35</c:v>
                </c:pt>
                <c:pt idx="2443">
                  <c:v>35</c:v>
                </c:pt>
                <c:pt idx="2444">
                  <c:v>35</c:v>
                </c:pt>
                <c:pt idx="2445">
                  <c:v>35</c:v>
                </c:pt>
                <c:pt idx="2446">
                  <c:v>35</c:v>
                </c:pt>
                <c:pt idx="2447">
                  <c:v>35</c:v>
                </c:pt>
                <c:pt idx="2448">
                  <c:v>35</c:v>
                </c:pt>
                <c:pt idx="2449">
                  <c:v>35</c:v>
                </c:pt>
                <c:pt idx="2450">
                  <c:v>35</c:v>
                </c:pt>
                <c:pt idx="2451">
                  <c:v>35</c:v>
                </c:pt>
                <c:pt idx="2452">
                  <c:v>35</c:v>
                </c:pt>
                <c:pt idx="2453">
                  <c:v>35</c:v>
                </c:pt>
                <c:pt idx="2454">
                  <c:v>35</c:v>
                </c:pt>
                <c:pt idx="2455">
                  <c:v>35</c:v>
                </c:pt>
                <c:pt idx="2456">
                  <c:v>35</c:v>
                </c:pt>
                <c:pt idx="2457">
                  <c:v>35</c:v>
                </c:pt>
                <c:pt idx="2458">
                  <c:v>35</c:v>
                </c:pt>
                <c:pt idx="2459">
                  <c:v>35</c:v>
                </c:pt>
                <c:pt idx="2460">
                  <c:v>35</c:v>
                </c:pt>
                <c:pt idx="2461">
                  <c:v>35</c:v>
                </c:pt>
                <c:pt idx="2462">
                  <c:v>35</c:v>
                </c:pt>
                <c:pt idx="2463">
                  <c:v>35</c:v>
                </c:pt>
                <c:pt idx="2464">
                  <c:v>35</c:v>
                </c:pt>
                <c:pt idx="2465">
                  <c:v>35</c:v>
                </c:pt>
                <c:pt idx="2466">
                  <c:v>35</c:v>
                </c:pt>
                <c:pt idx="2467">
                  <c:v>35</c:v>
                </c:pt>
                <c:pt idx="2468">
                  <c:v>35</c:v>
                </c:pt>
                <c:pt idx="2469">
                  <c:v>35</c:v>
                </c:pt>
                <c:pt idx="2470">
                  <c:v>35</c:v>
                </c:pt>
                <c:pt idx="2471">
                  <c:v>35</c:v>
                </c:pt>
                <c:pt idx="2472">
                  <c:v>35</c:v>
                </c:pt>
                <c:pt idx="2473">
                  <c:v>35</c:v>
                </c:pt>
                <c:pt idx="2474">
                  <c:v>35</c:v>
                </c:pt>
                <c:pt idx="2475">
                  <c:v>35</c:v>
                </c:pt>
                <c:pt idx="2476">
                  <c:v>35</c:v>
                </c:pt>
                <c:pt idx="2477">
                  <c:v>35</c:v>
                </c:pt>
                <c:pt idx="2478">
                  <c:v>35</c:v>
                </c:pt>
                <c:pt idx="2479">
                  <c:v>35</c:v>
                </c:pt>
                <c:pt idx="2480">
                  <c:v>35</c:v>
                </c:pt>
                <c:pt idx="2481">
                  <c:v>35</c:v>
                </c:pt>
                <c:pt idx="2482">
                  <c:v>35</c:v>
                </c:pt>
                <c:pt idx="2483">
                  <c:v>35</c:v>
                </c:pt>
                <c:pt idx="2484">
                  <c:v>35</c:v>
                </c:pt>
                <c:pt idx="2485">
                  <c:v>35</c:v>
                </c:pt>
                <c:pt idx="2486">
                  <c:v>35</c:v>
                </c:pt>
                <c:pt idx="2487">
                  <c:v>35</c:v>
                </c:pt>
                <c:pt idx="2488">
                  <c:v>35</c:v>
                </c:pt>
                <c:pt idx="2489">
                  <c:v>35</c:v>
                </c:pt>
                <c:pt idx="2490">
                  <c:v>35</c:v>
                </c:pt>
                <c:pt idx="2491">
                  <c:v>35</c:v>
                </c:pt>
                <c:pt idx="2492">
                  <c:v>35</c:v>
                </c:pt>
                <c:pt idx="2493">
                  <c:v>35</c:v>
                </c:pt>
                <c:pt idx="2557">
                  <c:v>36</c:v>
                </c:pt>
                <c:pt idx="2558">
                  <c:v>36</c:v>
                </c:pt>
                <c:pt idx="2559">
                  <c:v>36</c:v>
                </c:pt>
                <c:pt idx="2560">
                  <c:v>36</c:v>
                </c:pt>
                <c:pt idx="2561">
                  <c:v>36</c:v>
                </c:pt>
                <c:pt idx="2562">
                  <c:v>36</c:v>
                </c:pt>
                <c:pt idx="2563">
                  <c:v>36</c:v>
                </c:pt>
                <c:pt idx="2564">
                  <c:v>36</c:v>
                </c:pt>
                <c:pt idx="2565">
                  <c:v>36</c:v>
                </c:pt>
                <c:pt idx="2566">
                  <c:v>36</c:v>
                </c:pt>
                <c:pt idx="2567">
                  <c:v>36</c:v>
                </c:pt>
                <c:pt idx="2568">
                  <c:v>36</c:v>
                </c:pt>
                <c:pt idx="2569">
                  <c:v>36</c:v>
                </c:pt>
                <c:pt idx="2570">
                  <c:v>36</c:v>
                </c:pt>
                <c:pt idx="2677">
                  <c:v>37</c:v>
                </c:pt>
                <c:pt idx="2678">
                  <c:v>37</c:v>
                </c:pt>
                <c:pt idx="2679">
                  <c:v>37</c:v>
                </c:pt>
                <c:pt idx="2680">
                  <c:v>37</c:v>
                </c:pt>
                <c:pt idx="2681">
                  <c:v>37</c:v>
                </c:pt>
                <c:pt idx="2682">
                  <c:v>37</c:v>
                </c:pt>
                <c:pt idx="2683">
                  <c:v>37</c:v>
                </c:pt>
                <c:pt idx="2684">
                  <c:v>37</c:v>
                </c:pt>
                <c:pt idx="2685">
                  <c:v>37</c:v>
                </c:pt>
                <c:pt idx="2686">
                  <c:v>37</c:v>
                </c:pt>
                <c:pt idx="2687">
                  <c:v>37</c:v>
                </c:pt>
                <c:pt idx="2688">
                  <c:v>37</c:v>
                </c:pt>
                <c:pt idx="2689">
                  <c:v>37</c:v>
                </c:pt>
                <c:pt idx="2690">
                  <c:v>37</c:v>
                </c:pt>
                <c:pt idx="2691">
                  <c:v>37</c:v>
                </c:pt>
                <c:pt idx="2692">
                  <c:v>37</c:v>
                </c:pt>
                <c:pt idx="2693">
                  <c:v>37</c:v>
                </c:pt>
                <c:pt idx="2694">
                  <c:v>37</c:v>
                </c:pt>
                <c:pt idx="2695">
                  <c:v>37</c:v>
                </c:pt>
                <c:pt idx="2696">
                  <c:v>37</c:v>
                </c:pt>
                <c:pt idx="2697">
                  <c:v>37</c:v>
                </c:pt>
                <c:pt idx="2698">
                  <c:v>37</c:v>
                </c:pt>
                <c:pt idx="2699">
                  <c:v>37</c:v>
                </c:pt>
                <c:pt idx="2700">
                  <c:v>37</c:v>
                </c:pt>
                <c:pt idx="2701">
                  <c:v>37</c:v>
                </c:pt>
                <c:pt idx="2702">
                  <c:v>37</c:v>
                </c:pt>
                <c:pt idx="2703">
                  <c:v>37</c:v>
                </c:pt>
                <c:pt idx="2704">
                  <c:v>37</c:v>
                </c:pt>
                <c:pt idx="2705">
                  <c:v>37</c:v>
                </c:pt>
                <c:pt idx="2706">
                  <c:v>37</c:v>
                </c:pt>
                <c:pt idx="2707">
                  <c:v>37</c:v>
                </c:pt>
                <c:pt idx="2708">
                  <c:v>37</c:v>
                </c:pt>
                <c:pt idx="2709">
                  <c:v>37</c:v>
                </c:pt>
                <c:pt idx="2710">
                  <c:v>37</c:v>
                </c:pt>
                <c:pt idx="2711">
                  <c:v>37</c:v>
                </c:pt>
                <c:pt idx="2712">
                  <c:v>37</c:v>
                </c:pt>
                <c:pt idx="2713">
                  <c:v>37</c:v>
                </c:pt>
                <c:pt idx="2714">
                  <c:v>37</c:v>
                </c:pt>
                <c:pt idx="2715">
                  <c:v>37</c:v>
                </c:pt>
                <c:pt idx="2716">
                  <c:v>37</c:v>
                </c:pt>
                <c:pt idx="2717">
                  <c:v>37</c:v>
                </c:pt>
                <c:pt idx="2718">
                  <c:v>37</c:v>
                </c:pt>
                <c:pt idx="2719">
                  <c:v>37</c:v>
                </c:pt>
                <c:pt idx="2720">
                  <c:v>37</c:v>
                </c:pt>
                <c:pt idx="2721">
                  <c:v>37</c:v>
                </c:pt>
                <c:pt idx="2722">
                  <c:v>37</c:v>
                </c:pt>
                <c:pt idx="2723">
                  <c:v>37</c:v>
                </c:pt>
                <c:pt idx="2724">
                  <c:v>37</c:v>
                </c:pt>
                <c:pt idx="2725">
                  <c:v>37</c:v>
                </c:pt>
                <c:pt idx="2726">
                  <c:v>37</c:v>
                </c:pt>
                <c:pt idx="2727">
                  <c:v>37</c:v>
                </c:pt>
                <c:pt idx="2728">
                  <c:v>37</c:v>
                </c:pt>
                <c:pt idx="2729">
                  <c:v>37</c:v>
                </c:pt>
                <c:pt idx="2730">
                  <c:v>37</c:v>
                </c:pt>
                <c:pt idx="2736">
                  <c:v>38</c:v>
                </c:pt>
                <c:pt idx="2737">
                  <c:v>38</c:v>
                </c:pt>
                <c:pt idx="2738">
                  <c:v>38</c:v>
                </c:pt>
                <c:pt idx="2739">
                  <c:v>38</c:v>
                </c:pt>
                <c:pt idx="2740">
                  <c:v>38</c:v>
                </c:pt>
                <c:pt idx="2741">
                  <c:v>38</c:v>
                </c:pt>
                <c:pt idx="2742">
                  <c:v>38</c:v>
                </c:pt>
                <c:pt idx="2743">
                  <c:v>38</c:v>
                </c:pt>
                <c:pt idx="2744">
                  <c:v>38</c:v>
                </c:pt>
                <c:pt idx="2745">
                  <c:v>38</c:v>
                </c:pt>
                <c:pt idx="2746">
                  <c:v>38</c:v>
                </c:pt>
                <c:pt idx="2747">
                  <c:v>38</c:v>
                </c:pt>
                <c:pt idx="2748">
                  <c:v>38</c:v>
                </c:pt>
                <c:pt idx="2749">
                  <c:v>38</c:v>
                </c:pt>
                <c:pt idx="2750">
                  <c:v>38</c:v>
                </c:pt>
                <c:pt idx="2751">
                  <c:v>38</c:v>
                </c:pt>
                <c:pt idx="2752">
                  <c:v>38</c:v>
                </c:pt>
                <c:pt idx="2753">
                  <c:v>38</c:v>
                </c:pt>
                <c:pt idx="2754">
                  <c:v>38</c:v>
                </c:pt>
                <c:pt idx="2755">
                  <c:v>38</c:v>
                </c:pt>
                <c:pt idx="2756">
                  <c:v>38</c:v>
                </c:pt>
                <c:pt idx="2757">
                  <c:v>38</c:v>
                </c:pt>
                <c:pt idx="2758">
                  <c:v>38</c:v>
                </c:pt>
                <c:pt idx="2759">
                  <c:v>38</c:v>
                </c:pt>
                <c:pt idx="2764">
                  <c:v>39</c:v>
                </c:pt>
                <c:pt idx="2765">
                  <c:v>39</c:v>
                </c:pt>
                <c:pt idx="2766">
                  <c:v>39</c:v>
                </c:pt>
                <c:pt idx="2767">
                  <c:v>39</c:v>
                </c:pt>
                <c:pt idx="2768">
                  <c:v>39</c:v>
                </c:pt>
                <c:pt idx="2769">
                  <c:v>39</c:v>
                </c:pt>
                <c:pt idx="2770">
                  <c:v>39</c:v>
                </c:pt>
                <c:pt idx="2771">
                  <c:v>39</c:v>
                </c:pt>
                <c:pt idx="2772">
                  <c:v>39</c:v>
                </c:pt>
                <c:pt idx="2773">
                  <c:v>39</c:v>
                </c:pt>
                <c:pt idx="2774">
                  <c:v>39</c:v>
                </c:pt>
                <c:pt idx="2775">
                  <c:v>39</c:v>
                </c:pt>
                <c:pt idx="2776">
                  <c:v>39</c:v>
                </c:pt>
                <c:pt idx="2777">
                  <c:v>39</c:v>
                </c:pt>
                <c:pt idx="2778">
                  <c:v>39</c:v>
                </c:pt>
                <c:pt idx="2779">
                  <c:v>39</c:v>
                </c:pt>
                <c:pt idx="2780">
                  <c:v>39</c:v>
                </c:pt>
                <c:pt idx="2797">
                  <c:v>40</c:v>
                </c:pt>
                <c:pt idx="2798">
                  <c:v>40</c:v>
                </c:pt>
                <c:pt idx="2799">
                  <c:v>40</c:v>
                </c:pt>
                <c:pt idx="2800">
                  <c:v>40</c:v>
                </c:pt>
                <c:pt idx="2801">
                  <c:v>40</c:v>
                </c:pt>
                <c:pt idx="2802">
                  <c:v>40</c:v>
                </c:pt>
                <c:pt idx="2803">
                  <c:v>40</c:v>
                </c:pt>
                <c:pt idx="2804">
                  <c:v>40</c:v>
                </c:pt>
                <c:pt idx="2805">
                  <c:v>40</c:v>
                </c:pt>
                <c:pt idx="2806">
                  <c:v>40</c:v>
                </c:pt>
                <c:pt idx="2826">
                  <c:v>41</c:v>
                </c:pt>
                <c:pt idx="2827">
                  <c:v>41</c:v>
                </c:pt>
                <c:pt idx="2828">
                  <c:v>41</c:v>
                </c:pt>
                <c:pt idx="2829">
                  <c:v>41</c:v>
                </c:pt>
                <c:pt idx="2830">
                  <c:v>41</c:v>
                </c:pt>
                <c:pt idx="2831">
                  <c:v>41</c:v>
                </c:pt>
                <c:pt idx="2832">
                  <c:v>41</c:v>
                </c:pt>
                <c:pt idx="2833">
                  <c:v>41</c:v>
                </c:pt>
                <c:pt idx="2834">
                  <c:v>41</c:v>
                </c:pt>
                <c:pt idx="2835">
                  <c:v>41</c:v>
                </c:pt>
                <c:pt idx="2836">
                  <c:v>41</c:v>
                </c:pt>
                <c:pt idx="2837">
                  <c:v>41</c:v>
                </c:pt>
                <c:pt idx="2838">
                  <c:v>41</c:v>
                </c:pt>
                <c:pt idx="2839">
                  <c:v>41</c:v>
                </c:pt>
                <c:pt idx="2840">
                  <c:v>41</c:v>
                </c:pt>
                <c:pt idx="2841">
                  <c:v>41</c:v>
                </c:pt>
                <c:pt idx="2842">
                  <c:v>41</c:v>
                </c:pt>
                <c:pt idx="2843">
                  <c:v>41</c:v>
                </c:pt>
                <c:pt idx="2844">
                  <c:v>41</c:v>
                </c:pt>
                <c:pt idx="2845">
                  <c:v>41</c:v>
                </c:pt>
                <c:pt idx="2846">
                  <c:v>41</c:v>
                </c:pt>
                <c:pt idx="2847">
                  <c:v>41</c:v>
                </c:pt>
                <c:pt idx="2848">
                  <c:v>41</c:v>
                </c:pt>
                <c:pt idx="2960">
                  <c:v>42</c:v>
                </c:pt>
                <c:pt idx="2961">
                  <c:v>42</c:v>
                </c:pt>
                <c:pt idx="2962">
                  <c:v>42</c:v>
                </c:pt>
                <c:pt idx="2963">
                  <c:v>42</c:v>
                </c:pt>
                <c:pt idx="2964">
                  <c:v>42</c:v>
                </c:pt>
                <c:pt idx="2965">
                  <c:v>42</c:v>
                </c:pt>
                <c:pt idx="2966">
                  <c:v>42</c:v>
                </c:pt>
                <c:pt idx="2967">
                  <c:v>42</c:v>
                </c:pt>
                <c:pt idx="2968">
                  <c:v>42</c:v>
                </c:pt>
                <c:pt idx="2969">
                  <c:v>42</c:v>
                </c:pt>
                <c:pt idx="2970">
                  <c:v>42</c:v>
                </c:pt>
                <c:pt idx="2971">
                  <c:v>42</c:v>
                </c:pt>
                <c:pt idx="2972">
                  <c:v>42</c:v>
                </c:pt>
                <c:pt idx="2973">
                  <c:v>42</c:v>
                </c:pt>
                <c:pt idx="2974">
                  <c:v>42</c:v>
                </c:pt>
                <c:pt idx="2975">
                  <c:v>42</c:v>
                </c:pt>
                <c:pt idx="2976">
                  <c:v>42</c:v>
                </c:pt>
                <c:pt idx="2977">
                  <c:v>42</c:v>
                </c:pt>
                <c:pt idx="2978">
                  <c:v>42</c:v>
                </c:pt>
                <c:pt idx="2979">
                  <c:v>42</c:v>
                </c:pt>
                <c:pt idx="2980">
                  <c:v>42</c:v>
                </c:pt>
                <c:pt idx="2981">
                  <c:v>42</c:v>
                </c:pt>
                <c:pt idx="2982">
                  <c:v>42</c:v>
                </c:pt>
                <c:pt idx="2983">
                  <c:v>42</c:v>
                </c:pt>
                <c:pt idx="2984">
                  <c:v>42</c:v>
                </c:pt>
                <c:pt idx="2985">
                  <c:v>42</c:v>
                </c:pt>
                <c:pt idx="2986">
                  <c:v>42</c:v>
                </c:pt>
                <c:pt idx="2987">
                  <c:v>42</c:v>
                </c:pt>
                <c:pt idx="2988">
                  <c:v>42</c:v>
                </c:pt>
                <c:pt idx="2989">
                  <c:v>42</c:v>
                </c:pt>
                <c:pt idx="2990">
                  <c:v>42</c:v>
                </c:pt>
                <c:pt idx="2991">
                  <c:v>42</c:v>
                </c:pt>
                <c:pt idx="2992">
                  <c:v>42</c:v>
                </c:pt>
                <c:pt idx="2993">
                  <c:v>42</c:v>
                </c:pt>
                <c:pt idx="2994">
                  <c:v>42</c:v>
                </c:pt>
                <c:pt idx="2995">
                  <c:v>42</c:v>
                </c:pt>
                <c:pt idx="2996">
                  <c:v>42</c:v>
                </c:pt>
                <c:pt idx="2997">
                  <c:v>42</c:v>
                </c:pt>
                <c:pt idx="2998">
                  <c:v>42</c:v>
                </c:pt>
                <c:pt idx="2999">
                  <c:v>42</c:v>
                </c:pt>
                <c:pt idx="3000">
                  <c:v>42</c:v>
                </c:pt>
                <c:pt idx="3001">
                  <c:v>42</c:v>
                </c:pt>
                <c:pt idx="3002">
                  <c:v>42</c:v>
                </c:pt>
                <c:pt idx="3003">
                  <c:v>42</c:v>
                </c:pt>
                <c:pt idx="3004">
                  <c:v>42</c:v>
                </c:pt>
                <c:pt idx="3005">
                  <c:v>42</c:v>
                </c:pt>
                <c:pt idx="3006">
                  <c:v>42</c:v>
                </c:pt>
                <c:pt idx="3007">
                  <c:v>42</c:v>
                </c:pt>
                <c:pt idx="3008">
                  <c:v>42</c:v>
                </c:pt>
                <c:pt idx="3009">
                  <c:v>42</c:v>
                </c:pt>
                <c:pt idx="3010">
                  <c:v>42</c:v>
                </c:pt>
                <c:pt idx="3011">
                  <c:v>42</c:v>
                </c:pt>
                <c:pt idx="3012">
                  <c:v>42</c:v>
                </c:pt>
                <c:pt idx="3013">
                  <c:v>42</c:v>
                </c:pt>
                <c:pt idx="3014">
                  <c:v>42</c:v>
                </c:pt>
                <c:pt idx="3015">
                  <c:v>42</c:v>
                </c:pt>
                <c:pt idx="3016">
                  <c:v>42</c:v>
                </c:pt>
                <c:pt idx="3017">
                  <c:v>42</c:v>
                </c:pt>
                <c:pt idx="3053">
                  <c:v>43</c:v>
                </c:pt>
                <c:pt idx="3054">
                  <c:v>43</c:v>
                </c:pt>
                <c:pt idx="3055">
                  <c:v>43</c:v>
                </c:pt>
                <c:pt idx="3056">
                  <c:v>43</c:v>
                </c:pt>
                <c:pt idx="3057">
                  <c:v>43</c:v>
                </c:pt>
                <c:pt idx="3058">
                  <c:v>43</c:v>
                </c:pt>
                <c:pt idx="3059">
                  <c:v>43</c:v>
                </c:pt>
                <c:pt idx="3060">
                  <c:v>43</c:v>
                </c:pt>
                <c:pt idx="3061">
                  <c:v>43</c:v>
                </c:pt>
                <c:pt idx="3062">
                  <c:v>43</c:v>
                </c:pt>
                <c:pt idx="3063">
                  <c:v>43</c:v>
                </c:pt>
                <c:pt idx="3064">
                  <c:v>43</c:v>
                </c:pt>
                <c:pt idx="3065">
                  <c:v>43</c:v>
                </c:pt>
                <c:pt idx="3066">
                  <c:v>43</c:v>
                </c:pt>
                <c:pt idx="3067">
                  <c:v>43</c:v>
                </c:pt>
                <c:pt idx="3068">
                  <c:v>43</c:v>
                </c:pt>
                <c:pt idx="3148">
                  <c:v>44</c:v>
                </c:pt>
                <c:pt idx="3149">
                  <c:v>44</c:v>
                </c:pt>
                <c:pt idx="3150">
                  <c:v>44</c:v>
                </c:pt>
                <c:pt idx="3151">
                  <c:v>44</c:v>
                </c:pt>
                <c:pt idx="3152">
                  <c:v>44</c:v>
                </c:pt>
                <c:pt idx="3153">
                  <c:v>44</c:v>
                </c:pt>
                <c:pt idx="3154">
                  <c:v>44</c:v>
                </c:pt>
                <c:pt idx="3155">
                  <c:v>44</c:v>
                </c:pt>
                <c:pt idx="3156">
                  <c:v>44</c:v>
                </c:pt>
                <c:pt idx="3157">
                  <c:v>44</c:v>
                </c:pt>
                <c:pt idx="3158">
                  <c:v>44</c:v>
                </c:pt>
                <c:pt idx="3159">
                  <c:v>44</c:v>
                </c:pt>
                <c:pt idx="3160">
                  <c:v>44</c:v>
                </c:pt>
                <c:pt idx="3161">
                  <c:v>44</c:v>
                </c:pt>
                <c:pt idx="3162">
                  <c:v>44</c:v>
                </c:pt>
                <c:pt idx="3163">
                  <c:v>44</c:v>
                </c:pt>
                <c:pt idx="3164">
                  <c:v>44</c:v>
                </c:pt>
                <c:pt idx="3165">
                  <c:v>44</c:v>
                </c:pt>
                <c:pt idx="3166">
                  <c:v>44</c:v>
                </c:pt>
                <c:pt idx="3167">
                  <c:v>44</c:v>
                </c:pt>
                <c:pt idx="3168">
                  <c:v>44</c:v>
                </c:pt>
                <c:pt idx="3169">
                  <c:v>44</c:v>
                </c:pt>
                <c:pt idx="3170">
                  <c:v>44</c:v>
                </c:pt>
                <c:pt idx="3171">
                  <c:v>44</c:v>
                </c:pt>
                <c:pt idx="3172">
                  <c:v>44</c:v>
                </c:pt>
                <c:pt idx="3173">
                  <c:v>44</c:v>
                </c:pt>
                <c:pt idx="3174">
                  <c:v>44</c:v>
                </c:pt>
                <c:pt idx="3175">
                  <c:v>44</c:v>
                </c:pt>
                <c:pt idx="3176">
                  <c:v>44</c:v>
                </c:pt>
                <c:pt idx="3177">
                  <c:v>44</c:v>
                </c:pt>
                <c:pt idx="3178">
                  <c:v>44</c:v>
                </c:pt>
                <c:pt idx="3179">
                  <c:v>44</c:v>
                </c:pt>
                <c:pt idx="3180">
                  <c:v>44</c:v>
                </c:pt>
                <c:pt idx="3181">
                  <c:v>44</c:v>
                </c:pt>
                <c:pt idx="3182">
                  <c:v>44</c:v>
                </c:pt>
                <c:pt idx="3183">
                  <c:v>44</c:v>
                </c:pt>
                <c:pt idx="3184">
                  <c:v>44</c:v>
                </c:pt>
                <c:pt idx="3185">
                  <c:v>44</c:v>
                </c:pt>
                <c:pt idx="3186">
                  <c:v>44</c:v>
                </c:pt>
                <c:pt idx="3187">
                  <c:v>44</c:v>
                </c:pt>
                <c:pt idx="3188">
                  <c:v>44</c:v>
                </c:pt>
                <c:pt idx="3189">
                  <c:v>44</c:v>
                </c:pt>
                <c:pt idx="3190">
                  <c:v>44</c:v>
                </c:pt>
                <c:pt idx="3191">
                  <c:v>44</c:v>
                </c:pt>
                <c:pt idx="3192">
                  <c:v>44</c:v>
                </c:pt>
                <c:pt idx="3193">
                  <c:v>44</c:v>
                </c:pt>
                <c:pt idx="3194">
                  <c:v>44</c:v>
                </c:pt>
                <c:pt idx="3195">
                  <c:v>44</c:v>
                </c:pt>
                <c:pt idx="3196">
                  <c:v>44</c:v>
                </c:pt>
                <c:pt idx="3230">
                  <c:v>45</c:v>
                </c:pt>
                <c:pt idx="3231">
                  <c:v>45</c:v>
                </c:pt>
                <c:pt idx="3232">
                  <c:v>45</c:v>
                </c:pt>
                <c:pt idx="3233">
                  <c:v>45</c:v>
                </c:pt>
                <c:pt idx="3234">
                  <c:v>45</c:v>
                </c:pt>
                <c:pt idx="3235">
                  <c:v>45</c:v>
                </c:pt>
                <c:pt idx="3236">
                  <c:v>45</c:v>
                </c:pt>
                <c:pt idx="3237">
                  <c:v>45</c:v>
                </c:pt>
                <c:pt idx="3238">
                  <c:v>45</c:v>
                </c:pt>
                <c:pt idx="3239">
                  <c:v>45</c:v>
                </c:pt>
                <c:pt idx="3240">
                  <c:v>45</c:v>
                </c:pt>
                <c:pt idx="3245">
                  <c:v>46</c:v>
                </c:pt>
                <c:pt idx="3246">
                  <c:v>46</c:v>
                </c:pt>
                <c:pt idx="3247">
                  <c:v>46</c:v>
                </c:pt>
                <c:pt idx="3248">
                  <c:v>46</c:v>
                </c:pt>
                <c:pt idx="3249">
                  <c:v>46</c:v>
                </c:pt>
                <c:pt idx="3250">
                  <c:v>46</c:v>
                </c:pt>
                <c:pt idx="3251">
                  <c:v>46</c:v>
                </c:pt>
                <c:pt idx="3252">
                  <c:v>46</c:v>
                </c:pt>
                <c:pt idx="3253">
                  <c:v>46</c:v>
                </c:pt>
                <c:pt idx="3254">
                  <c:v>46</c:v>
                </c:pt>
                <c:pt idx="3255">
                  <c:v>46</c:v>
                </c:pt>
                <c:pt idx="3256">
                  <c:v>46</c:v>
                </c:pt>
                <c:pt idx="3257">
                  <c:v>46</c:v>
                </c:pt>
                <c:pt idx="3258">
                  <c:v>46</c:v>
                </c:pt>
                <c:pt idx="3310">
                  <c:v>47</c:v>
                </c:pt>
                <c:pt idx="3311">
                  <c:v>47</c:v>
                </c:pt>
                <c:pt idx="3312">
                  <c:v>47</c:v>
                </c:pt>
                <c:pt idx="3313">
                  <c:v>47</c:v>
                </c:pt>
                <c:pt idx="3314">
                  <c:v>47</c:v>
                </c:pt>
                <c:pt idx="3315">
                  <c:v>47</c:v>
                </c:pt>
                <c:pt idx="3316">
                  <c:v>47</c:v>
                </c:pt>
                <c:pt idx="3317">
                  <c:v>47</c:v>
                </c:pt>
                <c:pt idx="3318">
                  <c:v>47</c:v>
                </c:pt>
                <c:pt idx="3319">
                  <c:v>47</c:v>
                </c:pt>
                <c:pt idx="3320">
                  <c:v>47</c:v>
                </c:pt>
                <c:pt idx="3321">
                  <c:v>47</c:v>
                </c:pt>
                <c:pt idx="3322">
                  <c:v>47</c:v>
                </c:pt>
                <c:pt idx="3384">
                  <c:v>48</c:v>
                </c:pt>
                <c:pt idx="3385">
                  <c:v>48</c:v>
                </c:pt>
                <c:pt idx="3386">
                  <c:v>48</c:v>
                </c:pt>
                <c:pt idx="3387">
                  <c:v>48</c:v>
                </c:pt>
                <c:pt idx="3388">
                  <c:v>48</c:v>
                </c:pt>
                <c:pt idx="3389">
                  <c:v>48</c:v>
                </c:pt>
                <c:pt idx="3390">
                  <c:v>48</c:v>
                </c:pt>
                <c:pt idx="3391">
                  <c:v>48</c:v>
                </c:pt>
                <c:pt idx="3392">
                  <c:v>48</c:v>
                </c:pt>
                <c:pt idx="3393">
                  <c:v>48</c:v>
                </c:pt>
                <c:pt idx="3394">
                  <c:v>48</c:v>
                </c:pt>
                <c:pt idx="3395">
                  <c:v>48</c:v>
                </c:pt>
                <c:pt idx="3396">
                  <c:v>48</c:v>
                </c:pt>
                <c:pt idx="3397">
                  <c:v>48</c:v>
                </c:pt>
                <c:pt idx="3398">
                  <c:v>48</c:v>
                </c:pt>
                <c:pt idx="3399">
                  <c:v>48</c:v>
                </c:pt>
                <c:pt idx="3400">
                  <c:v>48</c:v>
                </c:pt>
                <c:pt idx="3401">
                  <c:v>48</c:v>
                </c:pt>
                <c:pt idx="3402">
                  <c:v>48</c:v>
                </c:pt>
                <c:pt idx="3403">
                  <c:v>48</c:v>
                </c:pt>
                <c:pt idx="3404">
                  <c:v>48</c:v>
                </c:pt>
                <c:pt idx="3405">
                  <c:v>48</c:v>
                </c:pt>
                <c:pt idx="3406">
                  <c:v>48</c:v>
                </c:pt>
                <c:pt idx="3411">
                  <c:v>49</c:v>
                </c:pt>
                <c:pt idx="3412">
                  <c:v>49</c:v>
                </c:pt>
                <c:pt idx="3413">
                  <c:v>49</c:v>
                </c:pt>
                <c:pt idx="3414">
                  <c:v>49</c:v>
                </c:pt>
                <c:pt idx="3468">
                  <c:v>50</c:v>
                </c:pt>
                <c:pt idx="3469">
                  <c:v>50</c:v>
                </c:pt>
                <c:pt idx="3470">
                  <c:v>50</c:v>
                </c:pt>
                <c:pt idx="3471">
                  <c:v>50</c:v>
                </c:pt>
                <c:pt idx="3472">
                  <c:v>50</c:v>
                </c:pt>
                <c:pt idx="3473">
                  <c:v>50</c:v>
                </c:pt>
                <c:pt idx="3474">
                  <c:v>50</c:v>
                </c:pt>
                <c:pt idx="3475">
                  <c:v>50</c:v>
                </c:pt>
                <c:pt idx="3481">
                  <c:v>51</c:v>
                </c:pt>
                <c:pt idx="3482">
                  <c:v>51</c:v>
                </c:pt>
                <c:pt idx="3483">
                  <c:v>51</c:v>
                </c:pt>
                <c:pt idx="3484">
                  <c:v>51</c:v>
                </c:pt>
                <c:pt idx="3485">
                  <c:v>51</c:v>
                </c:pt>
                <c:pt idx="3486">
                  <c:v>51</c:v>
                </c:pt>
                <c:pt idx="3487">
                  <c:v>51</c:v>
                </c:pt>
                <c:pt idx="3488">
                  <c:v>51</c:v>
                </c:pt>
                <c:pt idx="3489">
                  <c:v>51</c:v>
                </c:pt>
                <c:pt idx="3490">
                  <c:v>51</c:v>
                </c:pt>
                <c:pt idx="3491">
                  <c:v>51</c:v>
                </c:pt>
                <c:pt idx="3492">
                  <c:v>51</c:v>
                </c:pt>
                <c:pt idx="3493">
                  <c:v>51</c:v>
                </c:pt>
                <c:pt idx="3499">
                  <c:v>52</c:v>
                </c:pt>
                <c:pt idx="3500">
                  <c:v>52</c:v>
                </c:pt>
                <c:pt idx="3501">
                  <c:v>52</c:v>
                </c:pt>
                <c:pt idx="3502">
                  <c:v>52</c:v>
                </c:pt>
                <c:pt idx="3503">
                  <c:v>52</c:v>
                </c:pt>
                <c:pt idx="3504">
                  <c:v>52</c:v>
                </c:pt>
                <c:pt idx="3505">
                  <c:v>52</c:v>
                </c:pt>
                <c:pt idx="3506">
                  <c:v>52</c:v>
                </c:pt>
                <c:pt idx="3507">
                  <c:v>52</c:v>
                </c:pt>
                <c:pt idx="3508">
                  <c:v>52</c:v>
                </c:pt>
                <c:pt idx="3509">
                  <c:v>52</c:v>
                </c:pt>
                <c:pt idx="3510">
                  <c:v>52</c:v>
                </c:pt>
                <c:pt idx="3511">
                  <c:v>52</c:v>
                </c:pt>
                <c:pt idx="3512">
                  <c:v>52</c:v>
                </c:pt>
                <c:pt idx="3513">
                  <c:v>52</c:v>
                </c:pt>
                <c:pt idx="3514">
                  <c:v>52</c:v>
                </c:pt>
                <c:pt idx="3515">
                  <c:v>52</c:v>
                </c:pt>
                <c:pt idx="3516">
                  <c:v>52</c:v>
                </c:pt>
                <c:pt idx="3517">
                  <c:v>52</c:v>
                </c:pt>
                <c:pt idx="3518">
                  <c:v>52</c:v>
                </c:pt>
                <c:pt idx="3519">
                  <c:v>52</c:v>
                </c:pt>
                <c:pt idx="3520">
                  <c:v>52</c:v>
                </c:pt>
                <c:pt idx="3521">
                  <c:v>52</c:v>
                </c:pt>
                <c:pt idx="3522">
                  <c:v>52</c:v>
                </c:pt>
                <c:pt idx="3523">
                  <c:v>52</c:v>
                </c:pt>
                <c:pt idx="3524">
                  <c:v>52</c:v>
                </c:pt>
                <c:pt idx="3537">
                  <c:v>53</c:v>
                </c:pt>
                <c:pt idx="3538">
                  <c:v>53</c:v>
                </c:pt>
                <c:pt idx="3539">
                  <c:v>53</c:v>
                </c:pt>
                <c:pt idx="3540">
                  <c:v>53</c:v>
                </c:pt>
                <c:pt idx="3541">
                  <c:v>53</c:v>
                </c:pt>
                <c:pt idx="3542">
                  <c:v>53</c:v>
                </c:pt>
                <c:pt idx="3543">
                  <c:v>53</c:v>
                </c:pt>
                <c:pt idx="3544">
                  <c:v>53</c:v>
                </c:pt>
                <c:pt idx="3545">
                  <c:v>53</c:v>
                </c:pt>
                <c:pt idx="3546">
                  <c:v>53</c:v>
                </c:pt>
                <c:pt idx="3547">
                  <c:v>53</c:v>
                </c:pt>
                <c:pt idx="3548">
                  <c:v>53</c:v>
                </c:pt>
                <c:pt idx="3549">
                  <c:v>53</c:v>
                </c:pt>
                <c:pt idx="3550">
                  <c:v>53</c:v>
                </c:pt>
                <c:pt idx="3551">
                  <c:v>53</c:v>
                </c:pt>
                <c:pt idx="3552">
                  <c:v>53</c:v>
                </c:pt>
                <c:pt idx="3553">
                  <c:v>53</c:v>
                </c:pt>
                <c:pt idx="3554">
                  <c:v>53</c:v>
                </c:pt>
                <c:pt idx="3555">
                  <c:v>53</c:v>
                </c:pt>
                <c:pt idx="3556">
                  <c:v>53</c:v>
                </c:pt>
                <c:pt idx="3585">
                  <c:v>54</c:v>
                </c:pt>
                <c:pt idx="3586">
                  <c:v>54</c:v>
                </c:pt>
                <c:pt idx="3587">
                  <c:v>54</c:v>
                </c:pt>
                <c:pt idx="3588">
                  <c:v>54</c:v>
                </c:pt>
                <c:pt idx="3589">
                  <c:v>54</c:v>
                </c:pt>
                <c:pt idx="3590">
                  <c:v>54</c:v>
                </c:pt>
                <c:pt idx="3591">
                  <c:v>54</c:v>
                </c:pt>
                <c:pt idx="3592">
                  <c:v>54</c:v>
                </c:pt>
                <c:pt idx="3593">
                  <c:v>54</c:v>
                </c:pt>
                <c:pt idx="3594">
                  <c:v>54</c:v>
                </c:pt>
                <c:pt idx="3595">
                  <c:v>54</c:v>
                </c:pt>
                <c:pt idx="3596">
                  <c:v>54</c:v>
                </c:pt>
                <c:pt idx="3597">
                  <c:v>54</c:v>
                </c:pt>
                <c:pt idx="3598">
                  <c:v>54</c:v>
                </c:pt>
                <c:pt idx="3599">
                  <c:v>54</c:v>
                </c:pt>
                <c:pt idx="3600">
                  <c:v>54</c:v>
                </c:pt>
                <c:pt idx="3601">
                  <c:v>54</c:v>
                </c:pt>
                <c:pt idx="3602">
                  <c:v>54</c:v>
                </c:pt>
                <c:pt idx="3603">
                  <c:v>54</c:v>
                </c:pt>
                <c:pt idx="3604">
                  <c:v>54</c:v>
                </c:pt>
                <c:pt idx="3627">
                  <c:v>55</c:v>
                </c:pt>
                <c:pt idx="3628">
                  <c:v>55</c:v>
                </c:pt>
                <c:pt idx="3629">
                  <c:v>55</c:v>
                </c:pt>
                <c:pt idx="3630">
                  <c:v>55</c:v>
                </c:pt>
                <c:pt idx="3631">
                  <c:v>55</c:v>
                </c:pt>
                <c:pt idx="3632">
                  <c:v>55</c:v>
                </c:pt>
                <c:pt idx="3633">
                  <c:v>55</c:v>
                </c:pt>
                <c:pt idx="3634">
                  <c:v>55</c:v>
                </c:pt>
                <c:pt idx="3635">
                  <c:v>55</c:v>
                </c:pt>
                <c:pt idx="3653">
                  <c:v>56</c:v>
                </c:pt>
                <c:pt idx="3654">
                  <c:v>56</c:v>
                </c:pt>
                <c:pt idx="3655">
                  <c:v>56</c:v>
                </c:pt>
                <c:pt idx="3656">
                  <c:v>56</c:v>
                </c:pt>
                <c:pt idx="3657">
                  <c:v>56</c:v>
                </c:pt>
                <c:pt idx="3658">
                  <c:v>56</c:v>
                </c:pt>
                <c:pt idx="3659">
                  <c:v>56</c:v>
                </c:pt>
                <c:pt idx="3660">
                  <c:v>56</c:v>
                </c:pt>
                <c:pt idx="3661">
                  <c:v>56</c:v>
                </c:pt>
                <c:pt idx="3662">
                  <c:v>56</c:v>
                </c:pt>
                <c:pt idx="3663">
                  <c:v>56</c:v>
                </c:pt>
                <c:pt idx="3664">
                  <c:v>56</c:v>
                </c:pt>
                <c:pt idx="3665">
                  <c:v>56</c:v>
                </c:pt>
                <c:pt idx="3666">
                  <c:v>56</c:v>
                </c:pt>
                <c:pt idx="3667">
                  <c:v>56</c:v>
                </c:pt>
                <c:pt idx="3668">
                  <c:v>56</c:v>
                </c:pt>
                <c:pt idx="3669">
                  <c:v>56</c:v>
                </c:pt>
                <c:pt idx="3670">
                  <c:v>56</c:v>
                </c:pt>
                <c:pt idx="3671">
                  <c:v>56</c:v>
                </c:pt>
                <c:pt idx="3672">
                  <c:v>56</c:v>
                </c:pt>
                <c:pt idx="3673">
                  <c:v>56</c:v>
                </c:pt>
                <c:pt idx="3674">
                  <c:v>56</c:v>
                </c:pt>
                <c:pt idx="3675">
                  <c:v>56</c:v>
                </c:pt>
                <c:pt idx="3676">
                  <c:v>56</c:v>
                </c:pt>
                <c:pt idx="3710">
                  <c:v>57</c:v>
                </c:pt>
                <c:pt idx="3711">
                  <c:v>57</c:v>
                </c:pt>
                <c:pt idx="3712">
                  <c:v>57</c:v>
                </c:pt>
                <c:pt idx="3713">
                  <c:v>57</c:v>
                </c:pt>
                <c:pt idx="3714">
                  <c:v>57</c:v>
                </c:pt>
                <c:pt idx="3715">
                  <c:v>57</c:v>
                </c:pt>
                <c:pt idx="3716">
                  <c:v>57</c:v>
                </c:pt>
                <c:pt idx="3825">
                  <c:v>58</c:v>
                </c:pt>
                <c:pt idx="3826">
                  <c:v>58</c:v>
                </c:pt>
                <c:pt idx="3827">
                  <c:v>58</c:v>
                </c:pt>
                <c:pt idx="3828">
                  <c:v>58</c:v>
                </c:pt>
                <c:pt idx="3829">
                  <c:v>58</c:v>
                </c:pt>
                <c:pt idx="3830">
                  <c:v>58</c:v>
                </c:pt>
                <c:pt idx="3831">
                  <c:v>58</c:v>
                </c:pt>
                <c:pt idx="3832">
                  <c:v>58</c:v>
                </c:pt>
                <c:pt idx="3833">
                  <c:v>58</c:v>
                </c:pt>
                <c:pt idx="3834">
                  <c:v>58</c:v>
                </c:pt>
                <c:pt idx="3835">
                  <c:v>58</c:v>
                </c:pt>
                <c:pt idx="3836">
                  <c:v>58</c:v>
                </c:pt>
                <c:pt idx="3845">
                  <c:v>59</c:v>
                </c:pt>
                <c:pt idx="3846">
                  <c:v>59</c:v>
                </c:pt>
                <c:pt idx="3847">
                  <c:v>59</c:v>
                </c:pt>
                <c:pt idx="3848">
                  <c:v>59</c:v>
                </c:pt>
                <c:pt idx="3849">
                  <c:v>59</c:v>
                </c:pt>
                <c:pt idx="3850">
                  <c:v>59</c:v>
                </c:pt>
                <c:pt idx="3851">
                  <c:v>59</c:v>
                </c:pt>
                <c:pt idx="3852">
                  <c:v>59</c:v>
                </c:pt>
                <c:pt idx="3853">
                  <c:v>59</c:v>
                </c:pt>
                <c:pt idx="3854">
                  <c:v>59</c:v>
                </c:pt>
                <c:pt idx="3855">
                  <c:v>59</c:v>
                </c:pt>
                <c:pt idx="3856">
                  <c:v>59</c:v>
                </c:pt>
                <c:pt idx="3857">
                  <c:v>59</c:v>
                </c:pt>
                <c:pt idx="3858">
                  <c:v>59</c:v>
                </c:pt>
                <c:pt idx="3859">
                  <c:v>59</c:v>
                </c:pt>
                <c:pt idx="3860">
                  <c:v>59</c:v>
                </c:pt>
                <c:pt idx="3861">
                  <c:v>59</c:v>
                </c:pt>
                <c:pt idx="3862">
                  <c:v>59</c:v>
                </c:pt>
                <c:pt idx="3863">
                  <c:v>59</c:v>
                </c:pt>
                <c:pt idx="3864">
                  <c:v>59</c:v>
                </c:pt>
                <c:pt idx="3865">
                  <c:v>59</c:v>
                </c:pt>
                <c:pt idx="3866">
                  <c:v>59</c:v>
                </c:pt>
                <c:pt idx="3867">
                  <c:v>59</c:v>
                </c:pt>
                <c:pt idx="3868">
                  <c:v>59</c:v>
                </c:pt>
                <c:pt idx="3869">
                  <c:v>59</c:v>
                </c:pt>
                <c:pt idx="3870">
                  <c:v>59</c:v>
                </c:pt>
                <c:pt idx="3871">
                  <c:v>59</c:v>
                </c:pt>
                <c:pt idx="3872">
                  <c:v>59</c:v>
                </c:pt>
                <c:pt idx="3873">
                  <c:v>59</c:v>
                </c:pt>
                <c:pt idx="3874">
                  <c:v>59</c:v>
                </c:pt>
                <c:pt idx="3875">
                  <c:v>59</c:v>
                </c:pt>
                <c:pt idx="3876">
                  <c:v>59</c:v>
                </c:pt>
                <c:pt idx="3929">
                  <c:v>60</c:v>
                </c:pt>
                <c:pt idx="3930">
                  <c:v>60</c:v>
                </c:pt>
                <c:pt idx="3931">
                  <c:v>60</c:v>
                </c:pt>
                <c:pt idx="3932">
                  <c:v>60</c:v>
                </c:pt>
                <c:pt idx="3933">
                  <c:v>60</c:v>
                </c:pt>
                <c:pt idx="3934">
                  <c:v>60</c:v>
                </c:pt>
                <c:pt idx="3935">
                  <c:v>60</c:v>
                </c:pt>
                <c:pt idx="3936">
                  <c:v>60</c:v>
                </c:pt>
                <c:pt idx="3937">
                  <c:v>60</c:v>
                </c:pt>
                <c:pt idx="3938">
                  <c:v>60</c:v>
                </c:pt>
                <c:pt idx="3939">
                  <c:v>60</c:v>
                </c:pt>
                <c:pt idx="3940">
                  <c:v>60</c:v>
                </c:pt>
                <c:pt idx="3941">
                  <c:v>60</c:v>
                </c:pt>
                <c:pt idx="3942">
                  <c:v>60</c:v>
                </c:pt>
                <c:pt idx="3943">
                  <c:v>60</c:v>
                </c:pt>
                <c:pt idx="3944">
                  <c:v>60</c:v>
                </c:pt>
                <c:pt idx="3945">
                  <c:v>60</c:v>
                </c:pt>
                <c:pt idx="3946">
                  <c:v>60</c:v>
                </c:pt>
                <c:pt idx="3947">
                  <c:v>60</c:v>
                </c:pt>
                <c:pt idx="3948">
                  <c:v>60</c:v>
                </c:pt>
                <c:pt idx="3949">
                  <c:v>60</c:v>
                </c:pt>
                <c:pt idx="3950">
                  <c:v>60</c:v>
                </c:pt>
                <c:pt idx="4001">
                  <c:v>61</c:v>
                </c:pt>
                <c:pt idx="4002">
                  <c:v>61</c:v>
                </c:pt>
                <c:pt idx="4003">
                  <c:v>61</c:v>
                </c:pt>
                <c:pt idx="4004">
                  <c:v>61</c:v>
                </c:pt>
                <c:pt idx="4005">
                  <c:v>61</c:v>
                </c:pt>
                <c:pt idx="4006">
                  <c:v>61</c:v>
                </c:pt>
                <c:pt idx="4007">
                  <c:v>61</c:v>
                </c:pt>
                <c:pt idx="4008">
                  <c:v>61</c:v>
                </c:pt>
                <c:pt idx="4009">
                  <c:v>61</c:v>
                </c:pt>
                <c:pt idx="4027">
                  <c:v>62</c:v>
                </c:pt>
                <c:pt idx="4028">
                  <c:v>62</c:v>
                </c:pt>
                <c:pt idx="4029">
                  <c:v>62</c:v>
                </c:pt>
                <c:pt idx="4030">
                  <c:v>62</c:v>
                </c:pt>
                <c:pt idx="4031">
                  <c:v>62</c:v>
                </c:pt>
                <c:pt idx="4032">
                  <c:v>62</c:v>
                </c:pt>
                <c:pt idx="4033">
                  <c:v>62</c:v>
                </c:pt>
                <c:pt idx="4034">
                  <c:v>62</c:v>
                </c:pt>
                <c:pt idx="4376">
                  <c:v>63</c:v>
                </c:pt>
                <c:pt idx="4377">
                  <c:v>63</c:v>
                </c:pt>
                <c:pt idx="4378">
                  <c:v>63</c:v>
                </c:pt>
                <c:pt idx="4379">
                  <c:v>63</c:v>
                </c:pt>
                <c:pt idx="4380">
                  <c:v>63</c:v>
                </c:pt>
                <c:pt idx="4381">
                  <c:v>63</c:v>
                </c:pt>
                <c:pt idx="4382">
                  <c:v>63</c:v>
                </c:pt>
                <c:pt idx="4383">
                  <c:v>63</c:v>
                </c:pt>
                <c:pt idx="4384">
                  <c:v>63</c:v>
                </c:pt>
                <c:pt idx="4385">
                  <c:v>63</c:v>
                </c:pt>
                <c:pt idx="4386">
                  <c:v>63</c:v>
                </c:pt>
                <c:pt idx="4387">
                  <c:v>63</c:v>
                </c:pt>
                <c:pt idx="4388">
                  <c:v>63</c:v>
                </c:pt>
                <c:pt idx="4389">
                  <c:v>63</c:v>
                </c:pt>
                <c:pt idx="4390">
                  <c:v>63</c:v>
                </c:pt>
                <c:pt idx="4391">
                  <c:v>63</c:v>
                </c:pt>
                <c:pt idx="4392">
                  <c:v>63</c:v>
                </c:pt>
                <c:pt idx="4393">
                  <c:v>63</c:v>
                </c:pt>
                <c:pt idx="4394">
                  <c:v>63</c:v>
                </c:pt>
                <c:pt idx="4395">
                  <c:v>63</c:v>
                </c:pt>
                <c:pt idx="4396">
                  <c:v>63</c:v>
                </c:pt>
                <c:pt idx="4437">
                  <c:v>64</c:v>
                </c:pt>
                <c:pt idx="4438">
                  <c:v>64</c:v>
                </c:pt>
                <c:pt idx="4439">
                  <c:v>64</c:v>
                </c:pt>
                <c:pt idx="4440">
                  <c:v>64</c:v>
                </c:pt>
                <c:pt idx="4441">
                  <c:v>64</c:v>
                </c:pt>
                <c:pt idx="4442">
                  <c:v>64</c:v>
                </c:pt>
                <c:pt idx="4443">
                  <c:v>64</c:v>
                </c:pt>
                <c:pt idx="4444">
                  <c:v>64</c:v>
                </c:pt>
                <c:pt idx="4445">
                  <c:v>64</c:v>
                </c:pt>
                <c:pt idx="4446">
                  <c:v>64</c:v>
                </c:pt>
                <c:pt idx="4447">
                  <c:v>64</c:v>
                </c:pt>
                <c:pt idx="4448">
                  <c:v>64</c:v>
                </c:pt>
                <c:pt idx="4449">
                  <c:v>64</c:v>
                </c:pt>
                <c:pt idx="4450">
                  <c:v>64</c:v>
                </c:pt>
                <c:pt idx="4451">
                  <c:v>64</c:v>
                </c:pt>
                <c:pt idx="4452">
                  <c:v>64</c:v>
                </c:pt>
                <c:pt idx="4453">
                  <c:v>64</c:v>
                </c:pt>
                <c:pt idx="4454">
                  <c:v>64</c:v>
                </c:pt>
                <c:pt idx="4455">
                  <c:v>64</c:v>
                </c:pt>
                <c:pt idx="4456">
                  <c:v>64</c:v>
                </c:pt>
                <c:pt idx="4457">
                  <c:v>64</c:v>
                </c:pt>
                <c:pt idx="4458">
                  <c:v>64</c:v>
                </c:pt>
                <c:pt idx="4459">
                  <c:v>64</c:v>
                </c:pt>
                <c:pt idx="4460">
                  <c:v>64</c:v>
                </c:pt>
                <c:pt idx="4461">
                  <c:v>64</c:v>
                </c:pt>
                <c:pt idx="4462">
                  <c:v>64</c:v>
                </c:pt>
                <c:pt idx="4463">
                  <c:v>64</c:v>
                </c:pt>
                <c:pt idx="4464">
                  <c:v>64</c:v>
                </c:pt>
                <c:pt idx="4465">
                  <c:v>64</c:v>
                </c:pt>
                <c:pt idx="4466">
                  <c:v>64</c:v>
                </c:pt>
                <c:pt idx="4467">
                  <c:v>64</c:v>
                </c:pt>
                <c:pt idx="4468">
                  <c:v>64</c:v>
                </c:pt>
                <c:pt idx="4469">
                  <c:v>64</c:v>
                </c:pt>
                <c:pt idx="4470">
                  <c:v>64</c:v>
                </c:pt>
                <c:pt idx="4471">
                  <c:v>64</c:v>
                </c:pt>
                <c:pt idx="4472">
                  <c:v>64</c:v>
                </c:pt>
                <c:pt idx="4473">
                  <c:v>64</c:v>
                </c:pt>
                <c:pt idx="4474">
                  <c:v>64</c:v>
                </c:pt>
                <c:pt idx="4475">
                  <c:v>64</c:v>
                </c:pt>
                <c:pt idx="4476">
                  <c:v>64</c:v>
                </c:pt>
                <c:pt idx="4477">
                  <c:v>64</c:v>
                </c:pt>
                <c:pt idx="4478">
                  <c:v>64</c:v>
                </c:pt>
                <c:pt idx="4479">
                  <c:v>64</c:v>
                </c:pt>
                <c:pt idx="4480">
                  <c:v>64</c:v>
                </c:pt>
                <c:pt idx="4523">
                  <c:v>65</c:v>
                </c:pt>
                <c:pt idx="4524">
                  <c:v>65</c:v>
                </c:pt>
                <c:pt idx="4525">
                  <c:v>65</c:v>
                </c:pt>
                <c:pt idx="4526">
                  <c:v>65</c:v>
                </c:pt>
                <c:pt idx="4527">
                  <c:v>65</c:v>
                </c:pt>
                <c:pt idx="4528">
                  <c:v>65</c:v>
                </c:pt>
                <c:pt idx="4529">
                  <c:v>65</c:v>
                </c:pt>
                <c:pt idx="4530">
                  <c:v>65</c:v>
                </c:pt>
                <c:pt idx="4531">
                  <c:v>65</c:v>
                </c:pt>
                <c:pt idx="4564">
                  <c:v>66</c:v>
                </c:pt>
                <c:pt idx="4565">
                  <c:v>66</c:v>
                </c:pt>
                <c:pt idx="4566">
                  <c:v>66</c:v>
                </c:pt>
                <c:pt idx="4567">
                  <c:v>66</c:v>
                </c:pt>
                <c:pt idx="4568">
                  <c:v>66</c:v>
                </c:pt>
                <c:pt idx="4583">
                  <c:v>67</c:v>
                </c:pt>
                <c:pt idx="4584">
                  <c:v>67</c:v>
                </c:pt>
                <c:pt idx="4585">
                  <c:v>67</c:v>
                </c:pt>
                <c:pt idx="4586">
                  <c:v>67</c:v>
                </c:pt>
                <c:pt idx="4587">
                  <c:v>67</c:v>
                </c:pt>
                <c:pt idx="4588">
                  <c:v>67</c:v>
                </c:pt>
                <c:pt idx="4705">
                  <c:v>68</c:v>
                </c:pt>
                <c:pt idx="4706">
                  <c:v>68</c:v>
                </c:pt>
                <c:pt idx="4707">
                  <c:v>68</c:v>
                </c:pt>
                <c:pt idx="4708">
                  <c:v>68</c:v>
                </c:pt>
                <c:pt idx="4709">
                  <c:v>68</c:v>
                </c:pt>
                <c:pt idx="4710">
                  <c:v>68</c:v>
                </c:pt>
                <c:pt idx="4711">
                  <c:v>68</c:v>
                </c:pt>
                <c:pt idx="4712">
                  <c:v>68</c:v>
                </c:pt>
                <c:pt idx="4713">
                  <c:v>68</c:v>
                </c:pt>
                <c:pt idx="4714">
                  <c:v>68</c:v>
                </c:pt>
                <c:pt idx="4715">
                  <c:v>68</c:v>
                </c:pt>
                <c:pt idx="4716">
                  <c:v>68</c:v>
                </c:pt>
                <c:pt idx="4717">
                  <c:v>68</c:v>
                </c:pt>
                <c:pt idx="4718">
                  <c:v>68</c:v>
                </c:pt>
                <c:pt idx="4719">
                  <c:v>68</c:v>
                </c:pt>
                <c:pt idx="4720">
                  <c:v>68</c:v>
                </c:pt>
                <c:pt idx="4721">
                  <c:v>68</c:v>
                </c:pt>
                <c:pt idx="4722">
                  <c:v>68</c:v>
                </c:pt>
                <c:pt idx="4723">
                  <c:v>68</c:v>
                </c:pt>
                <c:pt idx="4724">
                  <c:v>68</c:v>
                </c:pt>
                <c:pt idx="4725">
                  <c:v>68</c:v>
                </c:pt>
                <c:pt idx="4726">
                  <c:v>68</c:v>
                </c:pt>
                <c:pt idx="4727">
                  <c:v>68</c:v>
                </c:pt>
                <c:pt idx="4728">
                  <c:v>68</c:v>
                </c:pt>
                <c:pt idx="4729">
                  <c:v>68</c:v>
                </c:pt>
                <c:pt idx="4730">
                  <c:v>68</c:v>
                </c:pt>
                <c:pt idx="4731">
                  <c:v>68</c:v>
                </c:pt>
                <c:pt idx="4732">
                  <c:v>68</c:v>
                </c:pt>
                <c:pt idx="4733">
                  <c:v>68</c:v>
                </c:pt>
                <c:pt idx="4734">
                  <c:v>68</c:v>
                </c:pt>
                <c:pt idx="4735">
                  <c:v>68</c:v>
                </c:pt>
                <c:pt idx="4736">
                  <c:v>68</c:v>
                </c:pt>
                <c:pt idx="4737">
                  <c:v>68</c:v>
                </c:pt>
                <c:pt idx="4738">
                  <c:v>68</c:v>
                </c:pt>
                <c:pt idx="4739">
                  <c:v>68</c:v>
                </c:pt>
                <c:pt idx="4740">
                  <c:v>68</c:v>
                </c:pt>
                <c:pt idx="4741">
                  <c:v>68</c:v>
                </c:pt>
                <c:pt idx="4742">
                  <c:v>68</c:v>
                </c:pt>
                <c:pt idx="4743">
                  <c:v>68</c:v>
                </c:pt>
                <c:pt idx="4744">
                  <c:v>68</c:v>
                </c:pt>
                <c:pt idx="4745">
                  <c:v>68</c:v>
                </c:pt>
                <c:pt idx="4746">
                  <c:v>68</c:v>
                </c:pt>
                <c:pt idx="4747">
                  <c:v>68</c:v>
                </c:pt>
                <c:pt idx="4748">
                  <c:v>68</c:v>
                </c:pt>
                <c:pt idx="4749">
                  <c:v>68</c:v>
                </c:pt>
                <c:pt idx="4750">
                  <c:v>68</c:v>
                </c:pt>
                <c:pt idx="4751">
                  <c:v>68</c:v>
                </c:pt>
                <c:pt idx="4752">
                  <c:v>68</c:v>
                </c:pt>
                <c:pt idx="4753">
                  <c:v>68</c:v>
                </c:pt>
                <c:pt idx="4754">
                  <c:v>68</c:v>
                </c:pt>
                <c:pt idx="4755">
                  <c:v>68</c:v>
                </c:pt>
                <c:pt idx="4756">
                  <c:v>68</c:v>
                </c:pt>
                <c:pt idx="4757">
                  <c:v>68</c:v>
                </c:pt>
                <c:pt idx="4758">
                  <c:v>68</c:v>
                </c:pt>
                <c:pt idx="4865">
                  <c:v>69</c:v>
                </c:pt>
                <c:pt idx="4866">
                  <c:v>69</c:v>
                </c:pt>
                <c:pt idx="4867">
                  <c:v>69</c:v>
                </c:pt>
                <c:pt idx="4868">
                  <c:v>69</c:v>
                </c:pt>
                <c:pt idx="4869">
                  <c:v>69</c:v>
                </c:pt>
                <c:pt idx="4870">
                  <c:v>69</c:v>
                </c:pt>
                <c:pt idx="4871">
                  <c:v>69</c:v>
                </c:pt>
                <c:pt idx="4872">
                  <c:v>69</c:v>
                </c:pt>
                <c:pt idx="4873">
                  <c:v>69</c:v>
                </c:pt>
                <c:pt idx="4874">
                  <c:v>69</c:v>
                </c:pt>
                <c:pt idx="4875">
                  <c:v>69</c:v>
                </c:pt>
                <c:pt idx="4899">
                  <c:v>70</c:v>
                </c:pt>
                <c:pt idx="4900">
                  <c:v>70</c:v>
                </c:pt>
                <c:pt idx="4901">
                  <c:v>70</c:v>
                </c:pt>
                <c:pt idx="4902">
                  <c:v>70</c:v>
                </c:pt>
                <c:pt idx="4903">
                  <c:v>70</c:v>
                </c:pt>
                <c:pt idx="4904">
                  <c:v>70</c:v>
                </c:pt>
                <c:pt idx="4905">
                  <c:v>70</c:v>
                </c:pt>
                <c:pt idx="4906">
                  <c:v>70</c:v>
                </c:pt>
                <c:pt idx="4921">
                  <c:v>71</c:v>
                </c:pt>
                <c:pt idx="4922">
                  <c:v>71</c:v>
                </c:pt>
                <c:pt idx="4923">
                  <c:v>71</c:v>
                </c:pt>
                <c:pt idx="4924">
                  <c:v>71</c:v>
                </c:pt>
                <c:pt idx="4925">
                  <c:v>71</c:v>
                </c:pt>
                <c:pt idx="4926">
                  <c:v>71</c:v>
                </c:pt>
                <c:pt idx="4927">
                  <c:v>71</c:v>
                </c:pt>
                <c:pt idx="4928">
                  <c:v>71</c:v>
                </c:pt>
                <c:pt idx="4929">
                  <c:v>71</c:v>
                </c:pt>
                <c:pt idx="4930">
                  <c:v>71</c:v>
                </c:pt>
                <c:pt idx="4931">
                  <c:v>71</c:v>
                </c:pt>
                <c:pt idx="4932">
                  <c:v>71</c:v>
                </c:pt>
                <c:pt idx="4933">
                  <c:v>71</c:v>
                </c:pt>
                <c:pt idx="4934">
                  <c:v>71</c:v>
                </c:pt>
                <c:pt idx="4935">
                  <c:v>71</c:v>
                </c:pt>
                <c:pt idx="4936">
                  <c:v>71</c:v>
                </c:pt>
                <c:pt idx="4937">
                  <c:v>71</c:v>
                </c:pt>
                <c:pt idx="4938">
                  <c:v>71</c:v>
                </c:pt>
                <c:pt idx="4939">
                  <c:v>71</c:v>
                </c:pt>
                <c:pt idx="4940">
                  <c:v>71</c:v>
                </c:pt>
                <c:pt idx="4941">
                  <c:v>71</c:v>
                </c:pt>
                <c:pt idx="4942">
                  <c:v>71</c:v>
                </c:pt>
                <c:pt idx="4943">
                  <c:v>71</c:v>
                </c:pt>
                <c:pt idx="4944">
                  <c:v>71</c:v>
                </c:pt>
                <c:pt idx="4945">
                  <c:v>71</c:v>
                </c:pt>
                <c:pt idx="4946">
                  <c:v>71</c:v>
                </c:pt>
                <c:pt idx="4947">
                  <c:v>71</c:v>
                </c:pt>
                <c:pt idx="4997">
                  <c:v>72</c:v>
                </c:pt>
                <c:pt idx="4998">
                  <c:v>72</c:v>
                </c:pt>
                <c:pt idx="4999">
                  <c:v>72</c:v>
                </c:pt>
                <c:pt idx="5000">
                  <c:v>72</c:v>
                </c:pt>
                <c:pt idx="5001">
                  <c:v>72</c:v>
                </c:pt>
                <c:pt idx="5002">
                  <c:v>72</c:v>
                </c:pt>
                <c:pt idx="5003">
                  <c:v>72</c:v>
                </c:pt>
                <c:pt idx="5004">
                  <c:v>72</c:v>
                </c:pt>
                <c:pt idx="5005">
                  <c:v>72</c:v>
                </c:pt>
                <c:pt idx="5006">
                  <c:v>72</c:v>
                </c:pt>
                <c:pt idx="5007">
                  <c:v>72</c:v>
                </c:pt>
                <c:pt idx="5053">
                  <c:v>73</c:v>
                </c:pt>
                <c:pt idx="5054">
                  <c:v>73</c:v>
                </c:pt>
                <c:pt idx="5055">
                  <c:v>73</c:v>
                </c:pt>
                <c:pt idx="5056">
                  <c:v>73</c:v>
                </c:pt>
                <c:pt idx="5081">
                  <c:v>74</c:v>
                </c:pt>
                <c:pt idx="5082">
                  <c:v>74</c:v>
                </c:pt>
                <c:pt idx="5083">
                  <c:v>74</c:v>
                </c:pt>
                <c:pt idx="5084">
                  <c:v>74</c:v>
                </c:pt>
                <c:pt idx="5085">
                  <c:v>74</c:v>
                </c:pt>
                <c:pt idx="5086">
                  <c:v>74</c:v>
                </c:pt>
                <c:pt idx="5087">
                  <c:v>74</c:v>
                </c:pt>
                <c:pt idx="5088">
                  <c:v>74</c:v>
                </c:pt>
                <c:pt idx="5089">
                  <c:v>74</c:v>
                </c:pt>
                <c:pt idx="5090">
                  <c:v>74</c:v>
                </c:pt>
                <c:pt idx="5091">
                  <c:v>74</c:v>
                </c:pt>
                <c:pt idx="5092">
                  <c:v>74</c:v>
                </c:pt>
                <c:pt idx="5093">
                  <c:v>74</c:v>
                </c:pt>
                <c:pt idx="5094">
                  <c:v>74</c:v>
                </c:pt>
                <c:pt idx="5095">
                  <c:v>74</c:v>
                </c:pt>
                <c:pt idx="5096">
                  <c:v>74</c:v>
                </c:pt>
                <c:pt idx="5097">
                  <c:v>74</c:v>
                </c:pt>
                <c:pt idx="5098">
                  <c:v>74</c:v>
                </c:pt>
                <c:pt idx="5107">
                  <c:v>75</c:v>
                </c:pt>
                <c:pt idx="5108">
                  <c:v>75</c:v>
                </c:pt>
                <c:pt idx="5109">
                  <c:v>75</c:v>
                </c:pt>
                <c:pt idx="5110">
                  <c:v>75</c:v>
                </c:pt>
                <c:pt idx="5111">
                  <c:v>75</c:v>
                </c:pt>
                <c:pt idx="5112">
                  <c:v>75</c:v>
                </c:pt>
                <c:pt idx="5113">
                  <c:v>75</c:v>
                </c:pt>
                <c:pt idx="5114">
                  <c:v>75</c:v>
                </c:pt>
                <c:pt idx="5115">
                  <c:v>75</c:v>
                </c:pt>
                <c:pt idx="5116">
                  <c:v>75</c:v>
                </c:pt>
                <c:pt idx="5117">
                  <c:v>75</c:v>
                </c:pt>
                <c:pt idx="5118">
                  <c:v>75</c:v>
                </c:pt>
                <c:pt idx="5123">
                  <c:v>76</c:v>
                </c:pt>
                <c:pt idx="5124">
                  <c:v>76</c:v>
                </c:pt>
                <c:pt idx="5125">
                  <c:v>76</c:v>
                </c:pt>
                <c:pt idx="5126">
                  <c:v>76</c:v>
                </c:pt>
                <c:pt idx="5127">
                  <c:v>76</c:v>
                </c:pt>
                <c:pt idx="5128">
                  <c:v>76</c:v>
                </c:pt>
                <c:pt idx="5133">
                  <c:v>77</c:v>
                </c:pt>
                <c:pt idx="5134">
                  <c:v>77</c:v>
                </c:pt>
                <c:pt idx="5135">
                  <c:v>77</c:v>
                </c:pt>
                <c:pt idx="5136">
                  <c:v>77</c:v>
                </c:pt>
                <c:pt idx="5137">
                  <c:v>77</c:v>
                </c:pt>
                <c:pt idx="5138">
                  <c:v>77</c:v>
                </c:pt>
                <c:pt idx="5143">
                  <c:v>78</c:v>
                </c:pt>
                <c:pt idx="5144">
                  <c:v>78</c:v>
                </c:pt>
                <c:pt idx="5145">
                  <c:v>78</c:v>
                </c:pt>
                <c:pt idx="5146">
                  <c:v>78</c:v>
                </c:pt>
                <c:pt idx="5182">
                  <c:v>79</c:v>
                </c:pt>
                <c:pt idx="5183">
                  <c:v>79</c:v>
                </c:pt>
                <c:pt idx="5184">
                  <c:v>79</c:v>
                </c:pt>
                <c:pt idx="5185">
                  <c:v>79</c:v>
                </c:pt>
                <c:pt idx="5186">
                  <c:v>79</c:v>
                </c:pt>
                <c:pt idx="5187">
                  <c:v>79</c:v>
                </c:pt>
                <c:pt idx="5188">
                  <c:v>79</c:v>
                </c:pt>
                <c:pt idx="5189">
                  <c:v>79</c:v>
                </c:pt>
                <c:pt idx="5190">
                  <c:v>79</c:v>
                </c:pt>
                <c:pt idx="5191">
                  <c:v>79</c:v>
                </c:pt>
                <c:pt idx="5192">
                  <c:v>79</c:v>
                </c:pt>
                <c:pt idx="5220">
                  <c:v>80</c:v>
                </c:pt>
                <c:pt idx="5221">
                  <c:v>80</c:v>
                </c:pt>
                <c:pt idx="5222">
                  <c:v>80</c:v>
                </c:pt>
                <c:pt idx="5223">
                  <c:v>80</c:v>
                </c:pt>
                <c:pt idx="5224">
                  <c:v>80</c:v>
                </c:pt>
                <c:pt idx="5225">
                  <c:v>80</c:v>
                </c:pt>
                <c:pt idx="5226">
                  <c:v>80</c:v>
                </c:pt>
                <c:pt idx="5227">
                  <c:v>80</c:v>
                </c:pt>
                <c:pt idx="5228">
                  <c:v>80</c:v>
                </c:pt>
                <c:pt idx="5229">
                  <c:v>80</c:v>
                </c:pt>
                <c:pt idx="5230">
                  <c:v>80</c:v>
                </c:pt>
                <c:pt idx="5231">
                  <c:v>80</c:v>
                </c:pt>
                <c:pt idx="5232">
                  <c:v>80</c:v>
                </c:pt>
                <c:pt idx="5233">
                  <c:v>80</c:v>
                </c:pt>
                <c:pt idx="5234">
                  <c:v>80</c:v>
                </c:pt>
                <c:pt idx="5235">
                  <c:v>80</c:v>
                </c:pt>
                <c:pt idx="5236">
                  <c:v>80</c:v>
                </c:pt>
                <c:pt idx="5237">
                  <c:v>80</c:v>
                </c:pt>
                <c:pt idx="5238">
                  <c:v>80</c:v>
                </c:pt>
                <c:pt idx="5239">
                  <c:v>80</c:v>
                </c:pt>
                <c:pt idx="5240">
                  <c:v>80</c:v>
                </c:pt>
                <c:pt idx="5241">
                  <c:v>80</c:v>
                </c:pt>
                <c:pt idx="5242">
                  <c:v>80</c:v>
                </c:pt>
                <c:pt idx="5243">
                  <c:v>80</c:v>
                </c:pt>
                <c:pt idx="5244">
                  <c:v>80</c:v>
                </c:pt>
                <c:pt idx="5245">
                  <c:v>80</c:v>
                </c:pt>
                <c:pt idx="5246">
                  <c:v>80</c:v>
                </c:pt>
                <c:pt idx="5247">
                  <c:v>80</c:v>
                </c:pt>
                <c:pt idx="5248">
                  <c:v>80</c:v>
                </c:pt>
                <c:pt idx="5249">
                  <c:v>80</c:v>
                </c:pt>
                <c:pt idx="5250">
                  <c:v>80</c:v>
                </c:pt>
                <c:pt idx="5251">
                  <c:v>80</c:v>
                </c:pt>
                <c:pt idx="5252">
                  <c:v>80</c:v>
                </c:pt>
                <c:pt idx="5289">
                  <c:v>81</c:v>
                </c:pt>
                <c:pt idx="5290">
                  <c:v>81</c:v>
                </c:pt>
                <c:pt idx="5291">
                  <c:v>81</c:v>
                </c:pt>
                <c:pt idx="5292">
                  <c:v>81</c:v>
                </c:pt>
                <c:pt idx="5293">
                  <c:v>81</c:v>
                </c:pt>
                <c:pt idx="5363">
                  <c:v>82</c:v>
                </c:pt>
                <c:pt idx="5364">
                  <c:v>82</c:v>
                </c:pt>
                <c:pt idx="5365">
                  <c:v>82</c:v>
                </c:pt>
                <c:pt idx="5366">
                  <c:v>82</c:v>
                </c:pt>
                <c:pt idx="5367">
                  <c:v>82</c:v>
                </c:pt>
                <c:pt idx="5368">
                  <c:v>82</c:v>
                </c:pt>
                <c:pt idx="5369">
                  <c:v>82</c:v>
                </c:pt>
                <c:pt idx="5370">
                  <c:v>82</c:v>
                </c:pt>
                <c:pt idx="5371">
                  <c:v>82</c:v>
                </c:pt>
                <c:pt idx="5372">
                  <c:v>82</c:v>
                </c:pt>
                <c:pt idx="5373">
                  <c:v>82</c:v>
                </c:pt>
                <c:pt idx="5374">
                  <c:v>82</c:v>
                </c:pt>
                <c:pt idx="5375">
                  <c:v>82</c:v>
                </c:pt>
                <c:pt idx="5575">
                  <c:v>83</c:v>
                </c:pt>
                <c:pt idx="5576">
                  <c:v>83</c:v>
                </c:pt>
                <c:pt idx="5577">
                  <c:v>83</c:v>
                </c:pt>
                <c:pt idx="5578">
                  <c:v>83</c:v>
                </c:pt>
                <c:pt idx="5579">
                  <c:v>83</c:v>
                </c:pt>
                <c:pt idx="5580">
                  <c:v>83</c:v>
                </c:pt>
                <c:pt idx="5581">
                  <c:v>83</c:v>
                </c:pt>
                <c:pt idx="5582">
                  <c:v>83</c:v>
                </c:pt>
                <c:pt idx="5583">
                  <c:v>83</c:v>
                </c:pt>
                <c:pt idx="5584">
                  <c:v>83</c:v>
                </c:pt>
                <c:pt idx="5585">
                  <c:v>83</c:v>
                </c:pt>
                <c:pt idx="5586">
                  <c:v>83</c:v>
                </c:pt>
                <c:pt idx="5587">
                  <c:v>83</c:v>
                </c:pt>
                <c:pt idx="5588">
                  <c:v>83</c:v>
                </c:pt>
                <c:pt idx="5589">
                  <c:v>83</c:v>
                </c:pt>
                <c:pt idx="5590">
                  <c:v>83</c:v>
                </c:pt>
                <c:pt idx="5591">
                  <c:v>83</c:v>
                </c:pt>
                <c:pt idx="5592">
                  <c:v>83</c:v>
                </c:pt>
                <c:pt idx="5593">
                  <c:v>83</c:v>
                </c:pt>
                <c:pt idx="5594">
                  <c:v>83</c:v>
                </c:pt>
                <c:pt idx="5595">
                  <c:v>83</c:v>
                </c:pt>
                <c:pt idx="5596">
                  <c:v>83</c:v>
                </c:pt>
                <c:pt idx="5597">
                  <c:v>83</c:v>
                </c:pt>
                <c:pt idx="5598">
                  <c:v>83</c:v>
                </c:pt>
                <c:pt idx="5599">
                  <c:v>83</c:v>
                </c:pt>
                <c:pt idx="5600">
                  <c:v>83</c:v>
                </c:pt>
                <c:pt idx="5601">
                  <c:v>83</c:v>
                </c:pt>
                <c:pt idx="5602">
                  <c:v>83</c:v>
                </c:pt>
                <c:pt idx="5603">
                  <c:v>83</c:v>
                </c:pt>
                <c:pt idx="5604">
                  <c:v>83</c:v>
                </c:pt>
                <c:pt idx="5605">
                  <c:v>83</c:v>
                </c:pt>
                <c:pt idx="5606">
                  <c:v>83</c:v>
                </c:pt>
                <c:pt idx="5607">
                  <c:v>83</c:v>
                </c:pt>
                <c:pt idx="5608">
                  <c:v>83</c:v>
                </c:pt>
                <c:pt idx="5609">
                  <c:v>83</c:v>
                </c:pt>
                <c:pt idx="5610">
                  <c:v>83</c:v>
                </c:pt>
                <c:pt idx="5611">
                  <c:v>83</c:v>
                </c:pt>
                <c:pt idx="5612">
                  <c:v>83</c:v>
                </c:pt>
                <c:pt idx="5613">
                  <c:v>83</c:v>
                </c:pt>
                <c:pt idx="5614">
                  <c:v>83</c:v>
                </c:pt>
                <c:pt idx="5615">
                  <c:v>83</c:v>
                </c:pt>
                <c:pt idx="5650">
                  <c:v>84</c:v>
                </c:pt>
                <c:pt idx="5651">
                  <c:v>84</c:v>
                </c:pt>
                <c:pt idx="5652">
                  <c:v>84</c:v>
                </c:pt>
                <c:pt idx="5653">
                  <c:v>84</c:v>
                </c:pt>
                <c:pt idx="5654">
                  <c:v>84</c:v>
                </c:pt>
                <c:pt idx="5655">
                  <c:v>84</c:v>
                </c:pt>
                <c:pt idx="5784">
                  <c:v>85</c:v>
                </c:pt>
                <c:pt idx="5785">
                  <c:v>85</c:v>
                </c:pt>
                <c:pt idx="5786">
                  <c:v>85</c:v>
                </c:pt>
                <c:pt idx="5787">
                  <c:v>85</c:v>
                </c:pt>
                <c:pt idx="5788">
                  <c:v>85</c:v>
                </c:pt>
                <c:pt idx="5789">
                  <c:v>85</c:v>
                </c:pt>
                <c:pt idx="5790">
                  <c:v>85</c:v>
                </c:pt>
                <c:pt idx="5791">
                  <c:v>85</c:v>
                </c:pt>
                <c:pt idx="5792">
                  <c:v>85</c:v>
                </c:pt>
                <c:pt idx="5975">
                  <c:v>86</c:v>
                </c:pt>
                <c:pt idx="5976">
                  <c:v>86</c:v>
                </c:pt>
                <c:pt idx="5977">
                  <c:v>86</c:v>
                </c:pt>
                <c:pt idx="5987">
                  <c:v>87</c:v>
                </c:pt>
                <c:pt idx="5988">
                  <c:v>87</c:v>
                </c:pt>
                <c:pt idx="5989">
                  <c:v>87</c:v>
                </c:pt>
                <c:pt idx="5990">
                  <c:v>87</c:v>
                </c:pt>
                <c:pt idx="6012">
                  <c:v>88</c:v>
                </c:pt>
                <c:pt idx="6013">
                  <c:v>88</c:v>
                </c:pt>
                <c:pt idx="6014">
                  <c:v>88</c:v>
                </c:pt>
                <c:pt idx="6015">
                  <c:v>88</c:v>
                </c:pt>
                <c:pt idx="6016">
                  <c:v>88</c:v>
                </c:pt>
                <c:pt idx="6017">
                  <c:v>88</c:v>
                </c:pt>
                <c:pt idx="6108">
                  <c:v>89</c:v>
                </c:pt>
                <c:pt idx="6109">
                  <c:v>89</c:v>
                </c:pt>
                <c:pt idx="6110">
                  <c:v>89</c:v>
                </c:pt>
                <c:pt idx="6111">
                  <c:v>89</c:v>
                </c:pt>
                <c:pt idx="6112">
                  <c:v>89</c:v>
                </c:pt>
                <c:pt idx="6113">
                  <c:v>89</c:v>
                </c:pt>
                <c:pt idx="6114">
                  <c:v>89</c:v>
                </c:pt>
                <c:pt idx="6115">
                  <c:v>89</c:v>
                </c:pt>
                <c:pt idx="6116">
                  <c:v>89</c:v>
                </c:pt>
                <c:pt idx="6117">
                  <c:v>89</c:v>
                </c:pt>
                <c:pt idx="6118">
                  <c:v>89</c:v>
                </c:pt>
                <c:pt idx="6119">
                  <c:v>89</c:v>
                </c:pt>
                <c:pt idx="6120">
                  <c:v>89</c:v>
                </c:pt>
                <c:pt idx="6121">
                  <c:v>89</c:v>
                </c:pt>
                <c:pt idx="6122">
                  <c:v>89</c:v>
                </c:pt>
                <c:pt idx="6123">
                  <c:v>89</c:v>
                </c:pt>
                <c:pt idx="6124">
                  <c:v>89</c:v>
                </c:pt>
                <c:pt idx="6125">
                  <c:v>89</c:v>
                </c:pt>
                <c:pt idx="6126">
                  <c:v>89</c:v>
                </c:pt>
                <c:pt idx="6127">
                  <c:v>89</c:v>
                </c:pt>
                <c:pt idx="6128">
                  <c:v>89</c:v>
                </c:pt>
                <c:pt idx="6129">
                  <c:v>89</c:v>
                </c:pt>
                <c:pt idx="6130">
                  <c:v>89</c:v>
                </c:pt>
                <c:pt idx="6131">
                  <c:v>89</c:v>
                </c:pt>
                <c:pt idx="6132">
                  <c:v>89</c:v>
                </c:pt>
                <c:pt idx="6133">
                  <c:v>89</c:v>
                </c:pt>
                <c:pt idx="6134">
                  <c:v>89</c:v>
                </c:pt>
                <c:pt idx="6135">
                  <c:v>89</c:v>
                </c:pt>
                <c:pt idx="6136">
                  <c:v>89</c:v>
                </c:pt>
                <c:pt idx="6137">
                  <c:v>89</c:v>
                </c:pt>
                <c:pt idx="6138">
                  <c:v>89</c:v>
                </c:pt>
                <c:pt idx="6139">
                  <c:v>89</c:v>
                </c:pt>
                <c:pt idx="6140">
                  <c:v>89</c:v>
                </c:pt>
                <c:pt idx="6141">
                  <c:v>89</c:v>
                </c:pt>
                <c:pt idx="6142">
                  <c:v>89</c:v>
                </c:pt>
                <c:pt idx="6143">
                  <c:v>89</c:v>
                </c:pt>
                <c:pt idx="6168">
                  <c:v>90</c:v>
                </c:pt>
                <c:pt idx="6169">
                  <c:v>90</c:v>
                </c:pt>
                <c:pt idx="6170">
                  <c:v>90</c:v>
                </c:pt>
                <c:pt idx="6171">
                  <c:v>90</c:v>
                </c:pt>
                <c:pt idx="6172">
                  <c:v>90</c:v>
                </c:pt>
                <c:pt idx="6173">
                  <c:v>90</c:v>
                </c:pt>
                <c:pt idx="6174">
                  <c:v>90</c:v>
                </c:pt>
                <c:pt idx="6175">
                  <c:v>90</c:v>
                </c:pt>
                <c:pt idx="6176">
                  <c:v>90</c:v>
                </c:pt>
                <c:pt idx="6177">
                  <c:v>90</c:v>
                </c:pt>
                <c:pt idx="6178">
                  <c:v>90</c:v>
                </c:pt>
                <c:pt idx="6226">
                  <c:v>91</c:v>
                </c:pt>
                <c:pt idx="6227">
                  <c:v>91</c:v>
                </c:pt>
                <c:pt idx="6228">
                  <c:v>91</c:v>
                </c:pt>
                <c:pt idx="6229">
                  <c:v>91</c:v>
                </c:pt>
                <c:pt idx="6275">
                  <c:v>92</c:v>
                </c:pt>
                <c:pt idx="6276">
                  <c:v>92</c:v>
                </c:pt>
                <c:pt idx="6277">
                  <c:v>92</c:v>
                </c:pt>
                <c:pt idx="6278">
                  <c:v>92</c:v>
                </c:pt>
                <c:pt idx="6279">
                  <c:v>92</c:v>
                </c:pt>
                <c:pt idx="6280">
                  <c:v>92</c:v>
                </c:pt>
                <c:pt idx="6281">
                  <c:v>92</c:v>
                </c:pt>
                <c:pt idx="6282">
                  <c:v>92</c:v>
                </c:pt>
                <c:pt idx="6283">
                  <c:v>92</c:v>
                </c:pt>
                <c:pt idx="6284">
                  <c:v>92</c:v>
                </c:pt>
                <c:pt idx="6285">
                  <c:v>92</c:v>
                </c:pt>
                <c:pt idx="6286">
                  <c:v>92</c:v>
                </c:pt>
                <c:pt idx="6287">
                  <c:v>92</c:v>
                </c:pt>
                <c:pt idx="6288">
                  <c:v>92</c:v>
                </c:pt>
                <c:pt idx="6289">
                  <c:v>92</c:v>
                </c:pt>
                <c:pt idx="6290">
                  <c:v>92</c:v>
                </c:pt>
                <c:pt idx="6291">
                  <c:v>92</c:v>
                </c:pt>
                <c:pt idx="6292">
                  <c:v>92</c:v>
                </c:pt>
                <c:pt idx="6293">
                  <c:v>92</c:v>
                </c:pt>
                <c:pt idx="6294">
                  <c:v>92</c:v>
                </c:pt>
                <c:pt idx="6295">
                  <c:v>92</c:v>
                </c:pt>
                <c:pt idx="6296">
                  <c:v>92</c:v>
                </c:pt>
                <c:pt idx="6297">
                  <c:v>92</c:v>
                </c:pt>
                <c:pt idx="6298">
                  <c:v>92</c:v>
                </c:pt>
                <c:pt idx="6299">
                  <c:v>92</c:v>
                </c:pt>
                <c:pt idx="6300">
                  <c:v>92</c:v>
                </c:pt>
                <c:pt idx="6301">
                  <c:v>92</c:v>
                </c:pt>
                <c:pt idx="6302">
                  <c:v>92</c:v>
                </c:pt>
                <c:pt idx="6303">
                  <c:v>92</c:v>
                </c:pt>
                <c:pt idx="6304">
                  <c:v>92</c:v>
                </c:pt>
                <c:pt idx="6305">
                  <c:v>92</c:v>
                </c:pt>
                <c:pt idx="6306">
                  <c:v>92</c:v>
                </c:pt>
                <c:pt idx="6307">
                  <c:v>92</c:v>
                </c:pt>
                <c:pt idx="6308">
                  <c:v>92</c:v>
                </c:pt>
                <c:pt idx="6309">
                  <c:v>92</c:v>
                </c:pt>
                <c:pt idx="6310">
                  <c:v>92</c:v>
                </c:pt>
                <c:pt idx="6311">
                  <c:v>92</c:v>
                </c:pt>
                <c:pt idx="6312">
                  <c:v>92</c:v>
                </c:pt>
                <c:pt idx="6313">
                  <c:v>92</c:v>
                </c:pt>
                <c:pt idx="6314">
                  <c:v>92</c:v>
                </c:pt>
                <c:pt idx="6315">
                  <c:v>92</c:v>
                </c:pt>
                <c:pt idx="6316">
                  <c:v>92</c:v>
                </c:pt>
                <c:pt idx="6317">
                  <c:v>92</c:v>
                </c:pt>
                <c:pt idx="6318">
                  <c:v>92</c:v>
                </c:pt>
                <c:pt idx="6319">
                  <c:v>92</c:v>
                </c:pt>
                <c:pt idx="6320">
                  <c:v>92</c:v>
                </c:pt>
                <c:pt idx="6527">
                  <c:v>93</c:v>
                </c:pt>
                <c:pt idx="6528">
                  <c:v>93</c:v>
                </c:pt>
                <c:pt idx="6529">
                  <c:v>93</c:v>
                </c:pt>
                <c:pt idx="6530">
                  <c:v>93</c:v>
                </c:pt>
                <c:pt idx="6531">
                  <c:v>93</c:v>
                </c:pt>
                <c:pt idx="6532">
                  <c:v>93</c:v>
                </c:pt>
                <c:pt idx="6533">
                  <c:v>93</c:v>
                </c:pt>
                <c:pt idx="6534">
                  <c:v>93</c:v>
                </c:pt>
                <c:pt idx="6535">
                  <c:v>93</c:v>
                </c:pt>
                <c:pt idx="6536">
                  <c:v>93</c:v>
                </c:pt>
                <c:pt idx="6537">
                  <c:v>93</c:v>
                </c:pt>
                <c:pt idx="6538">
                  <c:v>93</c:v>
                </c:pt>
                <c:pt idx="6539">
                  <c:v>93</c:v>
                </c:pt>
                <c:pt idx="6540">
                  <c:v>93</c:v>
                </c:pt>
                <c:pt idx="6541">
                  <c:v>93</c:v>
                </c:pt>
                <c:pt idx="6542">
                  <c:v>93</c:v>
                </c:pt>
                <c:pt idx="6543">
                  <c:v>93</c:v>
                </c:pt>
                <c:pt idx="6544">
                  <c:v>93</c:v>
                </c:pt>
                <c:pt idx="6571">
                  <c:v>94</c:v>
                </c:pt>
                <c:pt idx="6572">
                  <c:v>94</c:v>
                </c:pt>
                <c:pt idx="6573">
                  <c:v>94</c:v>
                </c:pt>
                <c:pt idx="6574">
                  <c:v>94</c:v>
                </c:pt>
                <c:pt idx="6575">
                  <c:v>94</c:v>
                </c:pt>
                <c:pt idx="6576">
                  <c:v>94</c:v>
                </c:pt>
                <c:pt idx="6577">
                  <c:v>94</c:v>
                </c:pt>
                <c:pt idx="6578">
                  <c:v>94</c:v>
                </c:pt>
                <c:pt idx="6579">
                  <c:v>94</c:v>
                </c:pt>
                <c:pt idx="6580">
                  <c:v>94</c:v>
                </c:pt>
                <c:pt idx="6581">
                  <c:v>94</c:v>
                </c:pt>
                <c:pt idx="6654">
                  <c:v>95</c:v>
                </c:pt>
                <c:pt idx="6655">
                  <c:v>95</c:v>
                </c:pt>
                <c:pt idx="6656">
                  <c:v>95</c:v>
                </c:pt>
                <c:pt idx="6657">
                  <c:v>95</c:v>
                </c:pt>
                <c:pt idx="6658">
                  <c:v>95</c:v>
                </c:pt>
                <c:pt idx="6659">
                  <c:v>95</c:v>
                </c:pt>
                <c:pt idx="6660">
                  <c:v>95</c:v>
                </c:pt>
                <c:pt idx="6661">
                  <c:v>95</c:v>
                </c:pt>
                <c:pt idx="6662">
                  <c:v>95</c:v>
                </c:pt>
                <c:pt idx="6663">
                  <c:v>95</c:v>
                </c:pt>
                <c:pt idx="6664">
                  <c:v>95</c:v>
                </c:pt>
                <c:pt idx="6665">
                  <c:v>95</c:v>
                </c:pt>
                <c:pt idx="6666">
                  <c:v>95</c:v>
                </c:pt>
                <c:pt idx="6667">
                  <c:v>95</c:v>
                </c:pt>
                <c:pt idx="6668">
                  <c:v>95</c:v>
                </c:pt>
                <c:pt idx="6669">
                  <c:v>95</c:v>
                </c:pt>
                <c:pt idx="6670">
                  <c:v>95</c:v>
                </c:pt>
                <c:pt idx="6671">
                  <c:v>95</c:v>
                </c:pt>
                <c:pt idx="6672">
                  <c:v>95</c:v>
                </c:pt>
                <c:pt idx="6673">
                  <c:v>95</c:v>
                </c:pt>
                <c:pt idx="6674">
                  <c:v>95</c:v>
                </c:pt>
                <c:pt idx="6675">
                  <c:v>95</c:v>
                </c:pt>
                <c:pt idx="6676">
                  <c:v>95</c:v>
                </c:pt>
                <c:pt idx="6677">
                  <c:v>95</c:v>
                </c:pt>
                <c:pt idx="6696">
                  <c:v>96</c:v>
                </c:pt>
                <c:pt idx="6697">
                  <c:v>96</c:v>
                </c:pt>
                <c:pt idx="6698">
                  <c:v>96</c:v>
                </c:pt>
                <c:pt idx="6699">
                  <c:v>96</c:v>
                </c:pt>
                <c:pt idx="6700">
                  <c:v>96</c:v>
                </c:pt>
                <c:pt idx="6701">
                  <c:v>96</c:v>
                </c:pt>
                <c:pt idx="6702">
                  <c:v>96</c:v>
                </c:pt>
                <c:pt idx="6703">
                  <c:v>96</c:v>
                </c:pt>
                <c:pt idx="6704">
                  <c:v>96</c:v>
                </c:pt>
                <c:pt idx="6705">
                  <c:v>96</c:v>
                </c:pt>
                <c:pt idx="6726">
                  <c:v>97</c:v>
                </c:pt>
                <c:pt idx="6727">
                  <c:v>97</c:v>
                </c:pt>
                <c:pt idx="6728">
                  <c:v>97</c:v>
                </c:pt>
                <c:pt idx="6729">
                  <c:v>97</c:v>
                </c:pt>
                <c:pt idx="6730">
                  <c:v>97</c:v>
                </c:pt>
                <c:pt idx="6731">
                  <c:v>97</c:v>
                </c:pt>
                <c:pt idx="6732">
                  <c:v>97</c:v>
                </c:pt>
                <c:pt idx="6733">
                  <c:v>97</c:v>
                </c:pt>
                <c:pt idx="6734">
                  <c:v>97</c:v>
                </c:pt>
                <c:pt idx="6735">
                  <c:v>97</c:v>
                </c:pt>
                <c:pt idx="6736">
                  <c:v>97</c:v>
                </c:pt>
                <c:pt idx="6761">
                  <c:v>98</c:v>
                </c:pt>
                <c:pt idx="6762">
                  <c:v>98</c:v>
                </c:pt>
                <c:pt idx="6763">
                  <c:v>98</c:v>
                </c:pt>
                <c:pt idx="6764">
                  <c:v>98</c:v>
                </c:pt>
                <c:pt idx="6765">
                  <c:v>98</c:v>
                </c:pt>
                <c:pt idx="6812">
                  <c:v>99</c:v>
                </c:pt>
                <c:pt idx="6813">
                  <c:v>99</c:v>
                </c:pt>
                <c:pt idx="6814">
                  <c:v>99</c:v>
                </c:pt>
                <c:pt idx="6815">
                  <c:v>99</c:v>
                </c:pt>
                <c:pt idx="6816">
                  <c:v>99</c:v>
                </c:pt>
                <c:pt idx="6817">
                  <c:v>99</c:v>
                </c:pt>
                <c:pt idx="6818">
                  <c:v>99</c:v>
                </c:pt>
                <c:pt idx="6819">
                  <c:v>99</c:v>
                </c:pt>
                <c:pt idx="6820">
                  <c:v>99</c:v>
                </c:pt>
                <c:pt idx="6821">
                  <c:v>99</c:v>
                </c:pt>
                <c:pt idx="6827">
                  <c:v>100</c:v>
                </c:pt>
                <c:pt idx="6828">
                  <c:v>100</c:v>
                </c:pt>
                <c:pt idx="6829">
                  <c:v>100</c:v>
                </c:pt>
                <c:pt idx="6830">
                  <c:v>100</c:v>
                </c:pt>
                <c:pt idx="6831">
                  <c:v>100</c:v>
                </c:pt>
                <c:pt idx="6832">
                  <c:v>100</c:v>
                </c:pt>
                <c:pt idx="6833">
                  <c:v>100</c:v>
                </c:pt>
                <c:pt idx="6834">
                  <c:v>100</c:v>
                </c:pt>
                <c:pt idx="6835">
                  <c:v>100</c:v>
                </c:pt>
                <c:pt idx="6836">
                  <c:v>100</c:v>
                </c:pt>
                <c:pt idx="6837">
                  <c:v>100</c:v>
                </c:pt>
                <c:pt idx="6838">
                  <c:v>100</c:v>
                </c:pt>
                <c:pt idx="6839">
                  <c:v>100</c:v>
                </c:pt>
                <c:pt idx="6840">
                  <c:v>100</c:v>
                </c:pt>
                <c:pt idx="6841">
                  <c:v>100</c:v>
                </c:pt>
                <c:pt idx="6842">
                  <c:v>100</c:v>
                </c:pt>
                <c:pt idx="6843">
                  <c:v>100</c:v>
                </c:pt>
                <c:pt idx="6844">
                  <c:v>100</c:v>
                </c:pt>
                <c:pt idx="6845">
                  <c:v>100</c:v>
                </c:pt>
                <c:pt idx="6846">
                  <c:v>100</c:v>
                </c:pt>
                <c:pt idx="6864">
                  <c:v>101</c:v>
                </c:pt>
                <c:pt idx="6865">
                  <c:v>101</c:v>
                </c:pt>
                <c:pt idx="6866">
                  <c:v>101</c:v>
                </c:pt>
                <c:pt idx="6867">
                  <c:v>101</c:v>
                </c:pt>
                <c:pt idx="6868">
                  <c:v>101</c:v>
                </c:pt>
                <c:pt idx="6869">
                  <c:v>101</c:v>
                </c:pt>
                <c:pt idx="6870">
                  <c:v>101</c:v>
                </c:pt>
                <c:pt idx="6871">
                  <c:v>101</c:v>
                </c:pt>
                <c:pt idx="6872">
                  <c:v>101</c:v>
                </c:pt>
                <c:pt idx="6873">
                  <c:v>101</c:v>
                </c:pt>
                <c:pt idx="6874">
                  <c:v>101</c:v>
                </c:pt>
                <c:pt idx="6875">
                  <c:v>101</c:v>
                </c:pt>
                <c:pt idx="6876">
                  <c:v>101</c:v>
                </c:pt>
                <c:pt idx="6877">
                  <c:v>101</c:v>
                </c:pt>
                <c:pt idx="6878">
                  <c:v>101</c:v>
                </c:pt>
                <c:pt idx="6879">
                  <c:v>101</c:v>
                </c:pt>
                <c:pt idx="6880">
                  <c:v>101</c:v>
                </c:pt>
                <c:pt idx="6881">
                  <c:v>101</c:v>
                </c:pt>
                <c:pt idx="6882">
                  <c:v>101</c:v>
                </c:pt>
                <c:pt idx="6883">
                  <c:v>101</c:v>
                </c:pt>
                <c:pt idx="6906">
                  <c:v>102</c:v>
                </c:pt>
                <c:pt idx="6907">
                  <c:v>102</c:v>
                </c:pt>
                <c:pt idx="6908">
                  <c:v>102</c:v>
                </c:pt>
                <c:pt idx="6909">
                  <c:v>102</c:v>
                </c:pt>
                <c:pt idx="6910">
                  <c:v>102</c:v>
                </c:pt>
                <c:pt idx="6911">
                  <c:v>102</c:v>
                </c:pt>
                <c:pt idx="6912">
                  <c:v>102</c:v>
                </c:pt>
                <c:pt idx="6913">
                  <c:v>102</c:v>
                </c:pt>
                <c:pt idx="6914">
                  <c:v>102</c:v>
                </c:pt>
                <c:pt idx="6915">
                  <c:v>102</c:v>
                </c:pt>
                <c:pt idx="6916">
                  <c:v>102</c:v>
                </c:pt>
                <c:pt idx="6917">
                  <c:v>102</c:v>
                </c:pt>
                <c:pt idx="6918">
                  <c:v>102</c:v>
                </c:pt>
                <c:pt idx="6919">
                  <c:v>102</c:v>
                </c:pt>
                <c:pt idx="6920">
                  <c:v>102</c:v>
                </c:pt>
                <c:pt idx="6921">
                  <c:v>102</c:v>
                </c:pt>
                <c:pt idx="6922">
                  <c:v>102</c:v>
                </c:pt>
                <c:pt idx="6923">
                  <c:v>102</c:v>
                </c:pt>
                <c:pt idx="6924">
                  <c:v>102</c:v>
                </c:pt>
                <c:pt idx="6925">
                  <c:v>102</c:v>
                </c:pt>
                <c:pt idx="6926">
                  <c:v>102</c:v>
                </c:pt>
                <c:pt idx="6927">
                  <c:v>102</c:v>
                </c:pt>
                <c:pt idx="6928">
                  <c:v>102</c:v>
                </c:pt>
                <c:pt idx="6929">
                  <c:v>102</c:v>
                </c:pt>
                <c:pt idx="6930">
                  <c:v>102</c:v>
                </c:pt>
                <c:pt idx="6931">
                  <c:v>102</c:v>
                </c:pt>
                <c:pt idx="6958">
                  <c:v>103</c:v>
                </c:pt>
                <c:pt idx="6959">
                  <c:v>103</c:v>
                </c:pt>
                <c:pt idx="6960">
                  <c:v>103</c:v>
                </c:pt>
                <c:pt idx="6961">
                  <c:v>103</c:v>
                </c:pt>
                <c:pt idx="6962">
                  <c:v>103</c:v>
                </c:pt>
                <c:pt idx="6963">
                  <c:v>103</c:v>
                </c:pt>
                <c:pt idx="6964">
                  <c:v>103</c:v>
                </c:pt>
                <c:pt idx="6965">
                  <c:v>103</c:v>
                </c:pt>
                <c:pt idx="6966">
                  <c:v>103</c:v>
                </c:pt>
                <c:pt idx="6967">
                  <c:v>103</c:v>
                </c:pt>
                <c:pt idx="6968">
                  <c:v>103</c:v>
                </c:pt>
                <c:pt idx="6969">
                  <c:v>103</c:v>
                </c:pt>
                <c:pt idx="6970">
                  <c:v>103</c:v>
                </c:pt>
                <c:pt idx="6971">
                  <c:v>103</c:v>
                </c:pt>
                <c:pt idx="6972">
                  <c:v>103</c:v>
                </c:pt>
                <c:pt idx="6973">
                  <c:v>103</c:v>
                </c:pt>
                <c:pt idx="6974">
                  <c:v>103</c:v>
                </c:pt>
                <c:pt idx="6975">
                  <c:v>103</c:v>
                </c:pt>
                <c:pt idx="6976">
                  <c:v>103</c:v>
                </c:pt>
                <c:pt idx="6977">
                  <c:v>103</c:v>
                </c:pt>
                <c:pt idx="6978">
                  <c:v>103</c:v>
                </c:pt>
                <c:pt idx="6979">
                  <c:v>103</c:v>
                </c:pt>
                <c:pt idx="6980">
                  <c:v>103</c:v>
                </c:pt>
                <c:pt idx="6981">
                  <c:v>103</c:v>
                </c:pt>
                <c:pt idx="6982">
                  <c:v>103</c:v>
                </c:pt>
                <c:pt idx="6983">
                  <c:v>103</c:v>
                </c:pt>
                <c:pt idx="6984">
                  <c:v>103</c:v>
                </c:pt>
                <c:pt idx="6985">
                  <c:v>103</c:v>
                </c:pt>
                <c:pt idx="6986">
                  <c:v>103</c:v>
                </c:pt>
                <c:pt idx="6987">
                  <c:v>103</c:v>
                </c:pt>
                <c:pt idx="6988">
                  <c:v>103</c:v>
                </c:pt>
                <c:pt idx="7005">
                  <c:v>104</c:v>
                </c:pt>
                <c:pt idx="7006">
                  <c:v>104</c:v>
                </c:pt>
                <c:pt idx="7007">
                  <c:v>104</c:v>
                </c:pt>
                <c:pt idx="7008">
                  <c:v>104</c:v>
                </c:pt>
                <c:pt idx="7009">
                  <c:v>104</c:v>
                </c:pt>
                <c:pt idx="7010">
                  <c:v>104</c:v>
                </c:pt>
                <c:pt idx="7011">
                  <c:v>104</c:v>
                </c:pt>
                <c:pt idx="7012">
                  <c:v>104</c:v>
                </c:pt>
                <c:pt idx="7054">
                  <c:v>105</c:v>
                </c:pt>
                <c:pt idx="7055">
                  <c:v>105</c:v>
                </c:pt>
                <c:pt idx="7056">
                  <c:v>105</c:v>
                </c:pt>
                <c:pt idx="7057">
                  <c:v>105</c:v>
                </c:pt>
                <c:pt idx="7058">
                  <c:v>105</c:v>
                </c:pt>
                <c:pt idx="7160">
                  <c:v>106</c:v>
                </c:pt>
                <c:pt idx="7161">
                  <c:v>106</c:v>
                </c:pt>
                <c:pt idx="7162">
                  <c:v>106</c:v>
                </c:pt>
                <c:pt idx="7163">
                  <c:v>106</c:v>
                </c:pt>
                <c:pt idx="7164">
                  <c:v>106</c:v>
                </c:pt>
                <c:pt idx="7165">
                  <c:v>106</c:v>
                </c:pt>
                <c:pt idx="7166">
                  <c:v>106</c:v>
                </c:pt>
                <c:pt idx="7167">
                  <c:v>106</c:v>
                </c:pt>
                <c:pt idx="7178">
                  <c:v>107</c:v>
                </c:pt>
                <c:pt idx="7179">
                  <c:v>107</c:v>
                </c:pt>
                <c:pt idx="7180">
                  <c:v>107</c:v>
                </c:pt>
                <c:pt idx="7181">
                  <c:v>107</c:v>
                </c:pt>
                <c:pt idx="7182">
                  <c:v>107</c:v>
                </c:pt>
                <c:pt idx="7183">
                  <c:v>107</c:v>
                </c:pt>
                <c:pt idx="7184">
                  <c:v>107</c:v>
                </c:pt>
                <c:pt idx="7185">
                  <c:v>107</c:v>
                </c:pt>
                <c:pt idx="7186">
                  <c:v>107</c:v>
                </c:pt>
                <c:pt idx="7187">
                  <c:v>107</c:v>
                </c:pt>
                <c:pt idx="7188">
                  <c:v>107</c:v>
                </c:pt>
                <c:pt idx="7189">
                  <c:v>107</c:v>
                </c:pt>
                <c:pt idx="7190">
                  <c:v>107</c:v>
                </c:pt>
                <c:pt idx="7191">
                  <c:v>107</c:v>
                </c:pt>
                <c:pt idx="7192">
                  <c:v>107</c:v>
                </c:pt>
                <c:pt idx="7193">
                  <c:v>107</c:v>
                </c:pt>
                <c:pt idx="7194">
                  <c:v>107</c:v>
                </c:pt>
                <c:pt idx="7195">
                  <c:v>107</c:v>
                </c:pt>
                <c:pt idx="7196">
                  <c:v>107</c:v>
                </c:pt>
                <c:pt idx="7197">
                  <c:v>107</c:v>
                </c:pt>
                <c:pt idx="7198">
                  <c:v>107</c:v>
                </c:pt>
                <c:pt idx="7199">
                  <c:v>107</c:v>
                </c:pt>
                <c:pt idx="7200">
                  <c:v>107</c:v>
                </c:pt>
                <c:pt idx="7201">
                  <c:v>107</c:v>
                </c:pt>
                <c:pt idx="7202">
                  <c:v>107</c:v>
                </c:pt>
                <c:pt idx="7203">
                  <c:v>107</c:v>
                </c:pt>
                <c:pt idx="7204">
                  <c:v>107</c:v>
                </c:pt>
                <c:pt idx="7205">
                  <c:v>107</c:v>
                </c:pt>
                <c:pt idx="7206">
                  <c:v>107</c:v>
                </c:pt>
                <c:pt idx="7207">
                  <c:v>107</c:v>
                </c:pt>
                <c:pt idx="7208">
                  <c:v>107</c:v>
                </c:pt>
                <c:pt idx="7209">
                  <c:v>107</c:v>
                </c:pt>
                <c:pt idx="7210">
                  <c:v>107</c:v>
                </c:pt>
                <c:pt idx="7211">
                  <c:v>107</c:v>
                </c:pt>
                <c:pt idx="7212">
                  <c:v>107</c:v>
                </c:pt>
                <c:pt idx="7213">
                  <c:v>107</c:v>
                </c:pt>
                <c:pt idx="7214">
                  <c:v>107</c:v>
                </c:pt>
                <c:pt idx="7215">
                  <c:v>107</c:v>
                </c:pt>
                <c:pt idx="7216">
                  <c:v>107</c:v>
                </c:pt>
                <c:pt idx="7217">
                  <c:v>107</c:v>
                </c:pt>
                <c:pt idx="7218">
                  <c:v>107</c:v>
                </c:pt>
                <c:pt idx="7219">
                  <c:v>107</c:v>
                </c:pt>
                <c:pt idx="7220">
                  <c:v>107</c:v>
                </c:pt>
                <c:pt idx="7221">
                  <c:v>107</c:v>
                </c:pt>
                <c:pt idx="7222">
                  <c:v>107</c:v>
                </c:pt>
                <c:pt idx="7223">
                  <c:v>107</c:v>
                </c:pt>
                <c:pt idx="7224">
                  <c:v>107</c:v>
                </c:pt>
                <c:pt idx="7225">
                  <c:v>107</c:v>
                </c:pt>
                <c:pt idx="7226">
                  <c:v>107</c:v>
                </c:pt>
                <c:pt idx="7227">
                  <c:v>107</c:v>
                </c:pt>
                <c:pt idx="7228">
                  <c:v>107</c:v>
                </c:pt>
                <c:pt idx="7229">
                  <c:v>107</c:v>
                </c:pt>
                <c:pt idx="7230">
                  <c:v>107</c:v>
                </c:pt>
                <c:pt idx="7231">
                  <c:v>107</c:v>
                </c:pt>
                <c:pt idx="7232">
                  <c:v>107</c:v>
                </c:pt>
                <c:pt idx="7233">
                  <c:v>107</c:v>
                </c:pt>
                <c:pt idx="7234">
                  <c:v>107</c:v>
                </c:pt>
                <c:pt idx="7235">
                  <c:v>107</c:v>
                </c:pt>
                <c:pt idx="7236">
                  <c:v>107</c:v>
                </c:pt>
                <c:pt idx="7237">
                  <c:v>107</c:v>
                </c:pt>
                <c:pt idx="7238">
                  <c:v>107</c:v>
                </c:pt>
                <c:pt idx="7239">
                  <c:v>107</c:v>
                </c:pt>
                <c:pt idx="7240">
                  <c:v>107</c:v>
                </c:pt>
                <c:pt idx="7241">
                  <c:v>107</c:v>
                </c:pt>
                <c:pt idx="7242">
                  <c:v>107</c:v>
                </c:pt>
                <c:pt idx="7243">
                  <c:v>107</c:v>
                </c:pt>
                <c:pt idx="7244">
                  <c:v>107</c:v>
                </c:pt>
                <c:pt idx="7245">
                  <c:v>107</c:v>
                </c:pt>
                <c:pt idx="7246">
                  <c:v>107</c:v>
                </c:pt>
                <c:pt idx="7247">
                  <c:v>107</c:v>
                </c:pt>
                <c:pt idx="7248">
                  <c:v>107</c:v>
                </c:pt>
                <c:pt idx="7249">
                  <c:v>107</c:v>
                </c:pt>
                <c:pt idx="7250">
                  <c:v>107</c:v>
                </c:pt>
                <c:pt idx="7251">
                  <c:v>107</c:v>
                </c:pt>
                <c:pt idx="7252">
                  <c:v>107</c:v>
                </c:pt>
                <c:pt idx="7253">
                  <c:v>107</c:v>
                </c:pt>
                <c:pt idx="7254">
                  <c:v>107</c:v>
                </c:pt>
                <c:pt idx="7499">
                  <c:v>108</c:v>
                </c:pt>
                <c:pt idx="7500">
                  <c:v>108</c:v>
                </c:pt>
                <c:pt idx="7501">
                  <c:v>108</c:v>
                </c:pt>
                <c:pt idx="7502">
                  <c:v>108</c:v>
                </c:pt>
                <c:pt idx="7503">
                  <c:v>108</c:v>
                </c:pt>
                <c:pt idx="7504">
                  <c:v>108</c:v>
                </c:pt>
                <c:pt idx="7505">
                  <c:v>108</c:v>
                </c:pt>
                <c:pt idx="7506">
                  <c:v>108</c:v>
                </c:pt>
                <c:pt idx="7507">
                  <c:v>108</c:v>
                </c:pt>
                <c:pt idx="7508">
                  <c:v>108</c:v>
                </c:pt>
                <c:pt idx="7509">
                  <c:v>108</c:v>
                </c:pt>
                <c:pt idx="7510">
                  <c:v>108</c:v>
                </c:pt>
                <c:pt idx="7511">
                  <c:v>108</c:v>
                </c:pt>
                <c:pt idx="7512">
                  <c:v>108</c:v>
                </c:pt>
                <c:pt idx="7513">
                  <c:v>108</c:v>
                </c:pt>
                <c:pt idx="7514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F-414C-AE11-397EDF516594}"/>
            </c:ext>
          </c:extLst>
        </c:ser>
        <c:ser>
          <c:idx val="1"/>
          <c:order val="1"/>
          <c:tx>
            <c:strRef>
              <c:f>transpose!$AW$1</c:f>
              <c:strCache>
                <c:ptCount val="1"/>
                <c:pt idx="0">
                  <c:v>ÁLL_rövden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transpose!$AW$2:$AW$7686</c:f>
              <c:numCache>
                <c:formatCode>General</c:formatCode>
                <c:ptCount val="7685"/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267">
                  <c:v>2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345">
                  <c:v>4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80">
                  <c:v>7</c:v>
                </c:pt>
                <c:pt idx="581">
                  <c:v>7</c:v>
                </c:pt>
                <c:pt idx="582">
                  <c:v>7</c:v>
                </c:pt>
                <c:pt idx="937">
                  <c:v>8</c:v>
                </c:pt>
                <c:pt idx="1045">
                  <c:v>9</c:v>
                </c:pt>
                <c:pt idx="1046">
                  <c:v>9</c:v>
                </c:pt>
                <c:pt idx="1068">
                  <c:v>10</c:v>
                </c:pt>
                <c:pt idx="1069">
                  <c:v>10</c:v>
                </c:pt>
                <c:pt idx="1143">
                  <c:v>11</c:v>
                </c:pt>
                <c:pt idx="1144">
                  <c:v>11</c:v>
                </c:pt>
                <c:pt idx="1145">
                  <c:v>11</c:v>
                </c:pt>
                <c:pt idx="1146">
                  <c:v>11</c:v>
                </c:pt>
                <c:pt idx="1147">
                  <c:v>11</c:v>
                </c:pt>
                <c:pt idx="1148">
                  <c:v>11</c:v>
                </c:pt>
                <c:pt idx="1149">
                  <c:v>11</c:v>
                </c:pt>
                <c:pt idx="1219">
                  <c:v>12</c:v>
                </c:pt>
                <c:pt idx="1318">
                  <c:v>13</c:v>
                </c:pt>
                <c:pt idx="1319">
                  <c:v>13</c:v>
                </c:pt>
                <c:pt idx="1320">
                  <c:v>13</c:v>
                </c:pt>
                <c:pt idx="1321">
                  <c:v>13</c:v>
                </c:pt>
                <c:pt idx="1348">
                  <c:v>14</c:v>
                </c:pt>
                <c:pt idx="1349">
                  <c:v>14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80">
                  <c:v>16</c:v>
                </c:pt>
                <c:pt idx="2129">
                  <c:v>17</c:v>
                </c:pt>
                <c:pt idx="2130">
                  <c:v>17</c:v>
                </c:pt>
                <c:pt idx="2131">
                  <c:v>17</c:v>
                </c:pt>
                <c:pt idx="2132">
                  <c:v>17</c:v>
                </c:pt>
                <c:pt idx="2133">
                  <c:v>17</c:v>
                </c:pt>
                <c:pt idx="2134">
                  <c:v>17</c:v>
                </c:pt>
                <c:pt idx="2135">
                  <c:v>17</c:v>
                </c:pt>
                <c:pt idx="2194">
                  <c:v>18</c:v>
                </c:pt>
                <c:pt idx="2195">
                  <c:v>18</c:v>
                </c:pt>
                <c:pt idx="2232">
                  <c:v>19</c:v>
                </c:pt>
                <c:pt idx="2233">
                  <c:v>19</c:v>
                </c:pt>
                <c:pt idx="2234">
                  <c:v>19</c:v>
                </c:pt>
                <c:pt idx="2235">
                  <c:v>19</c:v>
                </c:pt>
                <c:pt idx="2236">
                  <c:v>19</c:v>
                </c:pt>
                <c:pt idx="2237">
                  <c:v>19</c:v>
                </c:pt>
                <c:pt idx="2238">
                  <c:v>19</c:v>
                </c:pt>
                <c:pt idx="2239">
                  <c:v>19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318">
                  <c:v>21</c:v>
                </c:pt>
                <c:pt idx="2319">
                  <c:v>21</c:v>
                </c:pt>
                <c:pt idx="2320">
                  <c:v>21</c:v>
                </c:pt>
                <c:pt idx="2321">
                  <c:v>21</c:v>
                </c:pt>
                <c:pt idx="2322">
                  <c:v>21</c:v>
                </c:pt>
                <c:pt idx="2323">
                  <c:v>21</c:v>
                </c:pt>
                <c:pt idx="2324">
                  <c:v>21</c:v>
                </c:pt>
                <c:pt idx="2325">
                  <c:v>21</c:v>
                </c:pt>
                <c:pt idx="2326">
                  <c:v>21</c:v>
                </c:pt>
                <c:pt idx="2327">
                  <c:v>21</c:v>
                </c:pt>
                <c:pt idx="2328">
                  <c:v>21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21</c:v>
                </c:pt>
                <c:pt idx="2338">
                  <c:v>21</c:v>
                </c:pt>
                <c:pt idx="2339">
                  <c:v>21</c:v>
                </c:pt>
                <c:pt idx="2340">
                  <c:v>21</c:v>
                </c:pt>
                <c:pt idx="2341">
                  <c:v>21</c:v>
                </c:pt>
                <c:pt idx="2342">
                  <c:v>21</c:v>
                </c:pt>
                <c:pt idx="2343">
                  <c:v>21</c:v>
                </c:pt>
                <c:pt idx="2344">
                  <c:v>21</c:v>
                </c:pt>
                <c:pt idx="2345">
                  <c:v>21</c:v>
                </c:pt>
                <c:pt idx="2354">
                  <c:v>22</c:v>
                </c:pt>
                <c:pt idx="2355">
                  <c:v>22</c:v>
                </c:pt>
                <c:pt idx="2356">
                  <c:v>22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494">
                  <c:v>23</c:v>
                </c:pt>
                <c:pt idx="2571">
                  <c:v>24</c:v>
                </c:pt>
                <c:pt idx="2572">
                  <c:v>24</c:v>
                </c:pt>
                <c:pt idx="2573">
                  <c:v>24</c:v>
                </c:pt>
                <c:pt idx="2731">
                  <c:v>25</c:v>
                </c:pt>
                <c:pt idx="2732">
                  <c:v>25</c:v>
                </c:pt>
                <c:pt idx="2733">
                  <c:v>25</c:v>
                </c:pt>
                <c:pt idx="2734">
                  <c:v>25</c:v>
                </c:pt>
                <c:pt idx="2735">
                  <c:v>25</c:v>
                </c:pt>
                <c:pt idx="2760">
                  <c:v>26</c:v>
                </c:pt>
                <c:pt idx="2761">
                  <c:v>26</c:v>
                </c:pt>
                <c:pt idx="2762">
                  <c:v>26</c:v>
                </c:pt>
                <c:pt idx="2763">
                  <c:v>26</c:v>
                </c:pt>
                <c:pt idx="2781">
                  <c:v>27</c:v>
                </c:pt>
                <c:pt idx="2782">
                  <c:v>27</c:v>
                </c:pt>
                <c:pt idx="2783">
                  <c:v>27</c:v>
                </c:pt>
                <c:pt idx="2784">
                  <c:v>27</c:v>
                </c:pt>
                <c:pt idx="2785">
                  <c:v>27</c:v>
                </c:pt>
                <c:pt idx="2786">
                  <c:v>27</c:v>
                </c:pt>
                <c:pt idx="2787">
                  <c:v>27</c:v>
                </c:pt>
                <c:pt idx="2788">
                  <c:v>27</c:v>
                </c:pt>
                <c:pt idx="2789">
                  <c:v>27</c:v>
                </c:pt>
                <c:pt idx="2790">
                  <c:v>27</c:v>
                </c:pt>
                <c:pt idx="2791">
                  <c:v>27</c:v>
                </c:pt>
                <c:pt idx="2792">
                  <c:v>27</c:v>
                </c:pt>
                <c:pt idx="2793">
                  <c:v>27</c:v>
                </c:pt>
                <c:pt idx="2794">
                  <c:v>27</c:v>
                </c:pt>
                <c:pt idx="2795">
                  <c:v>27</c:v>
                </c:pt>
                <c:pt idx="2796">
                  <c:v>27</c:v>
                </c:pt>
                <c:pt idx="2807">
                  <c:v>28</c:v>
                </c:pt>
                <c:pt idx="2808">
                  <c:v>28</c:v>
                </c:pt>
                <c:pt idx="2809">
                  <c:v>28</c:v>
                </c:pt>
                <c:pt idx="2810">
                  <c:v>28</c:v>
                </c:pt>
                <c:pt idx="2811">
                  <c:v>28</c:v>
                </c:pt>
                <c:pt idx="2812">
                  <c:v>28</c:v>
                </c:pt>
                <c:pt idx="2813">
                  <c:v>28</c:v>
                </c:pt>
                <c:pt idx="2814">
                  <c:v>28</c:v>
                </c:pt>
                <c:pt idx="2815">
                  <c:v>28</c:v>
                </c:pt>
                <c:pt idx="2816">
                  <c:v>28</c:v>
                </c:pt>
                <c:pt idx="2817">
                  <c:v>28</c:v>
                </c:pt>
                <c:pt idx="2818">
                  <c:v>28</c:v>
                </c:pt>
                <c:pt idx="2819">
                  <c:v>28</c:v>
                </c:pt>
                <c:pt idx="2820">
                  <c:v>28</c:v>
                </c:pt>
                <c:pt idx="2821">
                  <c:v>28</c:v>
                </c:pt>
                <c:pt idx="2822">
                  <c:v>28</c:v>
                </c:pt>
                <c:pt idx="2823">
                  <c:v>28</c:v>
                </c:pt>
                <c:pt idx="2824">
                  <c:v>28</c:v>
                </c:pt>
                <c:pt idx="2825">
                  <c:v>28</c:v>
                </c:pt>
                <c:pt idx="2849">
                  <c:v>29</c:v>
                </c:pt>
                <c:pt idx="2850">
                  <c:v>29</c:v>
                </c:pt>
                <c:pt idx="2851">
                  <c:v>29</c:v>
                </c:pt>
                <c:pt idx="2852">
                  <c:v>29</c:v>
                </c:pt>
                <c:pt idx="2853">
                  <c:v>29</c:v>
                </c:pt>
                <c:pt idx="2854">
                  <c:v>29</c:v>
                </c:pt>
                <c:pt idx="2855">
                  <c:v>29</c:v>
                </c:pt>
                <c:pt idx="2856">
                  <c:v>29</c:v>
                </c:pt>
                <c:pt idx="3141">
                  <c:v>30</c:v>
                </c:pt>
                <c:pt idx="3142">
                  <c:v>30</c:v>
                </c:pt>
                <c:pt idx="3143">
                  <c:v>30</c:v>
                </c:pt>
                <c:pt idx="3144">
                  <c:v>30</c:v>
                </c:pt>
                <c:pt idx="3145">
                  <c:v>30</c:v>
                </c:pt>
                <c:pt idx="3146">
                  <c:v>30</c:v>
                </c:pt>
                <c:pt idx="3147">
                  <c:v>30</c:v>
                </c:pt>
                <c:pt idx="3407">
                  <c:v>31</c:v>
                </c:pt>
                <c:pt idx="3408">
                  <c:v>31</c:v>
                </c:pt>
                <c:pt idx="3409">
                  <c:v>31</c:v>
                </c:pt>
                <c:pt idx="3410">
                  <c:v>31</c:v>
                </c:pt>
                <c:pt idx="3525">
                  <c:v>32</c:v>
                </c:pt>
                <c:pt idx="3526">
                  <c:v>32</c:v>
                </c:pt>
                <c:pt idx="3527">
                  <c:v>32</c:v>
                </c:pt>
                <c:pt idx="3528">
                  <c:v>32</c:v>
                </c:pt>
                <c:pt idx="3529">
                  <c:v>32</c:v>
                </c:pt>
                <c:pt idx="3557">
                  <c:v>33</c:v>
                </c:pt>
                <c:pt idx="3558">
                  <c:v>33</c:v>
                </c:pt>
                <c:pt idx="3559">
                  <c:v>33</c:v>
                </c:pt>
                <c:pt idx="3560">
                  <c:v>33</c:v>
                </c:pt>
                <c:pt idx="3561">
                  <c:v>33</c:v>
                </c:pt>
                <c:pt idx="3562">
                  <c:v>33</c:v>
                </c:pt>
                <c:pt idx="3563">
                  <c:v>33</c:v>
                </c:pt>
                <c:pt idx="3564">
                  <c:v>33</c:v>
                </c:pt>
                <c:pt idx="3565">
                  <c:v>33</c:v>
                </c:pt>
                <c:pt idx="3566">
                  <c:v>33</c:v>
                </c:pt>
                <c:pt idx="3567">
                  <c:v>33</c:v>
                </c:pt>
                <c:pt idx="3568">
                  <c:v>33</c:v>
                </c:pt>
                <c:pt idx="3569">
                  <c:v>33</c:v>
                </c:pt>
                <c:pt idx="3570">
                  <c:v>33</c:v>
                </c:pt>
                <c:pt idx="3706">
                  <c:v>34</c:v>
                </c:pt>
                <c:pt idx="3707">
                  <c:v>34</c:v>
                </c:pt>
                <c:pt idx="3708">
                  <c:v>34</c:v>
                </c:pt>
                <c:pt idx="3709">
                  <c:v>34</c:v>
                </c:pt>
                <c:pt idx="4010">
                  <c:v>35</c:v>
                </c:pt>
                <c:pt idx="4011">
                  <c:v>35</c:v>
                </c:pt>
                <c:pt idx="4012">
                  <c:v>35</c:v>
                </c:pt>
                <c:pt idx="4372">
                  <c:v>36</c:v>
                </c:pt>
                <c:pt idx="4373">
                  <c:v>36</c:v>
                </c:pt>
                <c:pt idx="4374">
                  <c:v>36</c:v>
                </c:pt>
                <c:pt idx="4375">
                  <c:v>36</c:v>
                </c:pt>
                <c:pt idx="4560">
                  <c:v>37</c:v>
                </c:pt>
                <c:pt idx="4561">
                  <c:v>37</c:v>
                </c:pt>
                <c:pt idx="4562">
                  <c:v>37</c:v>
                </c:pt>
                <c:pt idx="4563">
                  <c:v>37</c:v>
                </c:pt>
                <c:pt idx="4581">
                  <c:v>38</c:v>
                </c:pt>
                <c:pt idx="4582">
                  <c:v>38</c:v>
                </c:pt>
                <c:pt idx="4589">
                  <c:v>39</c:v>
                </c:pt>
                <c:pt idx="4785">
                  <c:v>40</c:v>
                </c:pt>
                <c:pt idx="4786">
                  <c:v>40</c:v>
                </c:pt>
                <c:pt idx="4787">
                  <c:v>40</c:v>
                </c:pt>
                <c:pt idx="4788">
                  <c:v>40</c:v>
                </c:pt>
                <c:pt idx="4898">
                  <c:v>41</c:v>
                </c:pt>
                <c:pt idx="5049">
                  <c:v>42</c:v>
                </c:pt>
                <c:pt idx="5050">
                  <c:v>42</c:v>
                </c:pt>
                <c:pt idx="5051">
                  <c:v>42</c:v>
                </c:pt>
                <c:pt idx="5052">
                  <c:v>42</c:v>
                </c:pt>
                <c:pt idx="5099">
                  <c:v>43</c:v>
                </c:pt>
                <c:pt idx="5100">
                  <c:v>43</c:v>
                </c:pt>
                <c:pt idx="5101">
                  <c:v>43</c:v>
                </c:pt>
                <c:pt idx="5102">
                  <c:v>43</c:v>
                </c:pt>
                <c:pt idx="5103">
                  <c:v>43</c:v>
                </c:pt>
                <c:pt idx="5104">
                  <c:v>43</c:v>
                </c:pt>
                <c:pt idx="5105">
                  <c:v>43</c:v>
                </c:pt>
                <c:pt idx="5106">
                  <c:v>43</c:v>
                </c:pt>
                <c:pt idx="5119">
                  <c:v>44</c:v>
                </c:pt>
                <c:pt idx="5120">
                  <c:v>44</c:v>
                </c:pt>
                <c:pt idx="5121">
                  <c:v>44</c:v>
                </c:pt>
                <c:pt idx="5122">
                  <c:v>44</c:v>
                </c:pt>
                <c:pt idx="5129">
                  <c:v>45</c:v>
                </c:pt>
                <c:pt idx="5130">
                  <c:v>45</c:v>
                </c:pt>
                <c:pt idx="5131">
                  <c:v>45</c:v>
                </c:pt>
                <c:pt idx="5132">
                  <c:v>45</c:v>
                </c:pt>
                <c:pt idx="5139">
                  <c:v>46</c:v>
                </c:pt>
                <c:pt idx="5140">
                  <c:v>46</c:v>
                </c:pt>
                <c:pt idx="5141">
                  <c:v>46</c:v>
                </c:pt>
                <c:pt idx="5142">
                  <c:v>46</c:v>
                </c:pt>
                <c:pt idx="5215">
                  <c:v>47</c:v>
                </c:pt>
                <c:pt idx="5216">
                  <c:v>47</c:v>
                </c:pt>
                <c:pt idx="5217">
                  <c:v>47</c:v>
                </c:pt>
                <c:pt idx="5218">
                  <c:v>47</c:v>
                </c:pt>
                <c:pt idx="5219">
                  <c:v>47</c:v>
                </c:pt>
                <c:pt idx="5253">
                  <c:v>48</c:v>
                </c:pt>
                <c:pt idx="5254">
                  <c:v>48</c:v>
                </c:pt>
                <c:pt idx="5255">
                  <c:v>48</c:v>
                </c:pt>
                <c:pt idx="5287">
                  <c:v>49</c:v>
                </c:pt>
                <c:pt idx="5288">
                  <c:v>49</c:v>
                </c:pt>
                <c:pt idx="5376">
                  <c:v>50</c:v>
                </c:pt>
                <c:pt idx="5377">
                  <c:v>50</c:v>
                </c:pt>
                <c:pt idx="5378">
                  <c:v>50</c:v>
                </c:pt>
                <c:pt idx="5379">
                  <c:v>50</c:v>
                </c:pt>
                <c:pt idx="5569">
                  <c:v>51</c:v>
                </c:pt>
                <c:pt idx="5570">
                  <c:v>51</c:v>
                </c:pt>
                <c:pt idx="5571">
                  <c:v>51</c:v>
                </c:pt>
                <c:pt idx="5572">
                  <c:v>51</c:v>
                </c:pt>
                <c:pt idx="5573">
                  <c:v>51</c:v>
                </c:pt>
                <c:pt idx="5574">
                  <c:v>51</c:v>
                </c:pt>
                <c:pt idx="5648">
                  <c:v>52</c:v>
                </c:pt>
                <c:pt idx="5649">
                  <c:v>52</c:v>
                </c:pt>
                <c:pt idx="5965">
                  <c:v>53</c:v>
                </c:pt>
                <c:pt idx="5966">
                  <c:v>53</c:v>
                </c:pt>
                <c:pt idx="5967">
                  <c:v>53</c:v>
                </c:pt>
                <c:pt idx="5968">
                  <c:v>53</c:v>
                </c:pt>
                <c:pt idx="5969">
                  <c:v>53</c:v>
                </c:pt>
                <c:pt idx="5970">
                  <c:v>53</c:v>
                </c:pt>
                <c:pt idx="5971">
                  <c:v>53</c:v>
                </c:pt>
                <c:pt idx="5972">
                  <c:v>53</c:v>
                </c:pt>
                <c:pt idx="5973">
                  <c:v>53</c:v>
                </c:pt>
                <c:pt idx="5974">
                  <c:v>53</c:v>
                </c:pt>
                <c:pt idx="6653">
                  <c:v>54</c:v>
                </c:pt>
                <c:pt idx="6693">
                  <c:v>55</c:v>
                </c:pt>
                <c:pt idx="6694">
                  <c:v>55</c:v>
                </c:pt>
                <c:pt idx="6695">
                  <c:v>55</c:v>
                </c:pt>
                <c:pt idx="6903">
                  <c:v>56</c:v>
                </c:pt>
                <c:pt idx="6904">
                  <c:v>56</c:v>
                </c:pt>
                <c:pt idx="6905">
                  <c:v>56</c:v>
                </c:pt>
                <c:pt idx="6956">
                  <c:v>57</c:v>
                </c:pt>
                <c:pt idx="6957">
                  <c:v>57</c:v>
                </c:pt>
                <c:pt idx="7002">
                  <c:v>58</c:v>
                </c:pt>
                <c:pt idx="7003">
                  <c:v>58</c:v>
                </c:pt>
                <c:pt idx="7004">
                  <c:v>58</c:v>
                </c:pt>
                <c:pt idx="7052">
                  <c:v>59</c:v>
                </c:pt>
                <c:pt idx="7053">
                  <c:v>59</c:v>
                </c:pt>
                <c:pt idx="7159">
                  <c:v>60</c:v>
                </c:pt>
                <c:pt idx="7176">
                  <c:v>61</c:v>
                </c:pt>
                <c:pt idx="7177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FF-414C-AE11-397EDF516594}"/>
            </c:ext>
          </c:extLst>
        </c:ser>
        <c:ser>
          <c:idx val="2"/>
          <c:order val="2"/>
          <c:tx>
            <c:strRef>
              <c:f>transpose!$AT$1</c:f>
              <c:strCache>
                <c:ptCount val="1"/>
                <c:pt idx="0">
                  <c:v>pihen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transpose!$AT$2:$AT$7686</c:f>
              <c:numCache>
                <c:formatCode>General</c:formatCode>
                <c:ptCount val="7685"/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1232">
                  <c:v>4</c:v>
                </c:pt>
                <c:pt idx="1233">
                  <c:v>4</c:v>
                </c:pt>
                <c:pt idx="1234">
                  <c:v>4</c:v>
                </c:pt>
                <c:pt idx="1235">
                  <c:v>4</c:v>
                </c:pt>
                <c:pt idx="1236">
                  <c:v>4</c:v>
                </c:pt>
                <c:pt idx="1237">
                  <c:v>4</c:v>
                </c:pt>
                <c:pt idx="1238">
                  <c:v>4</c:v>
                </c:pt>
                <c:pt idx="1239">
                  <c:v>4</c:v>
                </c:pt>
                <c:pt idx="1240">
                  <c:v>4</c:v>
                </c:pt>
                <c:pt idx="1241">
                  <c:v>4</c:v>
                </c:pt>
                <c:pt idx="1242">
                  <c:v>4</c:v>
                </c:pt>
                <c:pt idx="1243">
                  <c:v>4</c:v>
                </c:pt>
                <c:pt idx="1244">
                  <c:v>4</c:v>
                </c:pt>
                <c:pt idx="1245">
                  <c:v>4</c:v>
                </c:pt>
                <c:pt idx="1246">
                  <c:v>4</c:v>
                </c:pt>
                <c:pt idx="1247">
                  <c:v>4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5</c:v>
                </c:pt>
                <c:pt idx="2083">
                  <c:v>5</c:v>
                </c:pt>
                <c:pt idx="2084">
                  <c:v>5</c:v>
                </c:pt>
                <c:pt idx="2085">
                  <c:v>5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5</c:v>
                </c:pt>
                <c:pt idx="2090">
                  <c:v>5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5</c:v>
                </c:pt>
                <c:pt idx="2096">
                  <c:v>5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14">
                  <c:v>6</c:v>
                </c:pt>
                <c:pt idx="2115">
                  <c:v>6</c:v>
                </c:pt>
                <c:pt idx="2116">
                  <c:v>6</c:v>
                </c:pt>
                <c:pt idx="2117">
                  <c:v>6</c:v>
                </c:pt>
                <c:pt idx="2118">
                  <c:v>6</c:v>
                </c:pt>
                <c:pt idx="2119">
                  <c:v>6</c:v>
                </c:pt>
                <c:pt idx="2120">
                  <c:v>6</c:v>
                </c:pt>
                <c:pt idx="3197">
                  <c:v>7</c:v>
                </c:pt>
                <c:pt idx="3198">
                  <c:v>7</c:v>
                </c:pt>
                <c:pt idx="3199">
                  <c:v>7</c:v>
                </c:pt>
                <c:pt idx="3200">
                  <c:v>7</c:v>
                </c:pt>
                <c:pt idx="3201">
                  <c:v>7</c:v>
                </c:pt>
                <c:pt idx="3202">
                  <c:v>7</c:v>
                </c:pt>
                <c:pt idx="3203">
                  <c:v>7</c:v>
                </c:pt>
                <c:pt idx="3204">
                  <c:v>7</c:v>
                </c:pt>
                <c:pt idx="3205">
                  <c:v>7</c:v>
                </c:pt>
                <c:pt idx="3206">
                  <c:v>7</c:v>
                </c:pt>
                <c:pt idx="3207">
                  <c:v>7</c:v>
                </c:pt>
                <c:pt idx="3208">
                  <c:v>7</c:v>
                </c:pt>
                <c:pt idx="3209">
                  <c:v>7</c:v>
                </c:pt>
                <c:pt idx="3210">
                  <c:v>7</c:v>
                </c:pt>
                <c:pt idx="3717">
                  <c:v>8</c:v>
                </c:pt>
                <c:pt idx="3718">
                  <c:v>8</c:v>
                </c:pt>
                <c:pt idx="3719">
                  <c:v>8</c:v>
                </c:pt>
                <c:pt idx="3720">
                  <c:v>8</c:v>
                </c:pt>
                <c:pt idx="3721">
                  <c:v>8</c:v>
                </c:pt>
                <c:pt idx="3722">
                  <c:v>8</c:v>
                </c:pt>
                <c:pt idx="3723">
                  <c:v>8</c:v>
                </c:pt>
                <c:pt idx="3724">
                  <c:v>8</c:v>
                </c:pt>
                <c:pt idx="3725">
                  <c:v>8</c:v>
                </c:pt>
                <c:pt idx="3726">
                  <c:v>8</c:v>
                </c:pt>
                <c:pt idx="3727">
                  <c:v>8</c:v>
                </c:pt>
                <c:pt idx="3728">
                  <c:v>8</c:v>
                </c:pt>
                <c:pt idx="3877">
                  <c:v>9</c:v>
                </c:pt>
                <c:pt idx="3878">
                  <c:v>9</c:v>
                </c:pt>
                <c:pt idx="3879">
                  <c:v>9</c:v>
                </c:pt>
                <c:pt idx="3880">
                  <c:v>9</c:v>
                </c:pt>
                <c:pt idx="3881">
                  <c:v>9</c:v>
                </c:pt>
                <c:pt idx="3882">
                  <c:v>9</c:v>
                </c:pt>
                <c:pt idx="3883">
                  <c:v>9</c:v>
                </c:pt>
                <c:pt idx="3884">
                  <c:v>9</c:v>
                </c:pt>
                <c:pt idx="3885">
                  <c:v>9</c:v>
                </c:pt>
                <c:pt idx="3886">
                  <c:v>9</c:v>
                </c:pt>
                <c:pt idx="3887">
                  <c:v>9</c:v>
                </c:pt>
                <c:pt idx="3888">
                  <c:v>9</c:v>
                </c:pt>
                <c:pt idx="3889">
                  <c:v>9</c:v>
                </c:pt>
                <c:pt idx="3890">
                  <c:v>9</c:v>
                </c:pt>
                <c:pt idx="3891">
                  <c:v>9</c:v>
                </c:pt>
                <c:pt idx="3892">
                  <c:v>9</c:v>
                </c:pt>
                <c:pt idx="3893">
                  <c:v>9</c:v>
                </c:pt>
                <c:pt idx="3894">
                  <c:v>9</c:v>
                </c:pt>
                <c:pt idx="3895">
                  <c:v>9</c:v>
                </c:pt>
                <c:pt idx="3896">
                  <c:v>9</c:v>
                </c:pt>
                <c:pt idx="3897">
                  <c:v>9</c:v>
                </c:pt>
                <c:pt idx="3898">
                  <c:v>9</c:v>
                </c:pt>
                <c:pt idx="3899">
                  <c:v>9</c:v>
                </c:pt>
                <c:pt idx="3900">
                  <c:v>9</c:v>
                </c:pt>
                <c:pt idx="3901">
                  <c:v>9</c:v>
                </c:pt>
                <c:pt idx="3902">
                  <c:v>9</c:v>
                </c:pt>
                <c:pt idx="3903">
                  <c:v>9</c:v>
                </c:pt>
                <c:pt idx="3904">
                  <c:v>9</c:v>
                </c:pt>
                <c:pt idx="3905">
                  <c:v>9</c:v>
                </c:pt>
                <c:pt idx="3906">
                  <c:v>9</c:v>
                </c:pt>
                <c:pt idx="3907">
                  <c:v>9</c:v>
                </c:pt>
                <c:pt idx="3908">
                  <c:v>9</c:v>
                </c:pt>
                <c:pt idx="3909">
                  <c:v>9</c:v>
                </c:pt>
                <c:pt idx="3910">
                  <c:v>9</c:v>
                </c:pt>
                <c:pt idx="3911">
                  <c:v>9</c:v>
                </c:pt>
                <c:pt idx="3912">
                  <c:v>9</c:v>
                </c:pt>
                <c:pt idx="3913">
                  <c:v>9</c:v>
                </c:pt>
                <c:pt idx="3914">
                  <c:v>9</c:v>
                </c:pt>
                <c:pt idx="3915">
                  <c:v>9</c:v>
                </c:pt>
                <c:pt idx="3916">
                  <c:v>9</c:v>
                </c:pt>
                <c:pt idx="3917">
                  <c:v>9</c:v>
                </c:pt>
                <c:pt idx="3918">
                  <c:v>9</c:v>
                </c:pt>
                <c:pt idx="3919">
                  <c:v>9</c:v>
                </c:pt>
                <c:pt idx="3920">
                  <c:v>9</c:v>
                </c:pt>
                <c:pt idx="3921">
                  <c:v>9</c:v>
                </c:pt>
                <c:pt idx="3922">
                  <c:v>9</c:v>
                </c:pt>
                <c:pt idx="3923">
                  <c:v>9</c:v>
                </c:pt>
                <c:pt idx="3924">
                  <c:v>9</c:v>
                </c:pt>
                <c:pt idx="3925">
                  <c:v>9</c:v>
                </c:pt>
                <c:pt idx="3926">
                  <c:v>9</c:v>
                </c:pt>
                <c:pt idx="3927">
                  <c:v>9</c:v>
                </c:pt>
                <c:pt idx="3928">
                  <c:v>9</c:v>
                </c:pt>
                <c:pt idx="5147">
                  <c:v>10</c:v>
                </c:pt>
                <c:pt idx="5148">
                  <c:v>10</c:v>
                </c:pt>
                <c:pt idx="5149">
                  <c:v>10</c:v>
                </c:pt>
                <c:pt idx="5150">
                  <c:v>10</c:v>
                </c:pt>
                <c:pt idx="5151">
                  <c:v>10</c:v>
                </c:pt>
                <c:pt idx="5152">
                  <c:v>10</c:v>
                </c:pt>
                <c:pt idx="5153">
                  <c:v>10</c:v>
                </c:pt>
                <c:pt idx="5154">
                  <c:v>10</c:v>
                </c:pt>
                <c:pt idx="5155">
                  <c:v>10</c:v>
                </c:pt>
                <c:pt idx="5156">
                  <c:v>10</c:v>
                </c:pt>
                <c:pt idx="5157">
                  <c:v>10</c:v>
                </c:pt>
                <c:pt idx="5158">
                  <c:v>10</c:v>
                </c:pt>
                <c:pt idx="5159">
                  <c:v>10</c:v>
                </c:pt>
                <c:pt idx="5160">
                  <c:v>10</c:v>
                </c:pt>
                <c:pt idx="5161">
                  <c:v>10</c:v>
                </c:pt>
                <c:pt idx="5162">
                  <c:v>10</c:v>
                </c:pt>
                <c:pt idx="5163">
                  <c:v>10</c:v>
                </c:pt>
                <c:pt idx="5164">
                  <c:v>10</c:v>
                </c:pt>
                <c:pt idx="5165">
                  <c:v>10</c:v>
                </c:pt>
                <c:pt idx="5166">
                  <c:v>10</c:v>
                </c:pt>
                <c:pt idx="5167">
                  <c:v>10</c:v>
                </c:pt>
                <c:pt idx="5168">
                  <c:v>10</c:v>
                </c:pt>
                <c:pt idx="5169">
                  <c:v>10</c:v>
                </c:pt>
                <c:pt idx="5170">
                  <c:v>10</c:v>
                </c:pt>
                <c:pt idx="5171">
                  <c:v>10</c:v>
                </c:pt>
                <c:pt idx="5172">
                  <c:v>10</c:v>
                </c:pt>
                <c:pt idx="5173">
                  <c:v>10</c:v>
                </c:pt>
                <c:pt idx="5174">
                  <c:v>10</c:v>
                </c:pt>
                <c:pt idx="5175">
                  <c:v>10</c:v>
                </c:pt>
                <c:pt idx="5176">
                  <c:v>10</c:v>
                </c:pt>
                <c:pt idx="5177">
                  <c:v>10</c:v>
                </c:pt>
                <c:pt idx="5178">
                  <c:v>10</c:v>
                </c:pt>
                <c:pt idx="5179">
                  <c:v>10</c:v>
                </c:pt>
                <c:pt idx="5180">
                  <c:v>10</c:v>
                </c:pt>
                <c:pt idx="5181">
                  <c:v>10</c:v>
                </c:pt>
                <c:pt idx="5711">
                  <c:v>11</c:v>
                </c:pt>
                <c:pt idx="5712">
                  <c:v>11</c:v>
                </c:pt>
                <c:pt idx="5713">
                  <c:v>11</c:v>
                </c:pt>
                <c:pt idx="5714">
                  <c:v>11</c:v>
                </c:pt>
                <c:pt idx="5715">
                  <c:v>11</c:v>
                </c:pt>
                <c:pt idx="5716">
                  <c:v>11</c:v>
                </c:pt>
                <c:pt idx="5717">
                  <c:v>11</c:v>
                </c:pt>
                <c:pt idx="5718">
                  <c:v>11</c:v>
                </c:pt>
                <c:pt idx="5719">
                  <c:v>11</c:v>
                </c:pt>
                <c:pt idx="5720">
                  <c:v>11</c:v>
                </c:pt>
                <c:pt idx="5721">
                  <c:v>11</c:v>
                </c:pt>
                <c:pt idx="5722">
                  <c:v>11</c:v>
                </c:pt>
                <c:pt idx="6230">
                  <c:v>12</c:v>
                </c:pt>
                <c:pt idx="6231">
                  <c:v>12</c:v>
                </c:pt>
                <c:pt idx="6232">
                  <c:v>12</c:v>
                </c:pt>
                <c:pt idx="6233">
                  <c:v>12</c:v>
                </c:pt>
                <c:pt idx="6234">
                  <c:v>12</c:v>
                </c:pt>
                <c:pt idx="6235">
                  <c:v>12</c:v>
                </c:pt>
                <c:pt idx="6236">
                  <c:v>12</c:v>
                </c:pt>
                <c:pt idx="6237">
                  <c:v>12</c:v>
                </c:pt>
                <c:pt idx="6238">
                  <c:v>12</c:v>
                </c:pt>
                <c:pt idx="6239">
                  <c:v>12</c:v>
                </c:pt>
                <c:pt idx="6240">
                  <c:v>12</c:v>
                </c:pt>
                <c:pt idx="6241">
                  <c:v>12</c:v>
                </c:pt>
                <c:pt idx="6242">
                  <c:v>12</c:v>
                </c:pt>
                <c:pt idx="6243">
                  <c:v>12</c:v>
                </c:pt>
                <c:pt idx="6244">
                  <c:v>12</c:v>
                </c:pt>
                <c:pt idx="6245">
                  <c:v>12</c:v>
                </c:pt>
                <c:pt idx="6246">
                  <c:v>12</c:v>
                </c:pt>
                <c:pt idx="6247">
                  <c:v>12</c:v>
                </c:pt>
                <c:pt idx="6248">
                  <c:v>12</c:v>
                </c:pt>
                <c:pt idx="6249">
                  <c:v>12</c:v>
                </c:pt>
                <c:pt idx="6250">
                  <c:v>12</c:v>
                </c:pt>
                <c:pt idx="6251">
                  <c:v>12</c:v>
                </c:pt>
                <c:pt idx="6252">
                  <c:v>12</c:v>
                </c:pt>
                <c:pt idx="6253">
                  <c:v>12</c:v>
                </c:pt>
                <c:pt idx="6254">
                  <c:v>12</c:v>
                </c:pt>
                <c:pt idx="6255">
                  <c:v>12</c:v>
                </c:pt>
                <c:pt idx="6256">
                  <c:v>12</c:v>
                </c:pt>
                <c:pt idx="6257">
                  <c:v>12</c:v>
                </c:pt>
                <c:pt idx="6258">
                  <c:v>12</c:v>
                </c:pt>
                <c:pt idx="6259">
                  <c:v>12</c:v>
                </c:pt>
                <c:pt idx="6260">
                  <c:v>12</c:v>
                </c:pt>
                <c:pt idx="6261">
                  <c:v>12</c:v>
                </c:pt>
                <c:pt idx="6262">
                  <c:v>12</c:v>
                </c:pt>
                <c:pt idx="6263">
                  <c:v>12</c:v>
                </c:pt>
                <c:pt idx="6264">
                  <c:v>12</c:v>
                </c:pt>
                <c:pt idx="6265">
                  <c:v>12</c:v>
                </c:pt>
                <c:pt idx="6266">
                  <c:v>12</c:v>
                </c:pt>
                <c:pt idx="6267">
                  <c:v>12</c:v>
                </c:pt>
                <c:pt idx="6268">
                  <c:v>12</c:v>
                </c:pt>
                <c:pt idx="6269">
                  <c:v>12</c:v>
                </c:pt>
                <c:pt idx="6270">
                  <c:v>12</c:v>
                </c:pt>
                <c:pt idx="6271">
                  <c:v>12</c:v>
                </c:pt>
                <c:pt idx="6272">
                  <c:v>12</c:v>
                </c:pt>
                <c:pt idx="6273">
                  <c:v>12</c:v>
                </c:pt>
                <c:pt idx="6274">
                  <c:v>12</c:v>
                </c:pt>
                <c:pt idx="6545">
                  <c:v>13</c:v>
                </c:pt>
                <c:pt idx="6546">
                  <c:v>13</c:v>
                </c:pt>
                <c:pt idx="6547">
                  <c:v>13</c:v>
                </c:pt>
                <c:pt idx="6548">
                  <c:v>13</c:v>
                </c:pt>
                <c:pt idx="6549">
                  <c:v>13</c:v>
                </c:pt>
                <c:pt idx="6550">
                  <c:v>13</c:v>
                </c:pt>
                <c:pt idx="6551">
                  <c:v>13</c:v>
                </c:pt>
                <c:pt idx="6552">
                  <c:v>13</c:v>
                </c:pt>
                <c:pt idx="6553">
                  <c:v>13</c:v>
                </c:pt>
                <c:pt idx="6554">
                  <c:v>13</c:v>
                </c:pt>
                <c:pt idx="6555">
                  <c:v>13</c:v>
                </c:pt>
                <c:pt idx="6556">
                  <c:v>13</c:v>
                </c:pt>
                <c:pt idx="6557">
                  <c:v>13</c:v>
                </c:pt>
                <c:pt idx="6558">
                  <c:v>13</c:v>
                </c:pt>
                <c:pt idx="6559">
                  <c:v>13</c:v>
                </c:pt>
                <c:pt idx="6560">
                  <c:v>13</c:v>
                </c:pt>
                <c:pt idx="6561">
                  <c:v>13</c:v>
                </c:pt>
                <c:pt idx="6562">
                  <c:v>13</c:v>
                </c:pt>
                <c:pt idx="6563">
                  <c:v>13</c:v>
                </c:pt>
                <c:pt idx="6564">
                  <c:v>13</c:v>
                </c:pt>
                <c:pt idx="6565">
                  <c:v>13</c:v>
                </c:pt>
                <c:pt idx="6566">
                  <c:v>13</c:v>
                </c:pt>
                <c:pt idx="6567">
                  <c:v>13</c:v>
                </c:pt>
                <c:pt idx="6568">
                  <c:v>13</c:v>
                </c:pt>
                <c:pt idx="6569">
                  <c:v>13</c:v>
                </c:pt>
                <c:pt idx="6570">
                  <c:v>13</c:v>
                </c:pt>
                <c:pt idx="7255">
                  <c:v>14</c:v>
                </c:pt>
                <c:pt idx="7256">
                  <c:v>14</c:v>
                </c:pt>
                <c:pt idx="7257">
                  <c:v>14</c:v>
                </c:pt>
                <c:pt idx="7258">
                  <c:v>14</c:v>
                </c:pt>
                <c:pt idx="7259">
                  <c:v>14</c:v>
                </c:pt>
                <c:pt idx="7260">
                  <c:v>14</c:v>
                </c:pt>
                <c:pt idx="7261">
                  <c:v>14</c:v>
                </c:pt>
                <c:pt idx="7262">
                  <c:v>14</c:v>
                </c:pt>
                <c:pt idx="7263">
                  <c:v>14</c:v>
                </c:pt>
                <c:pt idx="7264">
                  <c:v>14</c:v>
                </c:pt>
                <c:pt idx="7265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FF-414C-AE11-397EDF516594}"/>
            </c:ext>
          </c:extLst>
        </c:ser>
        <c:ser>
          <c:idx val="3"/>
          <c:order val="3"/>
          <c:tx>
            <c:strRef>
              <c:f>transpose!$AU$1</c:f>
              <c:strCache>
                <c:ptCount val="1"/>
                <c:pt idx="0">
                  <c:v>áll-figyel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transpose!$AU$2:$AU$7686</c:f>
              <c:numCache>
                <c:formatCode>General</c:formatCode>
                <c:ptCount val="7685"/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2672">
                  <c:v>4</c:v>
                </c:pt>
                <c:pt idx="2673">
                  <c:v>4</c:v>
                </c:pt>
                <c:pt idx="2674">
                  <c:v>4</c:v>
                </c:pt>
                <c:pt idx="2675">
                  <c:v>4</c:v>
                </c:pt>
                <c:pt idx="2676">
                  <c:v>4</c:v>
                </c:pt>
                <c:pt idx="3241">
                  <c:v>5</c:v>
                </c:pt>
                <c:pt idx="3242">
                  <c:v>5</c:v>
                </c:pt>
                <c:pt idx="3243">
                  <c:v>5</c:v>
                </c:pt>
                <c:pt idx="3244">
                  <c:v>5</c:v>
                </c:pt>
                <c:pt idx="3476">
                  <c:v>6</c:v>
                </c:pt>
                <c:pt idx="3477">
                  <c:v>6</c:v>
                </c:pt>
                <c:pt idx="3478">
                  <c:v>6</c:v>
                </c:pt>
                <c:pt idx="3479">
                  <c:v>6</c:v>
                </c:pt>
                <c:pt idx="3480">
                  <c:v>6</c:v>
                </c:pt>
                <c:pt idx="5793">
                  <c:v>7</c:v>
                </c:pt>
                <c:pt idx="5794">
                  <c:v>7</c:v>
                </c:pt>
                <c:pt idx="5795">
                  <c:v>7</c:v>
                </c:pt>
                <c:pt idx="5796">
                  <c:v>7</c:v>
                </c:pt>
                <c:pt idx="5797">
                  <c:v>7</c:v>
                </c:pt>
                <c:pt idx="5798">
                  <c:v>7</c:v>
                </c:pt>
                <c:pt idx="5799">
                  <c:v>7</c:v>
                </c:pt>
                <c:pt idx="5800">
                  <c:v>7</c:v>
                </c:pt>
                <c:pt idx="5801">
                  <c:v>7</c:v>
                </c:pt>
                <c:pt idx="5802">
                  <c:v>7</c:v>
                </c:pt>
                <c:pt idx="5803">
                  <c:v>7</c:v>
                </c:pt>
                <c:pt idx="5804">
                  <c:v>7</c:v>
                </c:pt>
                <c:pt idx="5805">
                  <c:v>7</c:v>
                </c:pt>
                <c:pt idx="5806">
                  <c:v>7</c:v>
                </c:pt>
                <c:pt idx="5807">
                  <c:v>7</c:v>
                </c:pt>
                <c:pt idx="5808">
                  <c:v>7</c:v>
                </c:pt>
                <c:pt idx="5809">
                  <c:v>7</c:v>
                </c:pt>
                <c:pt idx="5810">
                  <c:v>7</c:v>
                </c:pt>
                <c:pt idx="5811">
                  <c:v>7</c:v>
                </c:pt>
                <c:pt idx="5812">
                  <c:v>7</c:v>
                </c:pt>
                <c:pt idx="5813">
                  <c:v>7</c:v>
                </c:pt>
                <c:pt idx="5814">
                  <c:v>7</c:v>
                </c:pt>
                <c:pt idx="5815">
                  <c:v>7</c:v>
                </c:pt>
                <c:pt idx="5816">
                  <c:v>7</c:v>
                </c:pt>
                <c:pt idx="5817">
                  <c:v>7</c:v>
                </c:pt>
                <c:pt idx="5818">
                  <c:v>7</c:v>
                </c:pt>
                <c:pt idx="5819">
                  <c:v>7</c:v>
                </c:pt>
                <c:pt idx="5820">
                  <c:v>7</c:v>
                </c:pt>
                <c:pt idx="5821">
                  <c:v>7</c:v>
                </c:pt>
                <c:pt idx="5822">
                  <c:v>7</c:v>
                </c:pt>
                <c:pt idx="5823">
                  <c:v>7</c:v>
                </c:pt>
                <c:pt idx="5824">
                  <c:v>7</c:v>
                </c:pt>
                <c:pt idx="5825">
                  <c:v>7</c:v>
                </c:pt>
                <c:pt idx="5826">
                  <c:v>7</c:v>
                </c:pt>
                <c:pt idx="5827">
                  <c:v>7</c:v>
                </c:pt>
                <c:pt idx="5828">
                  <c:v>7</c:v>
                </c:pt>
                <c:pt idx="5829">
                  <c:v>7</c:v>
                </c:pt>
                <c:pt idx="5830">
                  <c:v>7</c:v>
                </c:pt>
                <c:pt idx="5831">
                  <c:v>7</c:v>
                </c:pt>
                <c:pt idx="5832">
                  <c:v>7</c:v>
                </c:pt>
                <c:pt idx="5833">
                  <c:v>7</c:v>
                </c:pt>
                <c:pt idx="5834">
                  <c:v>7</c:v>
                </c:pt>
                <c:pt idx="5835">
                  <c:v>7</c:v>
                </c:pt>
                <c:pt idx="5836">
                  <c:v>7</c:v>
                </c:pt>
                <c:pt idx="5837">
                  <c:v>7</c:v>
                </c:pt>
                <c:pt idx="5838">
                  <c:v>7</c:v>
                </c:pt>
                <c:pt idx="5839">
                  <c:v>7</c:v>
                </c:pt>
                <c:pt idx="5840">
                  <c:v>7</c:v>
                </c:pt>
                <c:pt idx="5841">
                  <c:v>7</c:v>
                </c:pt>
                <c:pt idx="5842">
                  <c:v>7</c:v>
                </c:pt>
                <c:pt idx="5843">
                  <c:v>7</c:v>
                </c:pt>
                <c:pt idx="5844">
                  <c:v>7</c:v>
                </c:pt>
                <c:pt idx="5845">
                  <c:v>7</c:v>
                </c:pt>
                <c:pt idx="5846">
                  <c:v>7</c:v>
                </c:pt>
                <c:pt idx="5847">
                  <c:v>7</c:v>
                </c:pt>
                <c:pt idx="5848">
                  <c:v>7</c:v>
                </c:pt>
                <c:pt idx="5849">
                  <c:v>7</c:v>
                </c:pt>
                <c:pt idx="5850">
                  <c:v>7</c:v>
                </c:pt>
                <c:pt idx="5851">
                  <c:v>7</c:v>
                </c:pt>
                <c:pt idx="5852">
                  <c:v>7</c:v>
                </c:pt>
                <c:pt idx="5853">
                  <c:v>7</c:v>
                </c:pt>
                <c:pt idx="5854">
                  <c:v>7</c:v>
                </c:pt>
                <c:pt idx="5855">
                  <c:v>7</c:v>
                </c:pt>
                <c:pt idx="5856">
                  <c:v>7</c:v>
                </c:pt>
                <c:pt idx="5857">
                  <c:v>7</c:v>
                </c:pt>
                <c:pt idx="5858">
                  <c:v>7</c:v>
                </c:pt>
                <c:pt idx="5859">
                  <c:v>7</c:v>
                </c:pt>
                <c:pt idx="5860">
                  <c:v>7</c:v>
                </c:pt>
                <c:pt idx="5861">
                  <c:v>7</c:v>
                </c:pt>
                <c:pt idx="5862">
                  <c:v>7</c:v>
                </c:pt>
                <c:pt idx="5863">
                  <c:v>7</c:v>
                </c:pt>
                <c:pt idx="5864">
                  <c:v>7</c:v>
                </c:pt>
                <c:pt idx="5865">
                  <c:v>7</c:v>
                </c:pt>
                <c:pt idx="5866">
                  <c:v>7</c:v>
                </c:pt>
                <c:pt idx="5867">
                  <c:v>7</c:v>
                </c:pt>
                <c:pt idx="5868">
                  <c:v>7</c:v>
                </c:pt>
                <c:pt idx="5869">
                  <c:v>7</c:v>
                </c:pt>
                <c:pt idx="5870">
                  <c:v>7</c:v>
                </c:pt>
                <c:pt idx="5871">
                  <c:v>7</c:v>
                </c:pt>
                <c:pt idx="5872">
                  <c:v>7</c:v>
                </c:pt>
                <c:pt idx="5873">
                  <c:v>7</c:v>
                </c:pt>
                <c:pt idx="5874">
                  <c:v>7</c:v>
                </c:pt>
                <c:pt idx="5875">
                  <c:v>7</c:v>
                </c:pt>
                <c:pt idx="5876">
                  <c:v>7</c:v>
                </c:pt>
                <c:pt idx="5877">
                  <c:v>7</c:v>
                </c:pt>
                <c:pt idx="5878">
                  <c:v>7</c:v>
                </c:pt>
                <c:pt idx="5879">
                  <c:v>7</c:v>
                </c:pt>
                <c:pt idx="5880">
                  <c:v>7</c:v>
                </c:pt>
                <c:pt idx="5881">
                  <c:v>7</c:v>
                </c:pt>
                <c:pt idx="5978">
                  <c:v>8</c:v>
                </c:pt>
                <c:pt idx="5979">
                  <c:v>8</c:v>
                </c:pt>
                <c:pt idx="5980">
                  <c:v>8</c:v>
                </c:pt>
                <c:pt idx="5981">
                  <c:v>8</c:v>
                </c:pt>
                <c:pt idx="5982">
                  <c:v>8</c:v>
                </c:pt>
                <c:pt idx="5983">
                  <c:v>8</c:v>
                </c:pt>
                <c:pt idx="5984">
                  <c:v>8</c:v>
                </c:pt>
                <c:pt idx="5985">
                  <c:v>8</c:v>
                </c:pt>
                <c:pt idx="5986">
                  <c:v>8</c:v>
                </c:pt>
                <c:pt idx="6003">
                  <c:v>9</c:v>
                </c:pt>
                <c:pt idx="6004">
                  <c:v>9</c:v>
                </c:pt>
                <c:pt idx="6005">
                  <c:v>9</c:v>
                </c:pt>
                <c:pt idx="6006">
                  <c:v>9</c:v>
                </c:pt>
                <c:pt idx="6007">
                  <c:v>9</c:v>
                </c:pt>
                <c:pt idx="6008">
                  <c:v>9</c:v>
                </c:pt>
                <c:pt idx="6009">
                  <c:v>9</c:v>
                </c:pt>
                <c:pt idx="6010">
                  <c:v>9</c:v>
                </c:pt>
                <c:pt idx="6011">
                  <c:v>9</c:v>
                </c:pt>
                <c:pt idx="6706">
                  <c:v>10</c:v>
                </c:pt>
                <c:pt idx="6707">
                  <c:v>10</c:v>
                </c:pt>
                <c:pt idx="6708">
                  <c:v>10</c:v>
                </c:pt>
                <c:pt idx="6709">
                  <c:v>10</c:v>
                </c:pt>
                <c:pt idx="6710">
                  <c:v>10</c:v>
                </c:pt>
                <c:pt idx="6711">
                  <c:v>10</c:v>
                </c:pt>
                <c:pt idx="6712">
                  <c:v>10</c:v>
                </c:pt>
                <c:pt idx="6713">
                  <c:v>10</c:v>
                </c:pt>
                <c:pt idx="6714">
                  <c:v>10</c:v>
                </c:pt>
                <c:pt idx="6715">
                  <c:v>10</c:v>
                </c:pt>
                <c:pt idx="6716">
                  <c:v>10</c:v>
                </c:pt>
                <c:pt idx="6717">
                  <c:v>10</c:v>
                </c:pt>
                <c:pt idx="6718">
                  <c:v>10</c:v>
                </c:pt>
                <c:pt idx="6719">
                  <c:v>10</c:v>
                </c:pt>
                <c:pt idx="6720">
                  <c:v>10</c:v>
                </c:pt>
                <c:pt idx="6721">
                  <c:v>10</c:v>
                </c:pt>
                <c:pt idx="6722">
                  <c:v>10</c:v>
                </c:pt>
                <c:pt idx="6723">
                  <c:v>10</c:v>
                </c:pt>
                <c:pt idx="6724">
                  <c:v>10</c:v>
                </c:pt>
                <c:pt idx="6725">
                  <c:v>10</c:v>
                </c:pt>
                <c:pt idx="6822">
                  <c:v>11</c:v>
                </c:pt>
                <c:pt idx="6823">
                  <c:v>11</c:v>
                </c:pt>
                <c:pt idx="6824">
                  <c:v>11</c:v>
                </c:pt>
                <c:pt idx="6825">
                  <c:v>11</c:v>
                </c:pt>
                <c:pt idx="682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FF-414C-AE11-397EDF516594}"/>
            </c:ext>
          </c:extLst>
        </c:ser>
        <c:ser>
          <c:idx val="4"/>
          <c:order val="4"/>
          <c:tx>
            <c:strRef>
              <c:f>transpose!$AV$1</c:f>
              <c:strCache>
                <c:ptCount val="1"/>
                <c:pt idx="0">
                  <c:v>mosakodás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transpose!$AV$2:$AV$7686</c:f>
              <c:numCache>
                <c:formatCode>General</c:formatCode>
                <c:ptCount val="7685"/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857">
                  <c:v>4</c:v>
                </c:pt>
                <c:pt idx="2858">
                  <c:v>4</c:v>
                </c:pt>
                <c:pt idx="2859">
                  <c:v>4</c:v>
                </c:pt>
                <c:pt idx="2860">
                  <c:v>4</c:v>
                </c:pt>
                <c:pt idx="2861">
                  <c:v>4</c:v>
                </c:pt>
                <c:pt idx="2862">
                  <c:v>4</c:v>
                </c:pt>
                <c:pt idx="2863">
                  <c:v>4</c:v>
                </c:pt>
                <c:pt idx="2864">
                  <c:v>4</c:v>
                </c:pt>
                <c:pt idx="2865">
                  <c:v>4</c:v>
                </c:pt>
                <c:pt idx="2866">
                  <c:v>4</c:v>
                </c:pt>
                <c:pt idx="2867">
                  <c:v>4</c:v>
                </c:pt>
                <c:pt idx="2868">
                  <c:v>4</c:v>
                </c:pt>
                <c:pt idx="2869">
                  <c:v>4</c:v>
                </c:pt>
                <c:pt idx="2870">
                  <c:v>4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951">
                  <c:v>6</c:v>
                </c:pt>
                <c:pt idx="3952">
                  <c:v>6</c:v>
                </c:pt>
                <c:pt idx="3953">
                  <c:v>6</c:v>
                </c:pt>
                <c:pt idx="3954">
                  <c:v>6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6</c:v>
                </c:pt>
                <c:pt idx="3959">
                  <c:v>6</c:v>
                </c:pt>
                <c:pt idx="3960">
                  <c:v>6</c:v>
                </c:pt>
                <c:pt idx="3961">
                  <c:v>6</c:v>
                </c:pt>
                <c:pt idx="3962">
                  <c:v>6</c:v>
                </c:pt>
                <c:pt idx="3963">
                  <c:v>6</c:v>
                </c:pt>
                <c:pt idx="3964">
                  <c:v>6</c:v>
                </c:pt>
                <c:pt idx="3965">
                  <c:v>6</c:v>
                </c:pt>
                <c:pt idx="3966">
                  <c:v>6</c:v>
                </c:pt>
                <c:pt idx="3967">
                  <c:v>6</c:v>
                </c:pt>
                <c:pt idx="3968">
                  <c:v>6</c:v>
                </c:pt>
                <c:pt idx="3969">
                  <c:v>6</c:v>
                </c:pt>
                <c:pt idx="3970">
                  <c:v>6</c:v>
                </c:pt>
                <c:pt idx="3971">
                  <c:v>6</c:v>
                </c:pt>
                <c:pt idx="3972">
                  <c:v>6</c:v>
                </c:pt>
                <c:pt idx="3973">
                  <c:v>6</c:v>
                </c:pt>
                <c:pt idx="3974">
                  <c:v>6</c:v>
                </c:pt>
                <c:pt idx="3975">
                  <c:v>6</c:v>
                </c:pt>
                <c:pt idx="3976">
                  <c:v>6</c:v>
                </c:pt>
                <c:pt idx="3977">
                  <c:v>6</c:v>
                </c:pt>
                <c:pt idx="3978">
                  <c:v>6</c:v>
                </c:pt>
                <c:pt idx="3979">
                  <c:v>6</c:v>
                </c:pt>
                <c:pt idx="3980">
                  <c:v>6</c:v>
                </c:pt>
                <c:pt idx="3981">
                  <c:v>6</c:v>
                </c:pt>
                <c:pt idx="3982">
                  <c:v>6</c:v>
                </c:pt>
                <c:pt idx="3983">
                  <c:v>6</c:v>
                </c:pt>
                <c:pt idx="3984">
                  <c:v>6</c:v>
                </c:pt>
                <c:pt idx="3985">
                  <c:v>6</c:v>
                </c:pt>
                <c:pt idx="3986">
                  <c:v>6</c:v>
                </c:pt>
                <c:pt idx="3987">
                  <c:v>6</c:v>
                </c:pt>
                <c:pt idx="3988">
                  <c:v>6</c:v>
                </c:pt>
                <c:pt idx="3989">
                  <c:v>6</c:v>
                </c:pt>
                <c:pt idx="3990">
                  <c:v>6</c:v>
                </c:pt>
                <c:pt idx="3991">
                  <c:v>6</c:v>
                </c:pt>
                <c:pt idx="3992">
                  <c:v>6</c:v>
                </c:pt>
                <c:pt idx="3993">
                  <c:v>6</c:v>
                </c:pt>
                <c:pt idx="3994">
                  <c:v>6</c:v>
                </c:pt>
                <c:pt idx="3995">
                  <c:v>6</c:v>
                </c:pt>
                <c:pt idx="3996">
                  <c:v>6</c:v>
                </c:pt>
                <c:pt idx="3997">
                  <c:v>6</c:v>
                </c:pt>
                <c:pt idx="3998">
                  <c:v>6</c:v>
                </c:pt>
                <c:pt idx="3999">
                  <c:v>6</c:v>
                </c:pt>
                <c:pt idx="4000">
                  <c:v>6</c:v>
                </c:pt>
                <c:pt idx="4013">
                  <c:v>7</c:v>
                </c:pt>
                <c:pt idx="4014">
                  <c:v>7</c:v>
                </c:pt>
                <c:pt idx="4015">
                  <c:v>7</c:v>
                </c:pt>
                <c:pt idx="4016">
                  <c:v>7</c:v>
                </c:pt>
                <c:pt idx="4017">
                  <c:v>7</c:v>
                </c:pt>
                <c:pt idx="4018">
                  <c:v>7</c:v>
                </c:pt>
                <c:pt idx="4019">
                  <c:v>7</c:v>
                </c:pt>
                <c:pt idx="4020">
                  <c:v>7</c:v>
                </c:pt>
                <c:pt idx="4021">
                  <c:v>7</c:v>
                </c:pt>
                <c:pt idx="4022">
                  <c:v>7</c:v>
                </c:pt>
                <c:pt idx="4023">
                  <c:v>7</c:v>
                </c:pt>
                <c:pt idx="4024">
                  <c:v>7</c:v>
                </c:pt>
                <c:pt idx="4025">
                  <c:v>7</c:v>
                </c:pt>
                <c:pt idx="4026">
                  <c:v>7</c:v>
                </c:pt>
                <c:pt idx="4035">
                  <c:v>8</c:v>
                </c:pt>
                <c:pt idx="4036">
                  <c:v>8</c:v>
                </c:pt>
                <c:pt idx="4037">
                  <c:v>8</c:v>
                </c:pt>
                <c:pt idx="4038">
                  <c:v>8</c:v>
                </c:pt>
                <c:pt idx="4039">
                  <c:v>8</c:v>
                </c:pt>
                <c:pt idx="4040">
                  <c:v>8</c:v>
                </c:pt>
                <c:pt idx="4041">
                  <c:v>8</c:v>
                </c:pt>
                <c:pt idx="4042">
                  <c:v>8</c:v>
                </c:pt>
                <c:pt idx="4043">
                  <c:v>8</c:v>
                </c:pt>
                <c:pt idx="4044">
                  <c:v>8</c:v>
                </c:pt>
                <c:pt idx="4045">
                  <c:v>8</c:v>
                </c:pt>
                <c:pt idx="4046">
                  <c:v>8</c:v>
                </c:pt>
                <c:pt idx="4047">
                  <c:v>8</c:v>
                </c:pt>
                <c:pt idx="4048">
                  <c:v>8</c:v>
                </c:pt>
                <c:pt idx="4049">
                  <c:v>8</c:v>
                </c:pt>
                <c:pt idx="4050">
                  <c:v>8</c:v>
                </c:pt>
                <c:pt idx="4051">
                  <c:v>8</c:v>
                </c:pt>
                <c:pt idx="4052">
                  <c:v>8</c:v>
                </c:pt>
                <c:pt idx="4053">
                  <c:v>8</c:v>
                </c:pt>
                <c:pt idx="4054">
                  <c:v>8</c:v>
                </c:pt>
                <c:pt idx="4055">
                  <c:v>8</c:v>
                </c:pt>
                <c:pt idx="4056">
                  <c:v>8</c:v>
                </c:pt>
                <c:pt idx="4057">
                  <c:v>8</c:v>
                </c:pt>
                <c:pt idx="4058">
                  <c:v>8</c:v>
                </c:pt>
                <c:pt idx="4059">
                  <c:v>8</c:v>
                </c:pt>
                <c:pt idx="4060">
                  <c:v>8</c:v>
                </c:pt>
                <c:pt idx="4061">
                  <c:v>8</c:v>
                </c:pt>
                <c:pt idx="4062">
                  <c:v>8</c:v>
                </c:pt>
                <c:pt idx="4063">
                  <c:v>8</c:v>
                </c:pt>
                <c:pt idx="4064">
                  <c:v>8</c:v>
                </c:pt>
                <c:pt idx="4065">
                  <c:v>8</c:v>
                </c:pt>
                <c:pt idx="4066">
                  <c:v>8</c:v>
                </c:pt>
                <c:pt idx="4067">
                  <c:v>8</c:v>
                </c:pt>
                <c:pt idx="4068">
                  <c:v>8</c:v>
                </c:pt>
                <c:pt idx="4069">
                  <c:v>8</c:v>
                </c:pt>
                <c:pt idx="4070">
                  <c:v>8</c:v>
                </c:pt>
                <c:pt idx="4071">
                  <c:v>8</c:v>
                </c:pt>
                <c:pt idx="4072">
                  <c:v>8</c:v>
                </c:pt>
                <c:pt idx="4073">
                  <c:v>8</c:v>
                </c:pt>
                <c:pt idx="4074">
                  <c:v>8</c:v>
                </c:pt>
                <c:pt idx="4075">
                  <c:v>8</c:v>
                </c:pt>
                <c:pt idx="4076">
                  <c:v>8</c:v>
                </c:pt>
                <c:pt idx="4077">
                  <c:v>8</c:v>
                </c:pt>
                <c:pt idx="4078">
                  <c:v>8</c:v>
                </c:pt>
                <c:pt idx="4079">
                  <c:v>8</c:v>
                </c:pt>
                <c:pt idx="4080">
                  <c:v>8</c:v>
                </c:pt>
                <c:pt idx="4081">
                  <c:v>8</c:v>
                </c:pt>
                <c:pt idx="4082">
                  <c:v>8</c:v>
                </c:pt>
                <c:pt idx="4083">
                  <c:v>8</c:v>
                </c:pt>
                <c:pt idx="4084">
                  <c:v>8</c:v>
                </c:pt>
                <c:pt idx="4085">
                  <c:v>8</c:v>
                </c:pt>
                <c:pt idx="4086">
                  <c:v>8</c:v>
                </c:pt>
                <c:pt idx="4087">
                  <c:v>8</c:v>
                </c:pt>
                <c:pt idx="4088">
                  <c:v>8</c:v>
                </c:pt>
                <c:pt idx="4089">
                  <c:v>8</c:v>
                </c:pt>
                <c:pt idx="4090">
                  <c:v>8</c:v>
                </c:pt>
                <c:pt idx="4091">
                  <c:v>8</c:v>
                </c:pt>
                <c:pt idx="4092">
                  <c:v>8</c:v>
                </c:pt>
                <c:pt idx="4093">
                  <c:v>8</c:v>
                </c:pt>
                <c:pt idx="4094">
                  <c:v>8</c:v>
                </c:pt>
                <c:pt idx="4095">
                  <c:v>8</c:v>
                </c:pt>
                <c:pt idx="4096">
                  <c:v>8</c:v>
                </c:pt>
                <c:pt idx="4097">
                  <c:v>8</c:v>
                </c:pt>
                <c:pt idx="4098">
                  <c:v>8</c:v>
                </c:pt>
                <c:pt idx="4099">
                  <c:v>8</c:v>
                </c:pt>
                <c:pt idx="4100">
                  <c:v>8</c:v>
                </c:pt>
                <c:pt idx="4101">
                  <c:v>8</c:v>
                </c:pt>
                <c:pt idx="4102">
                  <c:v>8</c:v>
                </c:pt>
                <c:pt idx="4103">
                  <c:v>8</c:v>
                </c:pt>
                <c:pt idx="4104">
                  <c:v>8</c:v>
                </c:pt>
                <c:pt idx="4105">
                  <c:v>8</c:v>
                </c:pt>
                <c:pt idx="4106">
                  <c:v>8</c:v>
                </c:pt>
                <c:pt idx="4107">
                  <c:v>8</c:v>
                </c:pt>
                <c:pt idx="4108">
                  <c:v>8</c:v>
                </c:pt>
                <c:pt idx="4109">
                  <c:v>8</c:v>
                </c:pt>
                <c:pt idx="4110">
                  <c:v>8</c:v>
                </c:pt>
                <c:pt idx="4111">
                  <c:v>8</c:v>
                </c:pt>
                <c:pt idx="4112">
                  <c:v>8</c:v>
                </c:pt>
                <c:pt idx="4113">
                  <c:v>8</c:v>
                </c:pt>
                <c:pt idx="4114">
                  <c:v>8</c:v>
                </c:pt>
                <c:pt idx="4115">
                  <c:v>8</c:v>
                </c:pt>
                <c:pt idx="4116">
                  <c:v>8</c:v>
                </c:pt>
                <c:pt idx="4117">
                  <c:v>8</c:v>
                </c:pt>
                <c:pt idx="4118">
                  <c:v>8</c:v>
                </c:pt>
                <c:pt idx="4119">
                  <c:v>8</c:v>
                </c:pt>
                <c:pt idx="4120">
                  <c:v>8</c:v>
                </c:pt>
                <c:pt idx="4121">
                  <c:v>8</c:v>
                </c:pt>
                <c:pt idx="4122">
                  <c:v>8</c:v>
                </c:pt>
                <c:pt idx="4123">
                  <c:v>8</c:v>
                </c:pt>
                <c:pt idx="4124">
                  <c:v>8</c:v>
                </c:pt>
                <c:pt idx="4125">
                  <c:v>8</c:v>
                </c:pt>
                <c:pt idx="4590">
                  <c:v>9</c:v>
                </c:pt>
                <c:pt idx="4591">
                  <c:v>9</c:v>
                </c:pt>
                <c:pt idx="4592">
                  <c:v>9</c:v>
                </c:pt>
                <c:pt idx="4593">
                  <c:v>9</c:v>
                </c:pt>
                <c:pt idx="4594">
                  <c:v>9</c:v>
                </c:pt>
                <c:pt idx="4595">
                  <c:v>9</c:v>
                </c:pt>
                <c:pt idx="4596">
                  <c:v>9</c:v>
                </c:pt>
                <c:pt idx="4597">
                  <c:v>9</c:v>
                </c:pt>
                <c:pt idx="4598">
                  <c:v>9</c:v>
                </c:pt>
                <c:pt idx="4599">
                  <c:v>9</c:v>
                </c:pt>
                <c:pt idx="4600">
                  <c:v>9</c:v>
                </c:pt>
                <c:pt idx="4601">
                  <c:v>9</c:v>
                </c:pt>
                <c:pt idx="4602">
                  <c:v>9</c:v>
                </c:pt>
                <c:pt idx="4603">
                  <c:v>9</c:v>
                </c:pt>
                <c:pt idx="4604">
                  <c:v>9</c:v>
                </c:pt>
                <c:pt idx="4605">
                  <c:v>9</c:v>
                </c:pt>
                <c:pt idx="4606">
                  <c:v>9</c:v>
                </c:pt>
                <c:pt idx="4607">
                  <c:v>9</c:v>
                </c:pt>
                <c:pt idx="4608">
                  <c:v>9</c:v>
                </c:pt>
                <c:pt idx="4609">
                  <c:v>9</c:v>
                </c:pt>
                <c:pt idx="4610">
                  <c:v>9</c:v>
                </c:pt>
                <c:pt idx="4611">
                  <c:v>9</c:v>
                </c:pt>
                <c:pt idx="4612">
                  <c:v>9</c:v>
                </c:pt>
                <c:pt idx="4613">
                  <c:v>9</c:v>
                </c:pt>
                <c:pt idx="4614">
                  <c:v>9</c:v>
                </c:pt>
                <c:pt idx="4615">
                  <c:v>9</c:v>
                </c:pt>
                <c:pt idx="4616">
                  <c:v>9</c:v>
                </c:pt>
                <c:pt idx="4617">
                  <c:v>9</c:v>
                </c:pt>
                <c:pt idx="4618">
                  <c:v>9</c:v>
                </c:pt>
                <c:pt idx="4619">
                  <c:v>9</c:v>
                </c:pt>
                <c:pt idx="4620">
                  <c:v>9</c:v>
                </c:pt>
                <c:pt idx="4621">
                  <c:v>9</c:v>
                </c:pt>
                <c:pt idx="4622">
                  <c:v>9</c:v>
                </c:pt>
                <c:pt idx="4623">
                  <c:v>9</c:v>
                </c:pt>
                <c:pt idx="4624">
                  <c:v>9</c:v>
                </c:pt>
                <c:pt idx="4625">
                  <c:v>9</c:v>
                </c:pt>
                <c:pt idx="4626">
                  <c:v>9</c:v>
                </c:pt>
                <c:pt idx="4627">
                  <c:v>9</c:v>
                </c:pt>
                <c:pt idx="4628">
                  <c:v>9</c:v>
                </c:pt>
                <c:pt idx="4629">
                  <c:v>9</c:v>
                </c:pt>
                <c:pt idx="4630">
                  <c:v>9</c:v>
                </c:pt>
                <c:pt idx="4631">
                  <c:v>9</c:v>
                </c:pt>
                <c:pt idx="4632">
                  <c:v>9</c:v>
                </c:pt>
                <c:pt idx="4633">
                  <c:v>9</c:v>
                </c:pt>
                <c:pt idx="4634">
                  <c:v>9</c:v>
                </c:pt>
                <c:pt idx="4635">
                  <c:v>9</c:v>
                </c:pt>
                <c:pt idx="4636">
                  <c:v>9</c:v>
                </c:pt>
                <c:pt idx="4637">
                  <c:v>9</c:v>
                </c:pt>
                <c:pt idx="4638">
                  <c:v>9</c:v>
                </c:pt>
                <c:pt idx="4639">
                  <c:v>9</c:v>
                </c:pt>
                <c:pt idx="4640">
                  <c:v>9</c:v>
                </c:pt>
                <c:pt idx="4641">
                  <c:v>9</c:v>
                </c:pt>
                <c:pt idx="4642">
                  <c:v>9</c:v>
                </c:pt>
                <c:pt idx="4643">
                  <c:v>9</c:v>
                </c:pt>
                <c:pt idx="4644">
                  <c:v>9</c:v>
                </c:pt>
                <c:pt idx="4645">
                  <c:v>9</c:v>
                </c:pt>
                <c:pt idx="4646">
                  <c:v>9</c:v>
                </c:pt>
                <c:pt idx="4647">
                  <c:v>9</c:v>
                </c:pt>
                <c:pt idx="4648">
                  <c:v>9</c:v>
                </c:pt>
                <c:pt idx="4649">
                  <c:v>9</c:v>
                </c:pt>
                <c:pt idx="4650">
                  <c:v>9</c:v>
                </c:pt>
                <c:pt idx="4651">
                  <c:v>9</c:v>
                </c:pt>
                <c:pt idx="4652">
                  <c:v>9</c:v>
                </c:pt>
                <c:pt idx="4653">
                  <c:v>9</c:v>
                </c:pt>
                <c:pt idx="4654">
                  <c:v>9</c:v>
                </c:pt>
                <c:pt idx="4655">
                  <c:v>9</c:v>
                </c:pt>
                <c:pt idx="4656">
                  <c:v>9</c:v>
                </c:pt>
                <c:pt idx="4657">
                  <c:v>9</c:v>
                </c:pt>
                <c:pt idx="4658">
                  <c:v>9</c:v>
                </c:pt>
                <c:pt idx="4659">
                  <c:v>9</c:v>
                </c:pt>
                <c:pt idx="4660">
                  <c:v>9</c:v>
                </c:pt>
                <c:pt idx="4661">
                  <c:v>9</c:v>
                </c:pt>
                <c:pt idx="4662">
                  <c:v>9</c:v>
                </c:pt>
                <c:pt idx="4663">
                  <c:v>9</c:v>
                </c:pt>
                <c:pt idx="4664">
                  <c:v>9</c:v>
                </c:pt>
                <c:pt idx="4665">
                  <c:v>9</c:v>
                </c:pt>
                <c:pt idx="4666">
                  <c:v>9</c:v>
                </c:pt>
                <c:pt idx="4667">
                  <c:v>9</c:v>
                </c:pt>
                <c:pt idx="4668">
                  <c:v>9</c:v>
                </c:pt>
                <c:pt idx="4669">
                  <c:v>9</c:v>
                </c:pt>
                <c:pt idx="4670">
                  <c:v>9</c:v>
                </c:pt>
                <c:pt idx="4671">
                  <c:v>9</c:v>
                </c:pt>
                <c:pt idx="4672">
                  <c:v>9</c:v>
                </c:pt>
                <c:pt idx="4673">
                  <c:v>9</c:v>
                </c:pt>
                <c:pt idx="4674">
                  <c:v>9</c:v>
                </c:pt>
                <c:pt idx="467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FF-414C-AE11-397EDF51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38927"/>
        <c:axId val="971641839"/>
      </c:scatterChart>
      <c:valAx>
        <c:axId val="971638927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41839"/>
        <c:crosses val="autoZero"/>
        <c:crossBetween val="midCat"/>
        <c:majorUnit val="1000"/>
      </c:valAx>
      <c:valAx>
        <c:axId val="971641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3892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>
        <c:manualLayout>
          <c:xMode val="edge"/>
          <c:yMode val="edge"/>
          <c:x val="0.21155513287122557"/>
          <c:y val="2.6961353553357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transpose!$AW$1</c:f>
              <c:strCache>
                <c:ptCount val="1"/>
                <c:pt idx="0">
                  <c:v>ÁLL_rövden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transpose!$AW$2:$AW$7686</c:f>
              <c:numCache>
                <c:formatCode>General</c:formatCode>
                <c:ptCount val="7685"/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267">
                  <c:v>2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345">
                  <c:v>4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80">
                  <c:v>7</c:v>
                </c:pt>
                <c:pt idx="581">
                  <c:v>7</c:v>
                </c:pt>
                <c:pt idx="582">
                  <c:v>7</c:v>
                </c:pt>
                <c:pt idx="937">
                  <c:v>8</c:v>
                </c:pt>
                <c:pt idx="1045">
                  <c:v>9</c:v>
                </c:pt>
                <c:pt idx="1046">
                  <c:v>9</c:v>
                </c:pt>
                <c:pt idx="1068">
                  <c:v>10</c:v>
                </c:pt>
                <c:pt idx="1069">
                  <c:v>10</c:v>
                </c:pt>
                <c:pt idx="1143">
                  <c:v>11</c:v>
                </c:pt>
                <c:pt idx="1144">
                  <c:v>11</c:v>
                </c:pt>
                <c:pt idx="1145">
                  <c:v>11</c:v>
                </c:pt>
                <c:pt idx="1146">
                  <c:v>11</c:v>
                </c:pt>
                <c:pt idx="1147">
                  <c:v>11</c:v>
                </c:pt>
                <c:pt idx="1148">
                  <c:v>11</c:v>
                </c:pt>
                <c:pt idx="1149">
                  <c:v>11</c:v>
                </c:pt>
                <c:pt idx="1219">
                  <c:v>12</c:v>
                </c:pt>
                <c:pt idx="1318">
                  <c:v>13</c:v>
                </c:pt>
                <c:pt idx="1319">
                  <c:v>13</c:v>
                </c:pt>
                <c:pt idx="1320">
                  <c:v>13</c:v>
                </c:pt>
                <c:pt idx="1321">
                  <c:v>13</c:v>
                </c:pt>
                <c:pt idx="1348">
                  <c:v>14</c:v>
                </c:pt>
                <c:pt idx="1349">
                  <c:v>14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80">
                  <c:v>16</c:v>
                </c:pt>
                <c:pt idx="2129">
                  <c:v>17</c:v>
                </c:pt>
                <c:pt idx="2130">
                  <c:v>17</c:v>
                </c:pt>
                <c:pt idx="2131">
                  <c:v>17</c:v>
                </c:pt>
                <c:pt idx="2132">
                  <c:v>17</c:v>
                </c:pt>
                <c:pt idx="2133">
                  <c:v>17</c:v>
                </c:pt>
                <c:pt idx="2134">
                  <c:v>17</c:v>
                </c:pt>
                <c:pt idx="2135">
                  <c:v>17</c:v>
                </c:pt>
                <c:pt idx="2194">
                  <c:v>18</c:v>
                </c:pt>
                <c:pt idx="2195">
                  <c:v>18</c:v>
                </c:pt>
                <c:pt idx="2232">
                  <c:v>19</c:v>
                </c:pt>
                <c:pt idx="2233">
                  <c:v>19</c:v>
                </c:pt>
                <c:pt idx="2234">
                  <c:v>19</c:v>
                </c:pt>
                <c:pt idx="2235">
                  <c:v>19</c:v>
                </c:pt>
                <c:pt idx="2236">
                  <c:v>19</c:v>
                </c:pt>
                <c:pt idx="2237">
                  <c:v>19</c:v>
                </c:pt>
                <c:pt idx="2238">
                  <c:v>19</c:v>
                </c:pt>
                <c:pt idx="2239">
                  <c:v>19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318">
                  <c:v>21</c:v>
                </c:pt>
                <c:pt idx="2319">
                  <c:v>21</c:v>
                </c:pt>
                <c:pt idx="2320">
                  <c:v>21</c:v>
                </c:pt>
                <c:pt idx="2321">
                  <c:v>21</c:v>
                </c:pt>
                <c:pt idx="2322">
                  <c:v>21</c:v>
                </c:pt>
                <c:pt idx="2323">
                  <c:v>21</c:v>
                </c:pt>
                <c:pt idx="2324">
                  <c:v>21</c:v>
                </c:pt>
                <c:pt idx="2325">
                  <c:v>21</c:v>
                </c:pt>
                <c:pt idx="2326">
                  <c:v>21</c:v>
                </c:pt>
                <c:pt idx="2327">
                  <c:v>21</c:v>
                </c:pt>
                <c:pt idx="2328">
                  <c:v>21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21</c:v>
                </c:pt>
                <c:pt idx="2338">
                  <c:v>21</c:v>
                </c:pt>
                <c:pt idx="2339">
                  <c:v>21</c:v>
                </c:pt>
                <c:pt idx="2340">
                  <c:v>21</c:v>
                </c:pt>
                <c:pt idx="2341">
                  <c:v>21</c:v>
                </c:pt>
                <c:pt idx="2342">
                  <c:v>21</c:v>
                </c:pt>
                <c:pt idx="2343">
                  <c:v>21</c:v>
                </c:pt>
                <c:pt idx="2344">
                  <c:v>21</c:v>
                </c:pt>
                <c:pt idx="2345">
                  <c:v>21</c:v>
                </c:pt>
                <c:pt idx="2354">
                  <c:v>22</c:v>
                </c:pt>
                <c:pt idx="2355">
                  <c:v>22</c:v>
                </c:pt>
                <c:pt idx="2356">
                  <c:v>22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494">
                  <c:v>23</c:v>
                </c:pt>
                <c:pt idx="2571">
                  <c:v>24</c:v>
                </c:pt>
                <c:pt idx="2572">
                  <c:v>24</c:v>
                </c:pt>
                <c:pt idx="2573">
                  <c:v>24</c:v>
                </c:pt>
                <c:pt idx="2731">
                  <c:v>25</c:v>
                </c:pt>
                <c:pt idx="2732">
                  <c:v>25</c:v>
                </c:pt>
                <c:pt idx="2733">
                  <c:v>25</c:v>
                </c:pt>
                <c:pt idx="2734">
                  <c:v>25</c:v>
                </c:pt>
                <c:pt idx="2735">
                  <c:v>25</c:v>
                </c:pt>
                <c:pt idx="2760">
                  <c:v>26</c:v>
                </c:pt>
                <c:pt idx="2761">
                  <c:v>26</c:v>
                </c:pt>
                <c:pt idx="2762">
                  <c:v>26</c:v>
                </c:pt>
                <c:pt idx="2763">
                  <c:v>26</c:v>
                </c:pt>
                <c:pt idx="2781">
                  <c:v>27</c:v>
                </c:pt>
                <c:pt idx="2782">
                  <c:v>27</c:v>
                </c:pt>
                <c:pt idx="2783">
                  <c:v>27</c:v>
                </c:pt>
                <c:pt idx="2784">
                  <c:v>27</c:v>
                </c:pt>
                <c:pt idx="2785">
                  <c:v>27</c:v>
                </c:pt>
                <c:pt idx="2786">
                  <c:v>27</c:v>
                </c:pt>
                <c:pt idx="2787">
                  <c:v>27</c:v>
                </c:pt>
                <c:pt idx="2788">
                  <c:v>27</c:v>
                </c:pt>
                <c:pt idx="2789">
                  <c:v>27</c:v>
                </c:pt>
                <c:pt idx="2790">
                  <c:v>27</c:v>
                </c:pt>
                <c:pt idx="2791">
                  <c:v>27</c:v>
                </c:pt>
                <c:pt idx="2792">
                  <c:v>27</c:v>
                </c:pt>
                <c:pt idx="2793">
                  <c:v>27</c:v>
                </c:pt>
                <c:pt idx="2794">
                  <c:v>27</c:v>
                </c:pt>
                <c:pt idx="2795">
                  <c:v>27</c:v>
                </c:pt>
                <c:pt idx="2796">
                  <c:v>27</c:v>
                </c:pt>
                <c:pt idx="2807">
                  <c:v>28</c:v>
                </c:pt>
                <c:pt idx="2808">
                  <c:v>28</c:v>
                </c:pt>
                <c:pt idx="2809">
                  <c:v>28</c:v>
                </c:pt>
                <c:pt idx="2810">
                  <c:v>28</c:v>
                </c:pt>
                <c:pt idx="2811">
                  <c:v>28</c:v>
                </c:pt>
                <c:pt idx="2812">
                  <c:v>28</c:v>
                </c:pt>
                <c:pt idx="2813">
                  <c:v>28</c:v>
                </c:pt>
                <c:pt idx="2814">
                  <c:v>28</c:v>
                </c:pt>
                <c:pt idx="2815">
                  <c:v>28</c:v>
                </c:pt>
                <c:pt idx="2816">
                  <c:v>28</c:v>
                </c:pt>
                <c:pt idx="2817">
                  <c:v>28</c:v>
                </c:pt>
                <c:pt idx="2818">
                  <c:v>28</c:v>
                </c:pt>
                <c:pt idx="2819">
                  <c:v>28</c:v>
                </c:pt>
                <c:pt idx="2820">
                  <c:v>28</c:v>
                </c:pt>
                <c:pt idx="2821">
                  <c:v>28</c:v>
                </c:pt>
                <c:pt idx="2822">
                  <c:v>28</c:v>
                </c:pt>
                <c:pt idx="2823">
                  <c:v>28</c:v>
                </c:pt>
                <c:pt idx="2824">
                  <c:v>28</c:v>
                </c:pt>
                <c:pt idx="2825">
                  <c:v>28</c:v>
                </c:pt>
                <c:pt idx="2849">
                  <c:v>29</c:v>
                </c:pt>
                <c:pt idx="2850">
                  <c:v>29</c:v>
                </c:pt>
                <c:pt idx="2851">
                  <c:v>29</c:v>
                </c:pt>
                <c:pt idx="2852">
                  <c:v>29</c:v>
                </c:pt>
                <c:pt idx="2853">
                  <c:v>29</c:v>
                </c:pt>
                <c:pt idx="2854">
                  <c:v>29</c:v>
                </c:pt>
                <c:pt idx="2855">
                  <c:v>29</c:v>
                </c:pt>
                <c:pt idx="2856">
                  <c:v>29</c:v>
                </c:pt>
                <c:pt idx="3141">
                  <c:v>30</c:v>
                </c:pt>
                <c:pt idx="3142">
                  <c:v>30</c:v>
                </c:pt>
                <c:pt idx="3143">
                  <c:v>30</c:v>
                </c:pt>
                <c:pt idx="3144">
                  <c:v>30</c:v>
                </c:pt>
                <c:pt idx="3145">
                  <c:v>30</c:v>
                </c:pt>
                <c:pt idx="3146">
                  <c:v>30</c:v>
                </c:pt>
                <c:pt idx="3147">
                  <c:v>30</c:v>
                </c:pt>
                <c:pt idx="3407">
                  <c:v>31</c:v>
                </c:pt>
                <c:pt idx="3408">
                  <c:v>31</c:v>
                </c:pt>
                <c:pt idx="3409">
                  <c:v>31</c:v>
                </c:pt>
                <c:pt idx="3410">
                  <c:v>31</c:v>
                </c:pt>
                <c:pt idx="3525">
                  <c:v>32</c:v>
                </c:pt>
                <c:pt idx="3526">
                  <c:v>32</c:v>
                </c:pt>
                <c:pt idx="3527">
                  <c:v>32</c:v>
                </c:pt>
                <c:pt idx="3528">
                  <c:v>32</c:v>
                </c:pt>
                <c:pt idx="3529">
                  <c:v>32</c:v>
                </c:pt>
                <c:pt idx="3557">
                  <c:v>33</c:v>
                </c:pt>
                <c:pt idx="3558">
                  <c:v>33</c:v>
                </c:pt>
                <c:pt idx="3559">
                  <c:v>33</c:v>
                </c:pt>
                <c:pt idx="3560">
                  <c:v>33</c:v>
                </c:pt>
                <c:pt idx="3561">
                  <c:v>33</c:v>
                </c:pt>
                <c:pt idx="3562">
                  <c:v>33</c:v>
                </c:pt>
                <c:pt idx="3563">
                  <c:v>33</c:v>
                </c:pt>
                <c:pt idx="3564">
                  <c:v>33</c:v>
                </c:pt>
                <c:pt idx="3565">
                  <c:v>33</c:v>
                </c:pt>
                <c:pt idx="3566">
                  <c:v>33</c:v>
                </c:pt>
                <c:pt idx="3567">
                  <c:v>33</c:v>
                </c:pt>
                <c:pt idx="3568">
                  <c:v>33</c:v>
                </c:pt>
                <c:pt idx="3569">
                  <c:v>33</c:v>
                </c:pt>
                <c:pt idx="3570">
                  <c:v>33</c:v>
                </c:pt>
                <c:pt idx="3706">
                  <c:v>34</c:v>
                </c:pt>
                <c:pt idx="3707">
                  <c:v>34</c:v>
                </c:pt>
                <c:pt idx="3708">
                  <c:v>34</c:v>
                </c:pt>
                <c:pt idx="3709">
                  <c:v>34</c:v>
                </c:pt>
                <c:pt idx="4010">
                  <c:v>35</c:v>
                </c:pt>
                <c:pt idx="4011">
                  <c:v>35</c:v>
                </c:pt>
                <c:pt idx="4012">
                  <c:v>35</c:v>
                </c:pt>
                <c:pt idx="4372">
                  <c:v>36</c:v>
                </c:pt>
                <c:pt idx="4373">
                  <c:v>36</c:v>
                </c:pt>
                <c:pt idx="4374">
                  <c:v>36</c:v>
                </c:pt>
                <c:pt idx="4375">
                  <c:v>36</c:v>
                </c:pt>
                <c:pt idx="4560">
                  <c:v>37</c:v>
                </c:pt>
                <c:pt idx="4561">
                  <c:v>37</c:v>
                </c:pt>
                <c:pt idx="4562">
                  <c:v>37</c:v>
                </c:pt>
                <c:pt idx="4563">
                  <c:v>37</c:v>
                </c:pt>
                <c:pt idx="4581">
                  <c:v>38</c:v>
                </c:pt>
                <c:pt idx="4582">
                  <c:v>38</c:v>
                </c:pt>
                <c:pt idx="4589">
                  <c:v>39</c:v>
                </c:pt>
                <c:pt idx="4785">
                  <c:v>40</c:v>
                </c:pt>
                <c:pt idx="4786">
                  <c:v>40</c:v>
                </c:pt>
                <c:pt idx="4787">
                  <c:v>40</c:v>
                </c:pt>
                <c:pt idx="4788">
                  <c:v>40</c:v>
                </c:pt>
                <c:pt idx="4898">
                  <c:v>41</c:v>
                </c:pt>
                <c:pt idx="5049">
                  <c:v>42</c:v>
                </c:pt>
                <c:pt idx="5050">
                  <c:v>42</c:v>
                </c:pt>
                <c:pt idx="5051">
                  <c:v>42</c:v>
                </c:pt>
                <c:pt idx="5052">
                  <c:v>42</c:v>
                </c:pt>
                <c:pt idx="5099">
                  <c:v>43</c:v>
                </c:pt>
                <c:pt idx="5100">
                  <c:v>43</c:v>
                </c:pt>
                <c:pt idx="5101">
                  <c:v>43</c:v>
                </c:pt>
                <c:pt idx="5102">
                  <c:v>43</c:v>
                </c:pt>
                <c:pt idx="5103">
                  <c:v>43</c:v>
                </c:pt>
                <c:pt idx="5104">
                  <c:v>43</c:v>
                </c:pt>
                <c:pt idx="5105">
                  <c:v>43</c:v>
                </c:pt>
                <c:pt idx="5106">
                  <c:v>43</c:v>
                </c:pt>
                <c:pt idx="5119">
                  <c:v>44</c:v>
                </c:pt>
                <c:pt idx="5120">
                  <c:v>44</c:v>
                </c:pt>
                <c:pt idx="5121">
                  <c:v>44</c:v>
                </c:pt>
                <c:pt idx="5122">
                  <c:v>44</c:v>
                </c:pt>
                <c:pt idx="5129">
                  <c:v>45</c:v>
                </c:pt>
                <c:pt idx="5130">
                  <c:v>45</c:v>
                </c:pt>
                <c:pt idx="5131">
                  <c:v>45</c:v>
                </c:pt>
                <c:pt idx="5132">
                  <c:v>45</c:v>
                </c:pt>
                <c:pt idx="5139">
                  <c:v>46</c:v>
                </c:pt>
                <c:pt idx="5140">
                  <c:v>46</c:v>
                </c:pt>
                <c:pt idx="5141">
                  <c:v>46</c:v>
                </c:pt>
                <c:pt idx="5142">
                  <c:v>46</c:v>
                </c:pt>
                <c:pt idx="5215">
                  <c:v>47</c:v>
                </c:pt>
                <c:pt idx="5216">
                  <c:v>47</c:v>
                </c:pt>
                <c:pt idx="5217">
                  <c:v>47</c:v>
                </c:pt>
                <c:pt idx="5218">
                  <c:v>47</c:v>
                </c:pt>
                <c:pt idx="5219">
                  <c:v>47</c:v>
                </c:pt>
                <c:pt idx="5253">
                  <c:v>48</c:v>
                </c:pt>
                <c:pt idx="5254">
                  <c:v>48</c:v>
                </c:pt>
                <c:pt idx="5255">
                  <c:v>48</c:v>
                </c:pt>
                <c:pt idx="5287">
                  <c:v>49</c:v>
                </c:pt>
                <c:pt idx="5288">
                  <c:v>49</c:v>
                </c:pt>
                <c:pt idx="5376">
                  <c:v>50</c:v>
                </c:pt>
                <c:pt idx="5377">
                  <c:v>50</c:v>
                </c:pt>
                <c:pt idx="5378">
                  <c:v>50</c:v>
                </c:pt>
                <c:pt idx="5379">
                  <c:v>50</c:v>
                </c:pt>
                <c:pt idx="5569">
                  <c:v>51</c:v>
                </c:pt>
                <c:pt idx="5570">
                  <c:v>51</c:v>
                </c:pt>
                <c:pt idx="5571">
                  <c:v>51</c:v>
                </c:pt>
                <c:pt idx="5572">
                  <c:v>51</c:v>
                </c:pt>
                <c:pt idx="5573">
                  <c:v>51</c:v>
                </c:pt>
                <c:pt idx="5574">
                  <c:v>51</c:v>
                </c:pt>
                <c:pt idx="5648">
                  <c:v>52</c:v>
                </c:pt>
                <c:pt idx="5649">
                  <c:v>52</c:v>
                </c:pt>
                <c:pt idx="5965">
                  <c:v>53</c:v>
                </c:pt>
                <c:pt idx="5966">
                  <c:v>53</c:v>
                </c:pt>
                <c:pt idx="5967">
                  <c:v>53</c:v>
                </c:pt>
                <c:pt idx="5968">
                  <c:v>53</c:v>
                </c:pt>
                <c:pt idx="5969">
                  <c:v>53</c:v>
                </c:pt>
                <c:pt idx="5970">
                  <c:v>53</c:v>
                </c:pt>
                <c:pt idx="5971">
                  <c:v>53</c:v>
                </c:pt>
                <c:pt idx="5972">
                  <c:v>53</c:v>
                </c:pt>
                <c:pt idx="5973">
                  <c:v>53</c:v>
                </c:pt>
                <c:pt idx="5974">
                  <c:v>53</c:v>
                </c:pt>
                <c:pt idx="6653">
                  <c:v>54</c:v>
                </c:pt>
                <c:pt idx="6693">
                  <c:v>55</c:v>
                </c:pt>
                <c:pt idx="6694">
                  <c:v>55</c:v>
                </c:pt>
                <c:pt idx="6695">
                  <c:v>55</c:v>
                </c:pt>
                <c:pt idx="6903">
                  <c:v>56</c:v>
                </c:pt>
                <c:pt idx="6904">
                  <c:v>56</c:v>
                </c:pt>
                <c:pt idx="6905">
                  <c:v>56</c:v>
                </c:pt>
                <c:pt idx="6956">
                  <c:v>57</c:v>
                </c:pt>
                <c:pt idx="6957">
                  <c:v>57</c:v>
                </c:pt>
                <c:pt idx="7002">
                  <c:v>58</c:v>
                </c:pt>
                <c:pt idx="7003">
                  <c:v>58</c:v>
                </c:pt>
                <c:pt idx="7004">
                  <c:v>58</c:v>
                </c:pt>
                <c:pt idx="7052">
                  <c:v>59</c:v>
                </c:pt>
                <c:pt idx="7053">
                  <c:v>59</c:v>
                </c:pt>
                <c:pt idx="7159">
                  <c:v>60</c:v>
                </c:pt>
                <c:pt idx="7176">
                  <c:v>61</c:v>
                </c:pt>
                <c:pt idx="7177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6-4C75-BFBE-F132244D9FDF}"/>
            </c:ext>
          </c:extLst>
        </c:ser>
        <c:ser>
          <c:idx val="2"/>
          <c:order val="2"/>
          <c:tx>
            <c:strRef>
              <c:f>transpose!$AT$1</c:f>
              <c:strCache>
                <c:ptCount val="1"/>
                <c:pt idx="0">
                  <c:v>pihen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transpose!$AT$2:$AT$7686</c:f>
              <c:numCache>
                <c:formatCode>General</c:formatCode>
                <c:ptCount val="7685"/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1232">
                  <c:v>4</c:v>
                </c:pt>
                <c:pt idx="1233">
                  <c:v>4</c:v>
                </c:pt>
                <c:pt idx="1234">
                  <c:v>4</c:v>
                </c:pt>
                <c:pt idx="1235">
                  <c:v>4</c:v>
                </c:pt>
                <c:pt idx="1236">
                  <c:v>4</c:v>
                </c:pt>
                <c:pt idx="1237">
                  <c:v>4</c:v>
                </c:pt>
                <c:pt idx="1238">
                  <c:v>4</c:v>
                </c:pt>
                <c:pt idx="1239">
                  <c:v>4</c:v>
                </c:pt>
                <c:pt idx="1240">
                  <c:v>4</c:v>
                </c:pt>
                <c:pt idx="1241">
                  <c:v>4</c:v>
                </c:pt>
                <c:pt idx="1242">
                  <c:v>4</c:v>
                </c:pt>
                <c:pt idx="1243">
                  <c:v>4</c:v>
                </c:pt>
                <c:pt idx="1244">
                  <c:v>4</c:v>
                </c:pt>
                <c:pt idx="1245">
                  <c:v>4</c:v>
                </c:pt>
                <c:pt idx="1246">
                  <c:v>4</c:v>
                </c:pt>
                <c:pt idx="1247">
                  <c:v>4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5</c:v>
                </c:pt>
                <c:pt idx="2083">
                  <c:v>5</c:v>
                </c:pt>
                <c:pt idx="2084">
                  <c:v>5</c:v>
                </c:pt>
                <c:pt idx="2085">
                  <c:v>5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5</c:v>
                </c:pt>
                <c:pt idx="2090">
                  <c:v>5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5</c:v>
                </c:pt>
                <c:pt idx="2096">
                  <c:v>5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14">
                  <c:v>6</c:v>
                </c:pt>
                <c:pt idx="2115">
                  <c:v>6</c:v>
                </c:pt>
                <c:pt idx="2116">
                  <c:v>6</c:v>
                </c:pt>
                <c:pt idx="2117">
                  <c:v>6</c:v>
                </c:pt>
                <c:pt idx="2118">
                  <c:v>6</c:v>
                </c:pt>
                <c:pt idx="2119">
                  <c:v>6</c:v>
                </c:pt>
                <c:pt idx="2120">
                  <c:v>6</c:v>
                </c:pt>
                <c:pt idx="3197">
                  <c:v>7</c:v>
                </c:pt>
                <c:pt idx="3198">
                  <c:v>7</c:v>
                </c:pt>
                <c:pt idx="3199">
                  <c:v>7</c:v>
                </c:pt>
                <c:pt idx="3200">
                  <c:v>7</c:v>
                </c:pt>
                <c:pt idx="3201">
                  <c:v>7</c:v>
                </c:pt>
                <c:pt idx="3202">
                  <c:v>7</c:v>
                </c:pt>
                <c:pt idx="3203">
                  <c:v>7</c:v>
                </c:pt>
                <c:pt idx="3204">
                  <c:v>7</c:v>
                </c:pt>
                <c:pt idx="3205">
                  <c:v>7</c:v>
                </c:pt>
                <c:pt idx="3206">
                  <c:v>7</c:v>
                </c:pt>
                <c:pt idx="3207">
                  <c:v>7</c:v>
                </c:pt>
                <c:pt idx="3208">
                  <c:v>7</c:v>
                </c:pt>
                <c:pt idx="3209">
                  <c:v>7</c:v>
                </c:pt>
                <c:pt idx="3210">
                  <c:v>7</c:v>
                </c:pt>
                <c:pt idx="3717">
                  <c:v>8</c:v>
                </c:pt>
                <c:pt idx="3718">
                  <c:v>8</c:v>
                </c:pt>
                <c:pt idx="3719">
                  <c:v>8</c:v>
                </c:pt>
                <c:pt idx="3720">
                  <c:v>8</c:v>
                </c:pt>
                <c:pt idx="3721">
                  <c:v>8</c:v>
                </c:pt>
                <c:pt idx="3722">
                  <c:v>8</c:v>
                </c:pt>
                <c:pt idx="3723">
                  <c:v>8</c:v>
                </c:pt>
                <c:pt idx="3724">
                  <c:v>8</c:v>
                </c:pt>
                <c:pt idx="3725">
                  <c:v>8</c:v>
                </c:pt>
                <c:pt idx="3726">
                  <c:v>8</c:v>
                </c:pt>
                <c:pt idx="3727">
                  <c:v>8</c:v>
                </c:pt>
                <c:pt idx="3728">
                  <c:v>8</c:v>
                </c:pt>
                <c:pt idx="3877">
                  <c:v>9</c:v>
                </c:pt>
                <c:pt idx="3878">
                  <c:v>9</c:v>
                </c:pt>
                <c:pt idx="3879">
                  <c:v>9</c:v>
                </c:pt>
                <c:pt idx="3880">
                  <c:v>9</c:v>
                </c:pt>
                <c:pt idx="3881">
                  <c:v>9</c:v>
                </c:pt>
                <c:pt idx="3882">
                  <c:v>9</c:v>
                </c:pt>
                <c:pt idx="3883">
                  <c:v>9</c:v>
                </c:pt>
                <c:pt idx="3884">
                  <c:v>9</c:v>
                </c:pt>
                <c:pt idx="3885">
                  <c:v>9</c:v>
                </c:pt>
                <c:pt idx="3886">
                  <c:v>9</c:v>
                </c:pt>
                <c:pt idx="3887">
                  <c:v>9</c:v>
                </c:pt>
                <c:pt idx="3888">
                  <c:v>9</c:v>
                </c:pt>
                <c:pt idx="3889">
                  <c:v>9</c:v>
                </c:pt>
                <c:pt idx="3890">
                  <c:v>9</c:v>
                </c:pt>
                <c:pt idx="3891">
                  <c:v>9</c:v>
                </c:pt>
                <c:pt idx="3892">
                  <c:v>9</c:v>
                </c:pt>
                <c:pt idx="3893">
                  <c:v>9</c:v>
                </c:pt>
                <c:pt idx="3894">
                  <c:v>9</c:v>
                </c:pt>
                <c:pt idx="3895">
                  <c:v>9</c:v>
                </c:pt>
                <c:pt idx="3896">
                  <c:v>9</c:v>
                </c:pt>
                <c:pt idx="3897">
                  <c:v>9</c:v>
                </c:pt>
                <c:pt idx="3898">
                  <c:v>9</c:v>
                </c:pt>
                <c:pt idx="3899">
                  <c:v>9</c:v>
                </c:pt>
                <c:pt idx="3900">
                  <c:v>9</c:v>
                </c:pt>
                <c:pt idx="3901">
                  <c:v>9</c:v>
                </c:pt>
                <c:pt idx="3902">
                  <c:v>9</c:v>
                </c:pt>
                <c:pt idx="3903">
                  <c:v>9</c:v>
                </c:pt>
                <c:pt idx="3904">
                  <c:v>9</c:v>
                </c:pt>
                <c:pt idx="3905">
                  <c:v>9</c:v>
                </c:pt>
                <c:pt idx="3906">
                  <c:v>9</c:v>
                </c:pt>
                <c:pt idx="3907">
                  <c:v>9</c:v>
                </c:pt>
                <c:pt idx="3908">
                  <c:v>9</c:v>
                </c:pt>
                <c:pt idx="3909">
                  <c:v>9</c:v>
                </c:pt>
                <c:pt idx="3910">
                  <c:v>9</c:v>
                </c:pt>
                <c:pt idx="3911">
                  <c:v>9</c:v>
                </c:pt>
                <c:pt idx="3912">
                  <c:v>9</c:v>
                </c:pt>
                <c:pt idx="3913">
                  <c:v>9</c:v>
                </c:pt>
                <c:pt idx="3914">
                  <c:v>9</c:v>
                </c:pt>
                <c:pt idx="3915">
                  <c:v>9</c:v>
                </c:pt>
                <c:pt idx="3916">
                  <c:v>9</c:v>
                </c:pt>
                <c:pt idx="3917">
                  <c:v>9</c:v>
                </c:pt>
                <c:pt idx="3918">
                  <c:v>9</c:v>
                </c:pt>
                <c:pt idx="3919">
                  <c:v>9</c:v>
                </c:pt>
                <c:pt idx="3920">
                  <c:v>9</c:v>
                </c:pt>
                <c:pt idx="3921">
                  <c:v>9</c:v>
                </c:pt>
                <c:pt idx="3922">
                  <c:v>9</c:v>
                </c:pt>
                <c:pt idx="3923">
                  <c:v>9</c:v>
                </c:pt>
                <c:pt idx="3924">
                  <c:v>9</c:v>
                </c:pt>
                <c:pt idx="3925">
                  <c:v>9</c:v>
                </c:pt>
                <c:pt idx="3926">
                  <c:v>9</c:v>
                </c:pt>
                <c:pt idx="3927">
                  <c:v>9</c:v>
                </c:pt>
                <c:pt idx="3928">
                  <c:v>9</c:v>
                </c:pt>
                <c:pt idx="5147">
                  <c:v>10</c:v>
                </c:pt>
                <c:pt idx="5148">
                  <c:v>10</c:v>
                </c:pt>
                <c:pt idx="5149">
                  <c:v>10</c:v>
                </c:pt>
                <c:pt idx="5150">
                  <c:v>10</c:v>
                </c:pt>
                <c:pt idx="5151">
                  <c:v>10</c:v>
                </c:pt>
                <c:pt idx="5152">
                  <c:v>10</c:v>
                </c:pt>
                <c:pt idx="5153">
                  <c:v>10</c:v>
                </c:pt>
                <c:pt idx="5154">
                  <c:v>10</c:v>
                </c:pt>
                <c:pt idx="5155">
                  <c:v>10</c:v>
                </c:pt>
                <c:pt idx="5156">
                  <c:v>10</c:v>
                </c:pt>
                <c:pt idx="5157">
                  <c:v>10</c:v>
                </c:pt>
                <c:pt idx="5158">
                  <c:v>10</c:v>
                </c:pt>
                <c:pt idx="5159">
                  <c:v>10</c:v>
                </c:pt>
                <c:pt idx="5160">
                  <c:v>10</c:v>
                </c:pt>
                <c:pt idx="5161">
                  <c:v>10</c:v>
                </c:pt>
                <c:pt idx="5162">
                  <c:v>10</c:v>
                </c:pt>
                <c:pt idx="5163">
                  <c:v>10</c:v>
                </c:pt>
                <c:pt idx="5164">
                  <c:v>10</c:v>
                </c:pt>
                <c:pt idx="5165">
                  <c:v>10</c:v>
                </c:pt>
                <c:pt idx="5166">
                  <c:v>10</c:v>
                </c:pt>
                <c:pt idx="5167">
                  <c:v>10</c:v>
                </c:pt>
                <c:pt idx="5168">
                  <c:v>10</c:v>
                </c:pt>
                <c:pt idx="5169">
                  <c:v>10</c:v>
                </c:pt>
                <c:pt idx="5170">
                  <c:v>10</c:v>
                </c:pt>
                <c:pt idx="5171">
                  <c:v>10</c:v>
                </c:pt>
                <c:pt idx="5172">
                  <c:v>10</c:v>
                </c:pt>
                <c:pt idx="5173">
                  <c:v>10</c:v>
                </c:pt>
                <c:pt idx="5174">
                  <c:v>10</c:v>
                </c:pt>
                <c:pt idx="5175">
                  <c:v>10</c:v>
                </c:pt>
                <c:pt idx="5176">
                  <c:v>10</c:v>
                </c:pt>
                <c:pt idx="5177">
                  <c:v>10</c:v>
                </c:pt>
                <c:pt idx="5178">
                  <c:v>10</c:v>
                </c:pt>
                <c:pt idx="5179">
                  <c:v>10</c:v>
                </c:pt>
                <c:pt idx="5180">
                  <c:v>10</c:v>
                </c:pt>
                <c:pt idx="5181">
                  <c:v>10</c:v>
                </c:pt>
                <c:pt idx="5711">
                  <c:v>11</c:v>
                </c:pt>
                <c:pt idx="5712">
                  <c:v>11</c:v>
                </c:pt>
                <c:pt idx="5713">
                  <c:v>11</c:v>
                </c:pt>
                <c:pt idx="5714">
                  <c:v>11</c:v>
                </c:pt>
                <c:pt idx="5715">
                  <c:v>11</c:v>
                </c:pt>
                <c:pt idx="5716">
                  <c:v>11</c:v>
                </c:pt>
                <c:pt idx="5717">
                  <c:v>11</c:v>
                </c:pt>
                <c:pt idx="5718">
                  <c:v>11</c:v>
                </c:pt>
                <c:pt idx="5719">
                  <c:v>11</c:v>
                </c:pt>
                <c:pt idx="5720">
                  <c:v>11</c:v>
                </c:pt>
                <c:pt idx="5721">
                  <c:v>11</c:v>
                </c:pt>
                <c:pt idx="5722">
                  <c:v>11</c:v>
                </c:pt>
                <c:pt idx="6230">
                  <c:v>12</c:v>
                </c:pt>
                <c:pt idx="6231">
                  <c:v>12</c:v>
                </c:pt>
                <c:pt idx="6232">
                  <c:v>12</c:v>
                </c:pt>
                <c:pt idx="6233">
                  <c:v>12</c:v>
                </c:pt>
                <c:pt idx="6234">
                  <c:v>12</c:v>
                </c:pt>
                <c:pt idx="6235">
                  <c:v>12</c:v>
                </c:pt>
                <c:pt idx="6236">
                  <c:v>12</c:v>
                </c:pt>
                <c:pt idx="6237">
                  <c:v>12</c:v>
                </c:pt>
                <c:pt idx="6238">
                  <c:v>12</c:v>
                </c:pt>
                <c:pt idx="6239">
                  <c:v>12</c:v>
                </c:pt>
                <c:pt idx="6240">
                  <c:v>12</c:v>
                </c:pt>
                <c:pt idx="6241">
                  <c:v>12</c:v>
                </c:pt>
                <c:pt idx="6242">
                  <c:v>12</c:v>
                </c:pt>
                <c:pt idx="6243">
                  <c:v>12</c:v>
                </c:pt>
                <c:pt idx="6244">
                  <c:v>12</c:v>
                </c:pt>
                <c:pt idx="6245">
                  <c:v>12</c:v>
                </c:pt>
                <c:pt idx="6246">
                  <c:v>12</c:v>
                </c:pt>
                <c:pt idx="6247">
                  <c:v>12</c:v>
                </c:pt>
                <c:pt idx="6248">
                  <c:v>12</c:v>
                </c:pt>
                <c:pt idx="6249">
                  <c:v>12</c:v>
                </c:pt>
                <c:pt idx="6250">
                  <c:v>12</c:v>
                </c:pt>
                <c:pt idx="6251">
                  <c:v>12</c:v>
                </c:pt>
                <c:pt idx="6252">
                  <c:v>12</c:v>
                </c:pt>
                <c:pt idx="6253">
                  <c:v>12</c:v>
                </c:pt>
                <c:pt idx="6254">
                  <c:v>12</c:v>
                </c:pt>
                <c:pt idx="6255">
                  <c:v>12</c:v>
                </c:pt>
                <c:pt idx="6256">
                  <c:v>12</c:v>
                </c:pt>
                <c:pt idx="6257">
                  <c:v>12</c:v>
                </c:pt>
                <c:pt idx="6258">
                  <c:v>12</c:v>
                </c:pt>
                <c:pt idx="6259">
                  <c:v>12</c:v>
                </c:pt>
                <c:pt idx="6260">
                  <c:v>12</c:v>
                </c:pt>
                <c:pt idx="6261">
                  <c:v>12</c:v>
                </c:pt>
                <c:pt idx="6262">
                  <c:v>12</c:v>
                </c:pt>
                <c:pt idx="6263">
                  <c:v>12</c:v>
                </c:pt>
                <c:pt idx="6264">
                  <c:v>12</c:v>
                </c:pt>
                <c:pt idx="6265">
                  <c:v>12</c:v>
                </c:pt>
                <c:pt idx="6266">
                  <c:v>12</c:v>
                </c:pt>
                <c:pt idx="6267">
                  <c:v>12</c:v>
                </c:pt>
                <c:pt idx="6268">
                  <c:v>12</c:v>
                </c:pt>
                <c:pt idx="6269">
                  <c:v>12</c:v>
                </c:pt>
                <c:pt idx="6270">
                  <c:v>12</c:v>
                </c:pt>
                <c:pt idx="6271">
                  <c:v>12</c:v>
                </c:pt>
                <c:pt idx="6272">
                  <c:v>12</c:v>
                </c:pt>
                <c:pt idx="6273">
                  <c:v>12</c:v>
                </c:pt>
                <c:pt idx="6274">
                  <c:v>12</c:v>
                </c:pt>
                <c:pt idx="6545">
                  <c:v>13</c:v>
                </c:pt>
                <c:pt idx="6546">
                  <c:v>13</c:v>
                </c:pt>
                <c:pt idx="6547">
                  <c:v>13</c:v>
                </c:pt>
                <c:pt idx="6548">
                  <c:v>13</c:v>
                </c:pt>
                <c:pt idx="6549">
                  <c:v>13</c:v>
                </c:pt>
                <c:pt idx="6550">
                  <c:v>13</c:v>
                </c:pt>
                <c:pt idx="6551">
                  <c:v>13</c:v>
                </c:pt>
                <c:pt idx="6552">
                  <c:v>13</c:v>
                </c:pt>
                <c:pt idx="6553">
                  <c:v>13</c:v>
                </c:pt>
                <c:pt idx="6554">
                  <c:v>13</c:v>
                </c:pt>
                <c:pt idx="6555">
                  <c:v>13</c:v>
                </c:pt>
                <c:pt idx="6556">
                  <c:v>13</c:v>
                </c:pt>
                <c:pt idx="6557">
                  <c:v>13</c:v>
                </c:pt>
                <c:pt idx="6558">
                  <c:v>13</c:v>
                </c:pt>
                <c:pt idx="6559">
                  <c:v>13</c:v>
                </c:pt>
                <c:pt idx="6560">
                  <c:v>13</c:v>
                </c:pt>
                <c:pt idx="6561">
                  <c:v>13</c:v>
                </c:pt>
                <c:pt idx="6562">
                  <c:v>13</c:v>
                </c:pt>
                <c:pt idx="6563">
                  <c:v>13</c:v>
                </c:pt>
                <c:pt idx="6564">
                  <c:v>13</c:v>
                </c:pt>
                <c:pt idx="6565">
                  <c:v>13</c:v>
                </c:pt>
                <c:pt idx="6566">
                  <c:v>13</c:v>
                </c:pt>
                <c:pt idx="6567">
                  <c:v>13</c:v>
                </c:pt>
                <c:pt idx="6568">
                  <c:v>13</c:v>
                </c:pt>
                <c:pt idx="6569">
                  <c:v>13</c:v>
                </c:pt>
                <c:pt idx="6570">
                  <c:v>13</c:v>
                </c:pt>
                <c:pt idx="7255">
                  <c:v>14</c:v>
                </c:pt>
                <c:pt idx="7256">
                  <c:v>14</c:v>
                </c:pt>
                <c:pt idx="7257">
                  <c:v>14</c:v>
                </c:pt>
                <c:pt idx="7258">
                  <c:v>14</c:v>
                </c:pt>
                <c:pt idx="7259">
                  <c:v>14</c:v>
                </c:pt>
                <c:pt idx="7260">
                  <c:v>14</c:v>
                </c:pt>
                <c:pt idx="7261">
                  <c:v>14</c:v>
                </c:pt>
                <c:pt idx="7262">
                  <c:v>14</c:v>
                </c:pt>
                <c:pt idx="7263">
                  <c:v>14</c:v>
                </c:pt>
                <c:pt idx="7264">
                  <c:v>14</c:v>
                </c:pt>
                <c:pt idx="7265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6-4C75-BFBE-F132244D9FDF}"/>
            </c:ext>
          </c:extLst>
        </c:ser>
        <c:ser>
          <c:idx val="3"/>
          <c:order val="3"/>
          <c:tx>
            <c:strRef>
              <c:f>transpose!$AU$1</c:f>
              <c:strCache>
                <c:ptCount val="1"/>
                <c:pt idx="0">
                  <c:v>áll-figyel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transpose!$AU$2:$AU$7686</c:f>
              <c:numCache>
                <c:formatCode>General</c:formatCode>
                <c:ptCount val="7685"/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2672">
                  <c:v>4</c:v>
                </c:pt>
                <c:pt idx="2673">
                  <c:v>4</c:v>
                </c:pt>
                <c:pt idx="2674">
                  <c:v>4</c:v>
                </c:pt>
                <c:pt idx="2675">
                  <c:v>4</c:v>
                </c:pt>
                <c:pt idx="2676">
                  <c:v>4</c:v>
                </c:pt>
                <c:pt idx="3241">
                  <c:v>5</c:v>
                </c:pt>
                <c:pt idx="3242">
                  <c:v>5</c:v>
                </c:pt>
                <c:pt idx="3243">
                  <c:v>5</c:v>
                </c:pt>
                <c:pt idx="3244">
                  <c:v>5</c:v>
                </c:pt>
                <c:pt idx="3476">
                  <c:v>6</c:v>
                </c:pt>
                <c:pt idx="3477">
                  <c:v>6</c:v>
                </c:pt>
                <c:pt idx="3478">
                  <c:v>6</c:v>
                </c:pt>
                <c:pt idx="3479">
                  <c:v>6</c:v>
                </c:pt>
                <c:pt idx="3480">
                  <c:v>6</c:v>
                </c:pt>
                <c:pt idx="5793">
                  <c:v>7</c:v>
                </c:pt>
                <c:pt idx="5794">
                  <c:v>7</c:v>
                </c:pt>
                <c:pt idx="5795">
                  <c:v>7</c:v>
                </c:pt>
                <c:pt idx="5796">
                  <c:v>7</c:v>
                </c:pt>
                <c:pt idx="5797">
                  <c:v>7</c:v>
                </c:pt>
                <c:pt idx="5798">
                  <c:v>7</c:v>
                </c:pt>
                <c:pt idx="5799">
                  <c:v>7</c:v>
                </c:pt>
                <c:pt idx="5800">
                  <c:v>7</c:v>
                </c:pt>
                <c:pt idx="5801">
                  <c:v>7</c:v>
                </c:pt>
                <c:pt idx="5802">
                  <c:v>7</c:v>
                </c:pt>
                <c:pt idx="5803">
                  <c:v>7</c:v>
                </c:pt>
                <c:pt idx="5804">
                  <c:v>7</c:v>
                </c:pt>
                <c:pt idx="5805">
                  <c:v>7</c:v>
                </c:pt>
                <c:pt idx="5806">
                  <c:v>7</c:v>
                </c:pt>
                <c:pt idx="5807">
                  <c:v>7</c:v>
                </c:pt>
                <c:pt idx="5808">
                  <c:v>7</c:v>
                </c:pt>
                <c:pt idx="5809">
                  <c:v>7</c:v>
                </c:pt>
                <c:pt idx="5810">
                  <c:v>7</c:v>
                </c:pt>
                <c:pt idx="5811">
                  <c:v>7</c:v>
                </c:pt>
                <c:pt idx="5812">
                  <c:v>7</c:v>
                </c:pt>
                <c:pt idx="5813">
                  <c:v>7</c:v>
                </c:pt>
                <c:pt idx="5814">
                  <c:v>7</c:v>
                </c:pt>
                <c:pt idx="5815">
                  <c:v>7</c:v>
                </c:pt>
                <c:pt idx="5816">
                  <c:v>7</c:v>
                </c:pt>
                <c:pt idx="5817">
                  <c:v>7</c:v>
                </c:pt>
                <c:pt idx="5818">
                  <c:v>7</c:v>
                </c:pt>
                <c:pt idx="5819">
                  <c:v>7</c:v>
                </c:pt>
                <c:pt idx="5820">
                  <c:v>7</c:v>
                </c:pt>
                <c:pt idx="5821">
                  <c:v>7</c:v>
                </c:pt>
                <c:pt idx="5822">
                  <c:v>7</c:v>
                </c:pt>
                <c:pt idx="5823">
                  <c:v>7</c:v>
                </c:pt>
                <c:pt idx="5824">
                  <c:v>7</c:v>
                </c:pt>
                <c:pt idx="5825">
                  <c:v>7</c:v>
                </c:pt>
                <c:pt idx="5826">
                  <c:v>7</c:v>
                </c:pt>
                <c:pt idx="5827">
                  <c:v>7</c:v>
                </c:pt>
                <c:pt idx="5828">
                  <c:v>7</c:v>
                </c:pt>
                <c:pt idx="5829">
                  <c:v>7</c:v>
                </c:pt>
                <c:pt idx="5830">
                  <c:v>7</c:v>
                </c:pt>
                <c:pt idx="5831">
                  <c:v>7</c:v>
                </c:pt>
                <c:pt idx="5832">
                  <c:v>7</c:v>
                </c:pt>
                <c:pt idx="5833">
                  <c:v>7</c:v>
                </c:pt>
                <c:pt idx="5834">
                  <c:v>7</c:v>
                </c:pt>
                <c:pt idx="5835">
                  <c:v>7</c:v>
                </c:pt>
                <c:pt idx="5836">
                  <c:v>7</c:v>
                </c:pt>
                <c:pt idx="5837">
                  <c:v>7</c:v>
                </c:pt>
                <c:pt idx="5838">
                  <c:v>7</c:v>
                </c:pt>
                <c:pt idx="5839">
                  <c:v>7</c:v>
                </c:pt>
                <c:pt idx="5840">
                  <c:v>7</c:v>
                </c:pt>
                <c:pt idx="5841">
                  <c:v>7</c:v>
                </c:pt>
                <c:pt idx="5842">
                  <c:v>7</c:v>
                </c:pt>
                <c:pt idx="5843">
                  <c:v>7</c:v>
                </c:pt>
                <c:pt idx="5844">
                  <c:v>7</c:v>
                </c:pt>
                <c:pt idx="5845">
                  <c:v>7</c:v>
                </c:pt>
                <c:pt idx="5846">
                  <c:v>7</c:v>
                </c:pt>
                <c:pt idx="5847">
                  <c:v>7</c:v>
                </c:pt>
                <c:pt idx="5848">
                  <c:v>7</c:v>
                </c:pt>
                <c:pt idx="5849">
                  <c:v>7</c:v>
                </c:pt>
                <c:pt idx="5850">
                  <c:v>7</c:v>
                </c:pt>
                <c:pt idx="5851">
                  <c:v>7</c:v>
                </c:pt>
                <c:pt idx="5852">
                  <c:v>7</c:v>
                </c:pt>
                <c:pt idx="5853">
                  <c:v>7</c:v>
                </c:pt>
                <c:pt idx="5854">
                  <c:v>7</c:v>
                </c:pt>
                <c:pt idx="5855">
                  <c:v>7</c:v>
                </c:pt>
                <c:pt idx="5856">
                  <c:v>7</c:v>
                </c:pt>
                <c:pt idx="5857">
                  <c:v>7</c:v>
                </c:pt>
                <c:pt idx="5858">
                  <c:v>7</c:v>
                </c:pt>
                <c:pt idx="5859">
                  <c:v>7</c:v>
                </c:pt>
                <c:pt idx="5860">
                  <c:v>7</c:v>
                </c:pt>
                <c:pt idx="5861">
                  <c:v>7</c:v>
                </c:pt>
                <c:pt idx="5862">
                  <c:v>7</c:v>
                </c:pt>
                <c:pt idx="5863">
                  <c:v>7</c:v>
                </c:pt>
                <c:pt idx="5864">
                  <c:v>7</c:v>
                </c:pt>
                <c:pt idx="5865">
                  <c:v>7</c:v>
                </c:pt>
                <c:pt idx="5866">
                  <c:v>7</c:v>
                </c:pt>
                <c:pt idx="5867">
                  <c:v>7</c:v>
                </c:pt>
                <c:pt idx="5868">
                  <c:v>7</c:v>
                </c:pt>
                <c:pt idx="5869">
                  <c:v>7</c:v>
                </c:pt>
                <c:pt idx="5870">
                  <c:v>7</c:v>
                </c:pt>
                <c:pt idx="5871">
                  <c:v>7</c:v>
                </c:pt>
                <c:pt idx="5872">
                  <c:v>7</c:v>
                </c:pt>
                <c:pt idx="5873">
                  <c:v>7</c:v>
                </c:pt>
                <c:pt idx="5874">
                  <c:v>7</c:v>
                </c:pt>
                <c:pt idx="5875">
                  <c:v>7</c:v>
                </c:pt>
                <c:pt idx="5876">
                  <c:v>7</c:v>
                </c:pt>
                <c:pt idx="5877">
                  <c:v>7</c:v>
                </c:pt>
                <c:pt idx="5878">
                  <c:v>7</c:v>
                </c:pt>
                <c:pt idx="5879">
                  <c:v>7</c:v>
                </c:pt>
                <c:pt idx="5880">
                  <c:v>7</c:v>
                </c:pt>
                <c:pt idx="5881">
                  <c:v>7</c:v>
                </c:pt>
                <c:pt idx="5978">
                  <c:v>8</c:v>
                </c:pt>
                <c:pt idx="5979">
                  <c:v>8</c:v>
                </c:pt>
                <c:pt idx="5980">
                  <c:v>8</c:v>
                </c:pt>
                <c:pt idx="5981">
                  <c:v>8</c:v>
                </c:pt>
                <c:pt idx="5982">
                  <c:v>8</c:v>
                </c:pt>
                <c:pt idx="5983">
                  <c:v>8</c:v>
                </c:pt>
                <c:pt idx="5984">
                  <c:v>8</c:v>
                </c:pt>
                <c:pt idx="5985">
                  <c:v>8</c:v>
                </c:pt>
                <c:pt idx="5986">
                  <c:v>8</c:v>
                </c:pt>
                <c:pt idx="6003">
                  <c:v>9</c:v>
                </c:pt>
                <c:pt idx="6004">
                  <c:v>9</c:v>
                </c:pt>
                <c:pt idx="6005">
                  <c:v>9</c:v>
                </c:pt>
                <c:pt idx="6006">
                  <c:v>9</c:v>
                </c:pt>
                <c:pt idx="6007">
                  <c:v>9</c:v>
                </c:pt>
                <c:pt idx="6008">
                  <c:v>9</c:v>
                </c:pt>
                <c:pt idx="6009">
                  <c:v>9</c:v>
                </c:pt>
                <c:pt idx="6010">
                  <c:v>9</c:v>
                </c:pt>
                <c:pt idx="6011">
                  <c:v>9</c:v>
                </c:pt>
                <c:pt idx="6706">
                  <c:v>10</c:v>
                </c:pt>
                <c:pt idx="6707">
                  <c:v>10</c:v>
                </c:pt>
                <c:pt idx="6708">
                  <c:v>10</c:v>
                </c:pt>
                <c:pt idx="6709">
                  <c:v>10</c:v>
                </c:pt>
                <c:pt idx="6710">
                  <c:v>10</c:v>
                </c:pt>
                <c:pt idx="6711">
                  <c:v>10</c:v>
                </c:pt>
                <c:pt idx="6712">
                  <c:v>10</c:v>
                </c:pt>
                <c:pt idx="6713">
                  <c:v>10</c:v>
                </c:pt>
                <c:pt idx="6714">
                  <c:v>10</c:v>
                </c:pt>
                <c:pt idx="6715">
                  <c:v>10</c:v>
                </c:pt>
                <c:pt idx="6716">
                  <c:v>10</c:v>
                </c:pt>
                <c:pt idx="6717">
                  <c:v>10</c:v>
                </c:pt>
                <c:pt idx="6718">
                  <c:v>10</c:v>
                </c:pt>
                <c:pt idx="6719">
                  <c:v>10</c:v>
                </c:pt>
                <c:pt idx="6720">
                  <c:v>10</c:v>
                </c:pt>
                <c:pt idx="6721">
                  <c:v>10</c:v>
                </c:pt>
                <c:pt idx="6722">
                  <c:v>10</c:v>
                </c:pt>
                <c:pt idx="6723">
                  <c:v>10</c:v>
                </c:pt>
                <c:pt idx="6724">
                  <c:v>10</c:v>
                </c:pt>
                <c:pt idx="6725">
                  <c:v>10</c:v>
                </c:pt>
                <c:pt idx="6822">
                  <c:v>11</c:v>
                </c:pt>
                <c:pt idx="6823">
                  <c:v>11</c:v>
                </c:pt>
                <c:pt idx="6824">
                  <c:v>11</c:v>
                </c:pt>
                <c:pt idx="6825">
                  <c:v>11</c:v>
                </c:pt>
                <c:pt idx="682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6-4C75-BFBE-F132244D9FDF}"/>
            </c:ext>
          </c:extLst>
        </c:ser>
        <c:ser>
          <c:idx val="4"/>
          <c:order val="4"/>
          <c:tx>
            <c:strRef>
              <c:f>transpose!$AV$1</c:f>
              <c:strCache>
                <c:ptCount val="1"/>
                <c:pt idx="0">
                  <c:v>mosakodás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transpose!$AV$2:$AV$7686</c:f>
              <c:numCache>
                <c:formatCode>General</c:formatCode>
                <c:ptCount val="7685"/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857">
                  <c:v>4</c:v>
                </c:pt>
                <c:pt idx="2858">
                  <c:v>4</c:v>
                </c:pt>
                <c:pt idx="2859">
                  <c:v>4</c:v>
                </c:pt>
                <c:pt idx="2860">
                  <c:v>4</c:v>
                </c:pt>
                <c:pt idx="2861">
                  <c:v>4</c:v>
                </c:pt>
                <c:pt idx="2862">
                  <c:v>4</c:v>
                </c:pt>
                <c:pt idx="2863">
                  <c:v>4</c:v>
                </c:pt>
                <c:pt idx="2864">
                  <c:v>4</c:v>
                </c:pt>
                <c:pt idx="2865">
                  <c:v>4</c:v>
                </c:pt>
                <c:pt idx="2866">
                  <c:v>4</c:v>
                </c:pt>
                <c:pt idx="2867">
                  <c:v>4</c:v>
                </c:pt>
                <c:pt idx="2868">
                  <c:v>4</c:v>
                </c:pt>
                <c:pt idx="2869">
                  <c:v>4</c:v>
                </c:pt>
                <c:pt idx="2870">
                  <c:v>4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951">
                  <c:v>6</c:v>
                </c:pt>
                <c:pt idx="3952">
                  <c:v>6</c:v>
                </c:pt>
                <c:pt idx="3953">
                  <c:v>6</c:v>
                </c:pt>
                <c:pt idx="3954">
                  <c:v>6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6</c:v>
                </c:pt>
                <c:pt idx="3959">
                  <c:v>6</c:v>
                </c:pt>
                <c:pt idx="3960">
                  <c:v>6</c:v>
                </c:pt>
                <c:pt idx="3961">
                  <c:v>6</c:v>
                </c:pt>
                <c:pt idx="3962">
                  <c:v>6</c:v>
                </c:pt>
                <c:pt idx="3963">
                  <c:v>6</c:v>
                </c:pt>
                <c:pt idx="3964">
                  <c:v>6</c:v>
                </c:pt>
                <c:pt idx="3965">
                  <c:v>6</c:v>
                </c:pt>
                <c:pt idx="3966">
                  <c:v>6</c:v>
                </c:pt>
                <c:pt idx="3967">
                  <c:v>6</c:v>
                </c:pt>
                <c:pt idx="3968">
                  <c:v>6</c:v>
                </c:pt>
                <c:pt idx="3969">
                  <c:v>6</c:v>
                </c:pt>
                <c:pt idx="3970">
                  <c:v>6</c:v>
                </c:pt>
                <c:pt idx="3971">
                  <c:v>6</c:v>
                </c:pt>
                <c:pt idx="3972">
                  <c:v>6</c:v>
                </c:pt>
                <c:pt idx="3973">
                  <c:v>6</c:v>
                </c:pt>
                <c:pt idx="3974">
                  <c:v>6</c:v>
                </c:pt>
                <c:pt idx="3975">
                  <c:v>6</c:v>
                </c:pt>
                <c:pt idx="3976">
                  <c:v>6</c:v>
                </c:pt>
                <c:pt idx="3977">
                  <c:v>6</c:v>
                </c:pt>
                <c:pt idx="3978">
                  <c:v>6</c:v>
                </c:pt>
                <c:pt idx="3979">
                  <c:v>6</c:v>
                </c:pt>
                <c:pt idx="3980">
                  <c:v>6</c:v>
                </c:pt>
                <c:pt idx="3981">
                  <c:v>6</c:v>
                </c:pt>
                <c:pt idx="3982">
                  <c:v>6</c:v>
                </c:pt>
                <c:pt idx="3983">
                  <c:v>6</c:v>
                </c:pt>
                <c:pt idx="3984">
                  <c:v>6</c:v>
                </c:pt>
                <c:pt idx="3985">
                  <c:v>6</c:v>
                </c:pt>
                <c:pt idx="3986">
                  <c:v>6</c:v>
                </c:pt>
                <c:pt idx="3987">
                  <c:v>6</c:v>
                </c:pt>
                <c:pt idx="3988">
                  <c:v>6</c:v>
                </c:pt>
                <c:pt idx="3989">
                  <c:v>6</c:v>
                </c:pt>
                <c:pt idx="3990">
                  <c:v>6</c:v>
                </c:pt>
                <c:pt idx="3991">
                  <c:v>6</c:v>
                </c:pt>
                <c:pt idx="3992">
                  <c:v>6</c:v>
                </c:pt>
                <c:pt idx="3993">
                  <c:v>6</c:v>
                </c:pt>
                <c:pt idx="3994">
                  <c:v>6</c:v>
                </c:pt>
                <c:pt idx="3995">
                  <c:v>6</c:v>
                </c:pt>
                <c:pt idx="3996">
                  <c:v>6</c:v>
                </c:pt>
                <c:pt idx="3997">
                  <c:v>6</c:v>
                </c:pt>
                <c:pt idx="3998">
                  <c:v>6</c:v>
                </c:pt>
                <c:pt idx="3999">
                  <c:v>6</c:v>
                </c:pt>
                <c:pt idx="4000">
                  <c:v>6</c:v>
                </c:pt>
                <c:pt idx="4013">
                  <c:v>7</c:v>
                </c:pt>
                <c:pt idx="4014">
                  <c:v>7</c:v>
                </c:pt>
                <c:pt idx="4015">
                  <c:v>7</c:v>
                </c:pt>
                <c:pt idx="4016">
                  <c:v>7</c:v>
                </c:pt>
                <c:pt idx="4017">
                  <c:v>7</c:v>
                </c:pt>
                <c:pt idx="4018">
                  <c:v>7</c:v>
                </c:pt>
                <c:pt idx="4019">
                  <c:v>7</c:v>
                </c:pt>
                <c:pt idx="4020">
                  <c:v>7</c:v>
                </c:pt>
                <c:pt idx="4021">
                  <c:v>7</c:v>
                </c:pt>
                <c:pt idx="4022">
                  <c:v>7</c:v>
                </c:pt>
                <c:pt idx="4023">
                  <c:v>7</c:v>
                </c:pt>
                <c:pt idx="4024">
                  <c:v>7</c:v>
                </c:pt>
                <c:pt idx="4025">
                  <c:v>7</c:v>
                </c:pt>
                <c:pt idx="4026">
                  <c:v>7</c:v>
                </c:pt>
                <c:pt idx="4035">
                  <c:v>8</c:v>
                </c:pt>
                <c:pt idx="4036">
                  <c:v>8</c:v>
                </c:pt>
                <c:pt idx="4037">
                  <c:v>8</c:v>
                </c:pt>
                <c:pt idx="4038">
                  <c:v>8</c:v>
                </c:pt>
                <c:pt idx="4039">
                  <c:v>8</c:v>
                </c:pt>
                <c:pt idx="4040">
                  <c:v>8</c:v>
                </c:pt>
                <c:pt idx="4041">
                  <c:v>8</c:v>
                </c:pt>
                <c:pt idx="4042">
                  <c:v>8</c:v>
                </c:pt>
                <c:pt idx="4043">
                  <c:v>8</c:v>
                </c:pt>
                <c:pt idx="4044">
                  <c:v>8</c:v>
                </c:pt>
                <c:pt idx="4045">
                  <c:v>8</c:v>
                </c:pt>
                <c:pt idx="4046">
                  <c:v>8</c:v>
                </c:pt>
                <c:pt idx="4047">
                  <c:v>8</c:v>
                </c:pt>
                <c:pt idx="4048">
                  <c:v>8</c:v>
                </c:pt>
                <c:pt idx="4049">
                  <c:v>8</c:v>
                </c:pt>
                <c:pt idx="4050">
                  <c:v>8</c:v>
                </c:pt>
                <c:pt idx="4051">
                  <c:v>8</c:v>
                </c:pt>
                <c:pt idx="4052">
                  <c:v>8</c:v>
                </c:pt>
                <c:pt idx="4053">
                  <c:v>8</c:v>
                </c:pt>
                <c:pt idx="4054">
                  <c:v>8</c:v>
                </c:pt>
                <c:pt idx="4055">
                  <c:v>8</c:v>
                </c:pt>
                <c:pt idx="4056">
                  <c:v>8</c:v>
                </c:pt>
                <c:pt idx="4057">
                  <c:v>8</c:v>
                </c:pt>
                <c:pt idx="4058">
                  <c:v>8</c:v>
                </c:pt>
                <c:pt idx="4059">
                  <c:v>8</c:v>
                </c:pt>
                <c:pt idx="4060">
                  <c:v>8</c:v>
                </c:pt>
                <c:pt idx="4061">
                  <c:v>8</c:v>
                </c:pt>
                <c:pt idx="4062">
                  <c:v>8</c:v>
                </c:pt>
                <c:pt idx="4063">
                  <c:v>8</c:v>
                </c:pt>
                <c:pt idx="4064">
                  <c:v>8</c:v>
                </c:pt>
                <c:pt idx="4065">
                  <c:v>8</c:v>
                </c:pt>
                <c:pt idx="4066">
                  <c:v>8</c:v>
                </c:pt>
                <c:pt idx="4067">
                  <c:v>8</c:v>
                </c:pt>
                <c:pt idx="4068">
                  <c:v>8</c:v>
                </c:pt>
                <c:pt idx="4069">
                  <c:v>8</c:v>
                </c:pt>
                <c:pt idx="4070">
                  <c:v>8</c:v>
                </c:pt>
                <c:pt idx="4071">
                  <c:v>8</c:v>
                </c:pt>
                <c:pt idx="4072">
                  <c:v>8</c:v>
                </c:pt>
                <c:pt idx="4073">
                  <c:v>8</c:v>
                </c:pt>
                <c:pt idx="4074">
                  <c:v>8</c:v>
                </c:pt>
                <c:pt idx="4075">
                  <c:v>8</c:v>
                </c:pt>
                <c:pt idx="4076">
                  <c:v>8</c:v>
                </c:pt>
                <c:pt idx="4077">
                  <c:v>8</c:v>
                </c:pt>
                <c:pt idx="4078">
                  <c:v>8</c:v>
                </c:pt>
                <c:pt idx="4079">
                  <c:v>8</c:v>
                </c:pt>
                <c:pt idx="4080">
                  <c:v>8</c:v>
                </c:pt>
                <c:pt idx="4081">
                  <c:v>8</c:v>
                </c:pt>
                <c:pt idx="4082">
                  <c:v>8</c:v>
                </c:pt>
                <c:pt idx="4083">
                  <c:v>8</c:v>
                </c:pt>
                <c:pt idx="4084">
                  <c:v>8</c:v>
                </c:pt>
                <c:pt idx="4085">
                  <c:v>8</c:v>
                </c:pt>
                <c:pt idx="4086">
                  <c:v>8</c:v>
                </c:pt>
                <c:pt idx="4087">
                  <c:v>8</c:v>
                </c:pt>
                <c:pt idx="4088">
                  <c:v>8</c:v>
                </c:pt>
                <c:pt idx="4089">
                  <c:v>8</c:v>
                </c:pt>
                <c:pt idx="4090">
                  <c:v>8</c:v>
                </c:pt>
                <c:pt idx="4091">
                  <c:v>8</c:v>
                </c:pt>
                <c:pt idx="4092">
                  <c:v>8</c:v>
                </c:pt>
                <c:pt idx="4093">
                  <c:v>8</c:v>
                </c:pt>
                <c:pt idx="4094">
                  <c:v>8</c:v>
                </c:pt>
                <c:pt idx="4095">
                  <c:v>8</c:v>
                </c:pt>
                <c:pt idx="4096">
                  <c:v>8</c:v>
                </c:pt>
                <c:pt idx="4097">
                  <c:v>8</c:v>
                </c:pt>
                <c:pt idx="4098">
                  <c:v>8</c:v>
                </c:pt>
                <c:pt idx="4099">
                  <c:v>8</c:v>
                </c:pt>
                <c:pt idx="4100">
                  <c:v>8</c:v>
                </c:pt>
                <c:pt idx="4101">
                  <c:v>8</c:v>
                </c:pt>
                <c:pt idx="4102">
                  <c:v>8</c:v>
                </c:pt>
                <c:pt idx="4103">
                  <c:v>8</c:v>
                </c:pt>
                <c:pt idx="4104">
                  <c:v>8</c:v>
                </c:pt>
                <c:pt idx="4105">
                  <c:v>8</c:v>
                </c:pt>
                <c:pt idx="4106">
                  <c:v>8</c:v>
                </c:pt>
                <c:pt idx="4107">
                  <c:v>8</c:v>
                </c:pt>
                <c:pt idx="4108">
                  <c:v>8</c:v>
                </c:pt>
                <c:pt idx="4109">
                  <c:v>8</c:v>
                </c:pt>
                <c:pt idx="4110">
                  <c:v>8</c:v>
                </c:pt>
                <c:pt idx="4111">
                  <c:v>8</c:v>
                </c:pt>
                <c:pt idx="4112">
                  <c:v>8</c:v>
                </c:pt>
                <c:pt idx="4113">
                  <c:v>8</c:v>
                </c:pt>
                <c:pt idx="4114">
                  <c:v>8</c:v>
                </c:pt>
                <c:pt idx="4115">
                  <c:v>8</c:v>
                </c:pt>
                <c:pt idx="4116">
                  <c:v>8</c:v>
                </c:pt>
                <c:pt idx="4117">
                  <c:v>8</c:v>
                </c:pt>
                <c:pt idx="4118">
                  <c:v>8</c:v>
                </c:pt>
                <c:pt idx="4119">
                  <c:v>8</c:v>
                </c:pt>
                <c:pt idx="4120">
                  <c:v>8</c:v>
                </c:pt>
                <c:pt idx="4121">
                  <c:v>8</c:v>
                </c:pt>
                <c:pt idx="4122">
                  <c:v>8</c:v>
                </c:pt>
                <c:pt idx="4123">
                  <c:v>8</c:v>
                </c:pt>
                <c:pt idx="4124">
                  <c:v>8</c:v>
                </c:pt>
                <c:pt idx="4125">
                  <c:v>8</c:v>
                </c:pt>
                <c:pt idx="4590">
                  <c:v>9</c:v>
                </c:pt>
                <c:pt idx="4591">
                  <c:v>9</c:v>
                </c:pt>
                <c:pt idx="4592">
                  <c:v>9</c:v>
                </c:pt>
                <c:pt idx="4593">
                  <c:v>9</c:v>
                </c:pt>
                <c:pt idx="4594">
                  <c:v>9</c:v>
                </c:pt>
                <c:pt idx="4595">
                  <c:v>9</c:v>
                </c:pt>
                <c:pt idx="4596">
                  <c:v>9</c:v>
                </c:pt>
                <c:pt idx="4597">
                  <c:v>9</c:v>
                </c:pt>
                <c:pt idx="4598">
                  <c:v>9</c:v>
                </c:pt>
                <c:pt idx="4599">
                  <c:v>9</c:v>
                </c:pt>
                <c:pt idx="4600">
                  <c:v>9</c:v>
                </c:pt>
                <c:pt idx="4601">
                  <c:v>9</c:v>
                </c:pt>
                <c:pt idx="4602">
                  <c:v>9</c:v>
                </c:pt>
                <c:pt idx="4603">
                  <c:v>9</c:v>
                </c:pt>
                <c:pt idx="4604">
                  <c:v>9</c:v>
                </c:pt>
                <c:pt idx="4605">
                  <c:v>9</c:v>
                </c:pt>
                <c:pt idx="4606">
                  <c:v>9</c:v>
                </c:pt>
                <c:pt idx="4607">
                  <c:v>9</c:v>
                </c:pt>
                <c:pt idx="4608">
                  <c:v>9</c:v>
                </c:pt>
                <c:pt idx="4609">
                  <c:v>9</c:v>
                </c:pt>
                <c:pt idx="4610">
                  <c:v>9</c:v>
                </c:pt>
                <c:pt idx="4611">
                  <c:v>9</c:v>
                </c:pt>
                <c:pt idx="4612">
                  <c:v>9</c:v>
                </c:pt>
                <c:pt idx="4613">
                  <c:v>9</c:v>
                </c:pt>
                <c:pt idx="4614">
                  <c:v>9</c:v>
                </c:pt>
                <c:pt idx="4615">
                  <c:v>9</c:v>
                </c:pt>
                <c:pt idx="4616">
                  <c:v>9</c:v>
                </c:pt>
                <c:pt idx="4617">
                  <c:v>9</c:v>
                </c:pt>
                <c:pt idx="4618">
                  <c:v>9</c:v>
                </c:pt>
                <c:pt idx="4619">
                  <c:v>9</c:v>
                </c:pt>
                <c:pt idx="4620">
                  <c:v>9</c:v>
                </c:pt>
                <c:pt idx="4621">
                  <c:v>9</c:v>
                </c:pt>
                <c:pt idx="4622">
                  <c:v>9</c:v>
                </c:pt>
                <c:pt idx="4623">
                  <c:v>9</c:v>
                </c:pt>
                <c:pt idx="4624">
                  <c:v>9</c:v>
                </c:pt>
                <c:pt idx="4625">
                  <c:v>9</c:v>
                </c:pt>
                <c:pt idx="4626">
                  <c:v>9</c:v>
                </c:pt>
                <c:pt idx="4627">
                  <c:v>9</c:v>
                </c:pt>
                <c:pt idx="4628">
                  <c:v>9</c:v>
                </c:pt>
                <c:pt idx="4629">
                  <c:v>9</c:v>
                </c:pt>
                <c:pt idx="4630">
                  <c:v>9</c:v>
                </c:pt>
                <c:pt idx="4631">
                  <c:v>9</c:v>
                </c:pt>
                <c:pt idx="4632">
                  <c:v>9</c:v>
                </c:pt>
                <c:pt idx="4633">
                  <c:v>9</c:v>
                </c:pt>
                <c:pt idx="4634">
                  <c:v>9</c:v>
                </c:pt>
                <c:pt idx="4635">
                  <c:v>9</c:v>
                </c:pt>
                <c:pt idx="4636">
                  <c:v>9</c:v>
                </c:pt>
                <c:pt idx="4637">
                  <c:v>9</c:v>
                </c:pt>
                <c:pt idx="4638">
                  <c:v>9</c:v>
                </c:pt>
                <c:pt idx="4639">
                  <c:v>9</c:v>
                </c:pt>
                <c:pt idx="4640">
                  <c:v>9</c:v>
                </c:pt>
                <c:pt idx="4641">
                  <c:v>9</c:v>
                </c:pt>
                <c:pt idx="4642">
                  <c:v>9</c:v>
                </c:pt>
                <c:pt idx="4643">
                  <c:v>9</c:v>
                </c:pt>
                <c:pt idx="4644">
                  <c:v>9</c:v>
                </c:pt>
                <c:pt idx="4645">
                  <c:v>9</c:v>
                </c:pt>
                <c:pt idx="4646">
                  <c:v>9</c:v>
                </c:pt>
                <c:pt idx="4647">
                  <c:v>9</c:v>
                </c:pt>
                <c:pt idx="4648">
                  <c:v>9</c:v>
                </c:pt>
                <c:pt idx="4649">
                  <c:v>9</c:v>
                </c:pt>
                <c:pt idx="4650">
                  <c:v>9</c:v>
                </c:pt>
                <c:pt idx="4651">
                  <c:v>9</c:v>
                </c:pt>
                <c:pt idx="4652">
                  <c:v>9</c:v>
                </c:pt>
                <c:pt idx="4653">
                  <c:v>9</c:v>
                </c:pt>
                <c:pt idx="4654">
                  <c:v>9</c:v>
                </c:pt>
                <c:pt idx="4655">
                  <c:v>9</c:v>
                </c:pt>
                <c:pt idx="4656">
                  <c:v>9</c:v>
                </c:pt>
                <c:pt idx="4657">
                  <c:v>9</c:v>
                </c:pt>
                <c:pt idx="4658">
                  <c:v>9</c:v>
                </c:pt>
                <c:pt idx="4659">
                  <c:v>9</c:v>
                </c:pt>
                <c:pt idx="4660">
                  <c:v>9</c:v>
                </c:pt>
                <c:pt idx="4661">
                  <c:v>9</c:v>
                </c:pt>
                <c:pt idx="4662">
                  <c:v>9</c:v>
                </c:pt>
                <c:pt idx="4663">
                  <c:v>9</c:v>
                </c:pt>
                <c:pt idx="4664">
                  <c:v>9</c:v>
                </c:pt>
                <c:pt idx="4665">
                  <c:v>9</c:v>
                </c:pt>
                <c:pt idx="4666">
                  <c:v>9</c:v>
                </c:pt>
                <c:pt idx="4667">
                  <c:v>9</c:v>
                </c:pt>
                <c:pt idx="4668">
                  <c:v>9</c:v>
                </c:pt>
                <c:pt idx="4669">
                  <c:v>9</c:v>
                </c:pt>
                <c:pt idx="4670">
                  <c:v>9</c:v>
                </c:pt>
                <c:pt idx="4671">
                  <c:v>9</c:v>
                </c:pt>
                <c:pt idx="4672">
                  <c:v>9</c:v>
                </c:pt>
                <c:pt idx="4673">
                  <c:v>9</c:v>
                </c:pt>
                <c:pt idx="4674">
                  <c:v>9</c:v>
                </c:pt>
                <c:pt idx="467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46-4C75-BFBE-F132244D9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38927"/>
        <c:axId val="9716418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transpose!$J$1</c15:sqref>
                        </c15:formulaRef>
                      </c:ext>
                    </c:extLst>
                    <c:strCache>
                      <c:ptCount val="1"/>
                      <c:pt idx="0">
                        <c:v>Megy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transpose!$J$2:$J$7686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162">
                        <c:v>2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202">
                        <c:v>3</c:v>
                      </c:pt>
                      <c:pt idx="203">
                        <c:v>3</c:v>
                      </c:pt>
                      <c:pt idx="204">
                        <c:v>3</c:v>
                      </c:pt>
                      <c:pt idx="205">
                        <c:v>3</c:v>
                      </c:pt>
                      <c:pt idx="206">
                        <c:v>3</c:v>
                      </c:pt>
                      <c:pt idx="207">
                        <c:v>3</c:v>
                      </c:pt>
                      <c:pt idx="208">
                        <c:v>3</c:v>
                      </c:pt>
                      <c:pt idx="209">
                        <c:v>3</c:v>
                      </c:pt>
                      <c:pt idx="210">
                        <c:v>3</c:v>
                      </c:pt>
                      <c:pt idx="211">
                        <c:v>3</c:v>
                      </c:pt>
                      <c:pt idx="212">
                        <c:v>3</c:v>
                      </c:pt>
                      <c:pt idx="213">
                        <c:v>3</c:v>
                      </c:pt>
                      <c:pt idx="214">
                        <c:v>3</c:v>
                      </c:pt>
                      <c:pt idx="215">
                        <c:v>3</c:v>
                      </c:pt>
                      <c:pt idx="216">
                        <c:v>3</c:v>
                      </c:pt>
                      <c:pt idx="217">
                        <c:v>3</c:v>
                      </c:pt>
                      <c:pt idx="218">
                        <c:v>3</c:v>
                      </c:pt>
                      <c:pt idx="219">
                        <c:v>3</c:v>
                      </c:pt>
                      <c:pt idx="220">
                        <c:v>3</c:v>
                      </c:pt>
                      <c:pt idx="221">
                        <c:v>3</c:v>
                      </c:pt>
                      <c:pt idx="222">
                        <c:v>3</c:v>
                      </c:pt>
                      <c:pt idx="223">
                        <c:v>3</c:v>
                      </c:pt>
                      <c:pt idx="224">
                        <c:v>3</c:v>
                      </c:pt>
                      <c:pt idx="225">
                        <c:v>3</c:v>
                      </c:pt>
                      <c:pt idx="226">
                        <c:v>3</c:v>
                      </c:pt>
                      <c:pt idx="227">
                        <c:v>3</c:v>
                      </c:pt>
                      <c:pt idx="268">
                        <c:v>4</c:v>
                      </c:pt>
                      <c:pt idx="269">
                        <c:v>4</c:v>
                      </c:pt>
                      <c:pt idx="270">
                        <c:v>4</c:v>
                      </c:pt>
                      <c:pt idx="271">
                        <c:v>4</c:v>
                      </c:pt>
                      <c:pt idx="272">
                        <c:v>4</c:v>
                      </c:pt>
                      <c:pt idx="273">
                        <c:v>4</c:v>
                      </c:pt>
                      <c:pt idx="274">
                        <c:v>4</c:v>
                      </c:pt>
                      <c:pt idx="275">
                        <c:v>4</c:v>
                      </c:pt>
                      <c:pt idx="276">
                        <c:v>4</c:v>
                      </c:pt>
                      <c:pt idx="277">
                        <c:v>4</c:v>
                      </c:pt>
                      <c:pt idx="278">
                        <c:v>4</c:v>
                      </c:pt>
                      <c:pt idx="279">
                        <c:v>4</c:v>
                      </c:pt>
                      <c:pt idx="280">
                        <c:v>4</c:v>
                      </c:pt>
                      <c:pt idx="281">
                        <c:v>4</c:v>
                      </c:pt>
                      <c:pt idx="286">
                        <c:v>5</c:v>
                      </c:pt>
                      <c:pt idx="287">
                        <c:v>5</c:v>
                      </c:pt>
                      <c:pt idx="288">
                        <c:v>5</c:v>
                      </c:pt>
                      <c:pt idx="289">
                        <c:v>5</c:v>
                      </c:pt>
                      <c:pt idx="290">
                        <c:v>5</c:v>
                      </c:pt>
                      <c:pt idx="291">
                        <c:v>5</c:v>
                      </c:pt>
                      <c:pt idx="292">
                        <c:v>5</c:v>
                      </c:pt>
                      <c:pt idx="293">
                        <c:v>5</c:v>
                      </c:pt>
                      <c:pt idx="294">
                        <c:v>5</c:v>
                      </c:pt>
                      <c:pt idx="295">
                        <c:v>5</c:v>
                      </c:pt>
                      <c:pt idx="296">
                        <c:v>5</c:v>
                      </c:pt>
                      <c:pt idx="297">
                        <c:v>5</c:v>
                      </c:pt>
                      <c:pt idx="298">
                        <c:v>5</c:v>
                      </c:pt>
                      <c:pt idx="299">
                        <c:v>5</c:v>
                      </c:pt>
                      <c:pt idx="300">
                        <c:v>5</c:v>
                      </c:pt>
                      <c:pt idx="301">
                        <c:v>5</c:v>
                      </c:pt>
                      <c:pt idx="302">
                        <c:v>5</c:v>
                      </c:pt>
                      <c:pt idx="303">
                        <c:v>5</c:v>
                      </c:pt>
                      <c:pt idx="304">
                        <c:v>5</c:v>
                      </c:pt>
                      <c:pt idx="319">
                        <c:v>6</c:v>
                      </c:pt>
                      <c:pt idx="320">
                        <c:v>6</c:v>
                      </c:pt>
                      <c:pt idx="321">
                        <c:v>6</c:v>
                      </c:pt>
                      <c:pt idx="322">
                        <c:v>6</c:v>
                      </c:pt>
                      <c:pt idx="323">
                        <c:v>6</c:v>
                      </c:pt>
                      <c:pt idx="324">
                        <c:v>6</c:v>
                      </c:pt>
                      <c:pt idx="325">
                        <c:v>6</c:v>
                      </c:pt>
                      <c:pt idx="326">
                        <c:v>6</c:v>
                      </c:pt>
                      <c:pt idx="327">
                        <c:v>6</c:v>
                      </c:pt>
                      <c:pt idx="328">
                        <c:v>6</c:v>
                      </c:pt>
                      <c:pt idx="329">
                        <c:v>6</c:v>
                      </c:pt>
                      <c:pt idx="330">
                        <c:v>6</c:v>
                      </c:pt>
                      <c:pt idx="331">
                        <c:v>6</c:v>
                      </c:pt>
                      <c:pt idx="332">
                        <c:v>6</c:v>
                      </c:pt>
                      <c:pt idx="333">
                        <c:v>6</c:v>
                      </c:pt>
                      <c:pt idx="334">
                        <c:v>6</c:v>
                      </c:pt>
                      <c:pt idx="335">
                        <c:v>6</c:v>
                      </c:pt>
                      <c:pt idx="336">
                        <c:v>6</c:v>
                      </c:pt>
                      <c:pt idx="337">
                        <c:v>6</c:v>
                      </c:pt>
                      <c:pt idx="338">
                        <c:v>6</c:v>
                      </c:pt>
                      <c:pt idx="339">
                        <c:v>6</c:v>
                      </c:pt>
                      <c:pt idx="340">
                        <c:v>6</c:v>
                      </c:pt>
                      <c:pt idx="341">
                        <c:v>6</c:v>
                      </c:pt>
                      <c:pt idx="342">
                        <c:v>6</c:v>
                      </c:pt>
                      <c:pt idx="343">
                        <c:v>6</c:v>
                      </c:pt>
                      <c:pt idx="344">
                        <c:v>6</c:v>
                      </c:pt>
                      <c:pt idx="418">
                        <c:v>7</c:v>
                      </c:pt>
                      <c:pt idx="419">
                        <c:v>7</c:v>
                      </c:pt>
                      <c:pt idx="420">
                        <c:v>7</c:v>
                      </c:pt>
                      <c:pt idx="421">
                        <c:v>7</c:v>
                      </c:pt>
                      <c:pt idx="422">
                        <c:v>7</c:v>
                      </c:pt>
                      <c:pt idx="423">
                        <c:v>7</c:v>
                      </c:pt>
                      <c:pt idx="424">
                        <c:v>7</c:v>
                      </c:pt>
                      <c:pt idx="425">
                        <c:v>7</c:v>
                      </c:pt>
                      <c:pt idx="426">
                        <c:v>7</c:v>
                      </c:pt>
                      <c:pt idx="427">
                        <c:v>7</c:v>
                      </c:pt>
                      <c:pt idx="428">
                        <c:v>7</c:v>
                      </c:pt>
                      <c:pt idx="429">
                        <c:v>7</c:v>
                      </c:pt>
                      <c:pt idx="430">
                        <c:v>7</c:v>
                      </c:pt>
                      <c:pt idx="431">
                        <c:v>7</c:v>
                      </c:pt>
                      <c:pt idx="432">
                        <c:v>7</c:v>
                      </c:pt>
                      <c:pt idx="433">
                        <c:v>7</c:v>
                      </c:pt>
                      <c:pt idx="434">
                        <c:v>7</c:v>
                      </c:pt>
                      <c:pt idx="435">
                        <c:v>7</c:v>
                      </c:pt>
                      <c:pt idx="436">
                        <c:v>7</c:v>
                      </c:pt>
                      <c:pt idx="437">
                        <c:v>7</c:v>
                      </c:pt>
                      <c:pt idx="438">
                        <c:v>7</c:v>
                      </c:pt>
                      <c:pt idx="439">
                        <c:v>7</c:v>
                      </c:pt>
                      <c:pt idx="440">
                        <c:v>7</c:v>
                      </c:pt>
                      <c:pt idx="441">
                        <c:v>7</c:v>
                      </c:pt>
                      <c:pt idx="442">
                        <c:v>7</c:v>
                      </c:pt>
                      <c:pt idx="443">
                        <c:v>7</c:v>
                      </c:pt>
                      <c:pt idx="444">
                        <c:v>7</c:v>
                      </c:pt>
                      <c:pt idx="445">
                        <c:v>7</c:v>
                      </c:pt>
                      <c:pt idx="446">
                        <c:v>7</c:v>
                      </c:pt>
                      <c:pt idx="447">
                        <c:v>7</c:v>
                      </c:pt>
                      <c:pt idx="448">
                        <c:v>7</c:v>
                      </c:pt>
                      <c:pt idx="449">
                        <c:v>7</c:v>
                      </c:pt>
                      <c:pt idx="450">
                        <c:v>7</c:v>
                      </c:pt>
                      <c:pt idx="451">
                        <c:v>7</c:v>
                      </c:pt>
                      <c:pt idx="452">
                        <c:v>7</c:v>
                      </c:pt>
                      <c:pt idx="453">
                        <c:v>7</c:v>
                      </c:pt>
                      <c:pt idx="454">
                        <c:v>7</c:v>
                      </c:pt>
                      <c:pt idx="455">
                        <c:v>7</c:v>
                      </c:pt>
                      <c:pt idx="456">
                        <c:v>7</c:v>
                      </c:pt>
                      <c:pt idx="457">
                        <c:v>7</c:v>
                      </c:pt>
                      <c:pt idx="458">
                        <c:v>7</c:v>
                      </c:pt>
                      <c:pt idx="459">
                        <c:v>7</c:v>
                      </c:pt>
                      <c:pt idx="460">
                        <c:v>7</c:v>
                      </c:pt>
                      <c:pt idx="461">
                        <c:v>7</c:v>
                      </c:pt>
                      <c:pt idx="462">
                        <c:v>7</c:v>
                      </c:pt>
                      <c:pt idx="463">
                        <c:v>7</c:v>
                      </c:pt>
                      <c:pt idx="464">
                        <c:v>7</c:v>
                      </c:pt>
                      <c:pt idx="465">
                        <c:v>7</c:v>
                      </c:pt>
                      <c:pt idx="466">
                        <c:v>7</c:v>
                      </c:pt>
                      <c:pt idx="467">
                        <c:v>7</c:v>
                      </c:pt>
                      <c:pt idx="468">
                        <c:v>7</c:v>
                      </c:pt>
                      <c:pt idx="469">
                        <c:v>7</c:v>
                      </c:pt>
                      <c:pt idx="470">
                        <c:v>7</c:v>
                      </c:pt>
                      <c:pt idx="471">
                        <c:v>7</c:v>
                      </c:pt>
                      <c:pt idx="472">
                        <c:v>7</c:v>
                      </c:pt>
                      <c:pt idx="473">
                        <c:v>7</c:v>
                      </c:pt>
                      <c:pt idx="474">
                        <c:v>7</c:v>
                      </c:pt>
                      <c:pt idx="475">
                        <c:v>7</c:v>
                      </c:pt>
                      <c:pt idx="476">
                        <c:v>7</c:v>
                      </c:pt>
                      <c:pt idx="477">
                        <c:v>7</c:v>
                      </c:pt>
                      <c:pt idx="478">
                        <c:v>7</c:v>
                      </c:pt>
                      <c:pt idx="479">
                        <c:v>7</c:v>
                      </c:pt>
                      <c:pt idx="480">
                        <c:v>7</c:v>
                      </c:pt>
                      <c:pt idx="481">
                        <c:v>7</c:v>
                      </c:pt>
                      <c:pt idx="482">
                        <c:v>7</c:v>
                      </c:pt>
                      <c:pt idx="483">
                        <c:v>7</c:v>
                      </c:pt>
                      <c:pt idx="484">
                        <c:v>7</c:v>
                      </c:pt>
                      <c:pt idx="485">
                        <c:v>7</c:v>
                      </c:pt>
                      <c:pt idx="486">
                        <c:v>7</c:v>
                      </c:pt>
                      <c:pt idx="487">
                        <c:v>7</c:v>
                      </c:pt>
                      <c:pt idx="488">
                        <c:v>7</c:v>
                      </c:pt>
                      <c:pt idx="489">
                        <c:v>7</c:v>
                      </c:pt>
                      <c:pt idx="490">
                        <c:v>7</c:v>
                      </c:pt>
                      <c:pt idx="491">
                        <c:v>7</c:v>
                      </c:pt>
                      <c:pt idx="492">
                        <c:v>7</c:v>
                      </c:pt>
                      <c:pt idx="493">
                        <c:v>7</c:v>
                      </c:pt>
                      <c:pt idx="494">
                        <c:v>7</c:v>
                      </c:pt>
                      <c:pt idx="495">
                        <c:v>7</c:v>
                      </c:pt>
                      <c:pt idx="496">
                        <c:v>7</c:v>
                      </c:pt>
                      <c:pt idx="497">
                        <c:v>7</c:v>
                      </c:pt>
                      <c:pt idx="498">
                        <c:v>7</c:v>
                      </c:pt>
                      <c:pt idx="499">
                        <c:v>7</c:v>
                      </c:pt>
                      <c:pt idx="500">
                        <c:v>7</c:v>
                      </c:pt>
                      <c:pt idx="501">
                        <c:v>7</c:v>
                      </c:pt>
                      <c:pt idx="502">
                        <c:v>7</c:v>
                      </c:pt>
                      <c:pt idx="583">
                        <c:v>8</c:v>
                      </c:pt>
                      <c:pt idx="584">
                        <c:v>8</c:v>
                      </c:pt>
                      <c:pt idx="585">
                        <c:v>8</c:v>
                      </c:pt>
                      <c:pt idx="586">
                        <c:v>8</c:v>
                      </c:pt>
                      <c:pt idx="587">
                        <c:v>8</c:v>
                      </c:pt>
                      <c:pt idx="588">
                        <c:v>8</c:v>
                      </c:pt>
                      <c:pt idx="589">
                        <c:v>8</c:v>
                      </c:pt>
                      <c:pt idx="718">
                        <c:v>9</c:v>
                      </c:pt>
                      <c:pt idx="719">
                        <c:v>9</c:v>
                      </c:pt>
                      <c:pt idx="720">
                        <c:v>9</c:v>
                      </c:pt>
                      <c:pt idx="721">
                        <c:v>9</c:v>
                      </c:pt>
                      <c:pt idx="722">
                        <c:v>9</c:v>
                      </c:pt>
                      <c:pt idx="723">
                        <c:v>9</c:v>
                      </c:pt>
                      <c:pt idx="724">
                        <c:v>9</c:v>
                      </c:pt>
                      <c:pt idx="725">
                        <c:v>9</c:v>
                      </c:pt>
                      <c:pt idx="726">
                        <c:v>9</c:v>
                      </c:pt>
                      <c:pt idx="727">
                        <c:v>9</c:v>
                      </c:pt>
                      <c:pt idx="728">
                        <c:v>9</c:v>
                      </c:pt>
                      <c:pt idx="729">
                        <c:v>9</c:v>
                      </c:pt>
                      <c:pt idx="730">
                        <c:v>9</c:v>
                      </c:pt>
                      <c:pt idx="731">
                        <c:v>9</c:v>
                      </c:pt>
                      <c:pt idx="732">
                        <c:v>9</c:v>
                      </c:pt>
                      <c:pt idx="733">
                        <c:v>9</c:v>
                      </c:pt>
                      <c:pt idx="734">
                        <c:v>9</c:v>
                      </c:pt>
                      <c:pt idx="735">
                        <c:v>9</c:v>
                      </c:pt>
                      <c:pt idx="736">
                        <c:v>9</c:v>
                      </c:pt>
                      <c:pt idx="737">
                        <c:v>9</c:v>
                      </c:pt>
                      <c:pt idx="738">
                        <c:v>9</c:v>
                      </c:pt>
                      <c:pt idx="739">
                        <c:v>9</c:v>
                      </c:pt>
                      <c:pt idx="740">
                        <c:v>9</c:v>
                      </c:pt>
                      <c:pt idx="741">
                        <c:v>9</c:v>
                      </c:pt>
                      <c:pt idx="742">
                        <c:v>9</c:v>
                      </c:pt>
                      <c:pt idx="743">
                        <c:v>9</c:v>
                      </c:pt>
                      <c:pt idx="744">
                        <c:v>9</c:v>
                      </c:pt>
                      <c:pt idx="745">
                        <c:v>9</c:v>
                      </c:pt>
                      <c:pt idx="746">
                        <c:v>9</c:v>
                      </c:pt>
                      <c:pt idx="747">
                        <c:v>9</c:v>
                      </c:pt>
                      <c:pt idx="748">
                        <c:v>9</c:v>
                      </c:pt>
                      <c:pt idx="769">
                        <c:v>10</c:v>
                      </c:pt>
                      <c:pt idx="770">
                        <c:v>10</c:v>
                      </c:pt>
                      <c:pt idx="771">
                        <c:v>10</c:v>
                      </c:pt>
                      <c:pt idx="772">
                        <c:v>10</c:v>
                      </c:pt>
                      <c:pt idx="773">
                        <c:v>10</c:v>
                      </c:pt>
                      <c:pt idx="774">
                        <c:v>10</c:v>
                      </c:pt>
                      <c:pt idx="775">
                        <c:v>10</c:v>
                      </c:pt>
                      <c:pt idx="776">
                        <c:v>10</c:v>
                      </c:pt>
                      <c:pt idx="777">
                        <c:v>10</c:v>
                      </c:pt>
                      <c:pt idx="778">
                        <c:v>10</c:v>
                      </c:pt>
                      <c:pt idx="779">
                        <c:v>10</c:v>
                      </c:pt>
                      <c:pt idx="780">
                        <c:v>10</c:v>
                      </c:pt>
                      <c:pt idx="781">
                        <c:v>10</c:v>
                      </c:pt>
                      <c:pt idx="782">
                        <c:v>10</c:v>
                      </c:pt>
                      <c:pt idx="783">
                        <c:v>10</c:v>
                      </c:pt>
                      <c:pt idx="784">
                        <c:v>10</c:v>
                      </c:pt>
                      <c:pt idx="785">
                        <c:v>10</c:v>
                      </c:pt>
                      <c:pt idx="786">
                        <c:v>10</c:v>
                      </c:pt>
                      <c:pt idx="787">
                        <c:v>10</c:v>
                      </c:pt>
                      <c:pt idx="788">
                        <c:v>10</c:v>
                      </c:pt>
                      <c:pt idx="789">
                        <c:v>10</c:v>
                      </c:pt>
                      <c:pt idx="790">
                        <c:v>10</c:v>
                      </c:pt>
                      <c:pt idx="804">
                        <c:v>11</c:v>
                      </c:pt>
                      <c:pt idx="805">
                        <c:v>11</c:v>
                      </c:pt>
                      <c:pt idx="806">
                        <c:v>11</c:v>
                      </c:pt>
                      <c:pt idx="813">
                        <c:v>12</c:v>
                      </c:pt>
                      <c:pt idx="814">
                        <c:v>12</c:v>
                      </c:pt>
                      <c:pt idx="815">
                        <c:v>12</c:v>
                      </c:pt>
                      <c:pt idx="816">
                        <c:v>12</c:v>
                      </c:pt>
                      <c:pt idx="817">
                        <c:v>12</c:v>
                      </c:pt>
                      <c:pt idx="818">
                        <c:v>12</c:v>
                      </c:pt>
                      <c:pt idx="819">
                        <c:v>12</c:v>
                      </c:pt>
                      <c:pt idx="820">
                        <c:v>12</c:v>
                      </c:pt>
                      <c:pt idx="821">
                        <c:v>12</c:v>
                      </c:pt>
                      <c:pt idx="822">
                        <c:v>12</c:v>
                      </c:pt>
                      <c:pt idx="823">
                        <c:v>12</c:v>
                      </c:pt>
                      <c:pt idx="824">
                        <c:v>12</c:v>
                      </c:pt>
                      <c:pt idx="825">
                        <c:v>12</c:v>
                      </c:pt>
                      <c:pt idx="826">
                        <c:v>12</c:v>
                      </c:pt>
                      <c:pt idx="827">
                        <c:v>12</c:v>
                      </c:pt>
                      <c:pt idx="828">
                        <c:v>12</c:v>
                      </c:pt>
                      <c:pt idx="829">
                        <c:v>12</c:v>
                      </c:pt>
                      <c:pt idx="830">
                        <c:v>12</c:v>
                      </c:pt>
                      <c:pt idx="831">
                        <c:v>12</c:v>
                      </c:pt>
                      <c:pt idx="832">
                        <c:v>12</c:v>
                      </c:pt>
                      <c:pt idx="833">
                        <c:v>12</c:v>
                      </c:pt>
                      <c:pt idx="834">
                        <c:v>12</c:v>
                      </c:pt>
                      <c:pt idx="835">
                        <c:v>12</c:v>
                      </c:pt>
                      <c:pt idx="836">
                        <c:v>12</c:v>
                      </c:pt>
                      <c:pt idx="837">
                        <c:v>12</c:v>
                      </c:pt>
                      <c:pt idx="838">
                        <c:v>12</c:v>
                      </c:pt>
                      <c:pt idx="839">
                        <c:v>12</c:v>
                      </c:pt>
                      <c:pt idx="840">
                        <c:v>12</c:v>
                      </c:pt>
                      <c:pt idx="841">
                        <c:v>12</c:v>
                      </c:pt>
                      <c:pt idx="842">
                        <c:v>12</c:v>
                      </c:pt>
                      <c:pt idx="843">
                        <c:v>12</c:v>
                      </c:pt>
                      <c:pt idx="844">
                        <c:v>12</c:v>
                      </c:pt>
                      <c:pt idx="845">
                        <c:v>12</c:v>
                      </c:pt>
                      <c:pt idx="846">
                        <c:v>12</c:v>
                      </c:pt>
                      <c:pt idx="847">
                        <c:v>12</c:v>
                      </c:pt>
                      <c:pt idx="848">
                        <c:v>12</c:v>
                      </c:pt>
                      <c:pt idx="849">
                        <c:v>12</c:v>
                      </c:pt>
                      <c:pt idx="850">
                        <c:v>12</c:v>
                      </c:pt>
                      <c:pt idx="851">
                        <c:v>12</c:v>
                      </c:pt>
                      <c:pt idx="852">
                        <c:v>12</c:v>
                      </c:pt>
                      <c:pt idx="853">
                        <c:v>12</c:v>
                      </c:pt>
                      <c:pt idx="854">
                        <c:v>12</c:v>
                      </c:pt>
                      <c:pt idx="855">
                        <c:v>12</c:v>
                      </c:pt>
                      <c:pt idx="856">
                        <c:v>12</c:v>
                      </c:pt>
                      <c:pt idx="857">
                        <c:v>12</c:v>
                      </c:pt>
                      <c:pt idx="858">
                        <c:v>12</c:v>
                      </c:pt>
                      <c:pt idx="859">
                        <c:v>12</c:v>
                      </c:pt>
                      <c:pt idx="860">
                        <c:v>12</c:v>
                      </c:pt>
                      <c:pt idx="861">
                        <c:v>12</c:v>
                      </c:pt>
                      <c:pt idx="862">
                        <c:v>12</c:v>
                      </c:pt>
                      <c:pt idx="863">
                        <c:v>12</c:v>
                      </c:pt>
                      <c:pt idx="864">
                        <c:v>12</c:v>
                      </c:pt>
                      <c:pt idx="865">
                        <c:v>12</c:v>
                      </c:pt>
                      <c:pt idx="866">
                        <c:v>12</c:v>
                      </c:pt>
                      <c:pt idx="867">
                        <c:v>12</c:v>
                      </c:pt>
                      <c:pt idx="868">
                        <c:v>12</c:v>
                      </c:pt>
                      <c:pt idx="869">
                        <c:v>12</c:v>
                      </c:pt>
                      <c:pt idx="870">
                        <c:v>12</c:v>
                      </c:pt>
                      <c:pt idx="871">
                        <c:v>12</c:v>
                      </c:pt>
                      <c:pt idx="872">
                        <c:v>12</c:v>
                      </c:pt>
                      <c:pt idx="873">
                        <c:v>12</c:v>
                      </c:pt>
                      <c:pt idx="874">
                        <c:v>12</c:v>
                      </c:pt>
                      <c:pt idx="875">
                        <c:v>12</c:v>
                      </c:pt>
                      <c:pt idx="876">
                        <c:v>12</c:v>
                      </c:pt>
                      <c:pt idx="877">
                        <c:v>12</c:v>
                      </c:pt>
                      <c:pt idx="878">
                        <c:v>12</c:v>
                      </c:pt>
                      <c:pt idx="879">
                        <c:v>12</c:v>
                      </c:pt>
                      <c:pt idx="880">
                        <c:v>12</c:v>
                      </c:pt>
                      <c:pt idx="881">
                        <c:v>12</c:v>
                      </c:pt>
                      <c:pt idx="882">
                        <c:v>12</c:v>
                      </c:pt>
                      <c:pt idx="883">
                        <c:v>12</c:v>
                      </c:pt>
                      <c:pt idx="884">
                        <c:v>12</c:v>
                      </c:pt>
                      <c:pt idx="885">
                        <c:v>12</c:v>
                      </c:pt>
                      <c:pt idx="886">
                        <c:v>12</c:v>
                      </c:pt>
                      <c:pt idx="887">
                        <c:v>12</c:v>
                      </c:pt>
                      <c:pt idx="888">
                        <c:v>12</c:v>
                      </c:pt>
                      <c:pt idx="889">
                        <c:v>12</c:v>
                      </c:pt>
                      <c:pt idx="890">
                        <c:v>12</c:v>
                      </c:pt>
                      <c:pt idx="891">
                        <c:v>12</c:v>
                      </c:pt>
                      <c:pt idx="938">
                        <c:v>13</c:v>
                      </c:pt>
                      <c:pt idx="939">
                        <c:v>13</c:v>
                      </c:pt>
                      <c:pt idx="940">
                        <c:v>13</c:v>
                      </c:pt>
                      <c:pt idx="941">
                        <c:v>13</c:v>
                      </c:pt>
                      <c:pt idx="942">
                        <c:v>13</c:v>
                      </c:pt>
                      <c:pt idx="943">
                        <c:v>13</c:v>
                      </c:pt>
                      <c:pt idx="944">
                        <c:v>13</c:v>
                      </c:pt>
                      <c:pt idx="945">
                        <c:v>13</c:v>
                      </c:pt>
                      <c:pt idx="946">
                        <c:v>13</c:v>
                      </c:pt>
                      <c:pt idx="947">
                        <c:v>13</c:v>
                      </c:pt>
                      <c:pt idx="948">
                        <c:v>13</c:v>
                      </c:pt>
                      <c:pt idx="949">
                        <c:v>13</c:v>
                      </c:pt>
                      <c:pt idx="950">
                        <c:v>13</c:v>
                      </c:pt>
                      <c:pt idx="951">
                        <c:v>13</c:v>
                      </c:pt>
                      <c:pt idx="952">
                        <c:v>13</c:v>
                      </c:pt>
                      <c:pt idx="953">
                        <c:v>13</c:v>
                      </c:pt>
                      <c:pt idx="954">
                        <c:v>13</c:v>
                      </c:pt>
                      <c:pt idx="955">
                        <c:v>13</c:v>
                      </c:pt>
                      <c:pt idx="956">
                        <c:v>13</c:v>
                      </c:pt>
                      <c:pt idx="957">
                        <c:v>13</c:v>
                      </c:pt>
                      <c:pt idx="958">
                        <c:v>13</c:v>
                      </c:pt>
                      <c:pt idx="959">
                        <c:v>13</c:v>
                      </c:pt>
                      <c:pt idx="960">
                        <c:v>13</c:v>
                      </c:pt>
                      <c:pt idx="961">
                        <c:v>13</c:v>
                      </c:pt>
                      <c:pt idx="962">
                        <c:v>13</c:v>
                      </c:pt>
                      <c:pt idx="963">
                        <c:v>13</c:v>
                      </c:pt>
                      <c:pt idx="964">
                        <c:v>13</c:v>
                      </c:pt>
                      <c:pt idx="1025">
                        <c:v>14</c:v>
                      </c:pt>
                      <c:pt idx="1026">
                        <c:v>14</c:v>
                      </c:pt>
                      <c:pt idx="1027">
                        <c:v>14</c:v>
                      </c:pt>
                      <c:pt idx="1028">
                        <c:v>14</c:v>
                      </c:pt>
                      <c:pt idx="1029">
                        <c:v>14</c:v>
                      </c:pt>
                      <c:pt idx="1030">
                        <c:v>14</c:v>
                      </c:pt>
                      <c:pt idx="1031">
                        <c:v>14</c:v>
                      </c:pt>
                      <c:pt idx="1032">
                        <c:v>14</c:v>
                      </c:pt>
                      <c:pt idx="1033">
                        <c:v>14</c:v>
                      </c:pt>
                      <c:pt idx="1034">
                        <c:v>14</c:v>
                      </c:pt>
                      <c:pt idx="1035">
                        <c:v>14</c:v>
                      </c:pt>
                      <c:pt idx="1036">
                        <c:v>14</c:v>
                      </c:pt>
                      <c:pt idx="1037">
                        <c:v>14</c:v>
                      </c:pt>
                      <c:pt idx="1038">
                        <c:v>14</c:v>
                      </c:pt>
                      <c:pt idx="1039">
                        <c:v>14</c:v>
                      </c:pt>
                      <c:pt idx="1040">
                        <c:v>14</c:v>
                      </c:pt>
                      <c:pt idx="1041">
                        <c:v>14</c:v>
                      </c:pt>
                      <c:pt idx="1042">
                        <c:v>14</c:v>
                      </c:pt>
                      <c:pt idx="1043">
                        <c:v>14</c:v>
                      </c:pt>
                      <c:pt idx="1044">
                        <c:v>14</c:v>
                      </c:pt>
                      <c:pt idx="1070">
                        <c:v>15</c:v>
                      </c:pt>
                      <c:pt idx="1071">
                        <c:v>15</c:v>
                      </c:pt>
                      <c:pt idx="1072">
                        <c:v>15</c:v>
                      </c:pt>
                      <c:pt idx="1073">
                        <c:v>15</c:v>
                      </c:pt>
                      <c:pt idx="1074">
                        <c:v>15</c:v>
                      </c:pt>
                      <c:pt idx="1075">
                        <c:v>15</c:v>
                      </c:pt>
                      <c:pt idx="1076">
                        <c:v>15</c:v>
                      </c:pt>
                      <c:pt idx="1077">
                        <c:v>15</c:v>
                      </c:pt>
                      <c:pt idx="1078">
                        <c:v>15</c:v>
                      </c:pt>
                      <c:pt idx="1079">
                        <c:v>15</c:v>
                      </c:pt>
                      <c:pt idx="1080">
                        <c:v>15</c:v>
                      </c:pt>
                      <c:pt idx="1081">
                        <c:v>15</c:v>
                      </c:pt>
                      <c:pt idx="1082">
                        <c:v>15</c:v>
                      </c:pt>
                      <c:pt idx="1083">
                        <c:v>15</c:v>
                      </c:pt>
                      <c:pt idx="1084">
                        <c:v>15</c:v>
                      </c:pt>
                      <c:pt idx="1085">
                        <c:v>15</c:v>
                      </c:pt>
                      <c:pt idx="1086">
                        <c:v>15</c:v>
                      </c:pt>
                      <c:pt idx="1087">
                        <c:v>15</c:v>
                      </c:pt>
                      <c:pt idx="1088">
                        <c:v>15</c:v>
                      </c:pt>
                      <c:pt idx="1089">
                        <c:v>15</c:v>
                      </c:pt>
                      <c:pt idx="1090">
                        <c:v>15</c:v>
                      </c:pt>
                      <c:pt idx="1091">
                        <c:v>15</c:v>
                      </c:pt>
                      <c:pt idx="1092">
                        <c:v>15</c:v>
                      </c:pt>
                      <c:pt idx="1093">
                        <c:v>15</c:v>
                      </c:pt>
                      <c:pt idx="1094">
                        <c:v>15</c:v>
                      </c:pt>
                      <c:pt idx="1095">
                        <c:v>15</c:v>
                      </c:pt>
                      <c:pt idx="1096">
                        <c:v>15</c:v>
                      </c:pt>
                      <c:pt idx="1097">
                        <c:v>15</c:v>
                      </c:pt>
                      <c:pt idx="1098">
                        <c:v>15</c:v>
                      </c:pt>
                      <c:pt idx="1099">
                        <c:v>15</c:v>
                      </c:pt>
                      <c:pt idx="1100">
                        <c:v>15</c:v>
                      </c:pt>
                      <c:pt idx="1101">
                        <c:v>15</c:v>
                      </c:pt>
                      <c:pt idx="1102">
                        <c:v>15</c:v>
                      </c:pt>
                      <c:pt idx="1103">
                        <c:v>15</c:v>
                      </c:pt>
                      <c:pt idx="1104">
                        <c:v>15</c:v>
                      </c:pt>
                      <c:pt idx="1105">
                        <c:v>15</c:v>
                      </c:pt>
                      <c:pt idx="1106">
                        <c:v>15</c:v>
                      </c:pt>
                      <c:pt idx="1107">
                        <c:v>15</c:v>
                      </c:pt>
                      <c:pt idx="1108">
                        <c:v>15</c:v>
                      </c:pt>
                      <c:pt idx="1109">
                        <c:v>15</c:v>
                      </c:pt>
                      <c:pt idx="1110">
                        <c:v>15</c:v>
                      </c:pt>
                      <c:pt idx="1111">
                        <c:v>15</c:v>
                      </c:pt>
                      <c:pt idx="1112">
                        <c:v>15</c:v>
                      </c:pt>
                      <c:pt idx="1113">
                        <c:v>15</c:v>
                      </c:pt>
                      <c:pt idx="1114">
                        <c:v>15</c:v>
                      </c:pt>
                      <c:pt idx="1115">
                        <c:v>15</c:v>
                      </c:pt>
                      <c:pt idx="1116">
                        <c:v>15</c:v>
                      </c:pt>
                      <c:pt idx="1117">
                        <c:v>15</c:v>
                      </c:pt>
                      <c:pt idx="1118">
                        <c:v>15</c:v>
                      </c:pt>
                      <c:pt idx="1119">
                        <c:v>15</c:v>
                      </c:pt>
                      <c:pt idx="1120">
                        <c:v>15</c:v>
                      </c:pt>
                      <c:pt idx="1127">
                        <c:v>16</c:v>
                      </c:pt>
                      <c:pt idx="1128">
                        <c:v>16</c:v>
                      </c:pt>
                      <c:pt idx="1129">
                        <c:v>16</c:v>
                      </c:pt>
                      <c:pt idx="1130">
                        <c:v>16</c:v>
                      </c:pt>
                      <c:pt idx="1131">
                        <c:v>16</c:v>
                      </c:pt>
                      <c:pt idx="1132">
                        <c:v>16</c:v>
                      </c:pt>
                      <c:pt idx="1133">
                        <c:v>16</c:v>
                      </c:pt>
                      <c:pt idx="1134">
                        <c:v>16</c:v>
                      </c:pt>
                      <c:pt idx="1135">
                        <c:v>16</c:v>
                      </c:pt>
                      <c:pt idx="1136">
                        <c:v>16</c:v>
                      </c:pt>
                      <c:pt idx="1137">
                        <c:v>16</c:v>
                      </c:pt>
                      <c:pt idx="1138">
                        <c:v>16</c:v>
                      </c:pt>
                      <c:pt idx="1139">
                        <c:v>16</c:v>
                      </c:pt>
                      <c:pt idx="1140">
                        <c:v>16</c:v>
                      </c:pt>
                      <c:pt idx="1141">
                        <c:v>16</c:v>
                      </c:pt>
                      <c:pt idx="1142">
                        <c:v>16</c:v>
                      </c:pt>
                      <c:pt idx="1150">
                        <c:v>17</c:v>
                      </c:pt>
                      <c:pt idx="1151">
                        <c:v>17</c:v>
                      </c:pt>
                      <c:pt idx="1152">
                        <c:v>17</c:v>
                      </c:pt>
                      <c:pt idx="1153">
                        <c:v>17</c:v>
                      </c:pt>
                      <c:pt idx="1154">
                        <c:v>17</c:v>
                      </c:pt>
                      <c:pt idx="1155">
                        <c:v>17</c:v>
                      </c:pt>
                      <c:pt idx="1156">
                        <c:v>17</c:v>
                      </c:pt>
                      <c:pt idx="1157">
                        <c:v>17</c:v>
                      </c:pt>
                      <c:pt idx="1158">
                        <c:v>17</c:v>
                      </c:pt>
                      <c:pt idx="1159">
                        <c:v>17</c:v>
                      </c:pt>
                      <c:pt idx="1160">
                        <c:v>17</c:v>
                      </c:pt>
                      <c:pt idx="1161">
                        <c:v>17</c:v>
                      </c:pt>
                      <c:pt idx="1162">
                        <c:v>17</c:v>
                      </c:pt>
                      <c:pt idx="1163">
                        <c:v>17</c:v>
                      </c:pt>
                      <c:pt idx="1164">
                        <c:v>17</c:v>
                      </c:pt>
                      <c:pt idx="1165">
                        <c:v>17</c:v>
                      </c:pt>
                      <c:pt idx="1166">
                        <c:v>17</c:v>
                      </c:pt>
                      <c:pt idx="1167">
                        <c:v>17</c:v>
                      </c:pt>
                      <c:pt idx="1168">
                        <c:v>17</c:v>
                      </c:pt>
                      <c:pt idx="1169">
                        <c:v>17</c:v>
                      </c:pt>
                      <c:pt idx="1170">
                        <c:v>17</c:v>
                      </c:pt>
                      <c:pt idx="1171">
                        <c:v>17</c:v>
                      </c:pt>
                      <c:pt idx="1172">
                        <c:v>17</c:v>
                      </c:pt>
                      <c:pt idx="1173">
                        <c:v>17</c:v>
                      </c:pt>
                      <c:pt idx="1174">
                        <c:v>17</c:v>
                      </c:pt>
                      <c:pt idx="1175">
                        <c:v>17</c:v>
                      </c:pt>
                      <c:pt idx="1176">
                        <c:v>17</c:v>
                      </c:pt>
                      <c:pt idx="1177">
                        <c:v>17</c:v>
                      </c:pt>
                      <c:pt idx="1178">
                        <c:v>17</c:v>
                      </c:pt>
                      <c:pt idx="1179">
                        <c:v>17</c:v>
                      </c:pt>
                      <c:pt idx="1180">
                        <c:v>17</c:v>
                      </c:pt>
                      <c:pt idx="1181">
                        <c:v>17</c:v>
                      </c:pt>
                      <c:pt idx="1182">
                        <c:v>17</c:v>
                      </c:pt>
                      <c:pt idx="1183">
                        <c:v>17</c:v>
                      </c:pt>
                      <c:pt idx="1184">
                        <c:v>17</c:v>
                      </c:pt>
                      <c:pt idx="1185">
                        <c:v>17</c:v>
                      </c:pt>
                      <c:pt idx="1186">
                        <c:v>17</c:v>
                      </c:pt>
                      <c:pt idx="1220">
                        <c:v>18</c:v>
                      </c:pt>
                      <c:pt idx="1221">
                        <c:v>18</c:v>
                      </c:pt>
                      <c:pt idx="1222">
                        <c:v>18</c:v>
                      </c:pt>
                      <c:pt idx="1223">
                        <c:v>18</c:v>
                      </c:pt>
                      <c:pt idx="1224">
                        <c:v>18</c:v>
                      </c:pt>
                      <c:pt idx="1225">
                        <c:v>18</c:v>
                      </c:pt>
                      <c:pt idx="1226">
                        <c:v>18</c:v>
                      </c:pt>
                      <c:pt idx="1227">
                        <c:v>18</c:v>
                      </c:pt>
                      <c:pt idx="1228">
                        <c:v>18</c:v>
                      </c:pt>
                      <c:pt idx="1229">
                        <c:v>18</c:v>
                      </c:pt>
                      <c:pt idx="1230">
                        <c:v>18</c:v>
                      </c:pt>
                      <c:pt idx="1231">
                        <c:v>18</c:v>
                      </c:pt>
                      <c:pt idx="1260">
                        <c:v>19</c:v>
                      </c:pt>
                      <c:pt idx="1261">
                        <c:v>19</c:v>
                      </c:pt>
                      <c:pt idx="1262">
                        <c:v>19</c:v>
                      </c:pt>
                      <c:pt idx="1263">
                        <c:v>19</c:v>
                      </c:pt>
                      <c:pt idx="1264">
                        <c:v>19</c:v>
                      </c:pt>
                      <c:pt idx="1265">
                        <c:v>19</c:v>
                      </c:pt>
                      <c:pt idx="1266">
                        <c:v>19</c:v>
                      </c:pt>
                      <c:pt idx="1267">
                        <c:v>19</c:v>
                      </c:pt>
                      <c:pt idx="1268">
                        <c:v>19</c:v>
                      </c:pt>
                      <c:pt idx="1269">
                        <c:v>19</c:v>
                      </c:pt>
                      <c:pt idx="1270">
                        <c:v>19</c:v>
                      </c:pt>
                      <c:pt idx="1271">
                        <c:v>19</c:v>
                      </c:pt>
                      <c:pt idx="1272">
                        <c:v>19</c:v>
                      </c:pt>
                      <c:pt idx="1273">
                        <c:v>19</c:v>
                      </c:pt>
                      <c:pt idx="1274">
                        <c:v>19</c:v>
                      </c:pt>
                      <c:pt idx="1275">
                        <c:v>19</c:v>
                      </c:pt>
                      <c:pt idx="1276">
                        <c:v>19</c:v>
                      </c:pt>
                      <c:pt idx="1277">
                        <c:v>19</c:v>
                      </c:pt>
                      <c:pt idx="1278">
                        <c:v>19</c:v>
                      </c:pt>
                      <c:pt idx="1279">
                        <c:v>19</c:v>
                      </c:pt>
                      <c:pt idx="1280">
                        <c:v>19</c:v>
                      </c:pt>
                      <c:pt idx="1281">
                        <c:v>19</c:v>
                      </c:pt>
                      <c:pt idx="1282">
                        <c:v>19</c:v>
                      </c:pt>
                      <c:pt idx="1283">
                        <c:v>19</c:v>
                      </c:pt>
                      <c:pt idx="1284">
                        <c:v>19</c:v>
                      </c:pt>
                      <c:pt idx="1285">
                        <c:v>19</c:v>
                      </c:pt>
                      <c:pt idx="1286">
                        <c:v>19</c:v>
                      </c:pt>
                      <c:pt idx="1287">
                        <c:v>19</c:v>
                      </c:pt>
                      <c:pt idx="1288">
                        <c:v>19</c:v>
                      </c:pt>
                      <c:pt idx="1289">
                        <c:v>19</c:v>
                      </c:pt>
                      <c:pt idx="1290">
                        <c:v>19</c:v>
                      </c:pt>
                      <c:pt idx="1291">
                        <c:v>19</c:v>
                      </c:pt>
                      <c:pt idx="1292">
                        <c:v>19</c:v>
                      </c:pt>
                      <c:pt idx="1293">
                        <c:v>19</c:v>
                      </c:pt>
                      <c:pt idx="1294">
                        <c:v>19</c:v>
                      </c:pt>
                      <c:pt idx="1295">
                        <c:v>19</c:v>
                      </c:pt>
                      <c:pt idx="1296">
                        <c:v>19</c:v>
                      </c:pt>
                      <c:pt idx="1297">
                        <c:v>19</c:v>
                      </c:pt>
                      <c:pt idx="1298">
                        <c:v>19</c:v>
                      </c:pt>
                      <c:pt idx="1299">
                        <c:v>19</c:v>
                      </c:pt>
                      <c:pt idx="1300">
                        <c:v>19</c:v>
                      </c:pt>
                      <c:pt idx="1301">
                        <c:v>19</c:v>
                      </c:pt>
                      <c:pt idx="1302">
                        <c:v>19</c:v>
                      </c:pt>
                      <c:pt idx="1303">
                        <c:v>19</c:v>
                      </c:pt>
                      <c:pt idx="1304">
                        <c:v>19</c:v>
                      </c:pt>
                      <c:pt idx="1305">
                        <c:v>19</c:v>
                      </c:pt>
                      <c:pt idx="1306">
                        <c:v>19</c:v>
                      </c:pt>
                      <c:pt idx="1307">
                        <c:v>19</c:v>
                      </c:pt>
                      <c:pt idx="1308">
                        <c:v>19</c:v>
                      </c:pt>
                      <c:pt idx="1309">
                        <c:v>19</c:v>
                      </c:pt>
                      <c:pt idx="1310">
                        <c:v>19</c:v>
                      </c:pt>
                      <c:pt idx="1311">
                        <c:v>19</c:v>
                      </c:pt>
                      <c:pt idx="1312">
                        <c:v>19</c:v>
                      </c:pt>
                      <c:pt idx="1313">
                        <c:v>19</c:v>
                      </c:pt>
                      <c:pt idx="1314">
                        <c:v>19</c:v>
                      </c:pt>
                      <c:pt idx="1315">
                        <c:v>19</c:v>
                      </c:pt>
                      <c:pt idx="1316">
                        <c:v>19</c:v>
                      </c:pt>
                      <c:pt idx="1317">
                        <c:v>19</c:v>
                      </c:pt>
                      <c:pt idx="1322">
                        <c:v>20</c:v>
                      </c:pt>
                      <c:pt idx="1323">
                        <c:v>20</c:v>
                      </c:pt>
                      <c:pt idx="1324">
                        <c:v>20</c:v>
                      </c:pt>
                      <c:pt idx="1325">
                        <c:v>20</c:v>
                      </c:pt>
                      <c:pt idx="1326">
                        <c:v>20</c:v>
                      </c:pt>
                      <c:pt idx="1327">
                        <c:v>20</c:v>
                      </c:pt>
                      <c:pt idx="1357">
                        <c:v>21</c:v>
                      </c:pt>
                      <c:pt idx="1358">
                        <c:v>21</c:v>
                      </c:pt>
                      <c:pt idx="1359">
                        <c:v>21</c:v>
                      </c:pt>
                      <c:pt idx="1360">
                        <c:v>21</c:v>
                      </c:pt>
                      <c:pt idx="1361">
                        <c:v>21</c:v>
                      </c:pt>
                      <c:pt idx="1362">
                        <c:v>21</c:v>
                      </c:pt>
                      <c:pt idx="1363">
                        <c:v>21</c:v>
                      </c:pt>
                      <c:pt idx="1364">
                        <c:v>21</c:v>
                      </c:pt>
                      <c:pt idx="1365">
                        <c:v>21</c:v>
                      </c:pt>
                      <c:pt idx="1366">
                        <c:v>21</c:v>
                      </c:pt>
                      <c:pt idx="1367">
                        <c:v>21</c:v>
                      </c:pt>
                      <c:pt idx="1368">
                        <c:v>21</c:v>
                      </c:pt>
                      <c:pt idx="1369">
                        <c:v>21</c:v>
                      </c:pt>
                      <c:pt idx="1370">
                        <c:v>21</c:v>
                      </c:pt>
                      <c:pt idx="1371">
                        <c:v>21</c:v>
                      </c:pt>
                      <c:pt idx="1372">
                        <c:v>21</c:v>
                      </c:pt>
                      <c:pt idx="1373">
                        <c:v>21</c:v>
                      </c:pt>
                      <c:pt idx="1374">
                        <c:v>21</c:v>
                      </c:pt>
                      <c:pt idx="1375">
                        <c:v>21</c:v>
                      </c:pt>
                      <c:pt idx="1376">
                        <c:v>21</c:v>
                      </c:pt>
                      <c:pt idx="1377">
                        <c:v>21</c:v>
                      </c:pt>
                      <c:pt idx="1378">
                        <c:v>21</c:v>
                      </c:pt>
                      <c:pt idx="1379">
                        <c:v>21</c:v>
                      </c:pt>
                      <c:pt idx="1380">
                        <c:v>21</c:v>
                      </c:pt>
                      <c:pt idx="1381">
                        <c:v>21</c:v>
                      </c:pt>
                      <c:pt idx="1382">
                        <c:v>21</c:v>
                      </c:pt>
                      <c:pt idx="1383">
                        <c:v>21</c:v>
                      </c:pt>
                      <c:pt idx="1384">
                        <c:v>21</c:v>
                      </c:pt>
                      <c:pt idx="1385">
                        <c:v>21</c:v>
                      </c:pt>
                      <c:pt idx="1386">
                        <c:v>21</c:v>
                      </c:pt>
                      <c:pt idx="1387">
                        <c:v>21</c:v>
                      </c:pt>
                      <c:pt idx="1388">
                        <c:v>21</c:v>
                      </c:pt>
                      <c:pt idx="1389">
                        <c:v>21</c:v>
                      </c:pt>
                      <c:pt idx="1390">
                        <c:v>21</c:v>
                      </c:pt>
                      <c:pt idx="1391">
                        <c:v>21</c:v>
                      </c:pt>
                      <c:pt idx="1392">
                        <c:v>21</c:v>
                      </c:pt>
                      <c:pt idx="1393">
                        <c:v>21</c:v>
                      </c:pt>
                      <c:pt idx="1394">
                        <c:v>21</c:v>
                      </c:pt>
                      <c:pt idx="1395">
                        <c:v>21</c:v>
                      </c:pt>
                      <c:pt idx="1396">
                        <c:v>21</c:v>
                      </c:pt>
                      <c:pt idx="1397">
                        <c:v>21</c:v>
                      </c:pt>
                      <c:pt idx="1398">
                        <c:v>21</c:v>
                      </c:pt>
                      <c:pt idx="1399">
                        <c:v>21</c:v>
                      </c:pt>
                      <c:pt idx="1400">
                        <c:v>21</c:v>
                      </c:pt>
                      <c:pt idx="1401">
                        <c:v>21</c:v>
                      </c:pt>
                      <c:pt idx="1402">
                        <c:v>21</c:v>
                      </c:pt>
                      <c:pt idx="1403">
                        <c:v>21</c:v>
                      </c:pt>
                      <c:pt idx="1404">
                        <c:v>21</c:v>
                      </c:pt>
                      <c:pt idx="1405">
                        <c:v>21</c:v>
                      </c:pt>
                      <c:pt idx="1406">
                        <c:v>21</c:v>
                      </c:pt>
                      <c:pt idx="1407">
                        <c:v>21</c:v>
                      </c:pt>
                      <c:pt idx="1408">
                        <c:v>21</c:v>
                      </c:pt>
                      <c:pt idx="1409">
                        <c:v>21</c:v>
                      </c:pt>
                      <c:pt idx="1410">
                        <c:v>21</c:v>
                      </c:pt>
                      <c:pt idx="1411">
                        <c:v>21</c:v>
                      </c:pt>
                      <c:pt idx="1412">
                        <c:v>21</c:v>
                      </c:pt>
                      <c:pt idx="1413">
                        <c:v>21</c:v>
                      </c:pt>
                      <c:pt idx="1414">
                        <c:v>21</c:v>
                      </c:pt>
                      <c:pt idx="1420">
                        <c:v>22</c:v>
                      </c:pt>
                      <c:pt idx="1421">
                        <c:v>22</c:v>
                      </c:pt>
                      <c:pt idx="1422">
                        <c:v>22</c:v>
                      </c:pt>
                      <c:pt idx="1423">
                        <c:v>22</c:v>
                      </c:pt>
                      <c:pt idx="1424">
                        <c:v>22</c:v>
                      </c:pt>
                      <c:pt idx="1481">
                        <c:v>23</c:v>
                      </c:pt>
                      <c:pt idx="1482">
                        <c:v>23</c:v>
                      </c:pt>
                      <c:pt idx="1483">
                        <c:v>23</c:v>
                      </c:pt>
                      <c:pt idx="1484">
                        <c:v>23</c:v>
                      </c:pt>
                      <c:pt idx="1485">
                        <c:v>23</c:v>
                      </c:pt>
                      <c:pt idx="1486">
                        <c:v>23</c:v>
                      </c:pt>
                      <c:pt idx="1487">
                        <c:v>23</c:v>
                      </c:pt>
                      <c:pt idx="1488">
                        <c:v>23</c:v>
                      </c:pt>
                      <c:pt idx="1489">
                        <c:v>23</c:v>
                      </c:pt>
                      <c:pt idx="1490">
                        <c:v>23</c:v>
                      </c:pt>
                      <c:pt idx="1491">
                        <c:v>23</c:v>
                      </c:pt>
                      <c:pt idx="1492">
                        <c:v>23</c:v>
                      </c:pt>
                      <c:pt idx="1540">
                        <c:v>24</c:v>
                      </c:pt>
                      <c:pt idx="1541">
                        <c:v>24</c:v>
                      </c:pt>
                      <c:pt idx="1542">
                        <c:v>24</c:v>
                      </c:pt>
                      <c:pt idx="1543">
                        <c:v>24</c:v>
                      </c:pt>
                      <c:pt idx="1544">
                        <c:v>24</c:v>
                      </c:pt>
                      <c:pt idx="1545">
                        <c:v>24</c:v>
                      </c:pt>
                      <c:pt idx="1546">
                        <c:v>24</c:v>
                      </c:pt>
                      <c:pt idx="1547">
                        <c:v>24</c:v>
                      </c:pt>
                      <c:pt idx="1548">
                        <c:v>24</c:v>
                      </c:pt>
                      <c:pt idx="1549">
                        <c:v>24</c:v>
                      </c:pt>
                      <c:pt idx="1550">
                        <c:v>24</c:v>
                      </c:pt>
                      <c:pt idx="1551">
                        <c:v>24</c:v>
                      </c:pt>
                      <c:pt idx="1552">
                        <c:v>24</c:v>
                      </c:pt>
                      <c:pt idx="1553">
                        <c:v>24</c:v>
                      </c:pt>
                      <c:pt idx="1554">
                        <c:v>24</c:v>
                      </c:pt>
                      <c:pt idx="1555">
                        <c:v>24</c:v>
                      </c:pt>
                      <c:pt idx="1556">
                        <c:v>24</c:v>
                      </c:pt>
                      <c:pt idx="1557">
                        <c:v>24</c:v>
                      </c:pt>
                      <c:pt idx="1558">
                        <c:v>24</c:v>
                      </c:pt>
                      <c:pt idx="1559">
                        <c:v>24</c:v>
                      </c:pt>
                      <c:pt idx="1560">
                        <c:v>24</c:v>
                      </c:pt>
                      <c:pt idx="1561">
                        <c:v>24</c:v>
                      </c:pt>
                      <c:pt idx="1562">
                        <c:v>24</c:v>
                      </c:pt>
                      <c:pt idx="1563">
                        <c:v>24</c:v>
                      </c:pt>
                      <c:pt idx="1564">
                        <c:v>24</c:v>
                      </c:pt>
                      <c:pt idx="1565">
                        <c:v>24</c:v>
                      </c:pt>
                      <c:pt idx="1566">
                        <c:v>24</c:v>
                      </c:pt>
                      <c:pt idx="1567">
                        <c:v>24</c:v>
                      </c:pt>
                      <c:pt idx="1568">
                        <c:v>24</c:v>
                      </c:pt>
                      <c:pt idx="1569">
                        <c:v>24</c:v>
                      </c:pt>
                      <c:pt idx="1570">
                        <c:v>24</c:v>
                      </c:pt>
                      <c:pt idx="1571">
                        <c:v>24</c:v>
                      </c:pt>
                      <c:pt idx="1572">
                        <c:v>24</c:v>
                      </c:pt>
                      <c:pt idx="1573">
                        <c:v>24</c:v>
                      </c:pt>
                      <c:pt idx="1574">
                        <c:v>24</c:v>
                      </c:pt>
                      <c:pt idx="1575">
                        <c:v>24</c:v>
                      </c:pt>
                      <c:pt idx="1576">
                        <c:v>24</c:v>
                      </c:pt>
                      <c:pt idx="1577">
                        <c:v>24</c:v>
                      </c:pt>
                      <c:pt idx="1578">
                        <c:v>24</c:v>
                      </c:pt>
                      <c:pt idx="1579">
                        <c:v>24</c:v>
                      </c:pt>
                      <c:pt idx="1580">
                        <c:v>24</c:v>
                      </c:pt>
                      <c:pt idx="1581">
                        <c:v>24</c:v>
                      </c:pt>
                      <c:pt idx="1582">
                        <c:v>24</c:v>
                      </c:pt>
                      <c:pt idx="1583">
                        <c:v>24</c:v>
                      </c:pt>
                      <c:pt idx="1584">
                        <c:v>24</c:v>
                      </c:pt>
                      <c:pt idx="1585">
                        <c:v>24</c:v>
                      </c:pt>
                      <c:pt idx="1586">
                        <c:v>24</c:v>
                      </c:pt>
                      <c:pt idx="1587">
                        <c:v>24</c:v>
                      </c:pt>
                      <c:pt idx="1588">
                        <c:v>24</c:v>
                      </c:pt>
                      <c:pt idx="1589">
                        <c:v>24</c:v>
                      </c:pt>
                      <c:pt idx="1590">
                        <c:v>24</c:v>
                      </c:pt>
                      <c:pt idx="1591">
                        <c:v>24</c:v>
                      </c:pt>
                      <c:pt idx="1592">
                        <c:v>24</c:v>
                      </c:pt>
                      <c:pt idx="1944">
                        <c:v>25</c:v>
                      </c:pt>
                      <c:pt idx="1945">
                        <c:v>25</c:v>
                      </c:pt>
                      <c:pt idx="1946">
                        <c:v>25</c:v>
                      </c:pt>
                      <c:pt idx="1947">
                        <c:v>25</c:v>
                      </c:pt>
                      <c:pt idx="1948">
                        <c:v>25</c:v>
                      </c:pt>
                      <c:pt idx="1949">
                        <c:v>25</c:v>
                      </c:pt>
                      <c:pt idx="1950">
                        <c:v>25</c:v>
                      </c:pt>
                      <c:pt idx="1951">
                        <c:v>25</c:v>
                      </c:pt>
                      <c:pt idx="1952">
                        <c:v>25</c:v>
                      </c:pt>
                      <c:pt idx="1953">
                        <c:v>25</c:v>
                      </c:pt>
                      <c:pt idx="1954">
                        <c:v>25</c:v>
                      </c:pt>
                      <c:pt idx="1955">
                        <c:v>25</c:v>
                      </c:pt>
                      <c:pt idx="1956">
                        <c:v>25</c:v>
                      </c:pt>
                      <c:pt idx="1957">
                        <c:v>25</c:v>
                      </c:pt>
                      <c:pt idx="1958">
                        <c:v>25</c:v>
                      </c:pt>
                      <c:pt idx="1959">
                        <c:v>25</c:v>
                      </c:pt>
                      <c:pt idx="1960">
                        <c:v>25</c:v>
                      </c:pt>
                      <c:pt idx="1961">
                        <c:v>25</c:v>
                      </c:pt>
                      <c:pt idx="1962">
                        <c:v>25</c:v>
                      </c:pt>
                      <c:pt idx="1963">
                        <c:v>25</c:v>
                      </c:pt>
                      <c:pt idx="1964">
                        <c:v>25</c:v>
                      </c:pt>
                      <c:pt idx="1965">
                        <c:v>25</c:v>
                      </c:pt>
                      <c:pt idx="1966">
                        <c:v>25</c:v>
                      </c:pt>
                      <c:pt idx="1967">
                        <c:v>25</c:v>
                      </c:pt>
                      <c:pt idx="1968">
                        <c:v>25</c:v>
                      </c:pt>
                      <c:pt idx="1969">
                        <c:v>25</c:v>
                      </c:pt>
                      <c:pt idx="1970">
                        <c:v>25</c:v>
                      </c:pt>
                      <c:pt idx="1971">
                        <c:v>25</c:v>
                      </c:pt>
                      <c:pt idx="1972">
                        <c:v>25</c:v>
                      </c:pt>
                      <c:pt idx="1973">
                        <c:v>25</c:v>
                      </c:pt>
                      <c:pt idx="2054">
                        <c:v>26</c:v>
                      </c:pt>
                      <c:pt idx="2055">
                        <c:v>26</c:v>
                      </c:pt>
                      <c:pt idx="2056">
                        <c:v>26</c:v>
                      </c:pt>
                      <c:pt idx="2057">
                        <c:v>26</c:v>
                      </c:pt>
                      <c:pt idx="2058">
                        <c:v>26</c:v>
                      </c:pt>
                      <c:pt idx="2059">
                        <c:v>26</c:v>
                      </c:pt>
                      <c:pt idx="2060">
                        <c:v>26</c:v>
                      </c:pt>
                      <c:pt idx="2061">
                        <c:v>26</c:v>
                      </c:pt>
                      <c:pt idx="2062">
                        <c:v>26</c:v>
                      </c:pt>
                      <c:pt idx="2063">
                        <c:v>26</c:v>
                      </c:pt>
                      <c:pt idx="2064">
                        <c:v>26</c:v>
                      </c:pt>
                      <c:pt idx="2065">
                        <c:v>26</c:v>
                      </c:pt>
                      <c:pt idx="2066">
                        <c:v>26</c:v>
                      </c:pt>
                      <c:pt idx="2067">
                        <c:v>26</c:v>
                      </c:pt>
                      <c:pt idx="2068">
                        <c:v>26</c:v>
                      </c:pt>
                      <c:pt idx="2069">
                        <c:v>26</c:v>
                      </c:pt>
                      <c:pt idx="2070">
                        <c:v>26</c:v>
                      </c:pt>
                      <c:pt idx="2071">
                        <c:v>26</c:v>
                      </c:pt>
                      <c:pt idx="2072">
                        <c:v>26</c:v>
                      </c:pt>
                      <c:pt idx="2103">
                        <c:v>27</c:v>
                      </c:pt>
                      <c:pt idx="2104">
                        <c:v>27</c:v>
                      </c:pt>
                      <c:pt idx="2105">
                        <c:v>27</c:v>
                      </c:pt>
                      <c:pt idx="2106">
                        <c:v>27</c:v>
                      </c:pt>
                      <c:pt idx="2107">
                        <c:v>27</c:v>
                      </c:pt>
                      <c:pt idx="2108">
                        <c:v>27</c:v>
                      </c:pt>
                      <c:pt idx="2109">
                        <c:v>27</c:v>
                      </c:pt>
                      <c:pt idx="2110">
                        <c:v>27</c:v>
                      </c:pt>
                      <c:pt idx="2111">
                        <c:v>27</c:v>
                      </c:pt>
                      <c:pt idx="2112">
                        <c:v>27</c:v>
                      </c:pt>
                      <c:pt idx="2113">
                        <c:v>27</c:v>
                      </c:pt>
                      <c:pt idx="2121">
                        <c:v>28</c:v>
                      </c:pt>
                      <c:pt idx="2122">
                        <c:v>28</c:v>
                      </c:pt>
                      <c:pt idx="2123">
                        <c:v>28</c:v>
                      </c:pt>
                      <c:pt idx="2124">
                        <c:v>28</c:v>
                      </c:pt>
                      <c:pt idx="2125">
                        <c:v>28</c:v>
                      </c:pt>
                      <c:pt idx="2126">
                        <c:v>28</c:v>
                      </c:pt>
                      <c:pt idx="2127">
                        <c:v>28</c:v>
                      </c:pt>
                      <c:pt idx="2128">
                        <c:v>28</c:v>
                      </c:pt>
                      <c:pt idx="2136">
                        <c:v>29</c:v>
                      </c:pt>
                      <c:pt idx="2137">
                        <c:v>29</c:v>
                      </c:pt>
                      <c:pt idx="2138">
                        <c:v>29</c:v>
                      </c:pt>
                      <c:pt idx="2139">
                        <c:v>29</c:v>
                      </c:pt>
                      <c:pt idx="2140">
                        <c:v>29</c:v>
                      </c:pt>
                      <c:pt idx="2141">
                        <c:v>29</c:v>
                      </c:pt>
                      <c:pt idx="2142">
                        <c:v>29</c:v>
                      </c:pt>
                      <c:pt idx="2143">
                        <c:v>29</c:v>
                      </c:pt>
                      <c:pt idx="2144">
                        <c:v>29</c:v>
                      </c:pt>
                      <c:pt idx="2145">
                        <c:v>29</c:v>
                      </c:pt>
                      <c:pt idx="2146">
                        <c:v>29</c:v>
                      </c:pt>
                      <c:pt idx="2147">
                        <c:v>29</c:v>
                      </c:pt>
                      <c:pt idx="2148">
                        <c:v>29</c:v>
                      </c:pt>
                      <c:pt idx="2149">
                        <c:v>29</c:v>
                      </c:pt>
                      <c:pt idx="2150">
                        <c:v>29</c:v>
                      </c:pt>
                      <c:pt idx="2151">
                        <c:v>29</c:v>
                      </c:pt>
                      <c:pt idx="2152">
                        <c:v>29</c:v>
                      </c:pt>
                      <c:pt idx="2153">
                        <c:v>29</c:v>
                      </c:pt>
                      <c:pt idx="2154">
                        <c:v>29</c:v>
                      </c:pt>
                      <c:pt idx="2155">
                        <c:v>29</c:v>
                      </c:pt>
                      <c:pt idx="2156">
                        <c:v>29</c:v>
                      </c:pt>
                      <c:pt idx="2157">
                        <c:v>29</c:v>
                      </c:pt>
                      <c:pt idx="2158">
                        <c:v>29</c:v>
                      </c:pt>
                      <c:pt idx="2159">
                        <c:v>29</c:v>
                      </c:pt>
                      <c:pt idx="2196">
                        <c:v>30</c:v>
                      </c:pt>
                      <c:pt idx="2197">
                        <c:v>30</c:v>
                      </c:pt>
                      <c:pt idx="2198">
                        <c:v>30</c:v>
                      </c:pt>
                      <c:pt idx="2199">
                        <c:v>30</c:v>
                      </c:pt>
                      <c:pt idx="2200">
                        <c:v>30</c:v>
                      </c:pt>
                      <c:pt idx="2201">
                        <c:v>30</c:v>
                      </c:pt>
                      <c:pt idx="2202">
                        <c:v>30</c:v>
                      </c:pt>
                      <c:pt idx="2203">
                        <c:v>30</c:v>
                      </c:pt>
                      <c:pt idx="2204">
                        <c:v>30</c:v>
                      </c:pt>
                      <c:pt idx="2205">
                        <c:v>30</c:v>
                      </c:pt>
                      <c:pt idx="2206">
                        <c:v>30</c:v>
                      </c:pt>
                      <c:pt idx="2207">
                        <c:v>30</c:v>
                      </c:pt>
                      <c:pt idx="2208">
                        <c:v>30</c:v>
                      </c:pt>
                      <c:pt idx="2209">
                        <c:v>30</c:v>
                      </c:pt>
                      <c:pt idx="2210">
                        <c:v>30</c:v>
                      </c:pt>
                      <c:pt idx="2211">
                        <c:v>30</c:v>
                      </c:pt>
                      <c:pt idx="2212">
                        <c:v>30</c:v>
                      </c:pt>
                      <c:pt idx="2213">
                        <c:v>30</c:v>
                      </c:pt>
                      <c:pt idx="2214">
                        <c:v>30</c:v>
                      </c:pt>
                      <c:pt idx="2215">
                        <c:v>30</c:v>
                      </c:pt>
                      <c:pt idx="2216">
                        <c:v>30</c:v>
                      </c:pt>
                      <c:pt idx="2217">
                        <c:v>30</c:v>
                      </c:pt>
                      <c:pt idx="2218">
                        <c:v>30</c:v>
                      </c:pt>
                      <c:pt idx="2219">
                        <c:v>30</c:v>
                      </c:pt>
                      <c:pt idx="2220">
                        <c:v>30</c:v>
                      </c:pt>
                      <c:pt idx="2221">
                        <c:v>30</c:v>
                      </c:pt>
                      <c:pt idx="2222">
                        <c:v>30</c:v>
                      </c:pt>
                      <c:pt idx="2223">
                        <c:v>30</c:v>
                      </c:pt>
                      <c:pt idx="2224">
                        <c:v>30</c:v>
                      </c:pt>
                      <c:pt idx="2225">
                        <c:v>30</c:v>
                      </c:pt>
                      <c:pt idx="2226">
                        <c:v>30</c:v>
                      </c:pt>
                      <c:pt idx="2227">
                        <c:v>30</c:v>
                      </c:pt>
                      <c:pt idx="2228">
                        <c:v>30</c:v>
                      </c:pt>
                      <c:pt idx="2229">
                        <c:v>30</c:v>
                      </c:pt>
                      <c:pt idx="2230">
                        <c:v>30</c:v>
                      </c:pt>
                      <c:pt idx="2231">
                        <c:v>30</c:v>
                      </c:pt>
                      <c:pt idx="2240">
                        <c:v>31</c:v>
                      </c:pt>
                      <c:pt idx="2241">
                        <c:v>31</c:v>
                      </c:pt>
                      <c:pt idx="2242">
                        <c:v>31</c:v>
                      </c:pt>
                      <c:pt idx="2243">
                        <c:v>31</c:v>
                      </c:pt>
                      <c:pt idx="2244">
                        <c:v>31</c:v>
                      </c:pt>
                      <c:pt idx="2245">
                        <c:v>31</c:v>
                      </c:pt>
                      <c:pt idx="2246">
                        <c:v>31</c:v>
                      </c:pt>
                      <c:pt idx="2247">
                        <c:v>31</c:v>
                      </c:pt>
                      <c:pt idx="2248">
                        <c:v>31</c:v>
                      </c:pt>
                      <c:pt idx="2249">
                        <c:v>31</c:v>
                      </c:pt>
                      <c:pt idx="2250">
                        <c:v>31</c:v>
                      </c:pt>
                      <c:pt idx="2256">
                        <c:v>32</c:v>
                      </c:pt>
                      <c:pt idx="2257">
                        <c:v>32</c:v>
                      </c:pt>
                      <c:pt idx="2258">
                        <c:v>32</c:v>
                      </c:pt>
                      <c:pt idx="2259">
                        <c:v>32</c:v>
                      </c:pt>
                      <c:pt idx="2260">
                        <c:v>32</c:v>
                      </c:pt>
                      <c:pt idx="2261">
                        <c:v>32</c:v>
                      </c:pt>
                      <c:pt idx="2262">
                        <c:v>32</c:v>
                      </c:pt>
                      <c:pt idx="2263">
                        <c:v>32</c:v>
                      </c:pt>
                      <c:pt idx="2264">
                        <c:v>32</c:v>
                      </c:pt>
                      <c:pt idx="2265">
                        <c:v>32</c:v>
                      </c:pt>
                      <c:pt idx="2266">
                        <c:v>32</c:v>
                      </c:pt>
                      <c:pt idx="2267">
                        <c:v>32</c:v>
                      </c:pt>
                      <c:pt idx="2268">
                        <c:v>32</c:v>
                      </c:pt>
                      <c:pt idx="2269">
                        <c:v>32</c:v>
                      </c:pt>
                      <c:pt idx="2270">
                        <c:v>32</c:v>
                      </c:pt>
                      <c:pt idx="2271">
                        <c:v>32</c:v>
                      </c:pt>
                      <c:pt idx="2272">
                        <c:v>32</c:v>
                      </c:pt>
                      <c:pt idx="2273">
                        <c:v>32</c:v>
                      </c:pt>
                      <c:pt idx="2274">
                        <c:v>32</c:v>
                      </c:pt>
                      <c:pt idx="2275">
                        <c:v>32</c:v>
                      </c:pt>
                      <c:pt idx="2276">
                        <c:v>32</c:v>
                      </c:pt>
                      <c:pt idx="2277">
                        <c:v>32</c:v>
                      </c:pt>
                      <c:pt idx="2278">
                        <c:v>32</c:v>
                      </c:pt>
                      <c:pt idx="2279">
                        <c:v>32</c:v>
                      </c:pt>
                      <c:pt idx="2280">
                        <c:v>32</c:v>
                      </c:pt>
                      <c:pt idx="2281">
                        <c:v>32</c:v>
                      </c:pt>
                      <c:pt idx="2282">
                        <c:v>32</c:v>
                      </c:pt>
                      <c:pt idx="2283">
                        <c:v>32</c:v>
                      </c:pt>
                      <c:pt idx="2284">
                        <c:v>32</c:v>
                      </c:pt>
                      <c:pt idx="2285">
                        <c:v>32</c:v>
                      </c:pt>
                      <c:pt idx="2286">
                        <c:v>32</c:v>
                      </c:pt>
                      <c:pt idx="2287">
                        <c:v>32</c:v>
                      </c:pt>
                      <c:pt idx="2288">
                        <c:v>32</c:v>
                      </c:pt>
                      <c:pt idx="2289">
                        <c:v>32</c:v>
                      </c:pt>
                      <c:pt idx="2290">
                        <c:v>32</c:v>
                      </c:pt>
                      <c:pt idx="2291">
                        <c:v>32</c:v>
                      </c:pt>
                      <c:pt idx="2292">
                        <c:v>32</c:v>
                      </c:pt>
                      <c:pt idx="2293">
                        <c:v>32</c:v>
                      </c:pt>
                      <c:pt idx="2294">
                        <c:v>32</c:v>
                      </c:pt>
                      <c:pt idx="2295">
                        <c:v>32</c:v>
                      </c:pt>
                      <c:pt idx="2296">
                        <c:v>32</c:v>
                      </c:pt>
                      <c:pt idx="2297">
                        <c:v>32</c:v>
                      </c:pt>
                      <c:pt idx="2298">
                        <c:v>32</c:v>
                      </c:pt>
                      <c:pt idx="2299">
                        <c:v>32</c:v>
                      </c:pt>
                      <c:pt idx="2300">
                        <c:v>32</c:v>
                      </c:pt>
                      <c:pt idx="2301">
                        <c:v>32</c:v>
                      </c:pt>
                      <c:pt idx="2302">
                        <c:v>32</c:v>
                      </c:pt>
                      <c:pt idx="2303">
                        <c:v>32</c:v>
                      </c:pt>
                      <c:pt idx="2304">
                        <c:v>32</c:v>
                      </c:pt>
                      <c:pt idx="2305">
                        <c:v>32</c:v>
                      </c:pt>
                      <c:pt idx="2306">
                        <c:v>32</c:v>
                      </c:pt>
                      <c:pt idx="2307">
                        <c:v>32</c:v>
                      </c:pt>
                      <c:pt idx="2308">
                        <c:v>32</c:v>
                      </c:pt>
                      <c:pt idx="2309">
                        <c:v>32</c:v>
                      </c:pt>
                      <c:pt idx="2310">
                        <c:v>32</c:v>
                      </c:pt>
                      <c:pt idx="2311">
                        <c:v>32</c:v>
                      </c:pt>
                      <c:pt idx="2312">
                        <c:v>32</c:v>
                      </c:pt>
                      <c:pt idx="2313">
                        <c:v>32</c:v>
                      </c:pt>
                      <c:pt idx="2314">
                        <c:v>32</c:v>
                      </c:pt>
                      <c:pt idx="2315">
                        <c:v>32</c:v>
                      </c:pt>
                      <c:pt idx="2316">
                        <c:v>32</c:v>
                      </c:pt>
                      <c:pt idx="2317">
                        <c:v>32</c:v>
                      </c:pt>
                      <c:pt idx="2346">
                        <c:v>33</c:v>
                      </c:pt>
                      <c:pt idx="2347">
                        <c:v>33</c:v>
                      </c:pt>
                      <c:pt idx="2348">
                        <c:v>33</c:v>
                      </c:pt>
                      <c:pt idx="2349">
                        <c:v>33</c:v>
                      </c:pt>
                      <c:pt idx="2350">
                        <c:v>33</c:v>
                      </c:pt>
                      <c:pt idx="2351">
                        <c:v>33</c:v>
                      </c:pt>
                      <c:pt idx="2352">
                        <c:v>33</c:v>
                      </c:pt>
                      <c:pt idx="2353">
                        <c:v>33</c:v>
                      </c:pt>
                      <c:pt idx="2363">
                        <c:v>34</c:v>
                      </c:pt>
                      <c:pt idx="2364">
                        <c:v>34</c:v>
                      </c:pt>
                      <c:pt idx="2365">
                        <c:v>34</c:v>
                      </c:pt>
                      <c:pt idx="2366">
                        <c:v>34</c:v>
                      </c:pt>
                      <c:pt idx="2367">
                        <c:v>34</c:v>
                      </c:pt>
                      <c:pt idx="2368">
                        <c:v>34</c:v>
                      </c:pt>
                      <c:pt idx="2369">
                        <c:v>34</c:v>
                      </c:pt>
                      <c:pt idx="2370">
                        <c:v>34</c:v>
                      </c:pt>
                      <c:pt idx="2371">
                        <c:v>34</c:v>
                      </c:pt>
                      <c:pt idx="2372">
                        <c:v>34</c:v>
                      </c:pt>
                      <c:pt idx="2373">
                        <c:v>34</c:v>
                      </c:pt>
                      <c:pt idx="2374">
                        <c:v>34</c:v>
                      </c:pt>
                      <c:pt idx="2375">
                        <c:v>34</c:v>
                      </c:pt>
                      <c:pt idx="2376">
                        <c:v>34</c:v>
                      </c:pt>
                      <c:pt idx="2377">
                        <c:v>34</c:v>
                      </c:pt>
                      <c:pt idx="2378">
                        <c:v>34</c:v>
                      </c:pt>
                      <c:pt idx="2379">
                        <c:v>34</c:v>
                      </c:pt>
                      <c:pt idx="2380">
                        <c:v>34</c:v>
                      </c:pt>
                      <c:pt idx="2381">
                        <c:v>34</c:v>
                      </c:pt>
                      <c:pt idx="2382">
                        <c:v>34</c:v>
                      </c:pt>
                      <c:pt idx="2383">
                        <c:v>34</c:v>
                      </c:pt>
                      <c:pt idx="2384">
                        <c:v>34</c:v>
                      </c:pt>
                      <c:pt idx="2385">
                        <c:v>34</c:v>
                      </c:pt>
                      <c:pt idx="2386">
                        <c:v>34</c:v>
                      </c:pt>
                      <c:pt idx="2387">
                        <c:v>34</c:v>
                      </c:pt>
                      <c:pt idx="2388">
                        <c:v>34</c:v>
                      </c:pt>
                      <c:pt idx="2389">
                        <c:v>34</c:v>
                      </c:pt>
                      <c:pt idx="2390">
                        <c:v>34</c:v>
                      </c:pt>
                      <c:pt idx="2391">
                        <c:v>34</c:v>
                      </c:pt>
                      <c:pt idx="2392">
                        <c:v>34</c:v>
                      </c:pt>
                      <c:pt idx="2393">
                        <c:v>34</c:v>
                      </c:pt>
                      <c:pt idx="2394">
                        <c:v>34</c:v>
                      </c:pt>
                      <c:pt idx="2395">
                        <c:v>34</c:v>
                      </c:pt>
                      <c:pt idx="2396">
                        <c:v>34</c:v>
                      </c:pt>
                      <c:pt idx="2397">
                        <c:v>34</c:v>
                      </c:pt>
                      <c:pt idx="2398">
                        <c:v>34</c:v>
                      </c:pt>
                      <c:pt idx="2399">
                        <c:v>34</c:v>
                      </c:pt>
                      <c:pt idx="2400">
                        <c:v>34</c:v>
                      </c:pt>
                      <c:pt idx="2401">
                        <c:v>34</c:v>
                      </c:pt>
                      <c:pt idx="2402">
                        <c:v>34</c:v>
                      </c:pt>
                      <c:pt idx="2403">
                        <c:v>34</c:v>
                      </c:pt>
                      <c:pt idx="2404">
                        <c:v>34</c:v>
                      </c:pt>
                      <c:pt idx="2405">
                        <c:v>34</c:v>
                      </c:pt>
                      <c:pt idx="2406">
                        <c:v>34</c:v>
                      </c:pt>
                      <c:pt idx="2407">
                        <c:v>34</c:v>
                      </c:pt>
                      <c:pt idx="2408">
                        <c:v>34</c:v>
                      </c:pt>
                      <c:pt idx="2409">
                        <c:v>34</c:v>
                      </c:pt>
                      <c:pt idx="2410">
                        <c:v>34</c:v>
                      </c:pt>
                      <c:pt idx="2411">
                        <c:v>34</c:v>
                      </c:pt>
                      <c:pt idx="2412">
                        <c:v>34</c:v>
                      </c:pt>
                      <c:pt idx="2413">
                        <c:v>34</c:v>
                      </c:pt>
                      <c:pt idx="2414">
                        <c:v>34</c:v>
                      </c:pt>
                      <c:pt idx="2415">
                        <c:v>34</c:v>
                      </c:pt>
                      <c:pt idx="2416">
                        <c:v>34</c:v>
                      </c:pt>
                      <c:pt idx="2417">
                        <c:v>34</c:v>
                      </c:pt>
                      <c:pt idx="2418">
                        <c:v>34</c:v>
                      </c:pt>
                      <c:pt idx="2419">
                        <c:v>34</c:v>
                      </c:pt>
                      <c:pt idx="2420">
                        <c:v>34</c:v>
                      </c:pt>
                      <c:pt idx="2421">
                        <c:v>34</c:v>
                      </c:pt>
                      <c:pt idx="2435">
                        <c:v>35</c:v>
                      </c:pt>
                      <c:pt idx="2436">
                        <c:v>35</c:v>
                      </c:pt>
                      <c:pt idx="2437">
                        <c:v>35</c:v>
                      </c:pt>
                      <c:pt idx="2438">
                        <c:v>35</c:v>
                      </c:pt>
                      <c:pt idx="2439">
                        <c:v>35</c:v>
                      </c:pt>
                      <c:pt idx="2440">
                        <c:v>35</c:v>
                      </c:pt>
                      <c:pt idx="2441">
                        <c:v>35</c:v>
                      </c:pt>
                      <c:pt idx="2442">
                        <c:v>35</c:v>
                      </c:pt>
                      <c:pt idx="2443">
                        <c:v>35</c:v>
                      </c:pt>
                      <c:pt idx="2444">
                        <c:v>35</c:v>
                      </c:pt>
                      <c:pt idx="2445">
                        <c:v>35</c:v>
                      </c:pt>
                      <c:pt idx="2446">
                        <c:v>35</c:v>
                      </c:pt>
                      <c:pt idx="2447">
                        <c:v>35</c:v>
                      </c:pt>
                      <c:pt idx="2448">
                        <c:v>35</c:v>
                      </c:pt>
                      <c:pt idx="2449">
                        <c:v>35</c:v>
                      </c:pt>
                      <c:pt idx="2450">
                        <c:v>35</c:v>
                      </c:pt>
                      <c:pt idx="2451">
                        <c:v>35</c:v>
                      </c:pt>
                      <c:pt idx="2452">
                        <c:v>35</c:v>
                      </c:pt>
                      <c:pt idx="2453">
                        <c:v>35</c:v>
                      </c:pt>
                      <c:pt idx="2454">
                        <c:v>35</c:v>
                      </c:pt>
                      <c:pt idx="2455">
                        <c:v>35</c:v>
                      </c:pt>
                      <c:pt idx="2456">
                        <c:v>35</c:v>
                      </c:pt>
                      <c:pt idx="2457">
                        <c:v>35</c:v>
                      </c:pt>
                      <c:pt idx="2458">
                        <c:v>35</c:v>
                      </c:pt>
                      <c:pt idx="2459">
                        <c:v>35</c:v>
                      </c:pt>
                      <c:pt idx="2460">
                        <c:v>35</c:v>
                      </c:pt>
                      <c:pt idx="2461">
                        <c:v>35</c:v>
                      </c:pt>
                      <c:pt idx="2462">
                        <c:v>35</c:v>
                      </c:pt>
                      <c:pt idx="2463">
                        <c:v>35</c:v>
                      </c:pt>
                      <c:pt idx="2464">
                        <c:v>35</c:v>
                      </c:pt>
                      <c:pt idx="2465">
                        <c:v>35</c:v>
                      </c:pt>
                      <c:pt idx="2466">
                        <c:v>35</c:v>
                      </c:pt>
                      <c:pt idx="2467">
                        <c:v>35</c:v>
                      </c:pt>
                      <c:pt idx="2468">
                        <c:v>35</c:v>
                      </c:pt>
                      <c:pt idx="2469">
                        <c:v>35</c:v>
                      </c:pt>
                      <c:pt idx="2470">
                        <c:v>35</c:v>
                      </c:pt>
                      <c:pt idx="2471">
                        <c:v>35</c:v>
                      </c:pt>
                      <c:pt idx="2472">
                        <c:v>35</c:v>
                      </c:pt>
                      <c:pt idx="2473">
                        <c:v>35</c:v>
                      </c:pt>
                      <c:pt idx="2474">
                        <c:v>35</c:v>
                      </c:pt>
                      <c:pt idx="2475">
                        <c:v>35</c:v>
                      </c:pt>
                      <c:pt idx="2476">
                        <c:v>35</c:v>
                      </c:pt>
                      <c:pt idx="2477">
                        <c:v>35</c:v>
                      </c:pt>
                      <c:pt idx="2478">
                        <c:v>35</c:v>
                      </c:pt>
                      <c:pt idx="2479">
                        <c:v>35</c:v>
                      </c:pt>
                      <c:pt idx="2480">
                        <c:v>35</c:v>
                      </c:pt>
                      <c:pt idx="2481">
                        <c:v>35</c:v>
                      </c:pt>
                      <c:pt idx="2482">
                        <c:v>35</c:v>
                      </c:pt>
                      <c:pt idx="2483">
                        <c:v>35</c:v>
                      </c:pt>
                      <c:pt idx="2484">
                        <c:v>35</c:v>
                      </c:pt>
                      <c:pt idx="2485">
                        <c:v>35</c:v>
                      </c:pt>
                      <c:pt idx="2486">
                        <c:v>35</c:v>
                      </c:pt>
                      <c:pt idx="2487">
                        <c:v>35</c:v>
                      </c:pt>
                      <c:pt idx="2488">
                        <c:v>35</c:v>
                      </c:pt>
                      <c:pt idx="2489">
                        <c:v>35</c:v>
                      </c:pt>
                      <c:pt idx="2490">
                        <c:v>35</c:v>
                      </c:pt>
                      <c:pt idx="2491">
                        <c:v>35</c:v>
                      </c:pt>
                      <c:pt idx="2492">
                        <c:v>35</c:v>
                      </c:pt>
                      <c:pt idx="2493">
                        <c:v>35</c:v>
                      </c:pt>
                      <c:pt idx="2557">
                        <c:v>36</c:v>
                      </c:pt>
                      <c:pt idx="2558">
                        <c:v>36</c:v>
                      </c:pt>
                      <c:pt idx="2559">
                        <c:v>36</c:v>
                      </c:pt>
                      <c:pt idx="2560">
                        <c:v>36</c:v>
                      </c:pt>
                      <c:pt idx="2561">
                        <c:v>36</c:v>
                      </c:pt>
                      <c:pt idx="2562">
                        <c:v>36</c:v>
                      </c:pt>
                      <c:pt idx="2563">
                        <c:v>36</c:v>
                      </c:pt>
                      <c:pt idx="2564">
                        <c:v>36</c:v>
                      </c:pt>
                      <c:pt idx="2565">
                        <c:v>36</c:v>
                      </c:pt>
                      <c:pt idx="2566">
                        <c:v>36</c:v>
                      </c:pt>
                      <c:pt idx="2567">
                        <c:v>36</c:v>
                      </c:pt>
                      <c:pt idx="2568">
                        <c:v>36</c:v>
                      </c:pt>
                      <c:pt idx="2569">
                        <c:v>36</c:v>
                      </c:pt>
                      <c:pt idx="2570">
                        <c:v>36</c:v>
                      </c:pt>
                      <c:pt idx="2677">
                        <c:v>37</c:v>
                      </c:pt>
                      <c:pt idx="2678">
                        <c:v>37</c:v>
                      </c:pt>
                      <c:pt idx="2679">
                        <c:v>37</c:v>
                      </c:pt>
                      <c:pt idx="2680">
                        <c:v>37</c:v>
                      </c:pt>
                      <c:pt idx="2681">
                        <c:v>37</c:v>
                      </c:pt>
                      <c:pt idx="2682">
                        <c:v>37</c:v>
                      </c:pt>
                      <c:pt idx="2683">
                        <c:v>37</c:v>
                      </c:pt>
                      <c:pt idx="2684">
                        <c:v>37</c:v>
                      </c:pt>
                      <c:pt idx="2685">
                        <c:v>37</c:v>
                      </c:pt>
                      <c:pt idx="2686">
                        <c:v>37</c:v>
                      </c:pt>
                      <c:pt idx="2687">
                        <c:v>37</c:v>
                      </c:pt>
                      <c:pt idx="2688">
                        <c:v>37</c:v>
                      </c:pt>
                      <c:pt idx="2689">
                        <c:v>37</c:v>
                      </c:pt>
                      <c:pt idx="2690">
                        <c:v>37</c:v>
                      </c:pt>
                      <c:pt idx="2691">
                        <c:v>37</c:v>
                      </c:pt>
                      <c:pt idx="2692">
                        <c:v>37</c:v>
                      </c:pt>
                      <c:pt idx="2693">
                        <c:v>37</c:v>
                      </c:pt>
                      <c:pt idx="2694">
                        <c:v>37</c:v>
                      </c:pt>
                      <c:pt idx="2695">
                        <c:v>37</c:v>
                      </c:pt>
                      <c:pt idx="2696">
                        <c:v>37</c:v>
                      </c:pt>
                      <c:pt idx="2697">
                        <c:v>37</c:v>
                      </c:pt>
                      <c:pt idx="2698">
                        <c:v>37</c:v>
                      </c:pt>
                      <c:pt idx="2699">
                        <c:v>37</c:v>
                      </c:pt>
                      <c:pt idx="2700">
                        <c:v>37</c:v>
                      </c:pt>
                      <c:pt idx="2701">
                        <c:v>37</c:v>
                      </c:pt>
                      <c:pt idx="2702">
                        <c:v>37</c:v>
                      </c:pt>
                      <c:pt idx="2703">
                        <c:v>37</c:v>
                      </c:pt>
                      <c:pt idx="2704">
                        <c:v>37</c:v>
                      </c:pt>
                      <c:pt idx="2705">
                        <c:v>37</c:v>
                      </c:pt>
                      <c:pt idx="2706">
                        <c:v>37</c:v>
                      </c:pt>
                      <c:pt idx="2707">
                        <c:v>37</c:v>
                      </c:pt>
                      <c:pt idx="2708">
                        <c:v>37</c:v>
                      </c:pt>
                      <c:pt idx="2709">
                        <c:v>37</c:v>
                      </c:pt>
                      <c:pt idx="2710">
                        <c:v>37</c:v>
                      </c:pt>
                      <c:pt idx="2711">
                        <c:v>37</c:v>
                      </c:pt>
                      <c:pt idx="2712">
                        <c:v>37</c:v>
                      </c:pt>
                      <c:pt idx="2713">
                        <c:v>37</c:v>
                      </c:pt>
                      <c:pt idx="2714">
                        <c:v>37</c:v>
                      </c:pt>
                      <c:pt idx="2715">
                        <c:v>37</c:v>
                      </c:pt>
                      <c:pt idx="2716">
                        <c:v>37</c:v>
                      </c:pt>
                      <c:pt idx="2717">
                        <c:v>37</c:v>
                      </c:pt>
                      <c:pt idx="2718">
                        <c:v>37</c:v>
                      </c:pt>
                      <c:pt idx="2719">
                        <c:v>37</c:v>
                      </c:pt>
                      <c:pt idx="2720">
                        <c:v>37</c:v>
                      </c:pt>
                      <c:pt idx="2721">
                        <c:v>37</c:v>
                      </c:pt>
                      <c:pt idx="2722">
                        <c:v>37</c:v>
                      </c:pt>
                      <c:pt idx="2723">
                        <c:v>37</c:v>
                      </c:pt>
                      <c:pt idx="2724">
                        <c:v>37</c:v>
                      </c:pt>
                      <c:pt idx="2725">
                        <c:v>37</c:v>
                      </c:pt>
                      <c:pt idx="2726">
                        <c:v>37</c:v>
                      </c:pt>
                      <c:pt idx="2727">
                        <c:v>37</c:v>
                      </c:pt>
                      <c:pt idx="2728">
                        <c:v>37</c:v>
                      </c:pt>
                      <c:pt idx="2729">
                        <c:v>37</c:v>
                      </c:pt>
                      <c:pt idx="2730">
                        <c:v>37</c:v>
                      </c:pt>
                      <c:pt idx="2736">
                        <c:v>38</c:v>
                      </c:pt>
                      <c:pt idx="2737">
                        <c:v>38</c:v>
                      </c:pt>
                      <c:pt idx="2738">
                        <c:v>38</c:v>
                      </c:pt>
                      <c:pt idx="2739">
                        <c:v>38</c:v>
                      </c:pt>
                      <c:pt idx="2740">
                        <c:v>38</c:v>
                      </c:pt>
                      <c:pt idx="2741">
                        <c:v>38</c:v>
                      </c:pt>
                      <c:pt idx="2742">
                        <c:v>38</c:v>
                      </c:pt>
                      <c:pt idx="2743">
                        <c:v>38</c:v>
                      </c:pt>
                      <c:pt idx="2744">
                        <c:v>38</c:v>
                      </c:pt>
                      <c:pt idx="2745">
                        <c:v>38</c:v>
                      </c:pt>
                      <c:pt idx="2746">
                        <c:v>38</c:v>
                      </c:pt>
                      <c:pt idx="2747">
                        <c:v>38</c:v>
                      </c:pt>
                      <c:pt idx="2748">
                        <c:v>38</c:v>
                      </c:pt>
                      <c:pt idx="2749">
                        <c:v>38</c:v>
                      </c:pt>
                      <c:pt idx="2750">
                        <c:v>38</c:v>
                      </c:pt>
                      <c:pt idx="2751">
                        <c:v>38</c:v>
                      </c:pt>
                      <c:pt idx="2752">
                        <c:v>38</c:v>
                      </c:pt>
                      <c:pt idx="2753">
                        <c:v>38</c:v>
                      </c:pt>
                      <c:pt idx="2754">
                        <c:v>38</c:v>
                      </c:pt>
                      <c:pt idx="2755">
                        <c:v>38</c:v>
                      </c:pt>
                      <c:pt idx="2756">
                        <c:v>38</c:v>
                      </c:pt>
                      <c:pt idx="2757">
                        <c:v>38</c:v>
                      </c:pt>
                      <c:pt idx="2758">
                        <c:v>38</c:v>
                      </c:pt>
                      <c:pt idx="2759">
                        <c:v>38</c:v>
                      </c:pt>
                      <c:pt idx="2764">
                        <c:v>39</c:v>
                      </c:pt>
                      <c:pt idx="2765">
                        <c:v>39</c:v>
                      </c:pt>
                      <c:pt idx="2766">
                        <c:v>39</c:v>
                      </c:pt>
                      <c:pt idx="2767">
                        <c:v>39</c:v>
                      </c:pt>
                      <c:pt idx="2768">
                        <c:v>39</c:v>
                      </c:pt>
                      <c:pt idx="2769">
                        <c:v>39</c:v>
                      </c:pt>
                      <c:pt idx="2770">
                        <c:v>39</c:v>
                      </c:pt>
                      <c:pt idx="2771">
                        <c:v>39</c:v>
                      </c:pt>
                      <c:pt idx="2772">
                        <c:v>39</c:v>
                      </c:pt>
                      <c:pt idx="2773">
                        <c:v>39</c:v>
                      </c:pt>
                      <c:pt idx="2774">
                        <c:v>39</c:v>
                      </c:pt>
                      <c:pt idx="2775">
                        <c:v>39</c:v>
                      </c:pt>
                      <c:pt idx="2776">
                        <c:v>39</c:v>
                      </c:pt>
                      <c:pt idx="2777">
                        <c:v>39</c:v>
                      </c:pt>
                      <c:pt idx="2778">
                        <c:v>39</c:v>
                      </c:pt>
                      <c:pt idx="2779">
                        <c:v>39</c:v>
                      </c:pt>
                      <c:pt idx="2780">
                        <c:v>39</c:v>
                      </c:pt>
                      <c:pt idx="2797">
                        <c:v>40</c:v>
                      </c:pt>
                      <c:pt idx="2798">
                        <c:v>40</c:v>
                      </c:pt>
                      <c:pt idx="2799">
                        <c:v>40</c:v>
                      </c:pt>
                      <c:pt idx="2800">
                        <c:v>40</c:v>
                      </c:pt>
                      <c:pt idx="2801">
                        <c:v>40</c:v>
                      </c:pt>
                      <c:pt idx="2802">
                        <c:v>40</c:v>
                      </c:pt>
                      <c:pt idx="2803">
                        <c:v>40</c:v>
                      </c:pt>
                      <c:pt idx="2804">
                        <c:v>40</c:v>
                      </c:pt>
                      <c:pt idx="2805">
                        <c:v>40</c:v>
                      </c:pt>
                      <c:pt idx="2806">
                        <c:v>40</c:v>
                      </c:pt>
                      <c:pt idx="2826">
                        <c:v>41</c:v>
                      </c:pt>
                      <c:pt idx="2827">
                        <c:v>41</c:v>
                      </c:pt>
                      <c:pt idx="2828">
                        <c:v>41</c:v>
                      </c:pt>
                      <c:pt idx="2829">
                        <c:v>41</c:v>
                      </c:pt>
                      <c:pt idx="2830">
                        <c:v>41</c:v>
                      </c:pt>
                      <c:pt idx="2831">
                        <c:v>41</c:v>
                      </c:pt>
                      <c:pt idx="2832">
                        <c:v>41</c:v>
                      </c:pt>
                      <c:pt idx="2833">
                        <c:v>41</c:v>
                      </c:pt>
                      <c:pt idx="2834">
                        <c:v>41</c:v>
                      </c:pt>
                      <c:pt idx="2835">
                        <c:v>41</c:v>
                      </c:pt>
                      <c:pt idx="2836">
                        <c:v>41</c:v>
                      </c:pt>
                      <c:pt idx="2837">
                        <c:v>41</c:v>
                      </c:pt>
                      <c:pt idx="2838">
                        <c:v>41</c:v>
                      </c:pt>
                      <c:pt idx="2839">
                        <c:v>41</c:v>
                      </c:pt>
                      <c:pt idx="2840">
                        <c:v>41</c:v>
                      </c:pt>
                      <c:pt idx="2841">
                        <c:v>41</c:v>
                      </c:pt>
                      <c:pt idx="2842">
                        <c:v>41</c:v>
                      </c:pt>
                      <c:pt idx="2843">
                        <c:v>41</c:v>
                      </c:pt>
                      <c:pt idx="2844">
                        <c:v>41</c:v>
                      </c:pt>
                      <c:pt idx="2845">
                        <c:v>41</c:v>
                      </c:pt>
                      <c:pt idx="2846">
                        <c:v>41</c:v>
                      </c:pt>
                      <c:pt idx="2847">
                        <c:v>41</c:v>
                      </c:pt>
                      <c:pt idx="2848">
                        <c:v>41</c:v>
                      </c:pt>
                      <c:pt idx="2960">
                        <c:v>42</c:v>
                      </c:pt>
                      <c:pt idx="2961">
                        <c:v>42</c:v>
                      </c:pt>
                      <c:pt idx="2962">
                        <c:v>42</c:v>
                      </c:pt>
                      <c:pt idx="2963">
                        <c:v>42</c:v>
                      </c:pt>
                      <c:pt idx="2964">
                        <c:v>42</c:v>
                      </c:pt>
                      <c:pt idx="2965">
                        <c:v>42</c:v>
                      </c:pt>
                      <c:pt idx="2966">
                        <c:v>42</c:v>
                      </c:pt>
                      <c:pt idx="2967">
                        <c:v>42</c:v>
                      </c:pt>
                      <c:pt idx="2968">
                        <c:v>42</c:v>
                      </c:pt>
                      <c:pt idx="2969">
                        <c:v>42</c:v>
                      </c:pt>
                      <c:pt idx="2970">
                        <c:v>42</c:v>
                      </c:pt>
                      <c:pt idx="2971">
                        <c:v>42</c:v>
                      </c:pt>
                      <c:pt idx="2972">
                        <c:v>42</c:v>
                      </c:pt>
                      <c:pt idx="2973">
                        <c:v>42</c:v>
                      </c:pt>
                      <c:pt idx="2974">
                        <c:v>42</c:v>
                      </c:pt>
                      <c:pt idx="2975">
                        <c:v>42</c:v>
                      </c:pt>
                      <c:pt idx="2976">
                        <c:v>42</c:v>
                      </c:pt>
                      <c:pt idx="2977">
                        <c:v>42</c:v>
                      </c:pt>
                      <c:pt idx="2978">
                        <c:v>42</c:v>
                      </c:pt>
                      <c:pt idx="2979">
                        <c:v>42</c:v>
                      </c:pt>
                      <c:pt idx="2980">
                        <c:v>42</c:v>
                      </c:pt>
                      <c:pt idx="2981">
                        <c:v>42</c:v>
                      </c:pt>
                      <c:pt idx="2982">
                        <c:v>42</c:v>
                      </c:pt>
                      <c:pt idx="2983">
                        <c:v>42</c:v>
                      </c:pt>
                      <c:pt idx="2984">
                        <c:v>42</c:v>
                      </c:pt>
                      <c:pt idx="2985">
                        <c:v>42</c:v>
                      </c:pt>
                      <c:pt idx="2986">
                        <c:v>42</c:v>
                      </c:pt>
                      <c:pt idx="2987">
                        <c:v>42</c:v>
                      </c:pt>
                      <c:pt idx="2988">
                        <c:v>42</c:v>
                      </c:pt>
                      <c:pt idx="2989">
                        <c:v>42</c:v>
                      </c:pt>
                      <c:pt idx="2990">
                        <c:v>42</c:v>
                      </c:pt>
                      <c:pt idx="2991">
                        <c:v>42</c:v>
                      </c:pt>
                      <c:pt idx="2992">
                        <c:v>42</c:v>
                      </c:pt>
                      <c:pt idx="2993">
                        <c:v>42</c:v>
                      </c:pt>
                      <c:pt idx="2994">
                        <c:v>42</c:v>
                      </c:pt>
                      <c:pt idx="2995">
                        <c:v>42</c:v>
                      </c:pt>
                      <c:pt idx="2996">
                        <c:v>42</c:v>
                      </c:pt>
                      <c:pt idx="2997">
                        <c:v>42</c:v>
                      </c:pt>
                      <c:pt idx="2998">
                        <c:v>42</c:v>
                      </c:pt>
                      <c:pt idx="2999">
                        <c:v>42</c:v>
                      </c:pt>
                      <c:pt idx="3000">
                        <c:v>42</c:v>
                      </c:pt>
                      <c:pt idx="3001">
                        <c:v>42</c:v>
                      </c:pt>
                      <c:pt idx="3002">
                        <c:v>42</c:v>
                      </c:pt>
                      <c:pt idx="3003">
                        <c:v>42</c:v>
                      </c:pt>
                      <c:pt idx="3004">
                        <c:v>42</c:v>
                      </c:pt>
                      <c:pt idx="3005">
                        <c:v>42</c:v>
                      </c:pt>
                      <c:pt idx="3006">
                        <c:v>42</c:v>
                      </c:pt>
                      <c:pt idx="3007">
                        <c:v>42</c:v>
                      </c:pt>
                      <c:pt idx="3008">
                        <c:v>42</c:v>
                      </c:pt>
                      <c:pt idx="3009">
                        <c:v>42</c:v>
                      </c:pt>
                      <c:pt idx="3010">
                        <c:v>42</c:v>
                      </c:pt>
                      <c:pt idx="3011">
                        <c:v>42</c:v>
                      </c:pt>
                      <c:pt idx="3012">
                        <c:v>42</c:v>
                      </c:pt>
                      <c:pt idx="3013">
                        <c:v>42</c:v>
                      </c:pt>
                      <c:pt idx="3014">
                        <c:v>42</c:v>
                      </c:pt>
                      <c:pt idx="3015">
                        <c:v>42</c:v>
                      </c:pt>
                      <c:pt idx="3016">
                        <c:v>42</c:v>
                      </c:pt>
                      <c:pt idx="3017">
                        <c:v>42</c:v>
                      </c:pt>
                      <c:pt idx="3053">
                        <c:v>43</c:v>
                      </c:pt>
                      <c:pt idx="3054">
                        <c:v>43</c:v>
                      </c:pt>
                      <c:pt idx="3055">
                        <c:v>43</c:v>
                      </c:pt>
                      <c:pt idx="3056">
                        <c:v>43</c:v>
                      </c:pt>
                      <c:pt idx="3057">
                        <c:v>43</c:v>
                      </c:pt>
                      <c:pt idx="3058">
                        <c:v>43</c:v>
                      </c:pt>
                      <c:pt idx="3059">
                        <c:v>43</c:v>
                      </c:pt>
                      <c:pt idx="3060">
                        <c:v>43</c:v>
                      </c:pt>
                      <c:pt idx="3061">
                        <c:v>43</c:v>
                      </c:pt>
                      <c:pt idx="3062">
                        <c:v>43</c:v>
                      </c:pt>
                      <c:pt idx="3063">
                        <c:v>43</c:v>
                      </c:pt>
                      <c:pt idx="3064">
                        <c:v>43</c:v>
                      </c:pt>
                      <c:pt idx="3065">
                        <c:v>43</c:v>
                      </c:pt>
                      <c:pt idx="3066">
                        <c:v>43</c:v>
                      </c:pt>
                      <c:pt idx="3067">
                        <c:v>43</c:v>
                      </c:pt>
                      <c:pt idx="3068">
                        <c:v>43</c:v>
                      </c:pt>
                      <c:pt idx="3148">
                        <c:v>44</c:v>
                      </c:pt>
                      <c:pt idx="3149">
                        <c:v>44</c:v>
                      </c:pt>
                      <c:pt idx="3150">
                        <c:v>44</c:v>
                      </c:pt>
                      <c:pt idx="3151">
                        <c:v>44</c:v>
                      </c:pt>
                      <c:pt idx="3152">
                        <c:v>44</c:v>
                      </c:pt>
                      <c:pt idx="3153">
                        <c:v>44</c:v>
                      </c:pt>
                      <c:pt idx="3154">
                        <c:v>44</c:v>
                      </c:pt>
                      <c:pt idx="3155">
                        <c:v>44</c:v>
                      </c:pt>
                      <c:pt idx="3156">
                        <c:v>44</c:v>
                      </c:pt>
                      <c:pt idx="3157">
                        <c:v>44</c:v>
                      </c:pt>
                      <c:pt idx="3158">
                        <c:v>44</c:v>
                      </c:pt>
                      <c:pt idx="3159">
                        <c:v>44</c:v>
                      </c:pt>
                      <c:pt idx="3160">
                        <c:v>44</c:v>
                      </c:pt>
                      <c:pt idx="3161">
                        <c:v>44</c:v>
                      </c:pt>
                      <c:pt idx="3162">
                        <c:v>44</c:v>
                      </c:pt>
                      <c:pt idx="3163">
                        <c:v>44</c:v>
                      </c:pt>
                      <c:pt idx="3164">
                        <c:v>44</c:v>
                      </c:pt>
                      <c:pt idx="3165">
                        <c:v>44</c:v>
                      </c:pt>
                      <c:pt idx="3166">
                        <c:v>44</c:v>
                      </c:pt>
                      <c:pt idx="3167">
                        <c:v>44</c:v>
                      </c:pt>
                      <c:pt idx="3168">
                        <c:v>44</c:v>
                      </c:pt>
                      <c:pt idx="3169">
                        <c:v>44</c:v>
                      </c:pt>
                      <c:pt idx="3170">
                        <c:v>44</c:v>
                      </c:pt>
                      <c:pt idx="3171">
                        <c:v>44</c:v>
                      </c:pt>
                      <c:pt idx="3172">
                        <c:v>44</c:v>
                      </c:pt>
                      <c:pt idx="3173">
                        <c:v>44</c:v>
                      </c:pt>
                      <c:pt idx="3174">
                        <c:v>44</c:v>
                      </c:pt>
                      <c:pt idx="3175">
                        <c:v>44</c:v>
                      </c:pt>
                      <c:pt idx="3176">
                        <c:v>44</c:v>
                      </c:pt>
                      <c:pt idx="3177">
                        <c:v>44</c:v>
                      </c:pt>
                      <c:pt idx="3178">
                        <c:v>44</c:v>
                      </c:pt>
                      <c:pt idx="3179">
                        <c:v>44</c:v>
                      </c:pt>
                      <c:pt idx="3180">
                        <c:v>44</c:v>
                      </c:pt>
                      <c:pt idx="3181">
                        <c:v>44</c:v>
                      </c:pt>
                      <c:pt idx="3182">
                        <c:v>44</c:v>
                      </c:pt>
                      <c:pt idx="3183">
                        <c:v>44</c:v>
                      </c:pt>
                      <c:pt idx="3184">
                        <c:v>44</c:v>
                      </c:pt>
                      <c:pt idx="3185">
                        <c:v>44</c:v>
                      </c:pt>
                      <c:pt idx="3186">
                        <c:v>44</c:v>
                      </c:pt>
                      <c:pt idx="3187">
                        <c:v>44</c:v>
                      </c:pt>
                      <c:pt idx="3188">
                        <c:v>44</c:v>
                      </c:pt>
                      <c:pt idx="3189">
                        <c:v>44</c:v>
                      </c:pt>
                      <c:pt idx="3190">
                        <c:v>44</c:v>
                      </c:pt>
                      <c:pt idx="3191">
                        <c:v>44</c:v>
                      </c:pt>
                      <c:pt idx="3192">
                        <c:v>44</c:v>
                      </c:pt>
                      <c:pt idx="3193">
                        <c:v>44</c:v>
                      </c:pt>
                      <c:pt idx="3194">
                        <c:v>44</c:v>
                      </c:pt>
                      <c:pt idx="3195">
                        <c:v>44</c:v>
                      </c:pt>
                      <c:pt idx="3196">
                        <c:v>44</c:v>
                      </c:pt>
                      <c:pt idx="3230">
                        <c:v>45</c:v>
                      </c:pt>
                      <c:pt idx="3231">
                        <c:v>45</c:v>
                      </c:pt>
                      <c:pt idx="3232">
                        <c:v>45</c:v>
                      </c:pt>
                      <c:pt idx="3233">
                        <c:v>45</c:v>
                      </c:pt>
                      <c:pt idx="3234">
                        <c:v>45</c:v>
                      </c:pt>
                      <c:pt idx="3235">
                        <c:v>45</c:v>
                      </c:pt>
                      <c:pt idx="3236">
                        <c:v>45</c:v>
                      </c:pt>
                      <c:pt idx="3237">
                        <c:v>45</c:v>
                      </c:pt>
                      <c:pt idx="3238">
                        <c:v>45</c:v>
                      </c:pt>
                      <c:pt idx="3239">
                        <c:v>45</c:v>
                      </c:pt>
                      <c:pt idx="3240">
                        <c:v>45</c:v>
                      </c:pt>
                      <c:pt idx="3245">
                        <c:v>46</c:v>
                      </c:pt>
                      <c:pt idx="3246">
                        <c:v>46</c:v>
                      </c:pt>
                      <c:pt idx="3247">
                        <c:v>46</c:v>
                      </c:pt>
                      <c:pt idx="3248">
                        <c:v>46</c:v>
                      </c:pt>
                      <c:pt idx="3249">
                        <c:v>46</c:v>
                      </c:pt>
                      <c:pt idx="3250">
                        <c:v>46</c:v>
                      </c:pt>
                      <c:pt idx="3251">
                        <c:v>46</c:v>
                      </c:pt>
                      <c:pt idx="3252">
                        <c:v>46</c:v>
                      </c:pt>
                      <c:pt idx="3253">
                        <c:v>46</c:v>
                      </c:pt>
                      <c:pt idx="3254">
                        <c:v>46</c:v>
                      </c:pt>
                      <c:pt idx="3255">
                        <c:v>46</c:v>
                      </c:pt>
                      <c:pt idx="3256">
                        <c:v>46</c:v>
                      </c:pt>
                      <c:pt idx="3257">
                        <c:v>46</c:v>
                      </c:pt>
                      <c:pt idx="3258">
                        <c:v>46</c:v>
                      </c:pt>
                      <c:pt idx="3310">
                        <c:v>47</c:v>
                      </c:pt>
                      <c:pt idx="3311">
                        <c:v>47</c:v>
                      </c:pt>
                      <c:pt idx="3312">
                        <c:v>47</c:v>
                      </c:pt>
                      <c:pt idx="3313">
                        <c:v>47</c:v>
                      </c:pt>
                      <c:pt idx="3314">
                        <c:v>47</c:v>
                      </c:pt>
                      <c:pt idx="3315">
                        <c:v>47</c:v>
                      </c:pt>
                      <c:pt idx="3316">
                        <c:v>47</c:v>
                      </c:pt>
                      <c:pt idx="3317">
                        <c:v>47</c:v>
                      </c:pt>
                      <c:pt idx="3318">
                        <c:v>47</c:v>
                      </c:pt>
                      <c:pt idx="3319">
                        <c:v>47</c:v>
                      </c:pt>
                      <c:pt idx="3320">
                        <c:v>47</c:v>
                      </c:pt>
                      <c:pt idx="3321">
                        <c:v>47</c:v>
                      </c:pt>
                      <c:pt idx="3322">
                        <c:v>47</c:v>
                      </c:pt>
                      <c:pt idx="3384">
                        <c:v>48</c:v>
                      </c:pt>
                      <c:pt idx="3385">
                        <c:v>48</c:v>
                      </c:pt>
                      <c:pt idx="3386">
                        <c:v>48</c:v>
                      </c:pt>
                      <c:pt idx="3387">
                        <c:v>48</c:v>
                      </c:pt>
                      <c:pt idx="3388">
                        <c:v>48</c:v>
                      </c:pt>
                      <c:pt idx="3389">
                        <c:v>48</c:v>
                      </c:pt>
                      <c:pt idx="3390">
                        <c:v>48</c:v>
                      </c:pt>
                      <c:pt idx="3391">
                        <c:v>48</c:v>
                      </c:pt>
                      <c:pt idx="3392">
                        <c:v>48</c:v>
                      </c:pt>
                      <c:pt idx="3393">
                        <c:v>48</c:v>
                      </c:pt>
                      <c:pt idx="3394">
                        <c:v>48</c:v>
                      </c:pt>
                      <c:pt idx="3395">
                        <c:v>48</c:v>
                      </c:pt>
                      <c:pt idx="3396">
                        <c:v>48</c:v>
                      </c:pt>
                      <c:pt idx="3397">
                        <c:v>48</c:v>
                      </c:pt>
                      <c:pt idx="3398">
                        <c:v>48</c:v>
                      </c:pt>
                      <c:pt idx="3399">
                        <c:v>48</c:v>
                      </c:pt>
                      <c:pt idx="3400">
                        <c:v>48</c:v>
                      </c:pt>
                      <c:pt idx="3401">
                        <c:v>48</c:v>
                      </c:pt>
                      <c:pt idx="3402">
                        <c:v>48</c:v>
                      </c:pt>
                      <c:pt idx="3403">
                        <c:v>48</c:v>
                      </c:pt>
                      <c:pt idx="3404">
                        <c:v>48</c:v>
                      </c:pt>
                      <c:pt idx="3405">
                        <c:v>48</c:v>
                      </c:pt>
                      <c:pt idx="3406">
                        <c:v>48</c:v>
                      </c:pt>
                      <c:pt idx="3411">
                        <c:v>49</c:v>
                      </c:pt>
                      <c:pt idx="3412">
                        <c:v>49</c:v>
                      </c:pt>
                      <c:pt idx="3413">
                        <c:v>49</c:v>
                      </c:pt>
                      <c:pt idx="3414">
                        <c:v>49</c:v>
                      </c:pt>
                      <c:pt idx="3468">
                        <c:v>50</c:v>
                      </c:pt>
                      <c:pt idx="3469">
                        <c:v>50</c:v>
                      </c:pt>
                      <c:pt idx="3470">
                        <c:v>50</c:v>
                      </c:pt>
                      <c:pt idx="3471">
                        <c:v>50</c:v>
                      </c:pt>
                      <c:pt idx="3472">
                        <c:v>50</c:v>
                      </c:pt>
                      <c:pt idx="3473">
                        <c:v>50</c:v>
                      </c:pt>
                      <c:pt idx="3474">
                        <c:v>50</c:v>
                      </c:pt>
                      <c:pt idx="3475">
                        <c:v>50</c:v>
                      </c:pt>
                      <c:pt idx="3481">
                        <c:v>51</c:v>
                      </c:pt>
                      <c:pt idx="3482">
                        <c:v>51</c:v>
                      </c:pt>
                      <c:pt idx="3483">
                        <c:v>51</c:v>
                      </c:pt>
                      <c:pt idx="3484">
                        <c:v>51</c:v>
                      </c:pt>
                      <c:pt idx="3485">
                        <c:v>51</c:v>
                      </c:pt>
                      <c:pt idx="3486">
                        <c:v>51</c:v>
                      </c:pt>
                      <c:pt idx="3487">
                        <c:v>51</c:v>
                      </c:pt>
                      <c:pt idx="3488">
                        <c:v>51</c:v>
                      </c:pt>
                      <c:pt idx="3489">
                        <c:v>51</c:v>
                      </c:pt>
                      <c:pt idx="3490">
                        <c:v>51</c:v>
                      </c:pt>
                      <c:pt idx="3491">
                        <c:v>51</c:v>
                      </c:pt>
                      <c:pt idx="3492">
                        <c:v>51</c:v>
                      </c:pt>
                      <c:pt idx="3493">
                        <c:v>51</c:v>
                      </c:pt>
                      <c:pt idx="3499">
                        <c:v>52</c:v>
                      </c:pt>
                      <c:pt idx="3500">
                        <c:v>52</c:v>
                      </c:pt>
                      <c:pt idx="3501">
                        <c:v>52</c:v>
                      </c:pt>
                      <c:pt idx="3502">
                        <c:v>52</c:v>
                      </c:pt>
                      <c:pt idx="3503">
                        <c:v>52</c:v>
                      </c:pt>
                      <c:pt idx="3504">
                        <c:v>52</c:v>
                      </c:pt>
                      <c:pt idx="3505">
                        <c:v>52</c:v>
                      </c:pt>
                      <c:pt idx="3506">
                        <c:v>52</c:v>
                      </c:pt>
                      <c:pt idx="3507">
                        <c:v>52</c:v>
                      </c:pt>
                      <c:pt idx="3508">
                        <c:v>52</c:v>
                      </c:pt>
                      <c:pt idx="3509">
                        <c:v>52</c:v>
                      </c:pt>
                      <c:pt idx="3510">
                        <c:v>52</c:v>
                      </c:pt>
                      <c:pt idx="3511">
                        <c:v>52</c:v>
                      </c:pt>
                      <c:pt idx="3512">
                        <c:v>52</c:v>
                      </c:pt>
                      <c:pt idx="3513">
                        <c:v>52</c:v>
                      </c:pt>
                      <c:pt idx="3514">
                        <c:v>52</c:v>
                      </c:pt>
                      <c:pt idx="3515">
                        <c:v>52</c:v>
                      </c:pt>
                      <c:pt idx="3516">
                        <c:v>52</c:v>
                      </c:pt>
                      <c:pt idx="3517">
                        <c:v>52</c:v>
                      </c:pt>
                      <c:pt idx="3518">
                        <c:v>52</c:v>
                      </c:pt>
                      <c:pt idx="3519">
                        <c:v>52</c:v>
                      </c:pt>
                      <c:pt idx="3520">
                        <c:v>52</c:v>
                      </c:pt>
                      <c:pt idx="3521">
                        <c:v>52</c:v>
                      </c:pt>
                      <c:pt idx="3522">
                        <c:v>52</c:v>
                      </c:pt>
                      <c:pt idx="3523">
                        <c:v>52</c:v>
                      </c:pt>
                      <c:pt idx="3524">
                        <c:v>52</c:v>
                      </c:pt>
                      <c:pt idx="3537">
                        <c:v>53</c:v>
                      </c:pt>
                      <c:pt idx="3538">
                        <c:v>53</c:v>
                      </c:pt>
                      <c:pt idx="3539">
                        <c:v>53</c:v>
                      </c:pt>
                      <c:pt idx="3540">
                        <c:v>53</c:v>
                      </c:pt>
                      <c:pt idx="3541">
                        <c:v>53</c:v>
                      </c:pt>
                      <c:pt idx="3542">
                        <c:v>53</c:v>
                      </c:pt>
                      <c:pt idx="3543">
                        <c:v>53</c:v>
                      </c:pt>
                      <c:pt idx="3544">
                        <c:v>53</c:v>
                      </c:pt>
                      <c:pt idx="3545">
                        <c:v>53</c:v>
                      </c:pt>
                      <c:pt idx="3546">
                        <c:v>53</c:v>
                      </c:pt>
                      <c:pt idx="3547">
                        <c:v>53</c:v>
                      </c:pt>
                      <c:pt idx="3548">
                        <c:v>53</c:v>
                      </c:pt>
                      <c:pt idx="3549">
                        <c:v>53</c:v>
                      </c:pt>
                      <c:pt idx="3550">
                        <c:v>53</c:v>
                      </c:pt>
                      <c:pt idx="3551">
                        <c:v>53</c:v>
                      </c:pt>
                      <c:pt idx="3552">
                        <c:v>53</c:v>
                      </c:pt>
                      <c:pt idx="3553">
                        <c:v>53</c:v>
                      </c:pt>
                      <c:pt idx="3554">
                        <c:v>53</c:v>
                      </c:pt>
                      <c:pt idx="3555">
                        <c:v>53</c:v>
                      </c:pt>
                      <c:pt idx="3556">
                        <c:v>53</c:v>
                      </c:pt>
                      <c:pt idx="3585">
                        <c:v>54</c:v>
                      </c:pt>
                      <c:pt idx="3586">
                        <c:v>54</c:v>
                      </c:pt>
                      <c:pt idx="3587">
                        <c:v>54</c:v>
                      </c:pt>
                      <c:pt idx="3588">
                        <c:v>54</c:v>
                      </c:pt>
                      <c:pt idx="3589">
                        <c:v>54</c:v>
                      </c:pt>
                      <c:pt idx="3590">
                        <c:v>54</c:v>
                      </c:pt>
                      <c:pt idx="3591">
                        <c:v>54</c:v>
                      </c:pt>
                      <c:pt idx="3592">
                        <c:v>54</c:v>
                      </c:pt>
                      <c:pt idx="3593">
                        <c:v>54</c:v>
                      </c:pt>
                      <c:pt idx="3594">
                        <c:v>54</c:v>
                      </c:pt>
                      <c:pt idx="3595">
                        <c:v>54</c:v>
                      </c:pt>
                      <c:pt idx="3596">
                        <c:v>54</c:v>
                      </c:pt>
                      <c:pt idx="3597">
                        <c:v>54</c:v>
                      </c:pt>
                      <c:pt idx="3598">
                        <c:v>54</c:v>
                      </c:pt>
                      <c:pt idx="3599">
                        <c:v>54</c:v>
                      </c:pt>
                      <c:pt idx="3600">
                        <c:v>54</c:v>
                      </c:pt>
                      <c:pt idx="3601">
                        <c:v>54</c:v>
                      </c:pt>
                      <c:pt idx="3602">
                        <c:v>54</c:v>
                      </c:pt>
                      <c:pt idx="3603">
                        <c:v>54</c:v>
                      </c:pt>
                      <c:pt idx="3604">
                        <c:v>54</c:v>
                      </c:pt>
                      <c:pt idx="3627">
                        <c:v>55</c:v>
                      </c:pt>
                      <c:pt idx="3628">
                        <c:v>55</c:v>
                      </c:pt>
                      <c:pt idx="3629">
                        <c:v>55</c:v>
                      </c:pt>
                      <c:pt idx="3630">
                        <c:v>55</c:v>
                      </c:pt>
                      <c:pt idx="3631">
                        <c:v>55</c:v>
                      </c:pt>
                      <c:pt idx="3632">
                        <c:v>55</c:v>
                      </c:pt>
                      <c:pt idx="3633">
                        <c:v>55</c:v>
                      </c:pt>
                      <c:pt idx="3634">
                        <c:v>55</c:v>
                      </c:pt>
                      <c:pt idx="3635">
                        <c:v>55</c:v>
                      </c:pt>
                      <c:pt idx="3653">
                        <c:v>56</c:v>
                      </c:pt>
                      <c:pt idx="3654">
                        <c:v>56</c:v>
                      </c:pt>
                      <c:pt idx="3655">
                        <c:v>56</c:v>
                      </c:pt>
                      <c:pt idx="3656">
                        <c:v>56</c:v>
                      </c:pt>
                      <c:pt idx="3657">
                        <c:v>56</c:v>
                      </c:pt>
                      <c:pt idx="3658">
                        <c:v>56</c:v>
                      </c:pt>
                      <c:pt idx="3659">
                        <c:v>56</c:v>
                      </c:pt>
                      <c:pt idx="3660">
                        <c:v>56</c:v>
                      </c:pt>
                      <c:pt idx="3661">
                        <c:v>56</c:v>
                      </c:pt>
                      <c:pt idx="3662">
                        <c:v>56</c:v>
                      </c:pt>
                      <c:pt idx="3663">
                        <c:v>56</c:v>
                      </c:pt>
                      <c:pt idx="3664">
                        <c:v>56</c:v>
                      </c:pt>
                      <c:pt idx="3665">
                        <c:v>56</c:v>
                      </c:pt>
                      <c:pt idx="3666">
                        <c:v>56</c:v>
                      </c:pt>
                      <c:pt idx="3667">
                        <c:v>56</c:v>
                      </c:pt>
                      <c:pt idx="3668">
                        <c:v>56</c:v>
                      </c:pt>
                      <c:pt idx="3669">
                        <c:v>56</c:v>
                      </c:pt>
                      <c:pt idx="3670">
                        <c:v>56</c:v>
                      </c:pt>
                      <c:pt idx="3671">
                        <c:v>56</c:v>
                      </c:pt>
                      <c:pt idx="3672">
                        <c:v>56</c:v>
                      </c:pt>
                      <c:pt idx="3673">
                        <c:v>56</c:v>
                      </c:pt>
                      <c:pt idx="3674">
                        <c:v>56</c:v>
                      </c:pt>
                      <c:pt idx="3675">
                        <c:v>56</c:v>
                      </c:pt>
                      <c:pt idx="3676">
                        <c:v>56</c:v>
                      </c:pt>
                      <c:pt idx="3710">
                        <c:v>57</c:v>
                      </c:pt>
                      <c:pt idx="3711">
                        <c:v>57</c:v>
                      </c:pt>
                      <c:pt idx="3712">
                        <c:v>57</c:v>
                      </c:pt>
                      <c:pt idx="3713">
                        <c:v>57</c:v>
                      </c:pt>
                      <c:pt idx="3714">
                        <c:v>57</c:v>
                      </c:pt>
                      <c:pt idx="3715">
                        <c:v>57</c:v>
                      </c:pt>
                      <c:pt idx="3716">
                        <c:v>57</c:v>
                      </c:pt>
                      <c:pt idx="3825">
                        <c:v>58</c:v>
                      </c:pt>
                      <c:pt idx="3826">
                        <c:v>58</c:v>
                      </c:pt>
                      <c:pt idx="3827">
                        <c:v>58</c:v>
                      </c:pt>
                      <c:pt idx="3828">
                        <c:v>58</c:v>
                      </c:pt>
                      <c:pt idx="3829">
                        <c:v>58</c:v>
                      </c:pt>
                      <c:pt idx="3830">
                        <c:v>58</c:v>
                      </c:pt>
                      <c:pt idx="3831">
                        <c:v>58</c:v>
                      </c:pt>
                      <c:pt idx="3832">
                        <c:v>58</c:v>
                      </c:pt>
                      <c:pt idx="3833">
                        <c:v>58</c:v>
                      </c:pt>
                      <c:pt idx="3834">
                        <c:v>58</c:v>
                      </c:pt>
                      <c:pt idx="3835">
                        <c:v>58</c:v>
                      </c:pt>
                      <c:pt idx="3836">
                        <c:v>58</c:v>
                      </c:pt>
                      <c:pt idx="3845">
                        <c:v>59</c:v>
                      </c:pt>
                      <c:pt idx="3846">
                        <c:v>59</c:v>
                      </c:pt>
                      <c:pt idx="3847">
                        <c:v>59</c:v>
                      </c:pt>
                      <c:pt idx="3848">
                        <c:v>59</c:v>
                      </c:pt>
                      <c:pt idx="3849">
                        <c:v>59</c:v>
                      </c:pt>
                      <c:pt idx="3850">
                        <c:v>59</c:v>
                      </c:pt>
                      <c:pt idx="3851">
                        <c:v>59</c:v>
                      </c:pt>
                      <c:pt idx="3852">
                        <c:v>59</c:v>
                      </c:pt>
                      <c:pt idx="3853">
                        <c:v>59</c:v>
                      </c:pt>
                      <c:pt idx="3854">
                        <c:v>59</c:v>
                      </c:pt>
                      <c:pt idx="3855">
                        <c:v>59</c:v>
                      </c:pt>
                      <c:pt idx="3856">
                        <c:v>59</c:v>
                      </c:pt>
                      <c:pt idx="3857">
                        <c:v>59</c:v>
                      </c:pt>
                      <c:pt idx="3858">
                        <c:v>59</c:v>
                      </c:pt>
                      <c:pt idx="3859">
                        <c:v>59</c:v>
                      </c:pt>
                      <c:pt idx="3860">
                        <c:v>59</c:v>
                      </c:pt>
                      <c:pt idx="3861">
                        <c:v>59</c:v>
                      </c:pt>
                      <c:pt idx="3862">
                        <c:v>59</c:v>
                      </c:pt>
                      <c:pt idx="3863">
                        <c:v>59</c:v>
                      </c:pt>
                      <c:pt idx="3864">
                        <c:v>59</c:v>
                      </c:pt>
                      <c:pt idx="3865">
                        <c:v>59</c:v>
                      </c:pt>
                      <c:pt idx="3866">
                        <c:v>59</c:v>
                      </c:pt>
                      <c:pt idx="3867">
                        <c:v>59</c:v>
                      </c:pt>
                      <c:pt idx="3868">
                        <c:v>59</c:v>
                      </c:pt>
                      <c:pt idx="3869">
                        <c:v>59</c:v>
                      </c:pt>
                      <c:pt idx="3870">
                        <c:v>59</c:v>
                      </c:pt>
                      <c:pt idx="3871">
                        <c:v>59</c:v>
                      </c:pt>
                      <c:pt idx="3872">
                        <c:v>59</c:v>
                      </c:pt>
                      <c:pt idx="3873">
                        <c:v>59</c:v>
                      </c:pt>
                      <c:pt idx="3874">
                        <c:v>59</c:v>
                      </c:pt>
                      <c:pt idx="3875">
                        <c:v>59</c:v>
                      </c:pt>
                      <c:pt idx="3876">
                        <c:v>59</c:v>
                      </c:pt>
                      <c:pt idx="3929">
                        <c:v>60</c:v>
                      </c:pt>
                      <c:pt idx="3930">
                        <c:v>60</c:v>
                      </c:pt>
                      <c:pt idx="3931">
                        <c:v>60</c:v>
                      </c:pt>
                      <c:pt idx="3932">
                        <c:v>60</c:v>
                      </c:pt>
                      <c:pt idx="3933">
                        <c:v>60</c:v>
                      </c:pt>
                      <c:pt idx="3934">
                        <c:v>60</c:v>
                      </c:pt>
                      <c:pt idx="3935">
                        <c:v>60</c:v>
                      </c:pt>
                      <c:pt idx="3936">
                        <c:v>60</c:v>
                      </c:pt>
                      <c:pt idx="3937">
                        <c:v>60</c:v>
                      </c:pt>
                      <c:pt idx="3938">
                        <c:v>60</c:v>
                      </c:pt>
                      <c:pt idx="3939">
                        <c:v>60</c:v>
                      </c:pt>
                      <c:pt idx="3940">
                        <c:v>60</c:v>
                      </c:pt>
                      <c:pt idx="3941">
                        <c:v>60</c:v>
                      </c:pt>
                      <c:pt idx="3942">
                        <c:v>60</c:v>
                      </c:pt>
                      <c:pt idx="3943">
                        <c:v>60</c:v>
                      </c:pt>
                      <c:pt idx="3944">
                        <c:v>60</c:v>
                      </c:pt>
                      <c:pt idx="3945">
                        <c:v>60</c:v>
                      </c:pt>
                      <c:pt idx="3946">
                        <c:v>60</c:v>
                      </c:pt>
                      <c:pt idx="3947">
                        <c:v>60</c:v>
                      </c:pt>
                      <c:pt idx="3948">
                        <c:v>60</c:v>
                      </c:pt>
                      <c:pt idx="3949">
                        <c:v>60</c:v>
                      </c:pt>
                      <c:pt idx="3950">
                        <c:v>60</c:v>
                      </c:pt>
                      <c:pt idx="4001">
                        <c:v>61</c:v>
                      </c:pt>
                      <c:pt idx="4002">
                        <c:v>61</c:v>
                      </c:pt>
                      <c:pt idx="4003">
                        <c:v>61</c:v>
                      </c:pt>
                      <c:pt idx="4004">
                        <c:v>61</c:v>
                      </c:pt>
                      <c:pt idx="4005">
                        <c:v>61</c:v>
                      </c:pt>
                      <c:pt idx="4006">
                        <c:v>61</c:v>
                      </c:pt>
                      <c:pt idx="4007">
                        <c:v>61</c:v>
                      </c:pt>
                      <c:pt idx="4008">
                        <c:v>61</c:v>
                      </c:pt>
                      <c:pt idx="4009">
                        <c:v>61</c:v>
                      </c:pt>
                      <c:pt idx="4027">
                        <c:v>62</c:v>
                      </c:pt>
                      <c:pt idx="4028">
                        <c:v>62</c:v>
                      </c:pt>
                      <c:pt idx="4029">
                        <c:v>62</c:v>
                      </c:pt>
                      <c:pt idx="4030">
                        <c:v>62</c:v>
                      </c:pt>
                      <c:pt idx="4031">
                        <c:v>62</c:v>
                      </c:pt>
                      <c:pt idx="4032">
                        <c:v>62</c:v>
                      </c:pt>
                      <c:pt idx="4033">
                        <c:v>62</c:v>
                      </c:pt>
                      <c:pt idx="4034">
                        <c:v>62</c:v>
                      </c:pt>
                      <c:pt idx="4376">
                        <c:v>63</c:v>
                      </c:pt>
                      <c:pt idx="4377">
                        <c:v>63</c:v>
                      </c:pt>
                      <c:pt idx="4378">
                        <c:v>63</c:v>
                      </c:pt>
                      <c:pt idx="4379">
                        <c:v>63</c:v>
                      </c:pt>
                      <c:pt idx="4380">
                        <c:v>63</c:v>
                      </c:pt>
                      <c:pt idx="4381">
                        <c:v>63</c:v>
                      </c:pt>
                      <c:pt idx="4382">
                        <c:v>63</c:v>
                      </c:pt>
                      <c:pt idx="4383">
                        <c:v>63</c:v>
                      </c:pt>
                      <c:pt idx="4384">
                        <c:v>63</c:v>
                      </c:pt>
                      <c:pt idx="4385">
                        <c:v>63</c:v>
                      </c:pt>
                      <c:pt idx="4386">
                        <c:v>63</c:v>
                      </c:pt>
                      <c:pt idx="4387">
                        <c:v>63</c:v>
                      </c:pt>
                      <c:pt idx="4388">
                        <c:v>63</c:v>
                      </c:pt>
                      <c:pt idx="4389">
                        <c:v>63</c:v>
                      </c:pt>
                      <c:pt idx="4390">
                        <c:v>63</c:v>
                      </c:pt>
                      <c:pt idx="4391">
                        <c:v>63</c:v>
                      </c:pt>
                      <c:pt idx="4392">
                        <c:v>63</c:v>
                      </c:pt>
                      <c:pt idx="4393">
                        <c:v>63</c:v>
                      </c:pt>
                      <c:pt idx="4394">
                        <c:v>63</c:v>
                      </c:pt>
                      <c:pt idx="4395">
                        <c:v>63</c:v>
                      </c:pt>
                      <c:pt idx="4396">
                        <c:v>63</c:v>
                      </c:pt>
                      <c:pt idx="4437">
                        <c:v>64</c:v>
                      </c:pt>
                      <c:pt idx="4438">
                        <c:v>64</c:v>
                      </c:pt>
                      <c:pt idx="4439">
                        <c:v>64</c:v>
                      </c:pt>
                      <c:pt idx="4440">
                        <c:v>64</c:v>
                      </c:pt>
                      <c:pt idx="4441">
                        <c:v>64</c:v>
                      </c:pt>
                      <c:pt idx="4442">
                        <c:v>64</c:v>
                      </c:pt>
                      <c:pt idx="4443">
                        <c:v>64</c:v>
                      </c:pt>
                      <c:pt idx="4444">
                        <c:v>64</c:v>
                      </c:pt>
                      <c:pt idx="4445">
                        <c:v>64</c:v>
                      </c:pt>
                      <c:pt idx="4446">
                        <c:v>64</c:v>
                      </c:pt>
                      <c:pt idx="4447">
                        <c:v>64</c:v>
                      </c:pt>
                      <c:pt idx="4448">
                        <c:v>64</c:v>
                      </c:pt>
                      <c:pt idx="4449">
                        <c:v>64</c:v>
                      </c:pt>
                      <c:pt idx="4450">
                        <c:v>64</c:v>
                      </c:pt>
                      <c:pt idx="4451">
                        <c:v>64</c:v>
                      </c:pt>
                      <c:pt idx="4452">
                        <c:v>64</c:v>
                      </c:pt>
                      <c:pt idx="4453">
                        <c:v>64</c:v>
                      </c:pt>
                      <c:pt idx="4454">
                        <c:v>64</c:v>
                      </c:pt>
                      <c:pt idx="4455">
                        <c:v>64</c:v>
                      </c:pt>
                      <c:pt idx="4456">
                        <c:v>64</c:v>
                      </c:pt>
                      <c:pt idx="4457">
                        <c:v>64</c:v>
                      </c:pt>
                      <c:pt idx="4458">
                        <c:v>64</c:v>
                      </c:pt>
                      <c:pt idx="4459">
                        <c:v>64</c:v>
                      </c:pt>
                      <c:pt idx="4460">
                        <c:v>64</c:v>
                      </c:pt>
                      <c:pt idx="4461">
                        <c:v>64</c:v>
                      </c:pt>
                      <c:pt idx="4462">
                        <c:v>64</c:v>
                      </c:pt>
                      <c:pt idx="4463">
                        <c:v>64</c:v>
                      </c:pt>
                      <c:pt idx="4464">
                        <c:v>64</c:v>
                      </c:pt>
                      <c:pt idx="4465">
                        <c:v>64</c:v>
                      </c:pt>
                      <c:pt idx="4466">
                        <c:v>64</c:v>
                      </c:pt>
                      <c:pt idx="4467">
                        <c:v>64</c:v>
                      </c:pt>
                      <c:pt idx="4468">
                        <c:v>64</c:v>
                      </c:pt>
                      <c:pt idx="4469">
                        <c:v>64</c:v>
                      </c:pt>
                      <c:pt idx="4470">
                        <c:v>64</c:v>
                      </c:pt>
                      <c:pt idx="4471">
                        <c:v>64</c:v>
                      </c:pt>
                      <c:pt idx="4472">
                        <c:v>64</c:v>
                      </c:pt>
                      <c:pt idx="4473">
                        <c:v>64</c:v>
                      </c:pt>
                      <c:pt idx="4474">
                        <c:v>64</c:v>
                      </c:pt>
                      <c:pt idx="4475">
                        <c:v>64</c:v>
                      </c:pt>
                      <c:pt idx="4476">
                        <c:v>64</c:v>
                      </c:pt>
                      <c:pt idx="4477">
                        <c:v>64</c:v>
                      </c:pt>
                      <c:pt idx="4478">
                        <c:v>64</c:v>
                      </c:pt>
                      <c:pt idx="4479">
                        <c:v>64</c:v>
                      </c:pt>
                      <c:pt idx="4480">
                        <c:v>64</c:v>
                      </c:pt>
                      <c:pt idx="4523">
                        <c:v>65</c:v>
                      </c:pt>
                      <c:pt idx="4524">
                        <c:v>65</c:v>
                      </c:pt>
                      <c:pt idx="4525">
                        <c:v>65</c:v>
                      </c:pt>
                      <c:pt idx="4526">
                        <c:v>65</c:v>
                      </c:pt>
                      <c:pt idx="4527">
                        <c:v>65</c:v>
                      </c:pt>
                      <c:pt idx="4528">
                        <c:v>65</c:v>
                      </c:pt>
                      <c:pt idx="4529">
                        <c:v>65</c:v>
                      </c:pt>
                      <c:pt idx="4530">
                        <c:v>65</c:v>
                      </c:pt>
                      <c:pt idx="4531">
                        <c:v>65</c:v>
                      </c:pt>
                      <c:pt idx="4564">
                        <c:v>66</c:v>
                      </c:pt>
                      <c:pt idx="4565">
                        <c:v>66</c:v>
                      </c:pt>
                      <c:pt idx="4566">
                        <c:v>66</c:v>
                      </c:pt>
                      <c:pt idx="4567">
                        <c:v>66</c:v>
                      </c:pt>
                      <c:pt idx="4568">
                        <c:v>66</c:v>
                      </c:pt>
                      <c:pt idx="4583">
                        <c:v>67</c:v>
                      </c:pt>
                      <c:pt idx="4584">
                        <c:v>67</c:v>
                      </c:pt>
                      <c:pt idx="4585">
                        <c:v>67</c:v>
                      </c:pt>
                      <c:pt idx="4586">
                        <c:v>67</c:v>
                      </c:pt>
                      <c:pt idx="4587">
                        <c:v>67</c:v>
                      </c:pt>
                      <c:pt idx="4588">
                        <c:v>67</c:v>
                      </c:pt>
                      <c:pt idx="4705">
                        <c:v>68</c:v>
                      </c:pt>
                      <c:pt idx="4706">
                        <c:v>68</c:v>
                      </c:pt>
                      <c:pt idx="4707">
                        <c:v>68</c:v>
                      </c:pt>
                      <c:pt idx="4708">
                        <c:v>68</c:v>
                      </c:pt>
                      <c:pt idx="4709">
                        <c:v>68</c:v>
                      </c:pt>
                      <c:pt idx="4710">
                        <c:v>68</c:v>
                      </c:pt>
                      <c:pt idx="4711">
                        <c:v>68</c:v>
                      </c:pt>
                      <c:pt idx="4712">
                        <c:v>68</c:v>
                      </c:pt>
                      <c:pt idx="4713">
                        <c:v>68</c:v>
                      </c:pt>
                      <c:pt idx="4714">
                        <c:v>68</c:v>
                      </c:pt>
                      <c:pt idx="4715">
                        <c:v>68</c:v>
                      </c:pt>
                      <c:pt idx="4716">
                        <c:v>68</c:v>
                      </c:pt>
                      <c:pt idx="4717">
                        <c:v>68</c:v>
                      </c:pt>
                      <c:pt idx="4718">
                        <c:v>68</c:v>
                      </c:pt>
                      <c:pt idx="4719">
                        <c:v>68</c:v>
                      </c:pt>
                      <c:pt idx="4720">
                        <c:v>68</c:v>
                      </c:pt>
                      <c:pt idx="4721">
                        <c:v>68</c:v>
                      </c:pt>
                      <c:pt idx="4722">
                        <c:v>68</c:v>
                      </c:pt>
                      <c:pt idx="4723">
                        <c:v>68</c:v>
                      </c:pt>
                      <c:pt idx="4724">
                        <c:v>68</c:v>
                      </c:pt>
                      <c:pt idx="4725">
                        <c:v>68</c:v>
                      </c:pt>
                      <c:pt idx="4726">
                        <c:v>68</c:v>
                      </c:pt>
                      <c:pt idx="4727">
                        <c:v>68</c:v>
                      </c:pt>
                      <c:pt idx="4728">
                        <c:v>68</c:v>
                      </c:pt>
                      <c:pt idx="4729">
                        <c:v>68</c:v>
                      </c:pt>
                      <c:pt idx="4730">
                        <c:v>68</c:v>
                      </c:pt>
                      <c:pt idx="4731">
                        <c:v>68</c:v>
                      </c:pt>
                      <c:pt idx="4732">
                        <c:v>68</c:v>
                      </c:pt>
                      <c:pt idx="4733">
                        <c:v>68</c:v>
                      </c:pt>
                      <c:pt idx="4734">
                        <c:v>68</c:v>
                      </c:pt>
                      <c:pt idx="4735">
                        <c:v>68</c:v>
                      </c:pt>
                      <c:pt idx="4736">
                        <c:v>68</c:v>
                      </c:pt>
                      <c:pt idx="4737">
                        <c:v>68</c:v>
                      </c:pt>
                      <c:pt idx="4738">
                        <c:v>68</c:v>
                      </c:pt>
                      <c:pt idx="4739">
                        <c:v>68</c:v>
                      </c:pt>
                      <c:pt idx="4740">
                        <c:v>68</c:v>
                      </c:pt>
                      <c:pt idx="4741">
                        <c:v>68</c:v>
                      </c:pt>
                      <c:pt idx="4742">
                        <c:v>68</c:v>
                      </c:pt>
                      <c:pt idx="4743">
                        <c:v>68</c:v>
                      </c:pt>
                      <c:pt idx="4744">
                        <c:v>68</c:v>
                      </c:pt>
                      <c:pt idx="4745">
                        <c:v>68</c:v>
                      </c:pt>
                      <c:pt idx="4746">
                        <c:v>68</c:v>
                      </c:pt>
                      <c:pt idx="4747">
                        <c:v>68</c:v>
                      </c:pt>
                      <c:pt idx="4748">
                        <c:v>68</c:v>
                      </c:pt>
                      <c:pt idx="4749">
                        <c:v>68</c:v>
                      </c:pt>
                      <c:pt idx="4750">
                        <c:v>68</c:v>
                      </c:pt>
                      <c:pt idx="4751">
                        <c:v>68</c:v>
                      </c:pt>
                      <c:pt idx="4752">
                        <c:v>68</c:v>
                      </c:pt>
                      <c:pt idx="4753">
                        <c:v>68</c:v>
                      </c:pt>
                      <c:pt idx="4754">
                        <c:v>68</c:v>
                      </c:pt>
                      <c:pt idx="4755">
                        <c:v>68</c:v>
                      </c:pt>
                      <c:pt idx="4756">
                        <c:v>68</c:v>
                      </c:pt>
                      <c:pt idx="4757">
                        <c:v>68</c:v>
                      </c:pt>
                      <c:pt idx="4758">
                        <c:v>68</c:v>
                      </c:pt>
                      <c:pt idx="4865">
                        <c:v>69</c:v>
                      </c:pt>
                      <c:pt idx="4866">
                        <c:v>69</c:v>
                      </c:pt>
                      <c:pt idx="4867">
                        <c:v>69</c:v>
                      </c:pt>
                      <c:pt idx="4868">
                        <c:v>69</c:v>
                      </c:pt>
                      <c:pt idx="4869">
                        <c:v>69</c:v>
                      </c:pt>
                      <c:pt idx="4870">
                        <c:v>69</c:v>
                      </c:pt>
                      <c:pt idx="4871">
                        <c:v>69</c:v>
                      </c:pt>
                      <c:pt idx="4872">
                        <c:v>69</c:v>
                      </c:pt>
                      <c:pt idx="4873">
                        <c:v>69</c:v>
                      </c:pt>
                      <c:pt idx="4874">
                        <c:v>69</c:v>
                      </c:pt>
                      <c:pt idx="4875">
                        <c:v>69</c:v>
                      </c:pt>
                      <c:pt idx="4899">
                        <c:v>70</c:v>
                      </c:pt>
                      <c:pt idx="4900">
                        <c:v>70</c:v>
                      </c:pt>
                      <c:pt idx="4901">
                        <c:v>70</c:v>
                      </c:pt>
                      <c:pt idx="4902">
                        <c:v>70</c:v>
                      </c:pt>
                      <c:pt idx="4903">
                        <c:v>70</c:v>
                      </c:pt>
                      <c:pt idx="4904">
                        <c:v>70</c:v>
                      </c:pt>
                      <c:pt idx="4905">
                        <c:v>70</c:v>
                      </c:pt>
                      <c:pt idx="4906">
                        <c:v>70</c:v>
                      </c:pt>
                      <c:pt idx="4921">
                        <c:v>71</c:v>
                      </c:pt>
                      <c:pt idx="4922">
                        <c:v>71</c:v>
                      </c:pt>
                      <c:pt idx="4923">
                        <c:v>71</c:v>
                      </c:pt>
                      <c:pt idx="4924">
                        <c:v>71</c:v>
                      </c:pt>
                      <c:pt idx="4925">
                        <c:v>71</c:v>
                      </c:pt>
                      <c:pt idx="4926">
                        <c:v>71</c:v>
                      </c:pt>
                      <c:pt idx="4927">
                        <c:v>71</c:v>
                      </c:pt>
                      <c:pt idx="4928">
                        <c:v>71</c:v>
                      </c:pt>
                      <c:pt idx="4929">
                        <c:v>71</c:v>
                      </c:pt>
                      <c:pt idx="4930">
                        <c:v>71</c:v>
                      </c:pt>
                      <c:pt idx="4931">
                        <c:v>71</c:v>
                      </c:pt>
                      <c:pt idx="4932">
                        <c:v>71</c:v>
                      </c:pt>
                      <c:pt idx="4933">
                        <c:v>71</c:v>
                      </c:pt>
                      <c:pt idx="4934">
                        <c:v>71</c:v>
                      </c:pt>
                      <c:pt idx="4935">
                        <c:v>71</c:v>
                      </c:pt>
                      <c:pt idx="4936">
                        <c:v>71</c:v>
                      </c:pt>
                      <c:pt idx="4937">
                        <c:v>71</c:v>
                      </c:pt>
                      <c:pt idx="4938">
                        <c:v>71</c:v>
                      </c:pt>
                      <c:pt idx="4939">
                        <c:v>71</c:v>
                      </c:pt>
                      <c:pt idx="4940">
                        <c:v>71</c:v>
                      </c:pt>
                      <c:pt idx="4941">
                        <c:v>71</c:v>
                      </c:pt>
                      <c:pt idx="4942">
                        <c:v>71</c:v>
                      </c:pt>
                      <c:pt idx="4943">
                        <c:v>71</c:v>
                      </c:pt>
                      <c:pt idx="4944">
                        <c:v>71</c:v>
                      </c:pt>
                      <c:pt idx="4945">
                        <c:v>71</c:v>
                      </c:pt>
                      <c:pt idx="4946">
                        <c:v>71</c:v>
                      </c:pt>
                      <c:pt idx="4947">
                        <c:v>71</c:v>
                      </c:pt>
                      <c:pt idx="4997">
                        <c:v>72</c:v>
                      </c:pt>
                      <c:pt idx="4998">
                        <c:v>72</c:v>
                      </c:pt>
                      <c:pt idx="4999">
                        <c:v>72</c:v>
                      </c:pt>
                      <c:pt idx="5000">
                        <c:v>72</c:v>
                      </c:pt>
                      <c:pt idx="5001">
                        <c:v>72</c:v>
                      </c:pt>
                      <c:pt idx="5002">
                        <c:v>72</c:v>
                      </c:pt>
                      <c:pt idx="5003">
                        <c:v>72</c:v>
                      </c:pt>
                      <c:pt idx="5004">
                        <c:v>72</c:v>
                      </c:pt>
                      <c:pt idx="5005">
                        <c:v>72</c:v>
                      </c:pt>
                      <c:pt idx="5006">
                        <c:v>72</c:v>
                      </c:pt>
                      <c:pt idx="5007">
                        <c:v>72</c:v>
                      </c:pt>
                      <c:pt idx="5053">
                        <c:v>73</c:v>
                      </c:pt>
                      <c:pt idx="5054">
                        <c:v>73</c:v>
                      </c:pt>
                      <c:pt idx="5055">
                        <c:v>73</c:v>
                      </c:pt>
                      <c:pt idx="5056">
                        <c:v>73</c:v>
                      </c:pt>
                      <c:pt idx="5081">
                        <c:v>74</c:v>
                      </c:pt>
                      <c:pt idx="5082">
                        <c:v>74</c:v>
                      </c:pt>
                      <c:pt idx="5083">
                        <c:v>74</c:v>
                      </c:pt>
                      <c:pt idx="5084">
                        <c:v>74</c:v>
                      </c:pt>
                      <c:pt idx="5085">
                        <c:v>74</c:v>
                      </c:pt>
                      <c:pt idx="5086">
                        <c:v>74</c:v>
                      </c:pt>
                      <c:pt idx="5087">
                        <c:v>74</c:v>
                      </c:pt>
                      <c:pt idx="5088">
                        <c:v>74</c:v>
                      </c:pt>
                      <c:pt idx="5089">
                        <c:v>74</c:v>
                      </c:pt>
                      <c:pt idx="5090">
                        <c:v>74</c:v>
                      </c:pt>
                      <c:pt idx="5091">
                        <c:v>74</c:v>
                      </c:pt>
                      <c:pt idx="5092">
                        <c:v>74</c:v>
                      </c:pt>
                      <c:pt idx="5093">
                        <c:v>74</c:v>
                      </c:pt>
                      <c:pt idx="5094">
                        <c:v>74</c:v>
                      </c:pt>
                      <c:pt idx="5095">
                        <c:v>74</c:v>
                      </c:pt>
                      <c:pt idx="5096">
                        <c:v>74</c:v>
                      </c:pt>
                      <c:pt idx="5097">
                        <c:v>74</c:v>
                      </c:pt>
                      <c:pt idx="5098">
                        <c:v>74</c:v>
                      </c:pt>
                      <c:pt idx="5107">
                        <c:v>75</c:v>
                      </c:pt>
                      <c:pt idx="5108">
                        <c:v>75</c:v>
                      </c:pt>
                      <c:pt idx="5109">
                        <c:v>75</c:v>
                      </c:pt>
                      <c:pt idx="5110">
                        <c:v>75</c:v>
                      </c:pt>
                      <c:pt idx="5111">
                        <c:v>75</c:v>
                      </c:pt>
                      <c:pt idx="5112">
                        <c:v>75</c:v>
                      </c:pt>
                      <c:pt idx="5113">
                        <c:v>75</c:v>
                      </c:pt>
                      <c:pt idx="5114">
                        <c:v>75</c:v>
                      </c:pt>
                      <c:pt idx="5115">
                        <c:v>75</c:v>
                      </c:pt>
                      <c:pt idx="5116">
                        <c:v>75</c:v>
                      </c:pt>
                      <c:pt idx="5117">
                        <c:v>75</c:v>
                      </c:pt>
                      <c:pt idx="5118">
                        <c:v>75</c:v>
                      </c:pt>
                      <c:pt idx="5123">
                        <c:v>76</c:v>
                      </c:pt>
                      <c:pt idx="5124">
                        <c:v>76</c:v>
                      </c:pt>
                      <c:pt idx="5125">
                        <c:v>76</c:v>
                      </c:pt>
                      <c:pt idx="5126">
                        <c:v>76</c:v>
                      </c:pt>
                      <c:pt idx="5127">
                        <c:v>76</c:v>
                      </c:pt>
                      <c:pt idx="5128">
                        <c:v>76</c:v>
                      </c:pt>
                      <c:pt idx="5133">
                        <c:v>77</c:v>
                      </c:pt>
                      <c:pt idx="5134">
                        <c:v>77</c:v>
                      </c:pt>
                      <c:pt idx="5135">
                        <c:v>77</c:v>
                      </c:pt>
                      <c:pt idx="5136">
                        <c:v>77</c:v>
                      </c:pt>
                      <c:pt idx="5137">
                        <c:v>77</c:v>
                      </c:pt>
                      <c:pt idx="5138">
                        <c:v>77</c:v>
                      </c:pt>
                      <c:pt idx="5143">
                        <c:v>78</c:v>
                      </c:pt>
                      <c:pt idx="5144">
                        <c:v>78</c:v>
                      </c:pt>
                      <c:pt idx="5145">
                        <c:v>78</c:v>
                      </c:pt>
                      <c:pt idx="5146">
                        <c:v>78</c:v>
                      </c:pt>
                      <c:pt idx="5182">
                        <c:v>79</c:v>
                      </c:pt>
                      <c:pt idx="5183">
                        <c:v>79</c:v>
                      </c:pt>
                      <c:pt idx="5184">
                        <c:v>79</c:v>
                      </c:pt>
                      <c:pt idx="5185">
                        <c:v>79</c:v>
                      </c:pt>
                      <c:pt idx="5186">
                        <c:v>79</c:v>
                      </c:pt>
                      <c:pt idx="5187">
                        <c:v>79</c:v>
                      </c:pt>
                      <c:pt idx="5188">
                        <c:v>79</c:v>
                      </c:pt>
                      <c:pt idx="5189">
                        <c:v>79</c:v>
                      </c:pt>
                      <c:pt idx="5190">
                        <c:v>79</c:v>
                      </c:pt>
                      <c:pt idx="5191">
                        <c:v>79</c:v>
                      </c:pt>
                      <c:pt idx="5192">
                        <c:v>79</c:v>
                      </c:pt>
                      <c:pt idx="5220">
                        <c:v>80</c:v>
                      </c:pt>
                      <c:pt idx="5221">
                        <c:v>80</c:v>
                      </c:pt>
                      <c:pt idx="5222">
                        <c:v>80</c:v>
                      </c:pt>
                      <c:pt idx="5223">
                        <c:v>80</c:v>
                      </c:pt>
                      <c:pt idx="5224">
                        <c:v>80</c:v>
                      </c:pt>
                      <c:pt idx="5225">
                        <c:v>80</c:v>
                      </c:pt>
                      <c:pt idx="5226">
                        <c:v>80</c:v>
                      </c:pt>
                      <c:pt idx="5227">
                        <c:v>80</c:v>
                      </c:pt>
                      <c:pt idx="5228">
                        <c:v>80</c:v>
                      </c:pt>
                      <c:pt idx="5229">
                        <c:v>80</c:v>
                      </c:pt>
                      <c:pt idx="5230">
                        <c:v>80</c:v>
                      </c:pt>
                      <c:pt idx="5231">
                        <c:v>80</c:v>
                      </c:pt>
                      <c:pt idx="5232">
                        <c:v>80</c:v>
                      </c:pt>
                      <c:pt idx="5233">
                        <c:v>80</c:v>
                      </c:pt>
                      <c:pt idx="5234">
                        <c:v>80</c:v>
                      </c:pt>
                      <c:pt idx="5235">
                        <c:v>80</c:v>
                      </c:pt>
                      <c:pt idx="5236">
                        <c:v>80</c:v>
                      </c:pt>
                      <c:pt idx="5237">
                        <c:v>80</c:v>
                      </c:pt>
                      <c:pt idx="5238">
                        <c:v>80</c:v>
                      </c:pt>
                      <c:pt idx="5239">
                        <c:v>80</c:v>
                      </c:pt>
                      <c:pt idx="5240">
                        <c:v>80</c:v>
                      </c:pt>
                      <c:pt idx="5241">
                        <c:v>80</c:v>
                      </c:pt>
                      <c:pt idx="5242">
                        <c:v>80</c:v>
                      </c:pt>
                      <c:pt idx="5243">
                        <c:v>80</c:v>
                      </c:pt>
                      <c:pt idx="5244">
                        <c:v>80</c:v>
                      </c:pt>
                      <c:pt idx="5245">
                        <c:v>80</c:v>
                      </c:pt>
                      <c:pt idx="5246">
                        <c:v>80</c:v>
                      </c:pt>
                      <c:pt idx="5247">
                        <c:v>80</c:v>
                      </c:pt>
                      <c:pt idx="5248">
                        <c:v>80</c:v>
                      </c:pt>
                      <c:pt idx="5249">
                        <c:v>80</c:v>
                      </c:pt>
                      <c:pt idx="5250">
                        <c:v>80</c:v>
                      </c:pt>
                      <c:pt idx="5251">
                        <c:v>80</c:v>
                      </c:pt>
                      <c:pt idx="5252">
                        <c:v>80</c:v>
                      </c:pt>
                      <c:pt idx="5289">
                        <c:v>81</c:v>
                      </c:pt>
                      <c:pt idx="5290">
                        <c:v>81</c:v>
                      </c:pt>
                      <c:pt idx="5291">
                        <c:v>81</c:v>
                      </c:pt>
                      <c:pt idx="5292">
                        <c:v>81</c:v>
                      </c:pt>
                      <c:pt idx="5293">
                        <c:v>81</c:v>
                      </c:pt>
                      <c:pt idx="5363">
                        <c:v>82</c:v>
                      </c:pt>
                      <c:pt idx="5364">
                        <c:v>82</c:v>
                      </c:pt>
                      <c:pt idx="5365">
                        <c:v>82</c:v>
                      </c:pt>
                      <c:pt idx="5366">
                        <c:v>82</c:v>
                      </c:pt>
                      <c:pt idx="5367">
                        <c:v>82</c:v>
                      </c:pt>
                      <c:pt idx="5368">
                        <c:v>82</c:v>
                      </c:pt>
                      <c:pt idx="5369">
                        <c:v>82</c:v>
                      </c:pt>
                      <c:pt idx="5370">
                        <c:v>82</c:v>
                      </c:pt>
                      <c:pt idx="5371">
                        <c:v>82</c:v>
                      </c:pt>
                      <c:pt idx="5372">
                        <c:v>82</c:v>
                      </c:pt>
                      <c:pt idx="5373">
                        <c:v>82</c:v>
                      </c:pt>
                      <c:pt idx="5374">
                        <c:v>82</c:v>
                      </c:pt>
                      <c:pt idx="5375">
                        <c:v>82</c:v>
                      </c:pt>
                      <c:pt idx="5575">
                        <c:v>83</c:v>
                      </c:pt>
                      <c:pt idx="5576">
                        <c:v>83</c:v>
                      </c:pt>
                      <c:pt idx="5577">
                        <c:v>83</c:v>
                      </c:pt>
                      <c:pt idx="5578">
                        <c:v>83</c:v>
                      </c:pt>
                      <c:pt idx="5579">
                        <c:v>83</c:v>
                      </c:pt>
                      <c:pt idx="5580">
                        <c:v>83</c:v>
                      </c:pt>
                      <c:pt idx="5581">
                        <c:v>83</c:v>
                      </c:pt>
                      <c:pt idx="5582">
                        <c:v>83</c:v>
                      </c:pt>
                      <c:pt idx="5583">
                        <c:v>83</c:v>
                      </c:pt>
                      <c:pt idx="5584">
                        <c:v>83</c:v>
                      </c:pt>
                      <c:pt idx="5585">
                        <c:v>83</c:v>
                      </c:pt>
                      <c:pt idx="5586">
                        <c:v>83</c:v>
                      </c:pt>
                      <c:pt idx="5587">
                        <c:v>83</c:v>
                      </c:pt>
                      <c:pt idx="5588">
                        <c:v>83</c:v>
                      </c:pt>
                      <c:pt idx="5589">
                        <c:v>83</c:v>
                      </c:pt>
                      <c:pt idx="5590">
                        <c:v>83</c:v>
                      </c:pt>
                      <c:pt idx="5591">
                        <c:v>83</c:v>
                      </c:pt>
                      <c:pt idx="5592">
                        <c:v>83</c:v>
                      </c:pt>
                      <c:pt idx="5593">
                        <c:v>83</c:v>
                      </c:pt>
                      <c:pt idx="5594">
                        <c:v>83</c:v>
                      </c:pt>
                      <c:pt idx="5595">
                        <c:v>83</c:v>
                      </c:pt>
                      <c:pt idx="5596">
                        <c:v>83</c:v>
                      </c:pt>
                      <c:pt idx="5597">
                        <c:v>83</c:v>
                      </c:pt>
                      <c:pt idx="5598">
                        <c:v>83</c:v>
                      </c:pt>
                      <c:pt idx="5599">
                        <c:v>83</c:v>
                      </c:pt>
                      <c:pt idx="5600">
                        <c:v>83</c:v>
                      </c:pt>
                      <c:pt idx="5601">
                        <c:v>83</c:v>
                      </c:pt>
                      <c:pt idx="5602">
                        <c:v>83</c:v>
                      </c:pt>
                      <c:pt idx="5603">
                        <c:v>83</c:v>
                      </c:pt>
                      <c:pt idx="5604">
                        <c:v>83</c:v>
                      </c:pt>
                      <c:pt idx="5605">
                        <c:v>83</c:v>
                      </c:pt>
                      <c:pt idx="5606">
                        <c:v>83</c:v>
                      </c:pt>
                      <c:pt idx="5607">
                        <c:v>83</c:v>
                      </c:pt>
                      <c:pt idx="5608">
                        <c:v>83</c:v>
                      </c:pt>
                      <c:pt idx="5609">
                        <c:v>83</c:v>
                      </c:pt>
                      <c:pt idx="5610">
                        <c:v>83</c:v>
                      </c:pt>
                      <c:pt idx="5611">
                        <c:v>83</c:v>
                      </c:pt>
                      <c:pt idx="5612">
                        <c:v>83</c:v>
                      </c:pt>
                      <c:pt idx="5613">
                        <c:v>83</c:v>
                      </c:pt>
                      <c:pt idx="5614">
                        <c:v>83</c:v>
                      </c:pt>
                      <c:pt idx="5615">
                        <c:v>83</c:v>
                      </c:pt>
                      <c:pt idx="5650">
                        <c:v>84</c:v>
                      </c:pt>
                      <c:pt idx="5651">
                        <c:v>84</c:v>
                      </c:pt>
                      <c:pt idx="5652">
                        <c:v>84</c:v>
                      </c:pt>
                      <c:pt idx="5653">
                        <c:v>84</c:v>
                      </c:pt>
                      <c:pt idx="5654">
                        <c:v>84</c:v>
                      </c:pt>
                      <c:pt idx="5655">
                        <c:v>84</c:v>
                      </c:pt>
                      <c:pt idx="5784">
                        <c:v>85</c:v>
                      </c:pt>
                      <c:pt idx="5785">
                        <c:v>85</c:v>
                      </c:pt>
                      <c:pt idx="5786">
                        <c:v>85</c:v>
                      </c:pt>
                      <c:pt idx="5787">
                        <c:v>85</c:v>
                      </c:pt>
                      <c:pt idx="5788">
                        <c:v>85</c:v>
                      </c:pt>
                      <c:pt idx="5789">
                        <c:v>85</c:v>
                      </c:pt>
                      <c:pt idx="5790">
                        <c:v>85</c:v>
                      </c:pt>
                      <c:pt idx="5791">
                        <c:v>85</c:v>
                      </c:pt>
                      <c:pt idx="5792">
                        <c:v>85</c:v>
                      </c:pt>
                      <c:pt idx="5975">
                        <c:v>86</c:v>
                      </c:pt>
                      <c:pt idx="5976">
                        <c:v>86</c:v>
                      </c:pt>
                      <c:pt idx="5977">
                        <c:v>86</c:v>
                      </c:pt>
                      <c:pt idx="5987">
                        <c:v>87</c:v>
                      </c:pt>
                      <c:pt idx="5988">
                        <c:v>87</c:v>
                      </c:pt>
                      <c:pt idx="5989">
                        <c:v>87</c:v>
                      </c:pt>
                      <c:pt idx="5990">
                        <c:v>87</c:v>
                      </c:pt>
                      <c:pt idx="6012">
                        <c:v>88</c:v>
                      </c:pt>
                      <c:pt idx="6013">
                        <c:v>88</c:v>
                      </c:pt>
                      <c:pt idx="6014">
                        <c:v>88</c:v>
                      </c:pt>
                      <c:pt idx="6015">
                        <c:v>88</c:v>
                      </c:pt>
                      <c:pt idx="6016">
                        <c:v>88</c:v>
                      </c:pt>
                      <c:pt idx="6017">
                        <c:v>88</c:v>
                      </c:pt>
                      <c:pt idx="6108">
                        <c:v>89</c:v>
                      </c:pt>
                      <c:pt idx="6109">
                        <c:v>89</c:v>
                      </c:pt>
                      <c:pt idx="6110">
                        <c:v>89</c:v>
                      </c:pt>
                      <c:pt idx="6111">
                        <c:v>89</c:v>
                      </c:pt>
                      <c:pt idx="6112">
                        <c:v>89</c:v>
                      </c:pt>
                      <c:pt idx="6113">
                        <c:v>89</c:v>
                      </c:pt>
                      <c:pt idx="6114">
                        <c:v>89</c:v>
                      </c:pt>
                      <c:pt idx="6115">
                        <c:v>89</c:v>
                      </c:pt>
                      <c:pt idx="6116">
                        <c:v>89</c:v>
                      </c:pt>
                      <c:pt idx="6117">
                        <c:v>89</c:v>
                      </c:pt>
                      <c:pt idx="6118">
                        <c:v>89</c:v>
                      </c:pt>
                      <c:pt idx="6119">
                        <c:v>89</c:v>
                      </c:pt>
                      <c:pt idx="6120">
                        <c:v>89</c:v>
                      </c:pt>
                      <c:pt idx="6121">
                        <c:v>89</c:v>
                      </c:pt>
                      <c:pt idx="6122">
                        <c:v>89</c:v>
                      </c:pt>
                      <c:pt idx="6123">
                        <c:v>89</c:v>
                      </c:pt>
                      <c:pt idx="6124">
                        <c:v>89</c:v>
                      </c:pt>
                      <c:pt idx="6125">
                        <c:v>89</c:v>
                      </c:pt>
                      <c:pt idx="6126">
                        <c:v>89</c:v>
                      </c:pt>
                      <c:pt idx="6127">
                        <c:v>89</c:v>
                      </c:pt>
                      <c:pt idx="6128">
                        <c:v>89</c:v>
                      </c:pt>
                      <c:pt idx="6129">
                        <c:v>89</c:v>
                      </c:pt>
                      <c:pt idx="6130">
                        <c:v>89</c:v>
                      </c:pt>
                      <c:pt idx="6131">
                        <c:v>89</c:v>
                      </c:pt>
                      <c:pt idx="6132">
                        <c:v>89</c:v>
                      </c:pt>
                      <c:pt idx="6133">
                        <c:v>89</c:v>
                      </c:pt>
                      <c:pt idx="6134">
                        <c:v>89</c:v>
                      </c:pt>
                      <c:pt idx="6135">
                        <c:v>89</c:v>
                      </c:pt>
                      <c:pt idx="6136">
                        <c:v>89</c:v>
                      </c:pt>
                      <c:pt idx="6137">
                        <c:v>89</c:v>
                      </c:pt>
                      <c:pt idx="6138">
                        <c:v>89</c:v>
                      </c:pt>
                      <c:pt idx="6139">
                        <c:v>89</c:v>
                      </c:pt>
                      <c:pt idx="6140">
                        <c:v>89</c:v>
                      </c:pt>
                      <c:pt idx="6141">
                        <c:v>89</c:v>
                      </c:pt>
                      <c:pt idx="6142">
                        <c:v>89</c:v>
                      </c:pt>
                      <c:pt idx="6143">
                        <c:v>89</c:v>
                      </c:pt>
                      <c:pt idx="6168">
                        <c:v>90</c:v>
                      </c:pt>
                      <c:pt idx="6169">
                        <c:v>90</c:v>
                      </c:pt>
                      <c:pt idx="6170">
                        <c:v>90</c:v>
                      </c:pt>
                      <c:pt idx="6171">
                        <c:v>90</c:v>
                      </c:pt>
                      <c:pt idx="6172">
                        <c:v>90</c:v>
                      </c:pt>
                      <c:pt idx="6173">
                        <c:v>90</c:v>
                      </c:pt>
                      <c:pt idx="6174">
                        <c:v>90</c:v>
                      </c:pt>
                      <c:pt idx="6175">
                        <c:v>90</c:v>
                      </c:pt>
                      <c:pt idx="6176">
                        <c:v>90</c:v>
                      </c:pt>
                      <c:pt idx="6177">
                        <c:v>90</c:v>
                      </c:pt>
                      <c:pt idx="6178">
                        <c:v>90</c:v>
                      </c:pt>
                      <c:pt idx="6226">
                        <c:v>91</c:v>
                      </c:pt>
                      <c:pt idx="6227">
                        <c:v>91</c:v>
                      </c:pt>
                      <c:pt idx="6228">
                        <c:v>91</c:v>
                      </c:pt>
                      <c:pt idx="6229">
                        <c:v>91</c:v>
                      </c:pt>
                      <c:pt idx="6275">
                        <c:v>92</c:v>
                      </c:pt>
                      <c:pt idx="6276">
                        <c:v>92</c:v>
                      </c:pt>
                      <c:pt idx="6277">
                        <c:v>92</c:v>
                      </c:pt>
                      <c:pt idx="6278">
                        <c:v>92</c:v>
                      </c:pt>
                      <c:pt idx="6279">
                        <c:v>92</c:v>
                      </c:pt>
                      <c:pt idx="6280">
                        <c:v>92</c:v>
                      </c:pt>
                      <c:pt idx="6281">
                        <c:v>92</c:v>
                      </c:pt>
                      <c:pt idx="6282">
                        <c:v>92</c:v>
                      </c:pt>
                      <c:pt idx="6283">
                        <c:v>92</c:v>
                      </c:pt>
                      <c:pt idx="6284">
                        <c:v>92</c:v>
                      </c:pt>
                      <c:pt idx="6285">
                        <c:v>92</c:v>
                      </c:pt>
                      <c:pt idx="6286">
                        <c:v>92</c:v>
                      </c:pt>
                      <c:pt idx="6287">
                        <c:v>92</c:v>
                      </c:pt>
                      <c:pt idx="6288">
                        <c:v>92</c:v>
                      </c:pt>
                      <c:pt idx="6289">
                        <c:v>92</c:v>
                      </c:pt>
                      <c:pt idx="6290">
                        <c:v>92</c:v>
                      </c:pt>
                      <c:pt idx="6291">
                        <c:v>92</c:v>
                      </c:pt>
                      <c:pt idx="6292">
                        <c:v>92</c:v>
                      </c:pt>
                      <c:pt idx="6293">
                        <c:v>92</c:v>
                      </c:pt>
                      <c:pt idx="6294">
                        <c:v>92</c:v>
                      </c:pt>
                      <c:pt idx="6295">
                        <c:v>92</c:v>
                      </c:pt>
                      <c:pt idx="6296">
                        <c:v>92</c:v>
                      </c:pt>
                      <c:pt idx="6297">
                        <c:v>92</c:v>
                      </c:pt>
                      <c:pt idx="6298">
                        <c:v>92</c:v>
                      </c:pt>
                      <c:pt idx="6299">
                        <c:v>92</c:v>
                      </c:pt>
                      <c:pt idx="6300">
                        <c:v>92</c:v>
                      </c:pt>
                      <c:pt idx="6301">
                        <c:v>92</c:v>
                      </c:pt>
                      <c:pt idx="6302">
                        <c:v>92</c:v>
                      </c:pt>
                      <c:pt idx="6303">
                        <c:v>92</c:v>
                      </c:pt>
                      <c:pt idx="6304">
                        <c:v>92</c:v>
                      </c:pt>
                      <c:pt idx="6305">
                        <c:v>92</c:v>
                      </c:pt>
                      <c:pt idx="6306">
                        <c:v>92</c:v>
                      </c:pt>
                      <c:pt idx="6307">
                        <c:v>92</c:v>
                      </c:pt>
                      <c:pt idx="6308">
                        <c:v>92</c:v>
                      </c:pt>
                      <c:pt idx="6309">
                        <c:v>92</c:v>
                      </c:pt>
                      <c:pt idx="6310">
                        <c:v>92</c:v>
                      </c:pt>
                      <c:pt idx="6311">
                        <c:v>92</c:v>
                      </c:pt>
                      <c:pt idx="6312">
                        <c:v>92</c:v>
                      </c:pt>
                      <c:pt idx="6313">
                        <c:v>92</c:v>
                      </c:pt>
                      <c:pt idx="6314">
                        <c:v>92</c:v>
                      </c:pt>
                      <c:pt idx="6315">
                        <c:v>92</c:v>
                      </c:pt>
                      <c:pt idx="6316">
                        <c:v>92</c:v>
                      </c:pt>
                      <c:pt idx="6317">
                        <c:v>92</c:v>
                      </c:pt>
                      <c:pt idx="6318">
                        <c:v>92</c:v>
                      </c:pt>
                      <c:pt idx="6319">
                        <c:v>92</c:v>
                      </c:pt>
                      <c:pt idx="6320">
                        <c:v>92</c:v>
                      </c:pt>
                      <c:pt idx="6527">
                        <c:v>93</c:v>
                      </c:pt>
                      <c:pt idx="6528">
                        <c:v>93</c:v>
                      </c:pt>
                      <c:pt idx="6529">
                        <c:v>93</c:v>
                      </c:pt>
                      <c:pt idx="6530">
                        <c:v>93</c:v>
                      </c:pt>
                      <c:pt idx="6531">
                        <c:v>93</c:v>
                      </c:pt>
                      <c:pt idx="6532">
                        <c:v>93</c:v>
                      </c:pt>
                      <c:pt idx="6533">
                        <c:v>93</c:v>
                      </c:pt>
                      <c:pt idx="6534">
                        <c:v>93</c:v>
                      </c:pt>
                      <c:pt idx="6535">
                        <c:v>93</c:v>
                      </c:pt>
                      <c:pt idx="6536">
                        <c:v>93</c:v>
                      </c:pt>
                      <c:pt idx="6537">
                        <c:v>93</c:v>
                      </c:pt>
                      <c:pt idx="6538">
                        <c:v>93</c:v>
                      </c:pt>
                      <c:pt idx="6539">
                        <c:v>93</c:v>
                      </c:pt>
                      <c:pt idx="6540">
                        <c:v>93</c:v>
                      </c:pt>
                      <c:pt idx="6541">
                        <c:v>93</c:v>
                      </c:pt>
                      <c:pt idx="6542">
                        <c:v>93</c:v>
                      </c:pt>
                      <c:pt idx="6543">
                        <c:v>93</c:v>
                      </c:pt>
                      <c:pt idx="6544">
                        <c:v>93</c:v>
                      </c:pt>
                      <c:pt idx="6571">
                        <c:v>94</c:v>
                      </c:pt>
                      <c:pt idx="6572">
                        <c:v>94</c:v>
                      </c:pt>
                      <c:pt idx="6573">
                        <c:v>94</c:v>
                      </c:pt>
                      <c:pt idx="6574">
                        <c:v>94</c:v>
                      </c:pt>
                      <c:pt idx="6575">
                        <c:v>94</c:v>
                      </c:pt>
                      <c:pt idx="6576">
                        <c:v>94</c:v>
                      </c:pt>
                      <c:pt idx="6577">
                        <c:v>94</c:v>
                      </c:pt>
                      <c:pt idx="6578">
                        <c:v>94</c:v>
                      </c:pt>
                      <c:pt idx="6579">
                        <c:v>94</c:v>
                      </c:pt>
                      <c:pt idx="6580">
                        <c:v>94</c:v>
                      </c:pt>
                      <c:pt idx="6581">
                        <c:v>94</c:v>
                      </c:pt>
                      <c:pt idx="6654">
                        <c:v>95</c:v>
                      </c:pt>
                      <c:pt idx="6655">
                        <c:v>95</c:v>
                      </c:pt>
                      <c:pt idx="6656">
                        <c:v>95</c:v>
                      </c:pt>
                      <c:pt idx="6657">
                        <c:v>95</c:v>
                      </c:pt>
                      <c:pt idx="6658">
                        <c:v>95</c:v>
                      </c:pt>
                      <c:pt idx="6659">
                        <c:v>95</c:v>
                      </c:pt>
                      <c:pt idx="6660">
                        <c:v>95</c:v>
                      </c:pt>
                      <c:pt idx="6661">
                        <c:v>95</c:v>
                      </c:pt>
                      <c:pt idx="6662">
                        <c:v>95</c:v>
                      </c:pt>
                      <c:pt idx="6663">
                        <c:v>95</c:v>
                      </c:pt>
                      <c:pt idx="6664">
                        <c:v>95</c:v>
                      </c:pt>
                      <c:pt idx="6665">
                        <c:v>95</c:v>
                      </c:pt>
                      <c:pt idx="6666">
                        <c:v>95</c:v>
                      </c:pt>
                      <c:pt idx="6667">
                        <c:v>95</c:v>
                      </c:pt>
                      <c:pt idx="6668">
                        <c:v>95</c:v>
                      </c:pt>
                      <c:pt idx="6669">
                        <c:v>95</c:v>
                      </c:pt>
                      <c:pt idx="6670">
                        <c:v>95</c:v>
                      </c:pt>
                      <c:pt idx="6671">
                        <c:v>95</c:v>
                      </c:pt>
                      <c:pt idx="6672">
                        <c:v>95</c:v>
                      </c:pt>
                      <c:pt idx="6673">
                        <c:v>95</c:v>
                      </c:pt>
                      <c:pt idx="6674">
                        <c:v>95</c:v>
                      </c:pt>
                      <c:pt idx="6675">
                        <c:v>95</c:v>
                      </c:pt>
                      <c:pt idx="6676">
                        <c:v>95</c:v>
                      </c:pt>
                      <c:pt idx="6677">
                        <c:v>95</c:v>
                      </c:pt>
                      <c:pt idx="6696">
                        <c:v>96</c:v>
                      </c:pt>
                      <c:pt idx="6697">
                        <c:v>96</c:v>
                      </c:pt>
                      <c:pt idx="6698">
                        <c:v>96</c:v>
                      </c:pt>
                      <c:pt idx="6699">
                        <c:v>96</c:v>
                      </c:pt>
                      <c:pt idx="6700">
                        <c:v>96</c:v>
                      </c:pt>
                      <c:pt idx="6701">
                        <c:v>96</c:v>
                      </c:pt>
                      <c:pt idx="6702">
                        <c:v>96</c:v>
                      </c:pt>
                      <c:pt idx="6703">
                        <c:v>96</c:v>
                      </c:pt>
                      <c:pt idx="6704">
                        <c:v>96</c:v>
                      </c:pt>
                      <c:pt idx="6705">
                        <c:v>96</c:v>
                      </c:pt>
                      <c:pt idx="6726">
                        <c:v>97</c:v>
                      </c:pt>
                      <c:pt idx="6727">
                        <c:v>97</c:v>
                      </c:pt>
                      <c:pt idx="6728">
                        <c:v>97</c:v>
                      </c:pt>
                      <c:pt idx="6729">
                        <c:v>97</c:v>
                      </c:pt>
                      <c:pt idx="6730">
                        <c:v>97</c:v>
                      </c:pt>
                      <c:pt idx="6731">
                        <c:v>97</c:v>
                      </c:pt>
                      <c:pt idx="6732">
                        <c:v>97</c:v>
                      </c:pt>
                      <c:pt idx="6733">
                        <c:v>97</c:v>
                      </c:pt>
                      <c:pt idx="6734">
                        <c:v>97</c:v>
                      </c:pt>
                      <c:pt idx="6735">
                        <c:v>97</c:v>
                      </c:pt>
                      <c:pt idx="6736">
                        <c:v>97</c:v>
                      </c:pt>
                      <c:pt idx="6761">
                        <c:v>98</c:v>
                      </c:pt>
                      <c:pt idx="6762">
                        <c:v>98</c:v>
                      </c:pt>
                      <c:pt idx="6763">
                        <c:v>98</c:v>
                      </c:pt>
                      <c:pt idx="6764">
                        <c:v>98</c:v>
                      </c:pt>
                      <c:pt idx="6765">
                        <c:v>98</c:v>
                      </c:pt>
                      <c:pt idx="6812">
                        <c:v>99</c:v>
                      </c:pt>
                      <c:pt idx="6813">
                        <c:v>99</c:v>
                      </c:pt>
                      <c:pt idx="6814">
                        <c:v>99</c:v>
                      </c:pt>
                      <c:pt idx="6815">
                        <c:v>99</c:v>
                      </c:pt>
                      <c:pt idx="6816">
                        <c:v>99</c:v>
                      </c:pt>
                      <c:pt idx="6817">
                        <c:v>99</c:v>
                      </c:pt>
                      <c:pt idx="6818">
                        <c:v>99</c:v>
                      </c:pt>
                      <c:pt idx="6819">
                        <c:v>99</c:v>
                      </c:pt>
                      <c:pt idx="6820">
                        <c:v>99</c:v>
                      </c:pt>
                      <c:pt idx="6821">
                        <c:v>99</c:v>
                      </c:pt>
                      <c:pt idx="6827">
                        <c:v>100</c:v>
                      </c:pt>
                      <c:pt idx="6828">
                        <c:v>100</c:v>
                      </c:pt>
                      <c:pt idx="6829">
                        <c:v>100</c:v>
                      </c:pt>
                      <c:pt idx="6830">
                        <c:v>100</c:v>
                      </c:pt>
                      <c:pt idx="6831">
                        <c:v>100</c:v>
                      </c:pt>
                      <c:pt idx="6832">
                        <c:v>100</c:v>
                      </c:pt>
                      <c:pt idx="6833">
                        <c:v>100</c:v>
                      </c:pt>
                      <c:pt idx="6834">
                        <c:v>100</c:v>
                      </c:pt>
                      <c:pt idx="6835">
                        <c:v>100</c:v>
                      </c:pt>
                      <c:pt idx="6836">
                        <c:v>100</c:v>
                      </c:pt>
                      <c:pt idx="6837">
                        <c:v>100</c:v>
                      </c:pt>
                      <c:pt idx="6838">
                        <c:v>100</c:v>
                      </c:pt>
                      <c:pt idx="6839">
                        <c:v>100</c:v>
                      </c:pt>
                      <c:pt idx="6840">
                        <c:v>100</c:v>
                      </c:pt>
                      <c:pt idx="6841">
                        <c:v>100</c:v>
                      </c:pt>
                      <c:pt idx="6842">
                        <c:v>100</c:v>
                      </c:pt>
                      <c:pt idx="6843">
                        <c:v>100</c:v>
                      </c:pt>
                      <c:pt idx="6844">
                        <c:v>100</c:v>
                      </c:pt>
                      <c:pt idx="6845">
                        <c:v>100</c:v>
                      </c:pt>
                      <c:pt idx="6846">
                        <c:v>100</c:v>
                      </c:pt>
                      <c:pt idx="6864">
                        <c:v>101</c:v>
                      </c:pt>
                      <c:pt idx="6865">
                        <c:v>101</c:v>
                      </c:pt>
                      <c:pt idx="6866">
                        <c:v>101</c:v>
                      </c:pt>
                      <c:pt idx="6867">
                        <c:v>101</c:v>
                      </c:pt>
                      <c:pt idx="6868">
                        <c:v>101</c:v>
                      </c:pt>
                      <c:pt idx="6869">
                        <c:v>101</c:v>
                      </c:pt>
                      <c:pt idx="6870">
                        <c:v>101</c:v>
                      </c:pt>
                      <c:pt idx="6871">
                        <c:v>101</c:v>
                      </c:pt>
                      <c:pt idx="6872">
                        <c:v>101</c:v>
                      </c:pt>
                      <c:pt idx="6873">
                        <c:v>101</c:v>
                      </c:pt>
                      <c:pt idx="6874">
                        <c:v>101</c:v>
                      </c:pt>
                      <c:pt idx="6875">
                        <c:v>101</c:v>
                      </c:pt>
                      <c:pt idx="6876">
                        <c:v>101</c:v>
                      </c:pt>
                      <c:pt idx="6877">
                        <c:v>101</c:v>
                      </c:pt>
                      <c:pt idx="6878">
                        <c:v>101</c:v>
                      </c:pt>
                      <c:pt idx="6879">
                        <c:v>101</c:v>
                      </c:pt>
                      <c:pt idx="6880">
                        <c:v>101</c:v>
                      </c:pt>
                      <c:pt idx="6881">
                        <c:v>101</c:v>
                      </c:pt>
                      <c:pt idx="6882">
                        <c:v>101</c:v>
                      </c:pt>
                      <c:pt idx="6883">
                        <c:v>101</c:v>
                      </c:pt>
                      <c:pt idx="6906">
                        <c:v>102</c:v>
                      </c:pt>
                      <c:pt idx="6907">
                        <c:v>102</c:v>
                      </c:pt>
                      <c:pt idx="6908">
                        <c:v>102</c:v>
                      </c:pt>
                      <c:pt idx="6909">
                        <c:v>102</c:v>
                      </c:pt>
                      <c:pt idx="6910">
                        <c:v>102</c:v>
                      </c:pt>
                      <c:pt idx="6911">
                        <c:v>102</c:v>
                      </c:pt>
                      <c:pt idx="6912">
                        <c:v>102</c:v>
                      </c:pt>
                      <c:pt idx="6913">
                        <c:v>102</c:v>
                      </c:pt>
                      <c:pt idx="6914">
                        <c:v>102</c:v>
                      </c:pt>
                      <c:pt idx="6915">
                        <c:v>102</c:v>
                      </c:pt>
                      <c:pt idx="6916">
                        <c:v>102</c:v>
                      </c:pt>
                      <c:pt idx="6917">
                        <c:v>102</c:v>
                      </c:pt>
                      <c:pt idx="6918">
                        <c:v>102</c:v>
                      </c:pt>
                      <c:pt idx="6919">
                        <c:v>102</c:v>
                      </c:pt>
                      <c:pt idx="6920">
                        <c:v>102</c:v>
                      </c:pt>
                      <c:pt idx="6921">
                        <c:v>102</c:v>
                      </c:pt>
                      <c:pt idx="6922">
                        <c:v>102</c:v>
                      </c:pt>
                      <c:pt idx="6923">
                        <c:v>102</c:v>
                      </c:pt>
                      <c:pt idx="6924">
                        <c:v>102</c:v>
                      </c:pt>
                      <c:pt idx="6925">
                        <c:v>102</c:v>
                      </c:pt>
                      <c:pt idx="6926">
                        <c:v>102</c:v>
                      </c:pt>
                      <c:pt idx="6927">
                        <c:v>102</c:v>
                      </c:pt>
                      <c:pt idx="6928">
                        <c:v>102</c:v>
                      </c:pt>
                      <c:pt idx="6929">
                        <c:v>102</c:v>
                      </c:pt>
                      <c:pt idx="6930">
                        <c:v>102</c:v>
                      </c:pt>
                      <c:pt idx="6931">
                        <c:v>102</c:v>
                      </c:pt>
                      <c:pt idx="6958">
                        <c:v>103</c:v>
                      </c:pt>
                      <c:pt idx="6959">
                        <c:v>103</c:v>
                      </c:pt>
                      <c:pt idx="6960">
                        <c:v>103</c:v>
                      </c:pt>
                      <c:pt idx="6961">
                        <c:v>103</c:v>
                      </c:pt>
                      <c:pt idx="6962">
                        <c:v>103</c:v>
                      </c:pt>
                      <c:pt idx="6963">
                        <c:v>103</c:v>
                      </c:pt>
                      <c:pt idx="6964">
                        <c:v>103</c:v>
                      </c:pt>
                      <c:pt idx="6965">
                        <c:v>103</c:v>
                      </c:pt>
                      <c:pt idx="6966">
                        <c:v>103</c:v>
                      </c:pt>
                      <c:pt idx="6967">
                        <c:v>103</c:v>
                      </c:pt>
                      <c:pt idx="6968">
                        <c:v>103</c:v>
                      </c:pt>
                      <c:pt idx="6969">
                        <c:v>103</c:v>
                      </c:pt>
                      <c:pt idx="6970">
                        <c:v>103</c:v>
                      </c:pt>
                      <c:pt idx="6971">
                        <c:v>103</c:v>
                      </c:pt>
                      <c:pt idx="6972">
                        <c:v>103</c:v>
                      </c:pt>
                      <c:pt idx="6973">
                        <c:v>103</c:v>
                      </c:pt>
                      <c:pt idx="6974">
                        <c:v>103</c:v>
                      </c:pt>
                      <c:pt idx="6975">
                        <c:v>103</c:v>
                      </c:pt>
                      <c:pt idx="6976">
                        <c:v>103</c:v>
                      </c:pt>
                      <c:pt idx="6977">
                        <c:v>103</c:v>
                      </c:pt>
                      <c:pt idx="6978">
                        <c:v>103</c:v>
                      </c:pt>
                      <c:pt idx="6979">
                        <c:v>103</c:v>
                      </c:pt>
                      <c:pt idx="6980">
                        <c:v>103</c:v>
                      </c:pt>
                      <c:pt idx="6981">
                        <c:v>103</c:v>
                      </c:pt>
                      <c:pt idx="6982">
                        <c:v>103</c:v>
                      </c:pt>
                      <c:pt idx="6983">
                        <c:v>103</c:v>
                      </c:pt>
                      <c:pt idx="6984">
                        <c:v>103</c:v>
                      </c:pt>
                      <c:pt idx="6985">
                        <c:v>103</c:v>
                      </c:pt>
                      <c:pt idx="6986">
                        <c:v>103</c:v>
                      </c:pt>
                      <c:pt idx="6987">
                        <c:v>103</c:v>
                      </c:pt>
                      <c:pt idx="6988">
                        <c:v>103</c:v>
                      </c:pt>
                      <c:pt idx="7005">
                        <c:v>104</c:v>
                      </c:pt>
                      <c:pt idx="7006">
                        <c:v>104</c:v>
                      </c:pt>
                      <c:pt idx="7007">
                        <c:v>104</c:v>
                      </c:pt>
                      <c:pt idx="7008">
                        <c:v>104</c:v>
                      </c:pt>
                      <c:pt idx="7009">
                        <c:v>104</c:v>
                      </c:pt>
                      <c:pt idx="7010">
                        <c:v>104</c:v>
                      </c:pt>
                      <c:pt idx="7011">
                        <c:v>104</c:v>
                      </c:pt>
                      <c:pt idx="7012">
                        <c:v>104</c:v>
                      </c:pt>
                      <c:pt idx="7054">
                        <c:v>105</c:v>
                      </c:pt>
                      <c:pt idx="7055">
                        <c:v>105</c:v>
                      </c:pt>
                      <c:pt idx="7056">
                        <c:v>105</c:v>
                      </c:pt>
                      <c:pt idx="7057">
                        <c:v>105</c:v>
                      </c:pt>
                      <c:pt idx="7058">
                        <c:v>105</c:v>
                      </c:pt>
                      <c:pt idx="7160">
                        <c:v>106</c:v>
                      </c:pt>
                      <c:pt idx="7161">
                        <c:v>106</c:v>
                      </c:pt>
                      <c:pt idx="7162">
                        <c:v>106</c:v>
                      </c:pt>
                      <c:pt idx="7163">
                        <c:v>106</c:v>
                      </c:pt>
                      <c:pt idx="7164">
                        <c:v>106</c:v>
                      </c:pt>
                      <c:pt idx="7165">
                        <c:v>106</c:v>
                      </c:pt>
                      <c:pt idx="7166">
                        <c:v>106</c:v>
                      </c:pt>
                      <c:pt idx="7167">
                        <c:v>106</c:v>
                      </c:pt>
                      <c:pt idx="7178">
                        <c:v>107</c:v>
                      </c:pt>
                      <c:pt idx="7179">
                        <c:v>107</c:v>
                      </c:pt>
                      <c:pt idx="7180">
                        <c:v>107</c:v>
                      </c:pt>
                      <c:pt idx="7181">
                        <c:v>107</c:v>
                      </c:pt>
                      <c:pt idx="7182">
                        <c:v>107</c:v>
                      </c:pt>
                      <c:pt idx="7183">
                        <c:v>107</c:v>
                      </c:pt>
                      <c:pt idx="7184">
                        <c:v>107</c:v>
                      </c:pt>
                      <c:pt idx="7185">
                        <c:v>107</c:v>
                      </c:pt>
                      <c:pt idx="7186">
                        <c:v>107</c:v>
                      </c:pt>
                      <c:pt idx="7187">
                        <c:v>107</c:v>
                      </c:pt>
                      <c:pt idx="7188">
                        <c:v>107</c:v>
                      </c:pt>
                      <c:pt idx="7189">
                        <c:v>107</c:v>
                      </c:pt>
                      <c:pt idx="7190">
                        <c:v>107</c:v>
                      </c:pt>
                      <c:pt idx="7191">
                        <c:v>107</c:v>
                      </c:pt>
                      <c:pt idx="7192">
                        <c:v>107</c:v>
                      </c:pt>
                      <c:pt idx="7193">
                        <c:v>107</c:v>
                      </c:pt>
                      <c:pt idx="7194">
                        <c:v>107</c:v>
                      </c:pt>
                      <c:pt idx="7195">
                        <c:v>107</c:v>
                      </c:pt>
                      <c:pt idx="7196">
                        <c:v>107</c:v>
                      </c:pt>
                      <c:pt idx="7197">
                        <c:v>107</c:v>
                      </c:pt>
                      <c:pt idx="7198">
                        <c:v>107</c:v>
                      </c:pt>
                      <c:pt idx="7199">
                        <c:v>107</c:v>
                      </c:pt>
                      <c:pt idx="7200">
                        <c:v>107</c:v>
                      </c:pt>
                      <c:pt idx="7201">
                        <c:v>107</c:v>
                      </c:pt>
                      <c:pt idx="7202">
                        <c:v>107</c:v>
                      </c:pt>
                      <c:pt idx="7203">
                        <c:v>107</c:v>
                      </c:pt>
                      <c:pt idx="7204">
                        <c:v>107</c:v>
                      </c:pt>
                      <c:pt idx="7205">
                        <c:v>107</c:v>
                      </c:pt>
                      <c:pt idx="7206">
                        <c:v>107</c:v>
                      </c:pt>
                      <c:pt idx="7207">
                        <c:v>107</c:v>
                      </c:pt>
                      <c:pt idx="7208">
                        <c:v>107</c:v>
                      </c:pt>
                      <c:pt idx="7209">
                        <c:v>107</c:v>
                      </c:pt>
                      <c:pt idx="7210">
                        <c:v>107</c:v>
                      </c:pt>
                      <c:pt idx="7211">
                        <c:v>107</c:v>
                      </c:pt>
                      <c:pt idx="7212">
                        <c:v>107</c:v>
                      </c:pt>
                      <c:pt idx="7213">
                        <c:v>107</c:v>
                      </c:pt>
                      <c:pt idx="7214">
                        <c:v>107</c:v>
                      </c:pt>
                      <c:pt idx="7215">
                        <c:v>107</c:v>
                      </c:pt>
                      <c:pt idx="7216">
                        <c:v>107</c:v>
                      </c:pt>
                      <c:pt idx="7217">
                        <c:v>107</c:v>
                      </c:pt>
                      <c:pt idx="7218">
                        <c:v>107</c:v>
                      </c:pt>
                      <c:pt idx="7219">
                        <c:v>107</c:v>
                      </c:pt>
                      <c:pt idx="7220">
                        <c:v>107</c:v>
                      </c:pt>
                      <c:pt idx="7221">
                        <c:v>107</c:v>
                      </c:pt>
                      <c:pt idx="7222">
                        <c:v>107</c:v>
                      </c:pt>
                      <c:pt idx="7223">
                        <c:v>107</c:v>
                      </c:pt>
                      <c:pt idx="7224">
                        <c:v>107</c:v>
                      </c:pt>
                      <c:pt idx="7225">
                        <c:v>107</c:v>
                      </c:pt>
                      <c:pt idx="7226">
                        <c:v>107</c:v>
                      </c:pt>
                      <c:pt idx="7227">
                        <c:v>107</c:v>
                      </c:pt>
                      <c:pt idx="7228">
                        <c:v>107</c:v>
                      </c:pt>
                      <c:pt idx="7229">
                        <c:v>107</c:v>
                      </c:pt>
                      <c:pt idx="7230">
                        <c:v>107</c:v>
                      </c:pt>
                      <c:pt idx="7231">
                        <c:v>107</c:v>
                      </c:pt>
                      <c:pt idx="7232">
                        <c:v>107</c:v>
                      </c:pt>
                      <c:pt idx="7233">
                        <c:v>107</c:v>
                      </c:pt>
                      <c:pt idx="7234">
                        <c:v>107</c:v>
                      </c:pt>
                      <c:pt idx="7235">
                        <c:v>107</c:v>
                      </c:pt>
                      <c:pt idx="7236">
                        <c:v>107</c:v>
                      </c:pt>
                      <c:pt idx="7237">
                        <c:v>107</c:v>
                      </c:pt>
                      <c:pt idx="7238">
                        <c:v>107</c:v>
                      </c:pt>
                      <c:pt idx="7239">
                        <c:v>107</c:v>
                      </c:pt>
                      <c:pt idx="7240">
                        <c:v>107</c:v>
                      </c:pt>
                      <c:pt idx="7241">
                        <c:v>107</c:v>
                      </c:pt>
                      <c:pt idx="7242">
                        <c:v>107</c:v>
                      </c:pt>
                      <c:pt idx="7243">
                        <c:v>107</c:v>
                      </c:pt>
                      <c:pt idx="7244">
                        <c:v>107</c:v>
                      </c:pt>
                      <c:pt idx="7245">
                        <c:v>107</c:v>
                      </c:pt>
                      <c:pt idx="7246">
                        <c:v>107</c:v>
                      </c:pt>
                      <c:pt idx="7247">
                        <c:v>107</c:v>
                      </c:pt>
                      <c:pt idx="7248">
                        <c:v>107</c:v>
                      </c:pt>
                      <c:pt idx="7249">
                        <c:v>107</c:v>
                      </c:pt>
                      <c:pt idx="7250">
                        <c:v>107</c:v>
                      </c:pt>
                      <c:pt idx="7251">
                        <c:v>107</c:v>
                      </c:pt>
                      <c:pt idx="7252">
                        <c:v>107</c:v>
                      </c:pt>
                      <c:pt idx="7253">
                        <c:v>107</c:v>
                      </c:pt>
                      <c:pt idx="7254">
                        <c:v>107</c:v>
                      </c:pt>
                      <c:pt idx="7499">
                        <c:v>108</c:v>
                      </c:pt>
                      <c:pt idx="7500">
                        <c:v>108</c:v>
                      </c:pt>
                      <c:pt idx="7501">
                        <c:v>108</c:v>
                      </c:pt>
                      <c:pt idx="7502">
                        <c:v>108</c:v>
                      </c:pt>
                      <c:pt idx="7503">
                        <c:v>108</c:v>
                      </c:pt>
                      <c:pt idx="7504">
                        <c:v>108</c:v>
                      </c:pt>
                      <c:pt idx="7505">
                        <c:v>108</c:v>
                      </c:pt>
                      <c:pt idx="7506">
                        <c:v>108</c:v>
                      </c:pt>
                      <c:pt idx="7507">
                        <c:v>108</c:v>
                      </c:pt>
                      <c:pt idx="7508">
                        <c:v>108</c:v>
                      </c:pt>
                      <c:pt idx="7509">
                        <c:v>108</c:v>
                      </c:pt>
                      <c:pt idx="7510">
                        <c:v>108</c:v>
                      </c:pt>
                      <c:pt idx="7511">
                        <c:v>108</c:v>
                      </c:pt>
                      <c:pt idx="7512">
                        <c:v>108</c:v>
                      </c:pt>
                      <c:pt idx="7513">
                        <c:v>108</c:v>
                      </c:pt>
                      <c:pt idx="7514">
                        <c:v>108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8146-4C75-BFBE-F132244D9FDF}"/>
                  </c:ext>
                </c:extLst>
              </c15:ser>
            </c15:filteredScatterSeries>
          </c:ext>
        </c:extLst>
      </c:scatterChart>
      <c:valAx>
        <c:axId val="971638927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41839"/>
        <c:crosses val="autoZero"/>
        <c:crossBetween val="midCat"/>
      </c:valAx>
      <c:valAx>
        <c:axId val="97164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3892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transpose!$O$1</c:f>
              <c:strCache>
                <c:ptCount val="1"/>
                <c:pt idx="0">
                  <c:v>B_Eszik1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transpose!$O$2:$O$7686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7-4DCC-8B83-C2E980DF1D8E}"/>
            </c:ext>
          </c:extLst>
        </c:ser>
        <c:ser>
          <c:idx val="1"/>
          <c:order val="1"/>
          <c:tx>
            <c:strRef>
              <c:f>transpose!$Q$1</c:f>
              <c:strCache>
                <c:ptCount val="1"/>
                <c:pt idx="0">
                  <c:v>B_Eszik2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transpose!$Q$2:$Q$7686</c:f>
              <c:numCache>
                <c:formatCode>General</c:formatCode>
                <c:ptCount val="7685"/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7-4DCC-8B83-C2E980DF1D8E}"/>
            </c:ext>
          </c:extLst>
        </c:ser>
        <c:ser>
          <c:idx val="2"/>
          <c:order val="2"/>
          <c:tx>
            <c:strRef>
              <c:f>transpose!$S$1</c:f>
              <c:strCache>
                <c:ptCount val="1"/>
                <c:pt idx="0">
                  <c:v>B_Eszik3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transpose!$S$2:$S$7686</c:f>
              <c:numCache>
                <c:formatCode>General</c:formatCode>
                <c:ptCount val="7685"/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97-4DCC-8B83-C2E980DF1D8E}"/>
            </c:ext>
          </c:extLst>
        </c:ser>
        <c:ser>
          <c:idx val="3"/>
          <c:order val="3"/>
          <c:tx>
            <c:strRef>
              <c:f>transpose!$U$1</c:f>
              <c:strCache>
                <c:ptCount val="1"/>
                <c:pt idx="0">
                  <c:v>B_Eszik4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transpose!$U$2:$U$7686</c:f>
              <c:numCache>
                <c:formatCode>General</c:formatCode>
                <c:ptCount val="7685"/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97-4DCC-8B83-C2E980DF1D8E}"/>
            </c:ext>
          </c:extLst>
        </c:ser>
        <c:ser>
          <c:idx val="4"/>
          <c:order val="4"/>
          <c:tx>
            <c:strRef>
              <c:f>transpose!$W$1</c:f>
              <c:strCache>
                <c:ptCount val="1"/>
                <c:pt idx="0">
                  <c:v>B_Eszik5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transpose!$W$2:$W$7686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97-4DCC-8B83-C2E980DF1D8E}"/>
            </c:ext>
          </c:extLst>
        </c:ser>
        <c:ser>
          <c:idx val="5"/>
          <c:order val="5"/>
          <c:tx>
            <c:strRef>
              <c:f>transpose!$Y$1</c:f>
              <c:strCache>
                <c:ptCount val="1"/>
                <c:pt idx="0">
                  <c:v>B_Eszik6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transpose!$Y$2:$Y$7686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97-4DCC-8B83-C2E980DF1D8E}"/>
            </c:ext>
          </c:extLst>
        </c:ser>
        <c:ser>
          <c:idx val="6"/>
          <c:order val="6"/>
          <c:tx>
            <c:strRef>
              <c:f>transpose!$AA$1</c:f>
              <c:strCache>
                <c:ptCount val="1"/>
                <c:pt idx="0">
                  <c:v>B_Eszik7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transpose!$AA$2:$AA$7686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97-4DCC-8B83-C2E980DF1D8E}"/>
            </c:ext>
          </c:extLst>
        </c:ser>
        <c:ser>
          <c:idx val="7"/>
          <c:order val="7"/>
          <c:tx>
            <c:strRef>
              <c:f>transpose!$AC$1</c:f>
              <c:strCache>
                <c:ptCount val="1"/>
                <c:pt idx="0">
                  <c:v>B_Eszik8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transpose!$AC$2:$AC$7686</c:f>
              <c:numCache>
                <c:formatCode>General</c:formatCode>
                <c:ptCount val="7685"/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97-4DCC-8B83-C2E980DF1D8E}"/>
            </c:ext>
          </c:extLst>
        </c:ser>
        <c:ser>
          <c:idx val="8"/>
          <c:order val="8"/>
          <c:tx>
            <c:strRef>
              <c:f>transpose!$AE$1</c:f>
              <c:strCache>
                <c:ptCount val="1"/>
                <c:pt idx="0">
                  <c:v>B_Eszik9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transpose!$AE$2:$AE$7686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97-4DCC-8B83-C2E980DF1D8E}"/>
            </c:ext>
          </c:extLst>
        </c:ser>
        <c:ser>
          <c:idx val="9"/>
          <c:order val="9"/>
          <c:tx>
            <c:strRef>
              <c:f>transpose!$AG$1</c:f>
              <c:strCache>
                <c:ptCount val="1"/>
                <c:pt idx="0">
                  <c:v>B_Eszik10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transpose!$AG$2:$AG$7686</c:f>
              <c:numCache>
                <c:formatCode>General</c:formatCode>
                <c:ptCount val="7685"/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97-4DCC-8B83-C2E980DF1D8E}"/>
            </c:ext>
          </c:extLst>
        </c:ser>
        <c:ser>
          <c:idx val="10"/>
          <c:order val="10"/>
          <c:tx>
            <c:strRef>
              <c:f>transpose!$AI$1</c:f>
              <c:strCache>
                <c:ptCount val="1"/>
                <c:pt idx="0">
                  <c:v>B_Eszik11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transpose!$AI$2:$AI$7686</c:f>
              <c:numCache>
                <c:formatCode>General</c:formatCode>
                <c:ptCount val="7685"/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C97-4DCC-8B83-C2E980DF1D8E}"/>
            </c:ext>
          </c:extLst>
        </c:ser>
        <c:ser>
          <c:idx val="11"/>
          <c:order val="11"/>
          <c:tx>
            <c:strRef>
              <c:f>transpose!$AK$1</c:f>
              <c:strCache>
                <c:ptCount val="1"/>
                <c:pt idx="0">
                  <c:v>B_Eszik12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transpose!$AK$2:$AK$7686</c:f>
              <c:numCache>
                <c:formatCode>General</c:formatCode>
                <c:ptCount val="7685"/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C97-4DCC-8B83-C2E980DF1D8E}"/>
            </c:ext>
          </c:extLst>
        </c:ser>
        <c:ser>
          <c:idx val="12"/>
          <c:order val="12"/>
          <c:tx>
            <c:strRef>
              <c:f>transpose!$AM$1</c:f>
              <c:strCache>
                <c:ptCount val="1"/>
                <c:pt idx="0">
                  <c:v>B_Eszik13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transpose!$AM$2:$AM$7686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C97-4DCC-8B83-C2E980DF1D8E}"/>
            </c:ext>
          </c:extLst>
        </c:ser>
        <c:ser>
          <c:idx val="13"/>
          <c:order val="13"/>
          <c:tx>
            <c:strRef>
              <c:f>transpose!$AO$1</c:f>
              <c:strCache>
                <c:ptCount val="1"/>
                <c:pt idx="0">
                  <c:v>B_Eszik14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transpose!$AO$2:$AO$7686</c:f>
              <c:numCache>
                <c:formatCode>General</c:formatCode>
                <c:ptCount val="7685"/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C97-4DCC-8B83-C2E980DF1D8E}"/>
            </c:ext>
          </c:extLst>
        </c:ser>
        <c:ser>
          <c:idx val="14"/>
          <c:order val="14"/>
          <c:tx>
            <c:strRef>
              <c:f>transpose!$AQ$1</c:f>
              <c:strCache>
                <c:ptCount val="1"/>
                <c:pt idx="0">
                  <c:v>B_Eszik15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transpose!$AQ$2:$AQ$7686</c:f>
              <c:numCache>
                <c:formatCode>General</c:formatCode>
                <c:ptCount val="7685"/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C97-4DCC-8B83-C2E980DF1D8E}"/>
            </c:ext>
          </c:extLst>
        </c:ser>
        <c:ser>
          <c:idx val="15"/>
          <c:order val="15"/>
          <c:tx>
            <c:strRef>
              <c:f>transpose!$AS$1</c:f>
              <c:strCache>
                <c:ptCount val="1"/>
                <c:pt idx="0">
                  <c:v>B_Eszik16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transpose!$AS$2:$AS$7686</c:f>
              <c:numCache>
                <c:formatCode>General</c:formatCode>
                <c:ptCount val="7685"/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C97-4DCC-8B83-C2E980DF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89759"/>
        <c:crosses val="autoZero"/>
        <c:crossBetween val="midCat"/>
      </c:valAx>
      <c:valAx>
        <c:axId val="8131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94206343385583E-2"/>
          <c:y val="0.42130533683289589"/>
          <c:w val="0.91701517838688384"/>
          <c:h val="0.54906503353747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transpose!$O$1</c:f>
              <c:strCache>
                <c:ptCount val="1"/>
                <c:pt idx="0">
                  <c:v>B_Eszik1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transpose!$O$2:$O$7686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C-49D5-AEA0-3878CE16E1AE}"/>
            </c:ext>
          </c:extLst>
        </c:ser>
        <c:ser>
          <c:idx val="2"/>
          <c:order val="2"/>
          <c:tx>
            <c:strRef>
              <c:f>transpose!$S$1</c:f>
              <c:strCache>
                <c:ptCount val="1"/>
                <c:pt idx="0">
                  <c:v>B_Eszik3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transpose!$S$2:$S$7686</c:f>
              <c:numCache>
                <c:formatCode>General</c:formatCode>
                <c:ptCount val="7685"/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C-49D5-AEA0-3878CE16E1AE}"/>
            </c:ext>
          </c:extLst>
        </c:ser>
        <c:ser>
          <c:idx val="4"/>
          <c:order val="4"/>
          <c:tx>
            <c:strRef>
              <c:f>transpose!$W$1</c:f>
              <c:strCache>
                <c:ptCount val="1"/>
                <c:pt idx="0">
                  <c:v>B_Eszik5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transpose!$W$2:$W$7686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C-49D5-AEA0-3878CE16E1AE}"/>
            </c:ext>
          </c:extLst>
        </c:ser>
        <c:ser>
          <c:idx val="6"/>
          <c:order val="6"/>
          <c:tx>
            <c:strRef>
              <c:f>transpose!$AA$1</c:f>
              <c:strCache>
                <c:ptCount val="1"/>
                <c:pt idx="0">
                  <c:v>B_Eszik7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transpose!$AA$2:$AA$7686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7C-49D5-AEA0-3878CE16E1AE}"/>
            </c:ext>
          </c:extLst>
        </c:ser>
        <c:ser>
          <c:idx val="8"/>
          <c:order val="8"/>
          <c:tx>
            <c:strRef>
              <c:f>transpose!$AE$1</c:f>
              <c:strCache>
                <c:ptCount val="1"/>
                <c:pt idx="0">
                  <c:v>B_Eszik9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transpose!$AE$2:$AE$7686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7C-49D5-AEA0-3878CE16E1AE}"/>
            </c:ext>
          </c:extLst>
        </c:ser>
        <c:ser>
          <c:idx val="10"/>
          <c:order val="10"/>
          <c:tx>
            <c:strRef>
              <c:f>transpose!$AI$1</c:f>
              <c:strCache>
                <c:ptCount val="1"/>
                <c:pt idx="0">
                  <c:v>B_Eszik11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transpose!$AI$2:$AI$7686</c:f>
              <c:numCache>
                <c:formatCode>General</c:formatCode>
                <c:ptCount val="7685"/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7C-49D5-AEA0-3878CE16E1AE}"/>
            </c:ext>
          </c:extLst>
        </c:ser>
        <c:ser>
          <c:idx val="12"/>
          <c:order val="12"/>
          <c:tx>
            <c:strRef>
              <c:f>transpose!$AM$1</c:f>
              <c:strCache>
                <c:ptCount val="1"/>
                <c:pt idx="0">
                  <c:v>B_Eszik13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transpose!$AM$2:$AM$7686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7C-49D5-AEA0-3878CE16E1AE}"/>
            </c:ext>
          </c:extLst>
        </c:ser>
        <c:ser>
          <c:idx val="14"/>
          <c:order val="14"/>
          <c:tx>
            <c:strRef>
              <c:f>transpose!$AQ$1</c:f>
              <c:strCache>
                <c:ptCount val="1"/>
                <c:pt idx="0">
                  <c:v>B_Eszik15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transpose!$AQ$2:$AQ$7686</c:f>
              <c:numCache>
                <c:formatCode>General</c:formatCode>
                <c:ptCount val="7685"/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7C-49D5-AEA0-3878CE16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transpose!$Q$1</c15:sqref>
                        </c15:formulaRef>
                      </c:ext>
                    </c:extLst>
                    <c:strCache>
                      <c:ptCount val="1"/>
                      <c:pt idx="0">
                        <c:v>B_Eszik2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transpose!$Q$2:$Q$7686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5656">
                        <c:v>1</c:v>
                      </c:pt>
                      <c:pt idx="5657">
                        <c:v>1</c:v>
                      </c:pt>
                      <c:pt idx="5658">
                        <c:v>1</c:v>
                      </c:pt>
                      <c:pt idx="5659">
                        <c:v>1</c:v>
                      </c:pt>
                      <c:pt idx="5660">
                        <c:v>1</c:v>
                      </c:pt>
                      <c:pt idx="5661">
                        <c:v>1</c:v>
                      </c:pt>
                      <c:pt idx="5662">
                        <c:v>1</c:v>
                      </c:pt>
                      <c:pt idx="5663">
                        <c:v>1</c:v>
                      </c:pt>
                      <c:pt idx="5664">
                        <c:v>1</c:v>
                      </c:pt>
                      <c:pt idx="5665">
                        <c:v>1</c:v>
                      </c:pt>
                      <c:pt idx="5666">
                        <c:v>1</c:v>
                      </c:pt>
                      <c:pt idx="5667">
                        <c:v>1</c:v>
                      </c:pt>
                      <c:pt idx="5668">
                        <c:v>1</c:v>
                      </c:pt>
                      <c:pt idx="5669">
                        <c:v>1</c:v>
                      </c:pt>
                      <c:pt idx="5670">
                        <c:v>1</c:v>
                      </c:pt>
                      <c:pt idx="5671">
                        <c:v>1</c:v>
                      </c:pt>
                      <c:pt idx="5672">
                        <c:v>1</c:v>
                      </c:pt>
                      <c:pt idx="5673">
                        <c:v>1</c:v>
                      </c:pt>
                      <c:pt idx="5674">
                        <c:v>1</c:v>
                      </c:pt>
                      <c:pt idx="5675">
                        <c:v>1</c:v>
                      </c:pt>
                      <c:pt idx="5676">
                        <c:v>1</c:v>
                      </c:pt>
                      <c:pt idx="5677">
                        <c:v>1</c:v>
                      </c:pt>
                      <c:pt idx="5678">
                        <c:v>1</c:v>
                      </c:pt>
                      <c:pt idx="5679">
                        <c:v>1</c:v>
                      </c:pt>
                      <c:pt idx="5680">
                        <c:v>1</c:v>
                      </c:pt>
                      <c:pt idx="5681">
                        <c:v>1</c:v>
                      </c:pt>
                      <c:pt idx="5682">
                        <c:v>1</c:v>
                      </c:pt>
                      <c:pt idx="5683">
                        <c:v>1</c:v>
                      </c:pt>
                      <c:pt idx="5684">
                        <c:v>1</c:v>
                      </c:pt>
                      <c:pt idx="5685">
                        <c:v>1</c:v>
                      </c:pt>
                      <c:pt idx="5686">
                        <c:v>1</c:v>
                      </c:pt>
                      <c:pt idx="5687">
                        <c:v>1</c:v>
                      </c:pt>
                      <c:pt idx="5688">
                        <c:v>1</c:v>
                      </c:pt>
                      <c:pt idx="5689">
                        <c:v>1</c:v>
                      </c:pt>
                      <c:pt idx="5690">
                        <c:v>1</c:v>
                      </c:pt>
                      <c:pt idx="5691">
                        <c:v>1</c:v>
                      </c:pt>
                      <c:pt idx="5692">
                        <c:v>1</c:v>
                      </c:pt>
                      <c:pt idx="5693">
                        <c:v>1</c:v>
                      </c:pt>
                      <c:pt idx="5694">
                        <c:v>1</c:v>
                      </c:pt>
                      <c:pt idx="5695">
                        <c:v>1</c:v>
                      </c:pt>
                      <c:pt idx="5696">
                        <c:v>1</c:v>
                      </c:pt>
                      <c:pt idx="5697">
                        <c:v>1</c:v>
                      </c:pt>
                      <c:pt idx="5698">
                        <c:v>1</c:v>
                      </c:pt>
                      <c:pt idx="5699">
                        <c:v>1</c:v>
                      </c:pt>
                      <c:pt idx="5700">
                        <c:v>1</c:v>
                      </c:pt>
                      <c:pt idx="5701">
                        <c:v>1</c:v>
                      </c:pt>
                      <c:pt idx="5702">
                        <c:v>1</c:v>
                      </c:pt>
                      <c:pt idx="5703">
                        <c:v>1</c:v>
                      </c:pt>
                      <c:pt idx="5704">
                        <c:v>1</c:v>
                      </c:pt>
                      <c:pt idx="5705">
                        <c:v>1</c:v>
                      </c:pt>
                      <c:pt idx="5706">
                        <c:v>1</c:v>
                      </c:pt>
                      <c:pt idx="5707">
                        <c:v>1</c:v>
                      </c:pt>
                      <c:pt idx="5708">
                        <c:v>1</c:v>
                      </c:pt>
                      <c:pt idx="5709">
                        <c:v>1</c:v>
                      </c:pt>
                      <c:pt idx="571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777C-49D5-AEA0-3878CE16E1A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transpose!$U$1</c15:sqref>
                        </c15:formulaRef>
                      </c:ext>
                    </c:extLst>
                    <c:strCache>
                      <c:ptCount val="1"/>
                      <c:pt idx="0">
                        <c:v>B_Eszik4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transpose!$U$2:$U$7686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4789">
                        <c:v>1</c:v>
                      </c:pt>
                      <c:pt idx="4790">
                        <c:v>1</c:v>
                      </c:pt>
                      <c:pt idx="4791">
                        <c:v>1</c:v>
                      </c:pt>
                      <c:pt idx="4792">
                        <c:v>1</c:v>
                      </c:pt>
                      <c:pt idx="4793">
                        <c:v>1</c:v>
                      </c:pt>
                      <c:pt idx="4794">
                        <c:v>1</c:v>
                      </c:pt>
                      <c:pt idx="4795">
                        <c:v>1</c:v>
                      </c:pt>
                      <c:pt idx="4796">
                        <c:v>1</c:v>
                      </c:pt>
                      <c:pt idx="4797">
                        <c:v>1</c:v>
                      </c:pt>
                      <c:pt idx="4798">
                        <c:v>1</c:v>
                      </c:pt>
                      <c:pt idx="4799">
                        <c:v>1</c:v>
                      </c:pt>
                      <c:pt idx="4800">
                        <c:v>1</c:v>
                      </c:pt>
                      <c:pt idx="4801">
                        <c:v>1</c:v>
                      </c:pt>
                      <c:pt idx="4802">
                        <c:v>1</c:v>
                      </c:pt>
                      <c:pt idx="4803">
                        <c:v>1</c:v>
                      </c:pt>
                      <c:pt idx="4804">
                        <c:v>1</c:v>
                      </c:pt>
                      <c:pt idx="4805">
                        <c:v>1</c:v>
                      </c:pt>
                      <c:pt idx="4806">
                        <c:v>1</c:v>
                      </c:pt>
                      <c:pt idx="4807">
                        <c:v>1</c:v>
                      </c:pt>
                      <c:pt idx="4808">
                        <c:v>1</c:v>
                      </c:pt>
                      <c:pt idx="4809">
                        <c:v>1</c:v>
                      </c:pt>
                      <c:pt idx="4810">
                        <c:v>1</c:v>
                      </c:pt>
                      <c:pt idx="4811">
                        <c:v>1</c:v>
                      </c:pt>
                      <c:pt idx="4812">
                        <c:v>1</c:v>
                      </c:pt>
                      <c:pt idx="4813">
                        <c:v>1</c:v>
                      </c:pt>
                      <c:pt idx="4814">
                        <c:v>1</c:v>
                      </c:pt>
                      <c:pt idx="4815">
                        <c:v>1</c:v>
                      </c:pt>
                      <c:pt idx="4816">
                        <c:v>1</c:v>
                      </c:pt>
                      <c:pt idx="4817">
                        <c:v>1</c:v>
                      </c:pt>
                      <c:pt idx="4818">
                        <c:v>1</c:v>
                      </c:pt>
                      <c:pt idx="4819">
                        <c:v>1</c:v>
                      </c:pt>
                      <c:pt idx="4820">
                        <c:v>1</c:v>
                      </c:pt>
                      <c:pt idx="4821">
                        <c:v>1</c:v>
                      </c:pt>
                      <c:pt idx="4822">
                        <c:v>1</c:v>
                      </c:pt>
                      <c:pt idx="4823">
                        <c:v>1</c:v>
                      </c:pt>
                      <c:pt idx="4824">
                        <c:v>1</c:v>
                      </c:pt>
                      <c:pt idx="4825">
                        <c:v>1</c:v>
                      </c:pt>
                      <c:pt idx="4826">
                        <c:v>1</c:v>
                      </c:pt>
                      <c:pt idx="4827">
                        <c:v>1</c:v>
                      </c:pt>
                      <c:pt idx="4828">
                        <c:v>1</c:v>
                      </c:pt>
                      <c:pt idx="4829">
                        <c:v>1</c:v>
                      </c:pt>
                      <c:pt idx="4830">
                        <c:v>1</c:v>
                      </c:pt>
                      <c:pt idx="4831">
                        <c:v>1</c:v>
                      </c:pt>
                      <c:pt idx="4832">
                        <c:v>1</c:v>
                      </c:pt>
                      <c:pt idx="4833">
                        <c:v>1</c:v>
                      </c:pt>
                      <c:pt idx="4834">
                        <c:v>1</c:v>
                      </c:pt>
                      <c:pt idx="4835">
                        <c:v>1</c:v>
                      </c:pt>
                      <c:pt idx="4836">
                        <c:v>1</c:v>
                      </c:pt>
                      <c:pt idx="4837">
                        <c:v>1</c:v>
                      </c:pt>
                      <c:pt idx="4838">
                        <c:v>1</c:v>
                      </c:pt>
                      <c:pt idx="4839">
                        <c:v>1</c:v>
                      </c:pt>
                      <c:pt idx="4840">
                        <c:v>1</c:v>
                      </c:pt>
                      <c:pt idx="4841">
                        <c:v>1</c:v>
                      </c:pt>
                      <c:pt idx="4842">
                        <c:v>1</c:v>
                      </c:pt>
                      <c:pt idx="4843">
                        <c:v>1</c:v>
                      </c:pt>
                      <c:pt idx="4844">
                        <c:v>1</c:v>
                      </c:pt>
                      <c:pt idx="4845">
                        <c:v>1</c:v>
                      </c:pt>
                      <c:pt idx="4846">
                        <c:v>1</c:v>
                      </c:pt>
                      <c:pt idx="4847">
                        <c:v>1</c:v>
                      </c:pt>
                      <c:pt idx="4848">
                        <c:v>1</c:v>
                      </c:pt>
                      <c:pt idx="4849">
                        <c:v>1</c:v>
                      </c:pt>
                      <c:pt idx="4850">
                        <c:v>1</c:v>
                      </c:pt>
                      <c:pt idx="4851">
                        <c:v>1</c:v>
                      </c:pt>
                      <c:pt idx="4852">
                        <c:v>1</c:v>
                      </c:pt>
                      <c:pt idx="4853">
                        <c:v>1</c:v>
                      </c:pt>
                      <c:pt idx="4854">
                        <c:v>1</c:v>
                      </c:pt>
                      <c:pt idx="4855">
                        <c:v>1</c:v>
                      </c:pt>
                      <c:pt idx="4856">
                        <c:v>1</c:v>
                      </c:pt>
                      <c:pt idx="4857">
                        <c:v>1</c:v>
                      </c:pt>
                      <c:pt idx="4858">
                        <c:v>1</c:v>
                      </c:pt>
                      <c:pt idx="4859">
                        <c:v>1</c:v>
                      </c:pt>
                      <c:pt idx="4860">
                        <c:v>1</c:v>
                      </c:pt>
                      <c:pt idx="4861">
                        <c:v>1</c:v>
                      </c:pt>
                      <c:pt idx="4862">
                        <c:v>1</c:v>
                      </c:pt>
                      <c:pt idx="4863">
                        <c:v>1</c:v>
                      </c:pt>
                      <c:pt idx="4864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77C-49D5-AEA0-3878CE16E1A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transpose!$Y$1</c15:sqref>
                        </c15:formulaRef>
                      </c:ext>
                    </c:extLst>
                    <c:strCache>
                      <c:ptCount val="1"/>
                      <c:pt idx="0">
                        <c:v>B_Eszik6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transpose!$Y$2:$Y$7686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7C-49D5-AEA0-3878CE16E1A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transpose!$AC$1</c15:sqref>
                        </c15:formulaRef>
                      </c:ext>
                    </c:extLst>
                    <c:strCache>
                      <c:ptCount val="1"/>
                      <c:pt idx="0">
                        <c:v>B_Eszik8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transpose!$AC$2:$AC$7686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1621">
                        <c:v>1</c:v>
                      </c:pt>
                      <c:pt idx="1622">
                        <c:v>1</c:v>
                      </c:pt>
                      <c:pt idx="1623">
                        <c:v>1</c:v>
                      </c:pt>
                      <c:pt idx="1624">
                        <c:v>1</c:v>
                      </c:pt>
                      <c:pt idx="1625">
                        <c:v>1</c:v>
                      </c:pt>
                      <c:pt idx="1626">
                        <c:v>1</c:v>
                      </c:pt>
                      <c:pt idx="1627">
                        <c:v>1</c:v>
                      </c:pt>
                      <c:pt idx="1628">
                        <c:v>1</c:v>
                      </c:pt>
                      <c:pt idx="1629">
                        <c:v>1</c:v>
                      </c:pt>
                      <c:pt idx="1630">
                        <c:v>1</c:v>
                      </c:pt>
                      <c:pt idx="1631">
                        <c:v>1</c:v>
                      </c:pt>
                      <c:pt idx="1632">
                        <c:v>1</c:v>
                      </c:pt>
                      <c:pt idx="1633">
                        <c:v>1</c:v>
                      </c:pt>
                      <c:pt idx="1634">
                        <c:v>1</c:v>
                      </c:pt>
                      <c:pt idx="1635">
                        <c:v>1</c:v>
                      </c:pt>
                      <c:pt idx="1636">
                        <c:v>1</c:v>
                      </c:pt>
                      <c:pt idx="1637">
                        <c:v>1</c:v>
                      </c:pt>
                      <c:pt idx="1638">
                        <c:v>1</c:v>
                      </c:pt>
                      <c:pt idx="1639">
                        <c:v>1</c:v>
                      </c:pt>
                      <c:pt idx="1640">
                        <c:v>1</c:v>
                      </c:pt>
                      <c:pt idx="1641">
                        <c:v>1</c:v>
                      </c:pt>
                      <c:pt idx="1642">
                        <c:v>1</c:v>
                      </c:pt>
                      <c:pt idx="1643">
                        <c:v>1</c:v>
                      </c:pt>
                      <c:pt idx="1644">
                        <c:v>1</c:v>
                      </c:pt>
                      <c:pt idx="1645">
                        <c:v>1</c:v>
                      </c:pt>
                      <c:pt idx="1646">
                        <c:v>1</c:v>
                      </c:pt>
                      <c:pt idx="1647">
                        <c:v>1</c:v>
                      </c:pt>
                      <c:pt idx="1648">
                        <c:v>1</c:v>
                      </c:pt>
                      <c:pt idx="1649">
                        <c:v>1</c:v>
                      </c:pt>
                      <c:pt idx="1650">
                        <c:v>1</c:v>
                      </c:pt>
                      <c:pt idx="1651">
                        <c:v>1</c:v>
                      </c:pt>
                      <c:pt idx="1652">
                        <c:v>1</c:v>
                      </c:pt>
                      <c:pt idx="1653">
                        <c:v>1</c:v>
                      </c:pt>
                      <c:pt idx="1654">
                        <c:v>1</c:v>
                      </c:pt>
                      <c:pt idx="1655">
                        <c:v>1</c:v>
                      </c:pt>
                      <c:pt idx="1656">
                        <c:v>1</c:v>
                      </c:pt>
                      <c:pt idx="1657">
                        <c:v>1</c:v>
                      </c:pt>
                      <c:pt idx="1658">
                        <c:v>1</c:v>
                      </c:pt>
                      <c:pt idx="1659">
                        <c:v>1</c:v>
                      </c:pt>
                      <c:pt idx="1660">
                        <c:v>1</c:v>
                      </c:pt>
                      <c:pt idx="1661">
                        <c:v>1</c:v>
                      </c:pt>
                      <c:pt idx="1662">
                        <c:v>1</c:v>
                      </c:pt>
                      <c:pt idx="1663">
                        <c:v>1</c:v>
                      </c:pt>
                      <c:pt idx="1664">
                        <c:v>1</c:v>
                      </c:pt>
                      <c:pt idx="1665">
                        <c:v>1</c:v>
                      </c:pt>
                      <c:pt idx="1666">
                        <c:v>1</c:v>
                      </c:pt>
                      <c:pt idx="1667">
                        <c:v>1</c:v>
                      </c:pt>
                      <c:pt idx="1668">
                        <c:v>1</c:v>
                      </c:pt>
                      <c:pt idx="1669">
                        <c:v>1</c:v>
                      </c:pt>
                      <c:pt idx="1670">
                        <c:v>1</c:v>
                      </c:pt>
                      <c:pt idx="1671">
                        <c:v>1</c:v>
                      </c:pt>
                      <c:pt idx="1672">
                        <c:v>1</c:v>
                      </c:pt>
                      <c:pt idx="1673">
                        <c:v>1</c:v>
                      </c:pt>
                      <c:pt idx="1674">
                        <c:v>1</c:v>
                      </c:pt>
                      <c:pt idx="1675">
                        <c:v>1</c:v>
                      </c:pt>
                      <c:pt idx="1676">
                        <c:v>1</c:v>
                      </c:pt>
                      <c:pt idx="1677">
                        <c:v>1</c:v>
                      </c:pt>
                      <c:pt idx="1678">
                        <c:v>1</c:v>
                      </c:pt>
                      <c:pt idx="1679">
                        <c:v>1</c:v>
                      </c:pt>
                      <c:pt idx="1680">
                        <c:v>1</c:v>
                      </c:pt>
                      <c:pt idx="1681">
                        <c:v>1</c:v>
                      </c:pt>
                      <c:pt idx="1682">
                        <c:v>1</c:v>
                      </c:pt>
                      <c:pt idx="1683">
                        <c:v>1</c:v>
                      </c:pt>
                      <c:pt idx="1684">
                        <c:v>1</c:v>
                      </c:pt>
                      <c:pt idx="1685">
                        <c:v>1</c:v>
                      </c:pt>
                      <c:pt idx="1686">
                        <c:v>1</c:v>
                      </c:pt>
                      <c:pt idx="1687">
                        <c:v>1</c:v>
                      </c:pt>
                      <c:pt idx="1688">
                        <c:v>1</c:v>
                      </c:pt>
                      <c:pt idx="1689">
                        <c:v>1</c:v>
                      </c:pt>
                      <c:pt idx="1690">
                        <c:v>1</c:v>
                      </c:pt>
                      <c:pt idx="1691">
                        <c:v>1</c:v>
                      </c:pt>
                      <c:pt idx="1692">
                        <c:v>1</c:v>
                      </c:pt>
                      <c:pt idx="1693">
                        <c:v>1</c:v>
                      </c:pt>
                      <c:pt idx="1694">
                        <c:v>1</c:v>
                      </c:pt>
                      <c:pt idx="1695">
                        <c:v>1</c:v>
                      </c:pt>
                      <c:pt idx="1696">
                        <c:v>1</c:v>
                      </c:pt>
                      <c:pt idx="1697">
                        <c:v>1</c:v>
                      </c:pt>
                      <c:pt idx="1698">
                        <c:v>1</c:v>
                      </c:pt>
                      <c:pt idx="1699">
                        <c:v>1</c:v>
                      </c:pt>
                      <c:pt idx="1700">
                        <c:v>1</c:v>
                      </c:pt>
                      <c:pt idx="1701">
                        <c:v>1</c:v>
                      </c:pt>
                      <c:pt idx="1702">
                        <c:v>1</c:v>
                      </c:pt>
                      <c:pt idx="1703">
                        <c:v>1</c:v>
                      </c:pt>
                      <c:pt idx="1704">
                        <c:v>1</c:v>
                      </c:pt>
                      <c:pt idx="1705">
                        <c:v>1</c:v>
                      </c:pt>
                      <c:pt idx="1706">
                        <c:v>1</c:v>
                      </c:pt>
                      <c:pt idx="1707">
                        <c:v>1</c:v>
                      </c:pt>
                      <c:pt idx="1708">
                        <c:v>1</c:v>
                      </c:pt>
                      <c:pt idx="1709">
                        <c:v>1</c:v>
                      </c:pt>
                      <c:pt idx="1710">
                        <c:v>1</c:v>
                      </c:pt>
                      <c:pt idx="1711">
                        <c:v>1</c:v>
                      </c:pt>
                      <c:pt idx="1712">
                        <c:v>1</c:v>
                      </c:pt>
                      <c:pt idx="1713">
                        <c:v>1</c:v>
                      </c:pt>
                      <c:pt idx="1714">
                        <c:v>1</c:v>
                      </c:pt>
                      <c:pt idx="1715">
                        <c:v>1</c:v>
                      </c:pt>
                      <c:pt idx="1716">
                        <c:v>1</c:v>
                      </c:pt>
                      <c:pt idx="1717">
                        <c:v>1</c:v>
                      </c:pt>
                      <c:pt idx="1718">
                        <c:v>1</c:v>
                      </c:pt>
                      <c:pt idx="1719">
                        <c:v>1</c:v>
                      </c:pt>
                      <c:pt idx="1720">
                        <c:v>1</c:v>
                      </c:pt>
                      <c:pt idx="1721">
                        <c:v>1</c:v>
                      </c:pt>
                      <c:pt idx="1722">
                        <c:v>1</c:v>
                      </c:pt>
                      <c:pt idx="1723">
                        <c:v>1</c:v>
                      </c:pt>
                      <c:pt idx="1724">
                        <c:v>1</c:v>
                      </c:pt>
                      <c:pt idx="1725">
                        <c:v>1</c:v>
                      </c:pt>
                      <c:pt idx="1726">
                        <c:v>1</c:v>
                      </c:pt>
                      <c:pt idx="1727">
                        <c:v>1</c:v>
                      </c:pt>
                      <c:pt idx="1728">
                        <c:v>1</c:v>
                      </c:pt>
                      <c:pt idx="1729">
                        <c:v>1</c:v>
                      </c:pt>
                      <c:pt idx="1730">
                        <c:v>1</c:v>
                      </c:pt>
                      <c:pt idx="1731">
                        <c:v>1</c:v>
                      </c:pt>
                      <c:pt idx="1732">
                        <c:v>1</c:v>
                      </c:pt>
                      <c:pt idx="1733">
                        <c:v>1</c:v>
                      </c:pt>
                      <c:pt idx="1734">
                        <c:v>1</c:v>
                      </c:pt>
                      <c:pt idx="1735">
                        <c:v>1</c:v>
                      </c:pt>
                      <c:pt idx="1736">
                        <c:v>1</c:v>
                      </c:pt>
                      <c:pt idx="1737">
                        <c:v>1</c:v>
                      </c:pt>
                      <c:pt idx="1738">
                        <c:v>1</c:v>
                      </c:pt>
                      <c:pt idx="1739">
                        <c:v>1</c:v>
                      </c:pt>
                      <c:pt idx="1740">
                        <c:v>1</c:v>
                      </c:pt>
                      <c:pt idx="1741">
                        <c:v>1</c:v>
                      </c:pt>
                      <c:pt idx="1742">
                        <c:v>1</c:v>
                      </c:pt>
                      <c:pt idx="1743">
                        <c:v>1</c:v>
                      </c:pt>
                      <c:pt idx="1744">
                        <c:v>1</c:v>
                      </c:pt>
                      <c:pt idx="1745">
                        <c:v>1</c:v>
                      </c:pt>
                      <c:pt idx="1746">
                        <c:v>1</c:v>
                      </c:pt>
                      <c:pt idx="1747">
                        <c:v>1</c:v>
                      </c:pt>
                      <c:pt idx="1748">
                        <c:v>1</c:v>
                      </c:pt>
                      <c:pt idx="1749">
                        <c:v>1</c:v>
                      </c:pt>
                      <c:pt idx="1750">
                        <c:v>1</c:v>
                      </c:pt>
                      <c:pt idx="1751">
                        <c:v>1</c:v>
                      </c:pt>
                      <c:pt idx="1752">
                        <c:v>1</c:v>
                      </c:pt>
                      <c:pt idx="1753">
                        <c:v>1</c:v>
                      </c:pt>
                      <c:pt idx="1754">
                        <c:v>1</c:v>
                      </c:pt>
                      <c:pt idx="1755">
                        <c:v>1</c:v>
                      </c:pt>
                      <c:pt idx="1756">
                        <c:v>1</c:v>
                      </c:pt>
                      <c:pt idx="1757">
                        <c:v>1</c:v>
                      </c:pt>
                      <c:pt idx="1758">
                        <c:v>1</c:v>
                      </c:pt>
                      <c:pt idx="1759">
                        <c:v>1</c:v>
                      </c:pt>
                      <c:pt idx="1760">
                        <c:v>1</c:v>
                      </c:pt>
                      <c:pt idx="1761">
                        <c:v>1</c:v>
                      </c:pt>
                      <c:pt idx="1762">
                        <c:v>1</c:v>
                      </c:pt>
                      <c:pt idx="1763">
                        <c:v>1</c:v>
                      </c:pt>
                      <c:pt idx="1764">
                        <c:v>1</c:v>
                      </c:pt>
                      <c:pt idx="1765">
                        <c:v>1</c:v>
                      </c:pt>
                      <c:pt idx="1766">
                        <c:v>1</c:v>
                      </c:pt>
                      <c:pt idx="1767">
                        <c:v>1</c:v>
                      </c:pt>
                      <c:pt idx="1768">
                        <c:v>1</c:v>
                      </c:pt>
                      <c:pt idx="1769">
                        <c:v>1</c:v>
                      </c:pt>
                      <c:pt idx="1770">
                        <c:v>1</c:v>
                      </c:pt>
                      <c:pt idx="1771">
                        <c:v>1</c:v>
                      </c:pt>
                      <c:pt idx="1772">
                        <c:v>1</c:v>
                      </c:pt>
                      <c:pt idx="1773">
                        <c:v>1</c:v>
                      </c:pt>
                      <c:pt idx="1774">
                        <c:v>1</c:v>
                      </c:pt>
                      <c:pt idx="1775">
                        <c:v>1</c:v>
                      </c:pt>
                      <c:pt idx="1776">
                        <c:v>1</c:v>
                      </c:pt>
                      <c:pt idx="1777">
                        <c:v>1</c:v>
                      </c:pt>
                      <c:pt idx="1778">
                        <c:v>1</c:v>
                      </c:pt>
                      <c:pt idx="1779">
                        <c:v>1</c:v>
                      </c:pt>
                      <c:pt idx="1780">
                        <c:v>1</c:v>
                      </c:pt>
                      <c:pt idx="1781">
                        <c:v>1</c:v>
                      </c:pt>
                      <c:pt idx="1782">
                        <c:v>1</c:v>
                      </c:pt>
                      <c:pt idx="1783">
                        <c:v>1</c:v>
                      </c:pt>
                      <c:pt idx="1784">
                        <c:v>1</c:v>
                      </c:pt>
                      <c:pt idx="1785">
                        <c:v>1</c:v>
                      </c:pt>
                      <c:pt idx="1786">
                        <c:v>1</c:v>
                      </c:pt>
                      <c:pt idx="1787">
                        <c:v>1</c:v>
                      </c:pt>
                      <c:pt idx="1788">
                        <c:v>1</c:v>
                      </c:pt>
                      <c:pt idx="1789">
                        <c:v>1</c:v>
                      </c:pt>
                      <c:pt idx="1790">
                        <c:v>1</c:v>
                      </c:pt>
                      <c:pt idx="1791">
                        <c:v>1</c:v>
                      </c:pt>
                      <c:pt idx="1792">
                        <c:v>1</c:v>
                      </c:pt>
                      <c:pt idx="1793">
                        <c:v>1</c:v>
                      </c:pt>
                      <c:pt idx="1794">
                        <c:v>1</c:v>
                      </c:pt>
                      <c:pt idx="1795">
                        <c:v>1</c:v>
                      </c:pt>
                      <c:pt idx="1796">
                        <c:v>1</c:v>
                      </c:pt>
                      <c:pt idx="1797">
                        <c:v>1</c:v>
                      </c:pt>
                      <c:pt idx="1798">
                        <c:v>1</c:v>
                      </c:pt>
                      <c:pt idx="1799">
                        <c:v>1</c:v>
                      </c:pt>
                      <c:pt idx="1800">
                        <c:v>1</c:v>
                      </c:pt>
                      <c:pt idx="1801">
                        <c:v>1</c:v>
                      </c:pt>
                      <c:pt idx="1802">
                        <c:v>1</c:v>
                      </c:pt>
                      <c:pt idx="1803">
                        <c:v>1</c:v>
                      </c:pt>
                      <c:pt idx="1804">
                        <c:v>1</c:v>
                      </c:pt>
                      <c:pt idx="1805">
                        <c:v>1</c:v>
                      </c:pt>
                      <c:pt idx="1806">
                        <c:v>1</c:v>
                      </c:pt>
                      <c:pt idx="1807">
                        <c:v>1</c:v>
                      </c:pt>
                      <c:pt idx="1808">
                        <c:v>1</c:v>
                      </c:pt>
                      <c:pt idx="1809">
                        <c:v>1</c:v>
                      </c:pt>
                      <c:pt idx="1810">
                        <c:v>1</c:v>
                      </c:pt>
                      <c:pt idx="1811">
                        <c:v>1</c:v>
                      </c:pt>
                      <c:pt idx="1812">
                        <c:v>1</c:v>
                      </c:pt>
                      <c:pt idx="1813">
                        <c:v>1</c:v>
                      </c:pt>
                      <c:pt idx="1814">
                        <c:v>1</c:v>
                      </c:pt>
                      <c:pt idx="1815">
                        <c:v>1</c:v>
                      </c:pt>
                      <c:pt idx="1816">
                        <c:v>1</c:v>
                      </c:pt>
                      <c:pt idx="1817">
                        <c:v>1</c:v>
                      </c:pt>
                      <c:pt idx="1818">
                        <c:v>1</c:v>
                      </c:pt>
                      <c:pt idx="1819">
                        <c:v>1</c:v>
                      </c:pt>
                      <c:pt idx="1820">
                        <c:v>1</c:v>
                      </c:pt>
                      <c:pt idx="1821">
                        <c:v>1</c:v>
                      </c:pt>
                      <c:pt idx="1822">
                        <c:v>1</c:v>
                      </c:pt>
                      <c:pt idx="1823">
                        <c:v>1</c:v>
                      </c:pt>
                      <c:pt idx="1824">
                        <c:v>1</c:v>
                      </c:pt>
                      <c:pt idx="1825">
                        <c:v>1</c:v>
                      </c:pt>
                      <c:pt idx="1826">
                        <c:v>1</c:v>
                      </c:pt>
                      <c:pt idx="1827">
                        <c:v>1</c:v>
                      </c:pt>
                      <c:pt idx="1828">
                        <c:v>1</c:v>
                      </c:pt>
                      <c:pt idx="1829">
                        <c:v>1</c:v>
                      </c:pt>
                      <c:pt idx="1830">
                        <c:v>1</c:v>
                      </c:pt>
                      <c:pt idx="1831">
                        <c:v>1</c:v>
                      </c:pt>
                      <c:pt idx="1832">
                        <c:v>1</c:v>
                      </c:pt>
                      <c:pt idx="1833">
                        <c:v>1</c:v>
                      </c:pt>
                      <c:pt idx="1834">
                        <c:v>1</c:v>
                      </c:pt>
                      <c:pt idx="1835">
                        <c:v>1</c:v>
                      </c:pt>
                      <c:pt idx="1836">
                        <c:v>1</c:v>
                      </c:pt>
                      <c:pt idx="1837">
                        <c:v>1</c:v>
                      </c:pt>
                      <c:pt idx="1838">
                        <c:v>1</c:v>
                      </c:pt>
                      <c:pt idx="1839">
                        <c:v>1</c:v>
                      </c:pt>
                      <c:pt idx="1840">
                        <c:v>1</c:v>
                      </c:pt>
                      <c:pt idx="1841">
                        <c:v>1</c:v>
                      </c:pt>
                      <c:pt idx="1842">
                        <c:v>1</c:v>
                      </c:pt>
                      <c:pt idx="1843">
                        <c:v>1</c:v>
                      </c:pt>
                      <c:pt idx="1844">
                        <c:v>1</c:v>
                      </c:pt>
                      <c:pt idx="1845">
                        <c:v>1</c:v>
                      </c:pt>
                      <c:pt idx="1846">
                        <c:v>1</c:v>
                      </c:pt>
                      <c:pt idx="1847">
                        <c:v>1</c:v>
                      </c:pt>
                      <c:pt idx="1848">
                        <c:v>1</c:v>
                      </c:pt>
                      <c:pt idx="1849">
                        <c:v>1</c:v>
                      </c:pt>
                      <c:pt idx="1850">
                        <c:v>1</c:v>
                      </c:pt>
                      <c:pt idx="1851">
                        <c:v>1</c:v>
                      </c:pt>
                      <c:pt idx="1852">
                        <c:v>1</c:v>
                      </c:pt>
                      <c:pt idx="1853">
                        <c:v>1</c:v>
                      </c:pt>
                      <c:pt idx="1854">
                        <c:v>1</c:v>
                      </c:pt>
                      <c:pt idx="1855">
                        <c:v>1</c:v>
                      </c:pt>
                      <c:pt idx="1856">
                        <c:v>1</c:v>
                      </c:pt>
                      <c:pt idx="1857">
                        <c:v>1</c:v>
                      </c:pt>
                      <c:pt idx="1858">
                        <c:v>1</c:v>
                      </c:pt>
                      <c:pt idx="1859">
                        <c:v>1</c:v>
                      </c:pt>
                      <c:pt idx="1860">
                        <c:v>1</c:v>
                      </c:pt>
                      <c:pt idx="1861">
                        <c:v>1</c:v>
                      </c:pt>
                      <c:pt idx="1862">
                        <c:v>1</c:v>
                      </c:pt>
                      <c:pt idx="1863">
                        <c:v>1</c:v>
                      </c:pt>
                      <c:pt idx="1864">
                        <c:v>1</c:v>
                      </c:pt>
                      <c:pt idx="1865">
                        <c:v>1</c:v>
                      </c:pt>
                      <c:pt idx="1866">
                        <c:v>1</c:v>
                      </c:pt>
                      <c:pt idx="1867">
                        <c:v>1</c:v>
                      </c:pt>
                      <c:pt idx="1868">
                        <c:v>1</c:v>
                      </c:pt>
                      <c:pt idx="1869">
                        <c:v>1</c:v>
                      </c:pt>
                      <c:pt idx="1870">
                        <c:v>1</c:v>
                      </c:pt>
                      <c:pt idx="1871">
                        <c:v>1</c:v>
                      </c:pt>
                      <c:pt idx="1872">
                        <c:v>1</c:v>
                      </c:pt>
                      <c:pt idx="1873">
                        <c:v>1</c:v>
                      </c:pt>
                      <c:pt idx="1874">
                        <c:v>1</c:v>
                      </c:pt>
                      <c:pt idx="1875">
                        <c:v>1</c:v>
                      </c:pt>
                      <c:pt idx="1876">
                        <c:v>1</c:v>
                      </c:pt>
                      <c:pt idx="1877">
                        <c:v>1</c:v>
                      </c:pt>
                      <c:pt idx="1878">
                        <c:v>1</c:v>
                      </c:pt>
                      <c:pt idx="1879">
                        <c:v>1</c:v>
                      </c:pt>
                      <c:pt idx="1880">
                        <c:v>1</c:v>
                      </c:pt>
                      <c:pt idx="1881">
                        <c:v>1</c:v>
                      </c:pt>
                      <c:pt idx="1882">
                        <c:v>1</c:v>
                      </c:pt>
                      <c:pt idx="1883">
                        <c:v>1</c:v>
                      </c:pt>
                      <c:pt idx="1884">
                        <c:v>1</c:v>
                      </c:pt>
                      <c:pt idx="1885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7C-49D5-AEA0-3878CE16E1A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transpose!$AG$1</c15:sqref>
                        </c15:formulaRef>
                      </c:ext>
                    </c:extLst>
                    <c:strCache>
                      <c:ptCount val="1"/>
                      <c:pt idx="0">
                        <c:v>B_Eszik10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transpose!$AG$2:$AG$7686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6346">
                        <c:v>1</c:v>
                      </c:pt>
                      <c:pt idx="6347">
                        <c:v>1</c:v>
                      </c:pt>
                      <c:pt idx="6348">
                        <c:v>1</c:v>
                      </c:pt>
                      <c:pt idx="6349">
                        <c:v>1</c:v>
                      </c:pt>
                      <c:pt idx="6350">
                        <c:v>1</c:v>
                      </c:pt>
                      <c:pt idx="6351">
                        <c:v>1</c:v>
                      </c:pt>
                      <c:pt idx="6352">
                        <c:v>1</c:v>
                      </c:pt>
                      <c:pt idx="6353">
                        <c:v>1</c:v>
                      </c:pt>
                      <c:pt idx="6354">
                        <c:v>1</c:v>
                      </c:pt>
                      <c:pt idx="6355">
                        <c:v>1</c:v>
                      </c:pt>
                      <c:pt idx="6356">
                        <c:v>1</c:v>
                      </c:pt>
                      <c:pt idx="6357">
                        <c:v>1</c:v>
                      </c:pt>
                      <c:pt idx="6358">
                        <c:v>1</c:v>
                      </c:pt>
                      <c:pt idx="6359">
                        <c:v>1</c:v>
                      </c:pt>
                      <c:pt idx="6360">
                        <c:v>1</c:v>
                      </c:pt>
                      <c:pt idx="6361">
                        <c:v>1</c:v>
                      </c:pt>
                      <c:pt idx="6362">
                        <c:v>1</c:v>
                      </c:pt>
                      <c:pt idx="6363">
                        <c:v>1</c:v>
                      </c:pt>
                      <c:pt idx="6364">
                        <c:v>1</c:v>
                      </c:pt>
                      <c:pt idx="6365">
                        <c:v>1</c:v>
                      </c:pt>
                      <c:pt idx="6366">
                        <c:v>1</c:v>
                      </c:pt>
                      <c:pt idx="6367">
                        <c:v>1</c:v>
                      </c:pt>
                      <c:pt idx="6368">
                        <c:v>1</c:v>
                      </c:pt>
                      <c:pt idx="6369">
                        <c:v>1</c:v>
                      </c:pt>
                      <c:pt idx="6370">
                        <c:v>1</c:v>
                      </c:pt>
                      <c:pt idx="6371">
                        <c:v>1</c:v>
                      </c:pt>
                      <c:pt idx="6372">
                        <c:v>1</c:v>
                      </c:pt>
                      <c:pt idx="6373">
                        <c:v>1</c:v>
                      </c:pt>
                      <c:pt idx="6374">
                        <c:v>1</c:v>
                      </c:pt>
                      <c:pt idx="6375">
                        <c:v>1</c:v>
                      </c:pt>
                      <c:pt idx="6376">
                        <c:v>1</c:v>
                      </c:pt>
                      <c:pt idx="6377">
                        <c:v>1</c:v>
                      </c:pt>
                      <c:pt idx="6378">
                        <c:v>1</c:v>
                      </c:pt>
                      <c:pt idx="6379">
                        <c:v>1</c:v>
                      </c:pt>
                      <c:pt idx="6380">
                        <c:v>1</c:v>
                      </c:pt>
                      <c:pt idx="6381">
                        <c:v>1</c:v>
                      </c:pt>
                      <c:pt idx="6382">
                        <c:v>1</c:v>
                      </c:pt>
                      <c:pt idx="6383">
                        <c:v>1</c:v>
                      </c:pt>
                      <c:pt idx="6384">
                        <c:v>1</c:v>
                      </c:pt>
                      <c:pt idx="6385">
                        <c:v>1</c:v>
                      </c:pt>
                      <c:pt idx="6386">
                        <c:v>1</c:v>
                      </c:pt>
                      <c:pt idx="6387">
                        <c:v>1</c:v>
                      </c:pt>
                      <c:pt idx="6388">
                        <c:v>1</c:v>
                      </c:pt>
                      <c:pt idx="6389">
                        <c:v>1</c:v>
                      </c:pt>
                      <c:pt idx="6390">
                        <c:v>1</c:v>
                      </c:pt>
                      <c:pt idx="6391">
                        <c:v>1</c:v>
                      </c:pt>
                      <c:pt idx="6392">
                        <c:v>1</c:v>
                      </c:pt>
                      <c:pt idx="6393">
                        <c:v>1</c:v>
                      </c:pt>
                      <c:pt idx="6394">
                        <c:v>1</c:v>
                      </c:pt>
                      <c:pt idx="6395">
                        <c:v>1</c:v>
                      </c:pt>
                      <c:pt idx="6396">
                        <c:v>1</c:v>
                      </c:pt>
                      <c:pt idx="6397">
                        <c:v>1</c:v>
                      </c:pt>
                      <c:pt idx="6398">
                        <c:v>1</c:v>
                      </c:pt>
                      <c:pt idx="6399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7C-49D5-AEA0-3878CE16E1A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transpose!$AK$1</c15:sqref>
                        </c15:formulaRef>
                      </c:ext>
                    </c:extLst>
                    <c:strCache>
                      <c:ptCount val="1"/>
                      <c:pt idx="0">
                        <c:v>B_Eszik12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transpose!$AK$2:$AK$7686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590">
                        <c:v>1</c:v>
                      </c:pt>
                      <c:pt idx="591">
                        <c:v>1</c:v>
                      </c:pt>
                      <c:pt idx="592">
                        <c:v>1</c:v>
                      </c:pt>
                      <c:pt idx="593">
                        <c:v>1</c:v>
                      </c:pt>
                      <c:pt idx="594">
                        <c:v>1</c:v>
                      </c:pt>
                      <c:pt idx="595">
                        <c:v>1</c:v>
                      </c:pt>
                      <c:pt idx="596">
                        <c:v>1</c:v>
                      </c:pt>
                      <c:pt idx="597">
                        <c:v>1</c:v>
                      </c:pt>
                      <c:pt idx="598">
                        <c:v>1</c:v>
                      </c:pt>
                      <c:pt idx="599">
                        <c:v>1</c:v>
                      </c:pt>
                      <c:pt idx="600">
                        <c:v>1</c:v>
                      </c:pt>
                      <c:pt idx="601">
                        <c:v>1</c:v>
                      </c:pt>
                      <c:pt idx="602">
                        <c:v>1</c:v>
                      </c:pt>
                      <c:pt idx="603">
                        <c:v>1</c:v>
                      </c:pt>
                      <c:pt idx="604">
                        <c:v>1</c:v>
                      </c:pt>
                      <c:pt idx="605">
                        <c:v>1</c:v>
                      </c:pt>
                      <c:pt idx="606">
                        <c:v>1</c:v>
                      </c:pt>
                      <c:pt idx="607">
                        <c:v>1</c:v>
                      </c:pt>
                      <c:pt idx="608">
                        <c:v>1</c:v>
                      </c:pt>
                      <c:pt idx="609">
                        <c:v>1</c:v>
                      </c:pt>
                      <c:pt idx="610">
                        <c:v>1</c:v>
                      </c:pt>
                      <c:pt idx="611">
                        <c:v>1</c:v>
                      </c:pt>
                      <c:pt idx="612">
                        <c:v>1</c:v>
                      </c:pt>
                      <c:pt idx="613">
                        <c:v>1</c:v>
                      </c:pt>
                      <c:pt idx="614">
                        <c:v>1</c:v>
                      </c:pt>
                      <c:pt idx="615">
                        <c:v>1</c:v>
                      </c:pt>
                      <c:pt idx="616">
                        <c:v>1</c:v>
                      </c:pt>
                      <c:pt idx="617">
                        <c:v>1</c:v>
                      </c:pt>
                      <c:pt idx="618">
                        <c:v>1</c:v>
                      </c:pt>
                      <c:pt idx="619">
                        <c:v>1</c:v>
                      </c:pt>
                      <c:pt idx="620">
                        <c:v>1</c:v>
                      </c:pt>
                      <c:pt idx="621">
                        <c:v>1</c:v>
                      </c:pt>
                      <c:pt idx="622">
                        <c:v>1</c:v>
                      </c:pt>
                      <c:pt idx="623">
                        <c:v>1</c:v>
                      </c:pt>
                      <c:pt idx="624">
                        <c:v>1</c:v>
                      </c:pt>
                      <c:pt idx="625">
                        <c:v>1</c:v>
                      </c:pt>
                      <c:pt idx="626">
                        <c:v>1</c:v>
                      </c:pt>
                      <c:pt idx="627">
                        <c:v>1</c:v>
                      </c:pt>
                      <c:pt idx="628">
                        <c:v>1</c:v>
                      </c:pt>
                      <c:pt idx="629">
                        <c:v>1</c:v>
                      </c:pt>
                      <c:pt idx="630">
                        <c:v>1</c:v>
                      </c:pt>
                      <c:pt idx="631">
                        <c:v>1</c:v>
                      </c:pt>
                      <c:pt idx="632">
                        <c:v>1</c:v>
                      </c:pt>
                      <c:pt idx="633">
                        <c:v>1</c:v>
                      </c:pt>
                      <c:pt idx="634">
                        <c:v>1</c:v>
                      </c:pt>
                      <c:pt idx="635">
                        <c:v>1</c:v>
                      </c:pt>
                      <c:pt idx="636">
                        <c:v>1</c:v>
                      </c:pt>
                      <c:pt idx="637">
                        <c:v>1</c:v>
                      </c:pt>
                      <c:pt idx="638">
                        <c:v>1</c:v>
                      </c:pt>
                      <c:pt idx="639">
                        <c:v>1</c:v>
                      </c:pt>
                      <c:pt idx="640">
                        <c:v>1</c:v>
                      </c:pt>
                      <c:pt idx="641">
                        <c:v>1</c:v>
                      </c:pt>
                      <c:pt idx="642">
                        <c:v>1</c:v>
                      </c:pt>
                      <c:pt idx="643">
                        <c:v>1</c:v>
                      </c:pt>
                      <c:pt idx="644">
                        <c:v>1</c:v>
                      </c:pt>
                      <c:pt idx="645">
                        <c:v>1</c:v>
                      </c:pt>
                      <c:pt idx="646">
                        <c:v>1</c:v>
                      </c:pt>
                      <c:pt idx="647">
                        <c:v>1</c:v>
                      </c:pt>
                      <c:pt idx="648">
                        <c:v>1</c:v>
                      </c:pt>
                      <c:pt idx="649">
                        <c:v>1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1</c:v>
                      </c:pt>
                      <c:pt idx="654">
                        <c:v>1</c:v>
                      </c:pt>
                      <c:pt idx="655">
                        <c:v>1</c:v>
                      </c:pt>
                      <c:pt idx="656">
                        <c:v>1</c:v>
                      </c:pt>
                      <c:pt idx="657">
                        <c:v>1</c:v>
                      </c:pt>
                      <c:pt idx="658">
                        <c:v>1</c:v>
                      </c:pt>
                      <c:pt idx="659">
                        <c:v>1</c:v>
                      </c:pt>
                      <c:pt idx="660">
                        <c:v>1</c:v>
                      </c:pt>
                      <c:pt idx="661">
                        <c:v>1</c:v>
                      </c:pt>
                      <c:pt idx="662">
                        <c:v>1</c:v>
                      </c:pt>
                      <c:pt idx="663">
                        <c:v>1</c:v>
                      </c:pt>
                      <c:pt idx="664">
                        <c:v>1</c:v>
                      </c:pt>
                      <c:pt idx="665">
                        <c:v>1</c:v>
                      </c:pt>
                      <c:pt idx="666">
                        <c:v>1</c:v>
                      </c:pt>
                      <c:pt idx="667">
                        <c:v>1</c:v>
                      </c:pt>
                      <c:pt idx="668">
                        <c:v>1</c:v>
                      </c:pt>
                      <c:pt idx="669">
                        <c:v>1</c:v>
                      </c:pt>
                      <c:pt idx="670">
                        <c:v>1</c:v>
                      </c:pt>
                      <c:pt idx="671">
                        <c:v>1</c:v>
                      </c:pt>
                      <c:pt idx="672">
                        <c:v>1</c:v>
                      </c:pt>
                      <c:pt idx="673">
                        <c:v>1</c:v>
                      </c:pt>
                      <c:pt idx="674">
                        <c:v>1</c:v>
                      </c:pt>
                      <c:pt idx="675">
                        <c:v>1</c:v>
                      </c:pt>
                      <c:pt idx="676">
                        <c:v>1</c:v>
                      </c:pt>
                      <c:pt idx="677">
                        <c:v>1</c:v>
                      </c:pt>
                      <c:pt idx="678">
                        <c:v>1</c:v>
                      </c:pt>
                      <c:pt idx="679">
                        <c:v>1</c:v>
                      </c:pt>
                      <c:pt idx="680">
                        <c:v>1</c:v>
                      </c:pt>
                      <c:pt idx="681">
                        <c:v>1</c:v>
                      </c:pt>
                      <c:pt idx="682">
                        <c:v>1</c:v>
                      </c:pt>
                      <c:pt idx="683">
                        <c:v>1</c:v>
                      </c:pt>
                      <c:pt idx="684">
                        <c:v>1</c:v>
                      </c:pt>
                      <c:pt idx="685">
                        <c:v>1</c:v>
                      </c:pt>
                      <c:pt idx="686">
                        <c:v>1</c:v>
                      </c:pt>
                      <c:pt idx="687">
                        <c:v>1</c:v>
                      </c:pt>
                      <c:pt idx="688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77C-49D5-AEA0-3878CE16E1A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transpose!$AO$1</c15:sqref>
                        </c15:formulaRef>
                      </c:ext>
                    </c:extLst>
                    <c:strCache>
                      <c:ptCount val="1"/>
                      <c:pt idx="0">
                        <c:v>B_Eszik14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transpose!$AO$2:$AO$7686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5294">
                        <c:v>1</c:v>
                      </c:pt>
                      <c:pt idx="5295">
                        <c:v>1</c:v>
                      </c:pt>
                      <c:pt idx="5296">
                        <c:v>1</c:v>
                      </c:pt>
                      <c:pt idx="5297">
                        <c:v>1</c:v>
                      </c:pt>
                      <c:pt idx="5298">
                        <c:v>1</c:v>
                      </c:pt>
                      <c:pt idx="5299">
                        <c:v>1</c:v>
                      </c:pt>
                      <c:pt idx="5300">
                        <c:v>1</c:v>
                      </c:pt>
                      <c:pt idx="5301">
                        <c:v>1</c:v>
                      </c:pt>
                      <c:pt idx="5302">
                        <c:v>1</c:v>
                      </c:pt>
                      <c:pt idx="5303">
                        <c:v>1</c:v>
                      </c:pt>
                      <c:pt idx="5304">
                        <c:v>1</c:v>
                      </c:pt>
                      <c:pt idx="5305">
                        <c:v>1</c:v>
                      </c:pt>
                      <c:pt idx="5306">
                        <c:v>1</c:v>
                      </c:pt>
                      <c:pt idx="5307">
                        <c:v>1</c:v>
                      </c:pt>
                      <c:pt idx="5308">
                        <c:v>1</c:v>
                      </c:pt>
                      <c:pt idx="5309">
                        <c:v>1</c:v>
                      </c:pt>
                      <c:pt idx="5310">
                        <c:v>1</c:v>
                      </c:pt>
                      <c:pt idx="5311">
                        <c:v>1</c:v>
                      </c:pt>
                      <c:pt idx="5312">
                        <c:v>1</c:v>
                      </c:pt>
                      <c:pt idx="5313">
                        <c:v>1</c:v>
                      </c:pt>
                      <c:pt idx="5314">
                        <c:v>1</c:v>
                      </c:pt>
                      <c:pt idx="5315">
                        <c:v>1</c:v>
                      </c:pt>
                      <c:pt idx="5316">
                        <c:v>1</c:v>
                      </c:pt>
                      <c:pt idx="5317">
                        <c:v>1</c:v>
                      </c:pt>
                      <c:pt idx="5318">
                        <c:v>1</c:v>
                      </c:pt>
                      <c:pt idx="5319">
                        <c:v>1</c:v>
                      </c:pt>
                      <c:pt idx="5320">
                        <c:v>1</c:v>
                      </c:pt>
                      <c:pt idx="5321">
                        <c:v>1</c:v>
                      </c:pt>
                      <c:pt idx="5322">
                        <c:v>1</c:v>
                      </c:pt>
                      <c:pt idx="5323">
                        <c:v>1</c:v>
                      </c:pt>
                      <c:pt idx="5324">
                        <c:v>1</c:v>
                      </c:pt>
                      <c:pt idx="5325">
                        <c:v>1</c:v>
                      </c:pt>
                      <c:pt idx="5326">
                        <c:v>1</c:v>
                      </c:pt>
                      <c:pt idx="5327">
                        <c:v>1</c:v>
                      </c:pt>
                      <c:pt idx="5328">
                        <c:v>1</c:v>
                      </c:pt>
                      <c:pt idx="5329">
                        <c:v>1</c:v>
                      </c:pt>
                      <c:pt idx="5330">
                        <c:v>1</c:v>
                      </c:pt>
                      <c:pt idx="5331">
                        <c:v>1</c:v>
                      </c:pt>
                      <c:pt idx="5332">
                        <c:v>1</c:v>
                      </c:pt>
                      <c:pt idx="5333">
                        <c:v>1</c:v>
                      </c:pt>
                      <c:pt idx="5334">
                        <c:v>1</c:v>
                      </c:pt>
                      <c:pt idx="5335">
                        <c:v>1</c:v>
                      </c:pt>
                      <c:pt idx="5336">
                        <c:v>1</c:v>
                      </c:pt>
                      <c:pt idx="5337">
                        <c:v>1</c:v>
                      </c:pt>
                      <c:pt idx="5338">
                        <c:v>1</c:v>
                      </c:pt>
                      <c:pt idx="5339">
                        <c:v>1</c:v>
                      </c:pt>
                      <c:pt idx="5340">
                        <c:v>1</c:v>
                      </c:pt>
                      <c:pt idx="5341">
                        <c:v>1</c:v>
                      </c:pt>
                      <c:pt idx="5342">
                        <c:v>1</c:v>
                      </c:pt>
                      <c:pt idx="5343">
                        <c:v>1</c:v>
                      </c:pt>
                      <c:pt idx="5344">
                        <c:v>1</c:v>
                      </c:pt>
                      <c:pt idx="5345">
                        <c:v>1</c:v>
                      </c:pt>
                      <c:pt idx="5346">
                        <c:v>1</c:v>
                      </c:pt>
                      <c:pt idx="5347">
                        <c:v>1</c:v>
                      </c:pt>
                      <c:pt idx="5348">
                        <c:v>1</c:v>
                      </c:pt>
                      <c:pt idx="5349">
                        <c:v>1</c:v>
                      </c:pt>
                      <c:pt idx="5350">
                        <c:v>1</c:v>
                      </c:pt>
                      <c:pt idx="5351">
                        <c:v>1</c:v>
                      </c:pt>
                      <c:pt idx="5352">
                        <c:v>1</c:v>
                      </c:pt>
                      <c:pt idx="5353">
                        <c:v>1</c:v>
                      </c:pt>
                      <c:pt idx="5354">
                        <c:v>1</c:v>
                      </c:pt>
                      <c:pt idx="5355">
                        <c:v>1</c:v>
                      </c:pt>
                      <c:pt idx="5356">
                        <c:v>1</c:v>
                      </c:pt>
                      <c:pt idx="5357">
                        <c:v>1</c:v>
                      </c:pt>
                      <c:pt idx="5358">
                        <c:v>1</c:v>
                      </c:pt>
                      <c:pt idx="5359">
                        <c:v>1</c:v>
                      </c:pt>
                      <c:pt idx="5360">
                        <c:v>1</c:v>
                      </c:pt>
                      <c:pt idx="5361">
                        <c:v>1</c:v>
                      </c:pt>
                      <c:pt idx="5362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77C-49D5-AEA0-3878CE16E1A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transpose!$AS$1</c15:sqref>
                        </c15:formulaRef>
                      </c:ext>
                    </c:extLst>
                    <c:strCache>
                      <c:ptCount val="1"/>
                      <c:pt idx="0">
                        <c:v>B_Eszik16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transpose!$AS$2:$AS$7686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6766">
                        <c:v>1</c:v>
                      </c:pt>
                      <c:pt idx="6767">
                        <c:v>1</c:v>
                      </c:pt>
                      <c:pt idx="6768">
                        <c:v>1</c:v>
                      </c:pt>
                      <c:pt idx="6769">
                        <c:v>1</c:v>
                      </c:pt>
                      <c:pt idx="6770">
                        <c:v>1</c:v>
                      </c:pt>
                      <c:pt idx="6771">
                        <c:v>1</c:v>
                      </c:pt>
                      <c:pt idx="6772">
                        <c:v>1</c:v>
                      </c:pt>
                      <c:pt idx="6773">
                        <c:v>1</c:v>
                      </c:pt>
                      <c:pt idx="6774">
                        <c:v>1</c:v>
                      </c:pt>
                      <c:pt idx="6775">
                        <c:v>1</c:v>
                      </c:pt>
                      <c:pt idx="6776">
                        <c:v>1</c:v>
                      </c:pt>
                      <c:pt idx="6777">
                        <c:v>1</c:v>
                      </c:pt>
                      <c:pt idx="6778">
                        <c:v>1</c:v>
                      </c:pt>
                      <c:pt idx="6779">
                        <c:v>1</c:v>
                      </c:pt>
                      <c:pt idx="6780">
                        <c:v>1</c:v>
                      </c:pt>
                      <c:pt idx="6781">
                        <c:v>1</c:v>
                      </c:pt>
                      <c:pt idx="6782">
                        <c:v>1</c:v>
                      </c:pt>
                      <c:pt idx="6783">
                        <c:v>1</c:v>
                      </c:pt>
                      <c:pt idx="6784">
                        <c:v>1</c:v>
                      </c:pt>
                      <c:pt idx="6785">
                        <c:v>1</c:v>
                      </c:pt>
                      <c:pt idx="6786">
                        <c:v>1</c:v>
                      </c:pt>
                      <c:pt idx="6787">
                        <c:v>1</c:v>
                      </c:pt>
                      <c:pt idx="6788">
                        <c:v>1</c:v>
                      </c:pt>
                      <c:pt idx="6789">
                        <c:v>1</c:v>
                      </c:pt>
                      <c:pt idx="6790">
                        <c:v>1</c:v>
                      </c:pt>
                      <c:pt idx="6791">
                        <c:v>1</c:v>
                      </c:pt>
                      <c:pt idx="6792">
                        <c:v>1</c:v>
                      </c:pt>
                      <c:pt idx="6793">
                        <c:v>1</c:v>
                      </c:pt>
                      <c:pt idx="6794">
                        <c:v>1</c:v>
                      </c:pt>
                      <c:pt idx="6795">
                        <c:v>1</c:v>
                      </c:pt>
                      <c:pt idx="6796">
                        <c:v>1</c:v>
                      </c:pt>
                      <c:pt idx="6797">
                        <c:v>1</c:v>
                      </c:pt>
                      <c:pt idx="6798">
                        <c:v>1</c:v>
                      </c:pt>
                      <c:pt idx="6799">
                        <c:v>1</c:v>
                      </c:pt>
                      <c:pt idx="6800">
                        <c:v>1</c:v>
                      </c:pt>
                      <c:pt idx="6801">
                        <c:v>1</c:v>
                      </c:pt>
                      <c:pt idx="6802">
                        <c:v>1</c:v>
                      </c:pt>
                      <c:pt idx="6803">
                        <c:v>1</c:v>
                      </c:pt>
                      <c:pt idx="6804">
                        <c:v>1</c:v>
                      </c:pt>
                      <c:pt idx="6805">
                        <c:v>1</c:v>
                      </c:pt>
                      <c:pt idx="6806">
                        <c:v>1</c:v>
                      </c:pt>
                      <c:pt idx="6807">
                        <c:v>1</c:v>
                      </c:pt>
                      <c:pt idx="6808">
                        <c:v>1</c:v>
                      </c:pt>
                      <c:pt idx="6809">
                        <c:v>1</c:v>
                      </c:pt>
                      <c:pt idx="6810">
                        <c:v>1</c:v>
                      </c:pt>
                      <c:pt idx="681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77C-49D5-AEA0-3878CE16E1AE}"/>
                  </c:ext>
                </c:extLst>
              </c15:ser>
            </c15:filteredScatterSeries>
          </c:ext>
        </c:extLst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</c:valAx>
      <c:valAx>
        <c:axId val="8131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transpose!$Q$1</c:f>
              <c:strCache>
                <c:ptCount val="1"/>
                <c:pt idx="0">
                  <c:v>B_Eszik2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transpose!$Q$2:$Q$7686</c:f>
              <c:numCache>
                <c:formatCode>General</c:formatCode>
                <c:ptCount val="7685"/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A-4FF3-AB4E-17FDF76A0ADB}"/>
            </c:ext>
          </c:extLst>
        </c:ser>
        <c:ser>
          <c:idx val="3"/>
          <c:order val="3"/>
          <c:tx>
            <c:strRef>
              <c:f>transpose!$U$1</c:f>
              <c:strCache>
                <c:ptCount val="1"/>
                <c:pt idx="0">
                  <c:v>B_Eszik4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transpose!$U$2:$U$7686</c:f>
              <c:numCache>
                <c:formatCode>General</c:formatCode>
                <c:ptCount val="7685"/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A-4FF3-AB4E-17FDF76A0ADB}"/>
            </c:ext>
          </c:extLst>
        </c:ser>
        <c:ser>
          <c:idx val="5"/>
          <c:order val="5"/>
          <c:tx>
            <c:strRef>
              <c:f>transpose!$Y$1</c:f>
              <c:strCache>
                <c:ptCount val="1"/>
                <c:pt idx="0">
                  <c:v>B_Eszik6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transpose!$Y$2:$Y$7686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6A-4FF3-AB4E-17FDF76A0ADB}"/>
            </c:ext>
          </c:extLst>
        </c:ser>
        <c:ser>
          <c:idx val="7"/>
          <c:order val="7"/>
          <c:tx>
            <c:strRef>
              <c:f>transpose!$AC$1</c:f>
              <c:strCache>
                <c:ptCount val="1"/>
                <c:pt idx="0">
                  <c:v>B_Eszik8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transpose!$AC$2:$AC$7686</c:f>
              <c:numCache>
                <c:formatCode>General</c:formatCode>
                <c:ptCount val="7685"/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6A-4FF3-AB4E-17FDF76A0ADB}"/>
            </c:ext>
          </c:extLst>
        </c:ser>
        <c:ser>
          <c:idx val="9"/>
          <c:order val="9"/>
          <c:tx>
            <c:strRef>
              <c:f>transpose!$AG$1</c:f>
              <c:strCache>
                <c:ptCount val="1"/>
                <c:pt idx="0">
                  <c:v>B_Eszik10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transpose!$AG$2:$AG$7686</c:f>
              <c:numCache>
                <c:formatCode>General</c:formatCode>
                <c:ptCount val="7685"/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6A-4FF3-AB4E-17FDF76A0ADB}"/>
            </c:ext>
          </c:extLst>
        </c:ser>
        <c:ser>
          <c:idx val="11"/>
          <c:order val="11"/>
          <c:tx>
            <c:strRef>
              <c:f>transpose!$AK$1</c:f>
              <c:strCache>
                <c:ptCount val="1"/>
                <c:pt idx="0">
                  <c:v>B_Eszik12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transpose!$AK$2:$AK$7686</c:f>
              <c:numCache>
                <c:formatCode>General</c:formatCode>
                <c:ptCount val="7685"/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6A-4FF3-AB4E-17FDF76A0ADB}"/>
            </c:ext>
          </c:extLst>
        </c:ser>
        <c:ser>
          <c:idx val="13"/>
          <c:order val="13"/>
          <c:tx>
            <c:strRef>
              <c:f>transpose!$AO$1</c:f>
              <c:strCache>
                <c:ptCount val="1"/>
                <c:pt idx="0">
                  <c:v>B_Eszik14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transpose!$AO$2:$AO$7686</c:f>
              <c:numCache>
                <c:formatCode>General</c:formatCode>
                <c:ptCount val="7685"/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6A-4FF3-AB4E-17FDF76A0ADB}"/>
            </c:ext>
          </c:extLst>
        </c:ser>
        <c:ser>
          <c:idx val="15"/>
          <c:order val="15"/>
          <c:tx>
            <c:strRef>
              <c:f>transpose!$AS$1</c:f>
              <c:strCache>
                <c:ptCount val="1"/>
                <c:pt idx="0">
                  <c:v>B_Eszik16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transpose!$AS$2:$AS$7686</c:f>
              <c:numCache>
                <c:formatCode>General</c:formatCode>
                <c:ptCount val="7685"/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6A-4FF3-AB4E-17FDF76A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transpose!$O$1</c15:sqref>
                        </c15:formulaRef>
                      </c:ext>
                    </c:extLst>
                    <c:strCache>
                      <c:ptCount val="1"/>
                      <c:pt idx="0">
                        <c:v>B_Eszik1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transpose!$O$2:$O$7686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1B6A-4FF3-AB4E-17FDF76A0AD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transpose!$S$1</c15:sqref>
                        </c15:formulaRef>
                      </c:ext>
                    </c:extLst>
                    <c:strCache>
                      <c:ptCount val="1"/>
                      <c:pt idx="0">
                        <c:v>B_Eszik3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transpose!$S$2:$S$7686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6053">
                        <c:v>1</c:v>
                      </c:pt>
                      <c:pt idx="6054">
                        <c:v>1</c:v>
                      </c:pt>
                      <c:pt idx="6055">
                        <c:v>1</c:v>
                      </c:pt>
                      <c:pt idx="6056">
                        <c:v>1</c:v>
                      </c:pt>
                      <c:pt idx="6057">
                        <c:v>1</c:v>
                      </c:pt>
                      <c:pt idx="6058">
                        <c:v>1</c:v>
                      </c:pt>
                      <c:pt idx="6059">
                        <c:v>1</c:v>
                      </c:pt>
                      <c:pt idx="6060">
                        <c:v>1</c:v>
                      </c:pt>
                      <c:pt idx="6061">
                        <c:v>1</c:v>
                      </c:pt>
                      <c:pt idx="6062">
                        <c:v>1</c:v>
                      </c:pt>
                      <c:pt idx="6063">
                        <c:v>1</c:v>
                      </c:pt>
                      <c:pt idx="6064">
                        <c:v>1</c:v>
                      </c:pt>
                      <c:pt idx="6065">
                        <c:v>1</c:v>
                      </c:pt>
                      <c:pt idx="6066">
                        <c:v>1</c:v>
                      </c:pt>
                      <c:pt idx="6067">
                        <c:v>1</c:v>
                      </c:pt>
                      <c:pt idx="6068">
                        <c:v>1</c:v>
                      </c:pt>
                      <c:pt idx="6069">
                        <c:v>1</c:v>
                      </c:pt>
                      <c:pt idx="6070">
                        <c:v>1</c:v>
                      </c:pt>
                      <c:pt idx="6071">
                        <c:v>1</c:v>
                      </c:pt>
                      <c:pt idx="6072">
                        <c:v>1</c:v>
                      </c:pt>
                      <c:pt idx="6073">
                        <c:v>1</c:v>
                      </c:pt>
                      <c:pt idx="6074">
                        <c:v>1</c:v>
                      </c:pt>
                      <c:pt idx="6075">
                        <c:v>1</c:v>
                      </c:pt>
                      <c:pt idx="6076">
                        <c:v>1</c:v>
                      </c:pt>
                      <c:pt idx="6077">
                        <c:v>1</c:v>
                      </c:pt>
                      <c:pt idx="6078">
                        <c:v>1</c:v>
                      </c:pt>
                      <c:pt idx="6079">
                        <c:v>1</c:v>
                      </c:pt>
                      <c:pt idx="6080">
                        <c:v>1</c:v>
                      </c:pt>
                      <c:pt idx="6081">
                        <c:v>1</c:v>
                      </c:pt>
                      <c:pt idx="6082">
                        <c:v>1</c:v>
                      </c:pt>
                      <c:pt idx="6083">
                        <c:v>1</c:v>
                      </c:pt>
                      <c:pt idx="6084">
                        <c:v>1</c:v>
                      </c:pt>
                      <c:pt idx="6085">
                        <c:v>1</c:v>
                      </c:pt>
                      <c:pt idx="6086">
                        <c:v>1</c:v>
                      </c:pt>
                      <c:pt idx="6087">
                        <c:v>1</c:v>
                      </c:pt>
                      <c:pt idx="6088">
                        <c:v>1</c:v>
                      </c:pt>
                      <c:pt idx="6089">
                        <c:v>1</c:v>
                      </c:pt>
                      <c:pt idx="6090">
                        <c:v>1</c:v>
                      </c:pt>
                      <c:pt idx="6091">
                        <c:v>1</c:v>
                      </c:pt>
                      <c:pt idx="6092">
                        <c:v>1</c:v>
                      </c:pt>
                      <c:pt idx="6093">
                        <c:v>1</c:v>
                      </c:pt>
                      <c:pt idx="6094">
                        <c:v>1</c:v>
                      </c:pt>
                      <c:pt idx="6095">
                        <c:v>1</c:v>
                      </c:pt>
                      <c:pt idx="6096">
                        <c:v>1</c:v>
                      </c:pt>
                      <c:pt idx="6097">
                        <c:v>1</c:v>
                      </c:pt>
                      <c:pt idx="6098">
                        <c:v>1</c:v>
                      </c:pt>
                      <c:pt idx="6099">
                        <c:v>1</c:v>
                      </c:pt>
                      <c:pt idx="6100">
                        <c:v>1</c:v>
                      </c:pt>
                      <c:pt idx="6101">
                        <c:v>1</c:v>
                      </c:pt>
                      <c:pt idx="6102">
                        <c:v>1</c:v>
                      </c:pt>
                      <c:pt idx="6103">
                        <c:v>1</c:v>
                      </c:pt>
                      <c:pt idx="6104">
                        <c:v>1</c:v>
                      </c:pt>
                      <c:pt idx="6105">
                        <c:v>1</c:v>
                      </c:pt>
                      <c:pt idx="6106">
                        <c:v>1</c:v>
                      </c:pt>
                      <c:pt idx="6107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B6A-4FF3-AB4E-17FDF76A0AD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transpose!$W$1</c15:sqref>
                        </c15:formulaRef>
                      </c:ext>
                    </c:extLst>
                    <c:strCache>
                      <c:ptCount val="1"/>
                      <c:pt idx="0">
                        <c:v>B_Eszik5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transpose!$W$2:$W$7686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B6A-4FF3-AB4E-17FDF76A0AD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transpose!$AA$1</c15:sqref>
                        </c15:formulaRef>
                      </c:ext>
                    </c:extLst>
                    <c:strCache>
                      <c:ptCount val="1"/>
                      <c:pt idx="0">
                        <c:v>B_Eszik7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transpose!$AA$2:$AA$7686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B6A-4FF3-AB4E-17FDF76A0AD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transpose!$AE$1</c15:sqref>
                        </c15:formulaRef>
                      </c:ext>
                    </c:extLst>
                    <c:strCache>
                      <c:ptCount val="1"/>
                      <c:pt idx="0">
                        <c:v>B_Eszik9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transpose!$AE$2:$AE$7686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B6A-4FF3-AB4E-17FDF76A0AD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transpose!$AI$1</c15:sqref>
                        </c15:formulaRef>
                      </c:ext>
                    </c:extLst>
                    <c:strCache>
                      <c:ptCount val="1"/>
                      <c:pt idx="0">
                        <c:v>B_Eszik11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transpose!$AI$2:$AI$7686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4187">
                        <c:v>1</c:v>
                      </c:pt>
                      <c:pt idx="4188">
                        <c:v>1</c:v>
                      </c:pt>
                      <c:pt idx="4189">
                        <c:v>1</c:v>
                      </c:pt>
                      <c:pt idx="4190">
                        <c:v>1</c:v>
                      </c:pt>
                      <c:pt idx="4191">
                        <c:v>1</c:v>
                      </c:pt>
                      <c:pt idx="4192">
                        <c:v>1</c:v>
                      </c:pt>
                      <c:pt idx="4193">
                        <c:v>1</c:v>
                      </c:pt>
                      <c:pt idx="4194">
                        <c:v>1</c:v>
                      </c:pt>
                      <c:pt idx="4195">
                        <c:v>1</c:v>
                      </c:pt>
                      <c:pt idx="4196">
                        <c:v>1</c:v>
                      </c:pt>
                      <c:pt idx="4197">
                        <c:v>1</c:v>
                      </c:pt>
                      <c:pt idx="4198">
                        <c:v>1</c:v>
                      </c:pt>
                      <c:pt idx="4199">
                        <c:v>1</c:v>
                      </c:pt>
                      <c:pt idx="4200">
                        <c:v>1</c:v>
                      </c:pt>
                      <c:pt idx="4201">
                        <c:v>1</c:v>
                      </c:pt>
                      <c:pt idx="4202">
                        <c:v>1</c:v>
                      </c:pt>
                      <c:pt idx="4203">
                        <c:v>1</c:v>
                      </c:pt>
                      <c:pt idx="4204">
                        <c:v>1</c:v>
                      </c:pt>
                      <c:pt idx="4205">
                        <c:v>1</c:v>
                      </c:pt>
                      <c:pt idx="4206">
                        <c:v>1</c:v>
                      </c:pt>
                      <c:pt idx="4207">
                        <c:v>1</c:v>
                      </c:pt>
                      <c:pt idx="4208">
                        <c:v>1</c:v>
                      </c:pt>
                      <c:pt idx="4209">
                        <c:v>1</c:v>
                      </c:pt>
                      <c:pt idx="4210">
                        <c:v>1</c:v>
                      </c:pt>
                      <c:pt idx="4211">
                        <c:v>1</c:v>
                      </c:pt>
                      <c:pt idx="4212">
                        <c:v>1</c:v>
                      </c:pt>
                      <c:pt idx="4213">
                        <c:v>1</c:v>
                      </c:pt>
                      <c:pt idx="4214">
                        <c:v>1</c:v>
                      </c:pt>
                      <c:pt idx="4215">
                        <c:v>1</c:v>
                      </c:pt>
                      <c:pt idx="4216">
                        <c:v>1</c:v>
                      </c:pt>
                      <c:pt idx="4217">
                        <c:v>1</c:v>
                      </c:pt>
                      <c:pt idx="4218">
                        <c:v>1</c:v>
                      </c:pt>
                      <c:pt idx="4219">
                        <c:v>1</c:v>
                      </c:pt>
                      <c:pt idx="4220">
                        <c:v>1</c:v>
                      </c:pt>
                      <c:pt idx="4221">
                        <c:v>1</c:v>
                      </c:pt>
                      <c:pt idx="4222">
                        <c:v>1</c:v>
                      </c:pt>
                      <c:pt idx="4223">
                        <c:v>1</c:v>
                      </c:pt>
                      <c:pt idx="4224">
                        <c:v>1</c:v>
                      </c:pt>
                      <c:pt idx="4225">
                        <c:v>1</c:v>
                      </c:pt>
                      <c:pt idx="4226">
                        <c:v>1</c:v>
                      </c:pt>
                      <c:pt idx="4227">
                        <c:v>1</c:v>
                      </c:pt>
                      <c:pt idx="4228">
                        <c:v>1</c:v>
                      </c:pt>
                      <c:pt idx="4229">
                        <c:v>1</c:v>
                      </c:pt>
                      <c:pt idx="4230">
                        <c:v>1</c:v>
                      </c:pt>
                      <c:pt idx="4231">
                        <c:v>1</c:v>
                      </c:pt>
                      <c:pt idx="4232">
                        <c:v>1</c:v>
                      </c:pt>
                      <c:pt idx="4233">
                        <c:v>1</c:v>
                      </c:pt>
                      <c:pt idx="4234">
                        <c:v>1</c:v>
                      </c:pt>
                      <c:pt idx="4235">
                        <c:v>1</c:v>
                      </c:pt>
                      <c:pt idx="4236">
                        <c:v>1</c:v>
                      </c:pt>
                      <c:pt idx="4237">
                        <c:v>1</c:v>
                      </c:pt>
                      <c:pt idx="4238">
                        <c:v>1</c:v>
                      </c:pt>
                      <c:pt idx="4239">
                        <c:v>1</c:v>
                      </c:pt>
                      <c:pt idx="4240">
                        <c:v>1</c:v>
                      </c:pt>
                      <c:pt idx="4241">
                        <c:v>1</c:v>
                      </c:pt>
                      <c:pt idx="4242">
                        <c:v>1</c:v>
                      </c:pt>
                      <c:pt idx="4243">
                        <c:v>1</c:v>
                      </c:pt>
                      <c:pt idx="4244">
                        <c:v>1</c:v>
                      </c:pt>
                      <c:pt idx="4245">
                        <c:v>1</c:v>
                      </c:pt>
                      <c:pt idx="4246">
                        <c:v>1</c:v>
                      </c:pt>
                      <c:pt idx="4247">
                        <c:v>1</c:v>
                      </c:pt>
                      <c:pt idx="4248">
                        <c:v>1</c:v>
                      </c:pt>
                      <c:pt idx="4249">
                        <c:v>1</c:v>
                      </c:pt>
                      <c:pt idx="4250">
                        <c:v>1</c:v>
                      </c:pt>
                      <c:pt idx="4251">
                        <c:v>1</c:v>
                      </c:pt>
                      <c:pt idx="4252">
                        <c:v>1</c:v>
                      </c:pt>
                      <c:pt idx="4253">
                        <c:v>1</c:v>
                      </c:pt>
                      <c:pt idx="4254">
                        <c:v>1</c:v>
                      </c:pt>
                      <c:pt idx="4255">
                        <c:v>1</c:v>
                      </c:pt>
                      <c:pt idx="4256">
                        <c:v>1</c:v>
                      </c:pt>
                      <c:pt idx="4257">
                        <c:v>1</c:v>
                      </c:pt>
                      <c:pt idx="4258">
                        <c:v>1</c:v>
                      </c:pt>
                      <c:pt idx="4259">
                        <c:v>1</c:v>
                      </c:pt>
                      <c:pt idx="4260">
                        <c:v>1</c:v>
                      </c:pt>
                      <c:pt idx="4261">
                        <c:v>1</c:v>
                      </c:pt>
                      <c:pt idx="4262">
                        <c:v>1</c:v>
                      </c:pt>
                      <c:pt idx="4263">
                        <c:v>1</c:v>
                      </c:pt>
                      <c:pt idx="4264">
                        <c:v>1</c:v>
                      </c:pt>
                      <c:pt idx="4265">
                        <c:v>1</c:v>
                      </c:pt>
                      <c:pt idx="4266">
                        <c:v>1</c:v>
                      </c:pt>
                      <c:pt idx="4267">
                        <c:v>1</c:v>
                      </c:pt>
                      <c:pt idx="4268">
                        <c:v>1</c:v>
                      </c:pt>
                      <c:pt idx="4269">
                        <c:v>1</c:v>
                      </c:pt>
                      <c:pt idx="4270">
                        <c:v>1</c:v>
                      </c:pt>
                      <c:pt idx="4271">
                        <c:v>1</c:v>
                      </c:pt>
                      <c:pt idx="4272">
                        <c:v>1</c:v>
                      </c:pt>
                      <c:pt idx="4273">
                        <c:v>1</c:v>
                      </c:pt>
                      <c:pt idx="4274">
                        <c:v>1</c:v>
                      </c:pt>
                      <c:pt idx="4275">
                        <c:v>1</c:v>
                      </c:pt>
                      <c:pt idx="4276">
                        <c:v>1</c:v>
                      </c:pt>
                      <c:pt idx="4277">
                        <c:v>1</c:v>
                      </c:pt>
                      <c:pt idx="4278">
                        <c:v>1</c:v>
                      </c:pt>
                      <c:pt idx="4279">
                        <c:v>1</c:v>
                      </c:pt>
                      <c:pt idx="4280">
                        <c:v>1</c:v>
                      </c:pt>
                      <c:pt idx="4281">
                        <c:v>1</c:v>
                      </c:pt>
                      <c:pt idx="4282">
                        <c:v>1</c:v>
                      </c:pt>
                      <c:pt idx="4283">
                        <c:v>1</c:v>
                      </c:pt>
                      <c:pt idx="4284">
                        <c:v>1</c:v>
                      </c:pt>
                      <c:pt idx="4285">
                        <c:v>1</c:v>
                      </c:pt>
                      <c:pt idx="4286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B6A-4FF3-AB4E-17FDF76A0AD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transpose!$AM$1</c15:sqref>
                        </c15:formulaRef>
                      </c:ext>
                    </c:extLst>
                    <c:strCache>
                      <c:ptCount val="1"/>
                      <c:pt idx="0">
                        <c:v>B_Eszik13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transpose!$AM$2:$AM$7686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B6A-4FF3-AB4E-17FDF76A0ADB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transpose!$AQ$1</c15:sqref>
                        </c15:formulaRef>
                      </c:ext>
                    </c:extLst>
                    <c:strCache>
                      <c:ptCount val="1"/>
                      <c:pt idx="0">
                        <c:v>B_Eszik15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transpose!$AQ$2:$AQ$7686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4569">
                        <c:v>1</c:v>
                      </c:pt>
                      <c:pt idx="4570">
                        <c:v>1</c:v>
                      </c:pt>
                      <c:pt idx="4571">
                        <c:v>1</c:v>
                      </c:pt>
                      <c:pt idx="4572">
                        <c:v>1</c:v>
                      </c:pt>
                      <c:pt idx="4573">
                        <c:v>1</c:v>
                      </c:pt>
                      <c:pt idx="4574">
                        <c:v>1</c:v>
                      </c:pt>
                      <c:pt idx="4575">
                        <c:v>1</c:v>
                      </c:pt>
                      <c:pt idx="4576">
                        <c:v>1</c:v>
                      </c:pt>
                      <c:pt idx="4577">
                        <c:v>1</c:v>
                      </c:pt>
                      <c:pt idx="4578">
                        <c:v>1</c:v>
                      </c:pt>
                      <c:pt idx="4579">
                        <c:v>1</c:v>
                      </c:pt>
                      <c:pt idx="458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B6A-4FF3-AB4E-17FDF76A0ADB}"/>
                  </c:ext>
                </c:extLst>
              </c15:ser>
            </c15:filteredScatterSeries>
          </c:ext>
        </c:extLst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</c:valAx>
      <c:valAx>
        <c:axId val="81318975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transpose!$N$1</c:f>
              <c:strCache>
                <c:ptCount val="1"/>
                <c:pt idx="0">
                  <c:v>B1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transpose!$N$2:$N$7686</c:f>
              <c:numCache>
                <c:formatCode>General</c:formatCode>
                <c:ptCount val="7685"/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E-4DAD-B7A4-910ED02AB0B7}"/>
            </c:ext>
          </c:extLst>
        </c:ser>
        <c:ser>
          <c:idx val="1"/>
          <c:order val="1"/>
          <c:tx>
            <c:strRef>
              <c:f>transpose!$P$1</c:f>
              <c:strCache>
                <c:ptCount val="1"/>
                <c:pt idx="0">
                  <c:v>B2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transpose!$P$2:$P$7686</c:f>
              <c:numCache>
                <c:formatCode>General</c:formatCode>
                <c:ptCount val="7685"/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6847">
                  <c:v>4</c:v>
                </c:pt>
                <c:pt idx="6848">
                  <c:v>4</c:v>
                </c:pt>
                <c:pt idx="6849">
                  <c:v>4</c:v>
                </c:pt>
                <c:pt idx="6850">
                  <c:v>4</c:v>
                </c:pt>
                <c:pt idx="6851">
                  <c:v>4</c:v>
                </c:pt>
                <c:pt idx="6852">
                  <c:v>4</c:v>
                </c:pt>
                <c:pt idx="6853">
                  <c:v>4</c:v>
                </c:pt>
                <c:pt idx="6854">
                  <c:v>4</c:v>
                </c:pt>
                <c:pt idx="6855">
                  <c:v>4</c:v>
                </c:pt>
                <c:pt idx="6856">
                  <c:v>4</c:v>
                </c:pt>
                <c:pt idx="6857">
                  <c:v>4</c:v>
                </c:pt>
                <c:pt idx="6858">
                  <c:v>4</c:v>
                </c:pt>
                <c:pt idx="6859">
                  <c:v>4</c:v>
                </c:pt>
                <c:pt idx="6860">
                  <c:v>4</c:v>
                </c:pt>
                <c:pt idx="6861">
                  <c:v>4</c:v>
                </c:pt>
                <c:pt idx="6862">
                  <c:v>4</c:v>
                </c:pt>
                <c:pt idx="686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CE-4DAD-B7A4-910ED02AB0B7}"/>
            </c:ext>
          </c:extLst>
        </c:ser>
        <c:ser>
          <c:idx val="2"/>
          <c:order val="2"/>
          <c:tx>
            <c:strRef>
              <c:f>transpose!$R$1</c:f>
              <c:strCache>
                <c:ptCount val="1"/>
                <c:pt idx="0">
                  <c:v>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transpose!$R$2:$R$7686</c:f>
              <c:numCache>
                <c:formatCode>General</c:formatCode>
                <c:ptCount val="7685"/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CE-4DAD-B7A4-910ED02AB0B7}"/>
            </c:ext>
          </c:extLst>
        </c:ser>
        <c:ser>
          <c:idx val="3"/>
          <c:order val="3"/>
          <c:tx>
            <c:strRef>
              <c:f>transpose!$T$1</c:f>
              <c:strCache>
                <c:ptCount val="1"/>
                <c:pt idx="0">
                  <c:v>B4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transpose!$T$2:$T$7686</c:f>
              <c:numCache>
                <c:formatCode>General</c:formatCode>
                <c:ptCount val="7685"/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884">
                  <c:v>4</c:v>
                </c:pt>
                <c:pt idx="6885">
                  <c:v>4</c:v>
                </c:pt>
                <c:pt idx="6886">
                  <c:v>4</c:v>
                </c:pt>
                <c:pt idx="6887">
                  <c:v>4</c:v>
                </c:pt>
                <c:pt idx="6888">
                  <c:v>4</c:v>
                </c:pt>
                <c:pt idx="6889">
                  <c:v>4</c:v>
                </c:pt>
                <c:pt idx="6890">
                  <c:v>4</c:v>
                </c:pt>
                <c:pt idx="6891">
                  <c:v>4</c:v>
                </c:pt>
                <c:pt idx="6892">
                  <c:v>4</c:v>
                </c:pt>
                <c:pt idx="6893">
                  <c:v>4</c:v>
                </c:pt>
                <c:pt idx="6894">
                  <c:v>4</c:v>
                </c:pt>
                <c:pt idx="6895">
                  <c:v>4</c:v>
                </c:pt>
                <c:pt idx="6896">
                  <c:v>4</c:v>
                </c:pt>
                <c:pt idx="6897">
                  <c:v>4</c:v>
                </c:pt>
                <c:pt idx="6898">
                  <c:v>4</c:v>
                </c:pt>
                <c:pt idx="6899">
                  <c:v>4</c:v>
                </c:pt>
                <c:pt idx="6900">
                  <c:v>4</c:v>
                </c:pt>
                <c:pt idx="6901">
                  <c:v>4</c:v>
                </c:pt>
                <c:pt idx="690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CE-4DAD-B7A4-910ED02AB0B7}"/>
            </c:ext>
          </c:extLst>
        </c:ser>
        <c:ser>
          <c:idx val="4"/>
          <c:order val="4"/>
          <c:tx>
            <c:strRef>
              <c:f>transpose!$V$1</c:f>
              <c:strCache>
                <c:ptCount val="1"/>
                <c:pt idx="0">
                  <c:v>B5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transpose!$V$2:$V$7686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CE-4DAD-B7A4-910ED02AB0B7}"/>
            </c:ext>
          </c:extLst>
        </c:ser>
        <c:ser>
          <c:idx val="5"/>
          <c:order val="5"/>
          <c:tx>
            <c:strRef>
              <c:f>transpose!$X$1</c:f>
              <c:strCache>
                <c:ptCount val="1"/>
                <c:pt idx="0">
                  <c:v>B6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transpose!$X$2:$X$7686</c:f>
              <c:numCache>
                <c:formatCode>General</c:formatCode>
                <c:ptCount val="7685"/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932">
                  <c:v>4</c:v>
                </c:pt>
                <c:pt idx="6933">
                  <c:v>4</c:v>
                </c:pt>
                <c:pt idx="6934">
                  <c:v>4</c:v>
                </c:pt>
                <c:pt idx="6935">
                  <c:v>4</c:v>
                </c:pt>
                <c:pt idx="6936">
                  <c:v>4</c:v>
                </c:pt>
                <c:pt idx="6937">
                  <c:v>4</c:v>
                </c:pt>
                <c:pt idx="6938">
                  <c:v>4</c:v>
                </c:pt>
                <c:pt idx="6939">
                  <c:v>4</c:v>
                </c:pt>
                <c:pt idx="6940">
                  <c:v>4</c:v>
                </c:pt>
                <c:pt idx="6941">
                  <c:v>4</c:v>
                </c:pt>
                <c:pt idx="6942">
                  <c:v>4</c:v>
                </c:pt>
                <c:pt idx="6943">
                  <c:v>4</c:v>
                </c:pt>
                <c:pt idx="6944">
                  <c:v>4</c:v>
                </c:pt>
                <c:pt idx="6945">
                  <c:v>4</c:v>
                </c:pt>
                <c:pt idx="6946">
                  <c:v>4</c:v>
                </c:pt>
                <c:pt idx="6947">
                  <c:v>4</c:v>
                </c:pt>
                <c:pt idx="6948">
                  <c:v>4</c:v>
                </c:pt>
                <c:pt idx="6949">
                  <c:v>4</c:v>
                </c:pt>
                <c:pt idx="6950">
                  <c:v>4</c:v>
                </c:pt>
                <c:pt idx="6951">
                  <c:v>4</c:v>
                </c:pt>
                <c:pt idx="6952">
                  <c:v>4</c:v>
                </c:pt>
                <c:pt idx="6953">
                  <c:v>4</c:v>
                </c:pt>
                <c:pt idx="6954">
                  <c:v>4</c:v>
                </c:pt>
                <c:pt idx="6955">
                  <c:v>4</c:v>
                </c:pt>
                <c:pt idx="7168">
                  <c:v>5</c:v>
                </c:pt>
                <c:pt idx="7169">
                  <c:v>5</c:v>
                </c:pt>
                <c:pt idx="7170">
                  <c:v>5</c:v>
                </c:pt>
                <c:pt idx="7171">
                  <c:v>5</c:v>
                </c:pt>
                <c:pt idx="7172">
                  <c:v>5</c:v>
                </c:pt>
                <c:pt idx="7173">
                  <c:v>5</c:v>
                </c:pt>
                <c:pt idx="7174">
                  <c:v>5</c:v>
                </c:pt>
                <c:pt idx="717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CE-4DAD-B7A4-910ED02AB0B7}"/>
            </c:ext>
          </c:extLst>
        </c:ser>
        <c:ser>
          <c:idx val="6"/>
          <c:order val="6"/>
          <c:tx>
            <c:strRef>
              <c:f>transpose!$Z$1</c:f>
              <c:strCache>
                <c:ptCount val="1"/>
                <c:pt idx="0">
                  <c:v>B7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transpose!$Z$2:$Z$7686</c:f>
              <c:numCache>
                <c:formatCode>General</c:formatCode>
                <c:ptCount val="7685"/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CE-4DAD-B7A4-910ED02AB0B7}"/>
            </c:ext>
          </c:extLst>
        </c:ser>
        <c:ser>
          <c:idx val="7"/>
          <c:order val="7"/>
          <c:tx>
            <c:strRef>
              <c:f>transpose!$AB$1</c:f>
              <c:strCache>
                <c:ptCount val="1"/>
                <c:pt idx="0">
                  <c:v>B8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transpose!$AB$2:$AB$7686</c:f>
              <c:numCache>
                <c:formatCode>General</c:formatCode>
                <c:ptCount val="7685"/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5008">
                  <c:v>4</c:v>
                </c:pt>
                <c:pt idx="5009">
                  <c:v>4</c:v>
                </c:pt>
                <c:pt idx="5010">
                  <c:v>4</c:v>
                </c:pt>
                <c:pt idx="5011">
                  <c:v>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</c:v>
                </c:pt>
                <c:pt idx="5020">
                  <c:v>4</c:v>
                </c:pt>
                <c:pt idx="5021">
                  <c:v>4</c:v>
                </c:pt>
                <c:pt idx="5022">
                  <c:v>4</c:v>
                </c:pt>
                <c:pt idx="5023">
                  <c:v>4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6989">
                  <c:v>5</c:v>
                </c:pt>
                <c:pt idx="6990">
                  <c:v>5</c:v>
                </c:pt>
                <c:pt idx="6991">
                  <c:v>5</c:v>
                </c:pt>
                <c:pt idx="6992">
                  <c:v>5</c:v>
                </c:pt>
                <c:pt idx="6993">
                  <c:v>5</c:v>
                </c:pt>
                <c:pt idx="6994">
                  <c:v>5</c:v>
                </c:pt>
                <c:pt idx="6995">
                  <c:v>5</c:v>
                </c:pt>
                <c:pt idx="6996">
                  <c:v>5</c:v>
                </c:pt>
                <c:pt idx="6997">
                  <c:v>5</c:v>
                </c:pt>
                <c:pt idx="6998">
                  <c:v>5</c:v>
                </c:pt>
                <c:pt idx="6999">
                  <c:v>5</c:v>
                </c:pt>
                <c:pt idx="7000">
                  <c:v>5</c:v>
                </c:pt>
                <c:pt idx="700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CE-4DAD-B7A4-910ED02AB0B7}"/>
            </c:ext>
          </c:extLst>
        </c:ser>
        <c:ser>
          <c:idx val="8"/>
          <c:order val="8"/>
          <c:tx>
            <c:strRef>
              <c:f>transpose!$AD$1</c:f>
              <c:strCache>
                <c:ptCount val="1"/>
                <c:pt idx="0">
                  <c:v>B9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transpose!$AD$2:$AD$7686</c:f>
              <c:numCache>
                <c:formatCode>General</c:formatCode>
                <c:ptCount val="7685"/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CE-4DAD-B7A4-910ED02AB0B7}"/>
            </c:ext>
          </c:extLst>
        </c:ser>
        <c:ser>
          <c:idx val="9"/>
          <c:order val="9"/>
          <c:tx>
            <c:strRef>
              <c:f>transpose!$AF$1</c:f>
              <c:strCache>
                <c:ptCount val="1"/>
                <c:pt idx="0">
                  <c:v>B10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transpose!$AF$2:$AF$7686</c:f>
              <c:numCache>
                <c:formatCode>General</c:formatCode>
                <c:ptCount val="7685"/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ACE-4DAD-B7A4-910ED02AB0B7}"/>
            </c:ext>
          </c:extLst>
        </c:ser>
        <c:ser>
          <c:idx val="10"/>
          <c:order val="10"/>
          <c:tx>
            <c:strRef>
              <c:f>transpose!$AH$1</c:f>
              <c:strCache>
                <c:ptCount val="1"/>
                <c:pt idx="0">
                  <c:v>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transpose!$AH$2:$AH$7686</c:f>
              <c:numCache>
                <c:formatCode>General</c:formatCode>
                <c:ptCount val="7685"/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ACE-4DAD-B7A4-910ED02AB0B7}"/>
            </c:ext>
          </c:extLst>
        </c:ser>
        <c:ser>
          <c:idx val="11"/>
          <c:order val="11"/>
          <c:tx>
            <c:strRef>
              <c:f>transpose!$AJ$1</c:f>
              <c:strCache>
                <c:ptCount val="1"/>
                <c:pt idx="0">
                  <c:v>B12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transpose!$AJ$2:$AJ$7686</c:f>
              <c:numCache>
                <c:formatCode>General</c:formatCode>
                <c:ptCount val="7685"/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6582">
                  <c:v>4</c:v>
                </c:pt>
                <c:pt idx="6583">
                  <c:v>4</c:v>
                </c:pt>
                <c:pt idx="6584">
                  <c:v>4</c:v>
                </c:pt>
                <c:pt idx="6585">
                  <c:v>4</c:v>
                </c:pt>
                <c:pt idx="6586">
                  <c:v>4</c:v>
                </c:pt>
                <c:pt idx="6587">
                  <c:v>4</c:v>
                </c:pt>
                <c:pt idx="6588">
                  <c:v>4</c:v>
                </c:pt>
                <c:pt idx="6589">
                  <c:v>4</c:v>
                </c:pt>
                <c:pt idx="6590">
                  <c:v>4</c:v>
                </c:pt>
                <c:pt idx="6591">
                  <c:v>4</c:v>
                </c:pt>
                <c:pt idx="6592">
                  <c:v>4</c:v>
                </c:pt>
                <c:pt idx="6593">
                  <c:v>4</c:v>
                </c:pt>
                <c:pt idx="6594">
                  <c:v>4</c:v>
                </c:pt>
                <c:pt idx="6595">
                  <c:v>4</c:v>
                </c:pt>
                <c:pt idx="6596">
                  <c:v>4</c:v>
                </c:pt>
                <c:pt idx="6597">
                  <c:v>4</c:v>
                </c:pt>
                <c:pt idx="6598">
                  <c:v>4</c:v>
                </c:pt>
                <c:pt idx="6599">
                  <c:v>4</c:v>
                </c:pt>
                <c:pt idx="6600">
                  <c:v>4</c:v>
                </c:pt>
                <c:pt idx="6601">
                  <c:v>4</c:v>
                </c:pt>
                <c:pt idx="6602">
                  <c:v>4</c:v>
                </c:pt>
                <c:pt idx="6603">
                  <c:v>4</c:v>
                </c:pt>
                <c:pt idx="6604">
                  <c:v>4</c:v>
                </c:pt>
                <c:pt idx="6605">
                  <c:v>4</c:v>
                </c:pt>
                <c:pt idx="6606">
                  <c:v>4</c:v>
                </c:pt>
                <c:pt idx="6607">
                  <c:v>4</c:v>
                </c:pt>
                <c:pt idx="6608">
                  <c:v>4</c:v>
                </c:pt>
                <c:pt idx="6609">
                  <c:v>4</c:v>
                </c:pt>
                <c:pt idx="6610">
                  <c:v>4</c:v>
                </c:pt>
                <c:pt idx="6611">
                  <c:v>4</c:v>
                </c:pt>
                <c:pt idx="6612">
                  <c:v>4</c:v>
                </c:pt>
                <c:pt idx="6613">
                  <c:v>4</c:v>
                </c:pt>
                <c:pt idx="6614">
                  <c:v>4</c:v>
                </c:pt>
                <c:pt idx="6615">
                  <c:v>4</c:v>
                </c:pt>
                <c:pt idx="6616">
                  <c:v>4</c:v>
                </c:pt>
                <c:pt idx="6617">
                  <c:v>4</c:v>
                </c:pt>
                <c:pt idx="6618">
                  <c:v>4</c:v>
                </c:pt>
                <c:pt idx="6619">
                  <c:v>4</c:v>
                </c:pt>
                <c:pt idx="6620">
                  <c:v>4</c:v>
                </c:pt>
                <c:pt idx="6621">
                  <c:v>4</c:v>
                </c:pt>
                <c:pt idx="6622">
                  <c:v>4</c:v>
                </c:pt>
                <c:pt idx="6623">
                  <c:v>4</c:v>
                </c:pt>
                <c:pt idx="6624">
                  <c:v>4</c:v>
                </c:pt>
                <c:pt idx="6625">
                  <c:v>4</c:v>
                </c:pt>
                <c:pt idx="6626">
                  <c:v>4</c:v>
                </c:pt>
                <c:pt idx="6627">
                  <c:v>4</c:v>
                </c:pt>
                <c:pt idx="6628">
                  <c:v>4</c:v>
                </c:pt>
                <c:pt idx="6629">
                  <c:v>4</c:v>
                </c:pt>
                <c:pt idx="6630">
                  <c:v>4</c:v>
                </c:pt>
                <c:pt idx="6631">
                  <c:v>4</c:v>
                </c:pt>
                <c:pt idx="6632">
                  <c:v>4</c:v>
                </c:pt>
                <c:pt idx="6633">
                  <c:v>4</c:v>
                </c:pt>
                <c:pt idx="6634">
                  <c:v>4</c:v>
                </c:pt>
                <c:pt idx="6635">
                  <c:v>4</c:v>
                </c:pt>
                <c:pt idx="6636">
                  <c:v>4</c:v>
                </c:pt>
                <c:pt idx="6637">
                  <c:v>4</c:v>
                </c:pt>
                <c:pt idx="6638">
                  <c:v>4</c:v>
                </c:pt>
                <c:pt idx="6639">
                  <c:v>4</c:v>
                </c:pt>
                <c:pt idx="6640">
                  <c:v>4</c:v>
                </c:pt>
                <c:pt idx="6641">
                  <c:v>4</c:v>
                </c:pt>
                <c:pt idx="6642">
                  <c:v>4</c:v>
                </c:pt>
                <c:pt idx="6643">
                  <c:v>4</c:v>
                </c:pt>
                <c:pt idx="6644">
                  <c:v>4</c:v>
                </c:pt>
                <c:pt idx="6645">
                  <c:v>4</c:v>
                </c:pt>
                <c:pt idx="6646">
                  <c:v>4</c:v>
                </c:pt>
                <c:pt idx="6647">
                  <c:v>4</c:v>
                </c:pt>
                <c:pt idx="6648">
                  <c:v>4</c:v>
                </c:pt>
                <c:pt idx="6649">
                  <c:v>4</c:v>
                </c:pt>
                <c:pt idx="6650">
                  <c:v>4</c:v>
                </c:pt>
                <c:pt idx="6651">
                  <c:v>4</c:v>
                </c:pt>
                <c:pt idx="665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ACE-4DAD-B7A4-910ED02AB0B7}"/>
            </c:ext>
          </c:extLst>
        </c:ser>
        <c:ser>
          <c:idx val="12"/>
          <c:order val="12"/>
          <c:tx>
            <c:strRef>
              <c:f>transpose!$AL$1</c:f>
              <c:strCache>
                <c:ptCount val="1"/>
                <c:pt idx="0">
                  <c:v>B13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transpose!$AL$2:$AL$7686</c:f>
              <c:numCache>
                <c:formatCode>General</c:formatCode>
                <c:ptCount val="7685"/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ACE-4DAD-B7A4-910ED02AB0B7}"/>
            </c:ext>
          </c:extLst>
        </c:ser>
        <c:ser>
          <c:idx val="13"/>
          <c:order val="13"/>
          <c:tx>
            <c:strRef>
              <c:f>transpose!$AN$1</c:f>
              <c:strCache>
                <c:ptCount val="1"/>
                <c:pt idx="0">
                  <c:v>B14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transpose!$AN$2:$AN$7686</c:f>
              <c:numCache>
                <c:formatCode>General</c:formatCode>
                <c:ptCount val="7685"/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ACE-4DAD-B7A4-910ED02AB0B7}"/>
            </c:ext>
          </c:extLst>
        </c:ser>
        <c:ser>
          <c:idx val="14"/>
          <c:order val="14"/>
          <c:tx>
            <c:strRef>
              <c:f>transpose!$AP$1</c:f>
              <c:strCache>
                <c:ptCount val="1"/>
                <c:pt idx="0">
                  <c:v>B15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transpose!$AP$2:$AP$7686</c:f>
              <c:numCache>
                <c:formatCode>General</c:formatCode>
                <c:ptCount val="7685"/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ACE-4DAD-B7A4-910ED02AB0B7}"/>
            </c:ext>
          </c:extLst>
        </c:ser>
        <c:ser>
          <c:idx val="15"/>
          <c:order val="15"/>
          <c:tx>
            <c:strRef>
              <c:f>transpose!$AR$1</c:f>
              <c:strCache>
                <c:ptCount val="1"/>
                <c:pt idx="0">
                  <c:v>B16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transpose!$AR$2:$AR$7686</c:f>
              <c:numCache>
                <c:formatCode>General</c:formatCode>
                <c:ptCount val="7685"/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4</c:v>
                </c:pt>
                <c:pt idx="6752">
                  <c:v>4</c:v>
                </c:pt>
                <c:pt idx="6753">
                  <c:v>4</c:v>
                </c:pt>
                <c:pt idx="6754">
                  <c:v>4</c:v>
                </c:pt>
                <c:pt idx="6755">
                  <c:v>4</c:v>
                </c:pt>
                <c:pt idx="6756">
                  <c:v>4</c:v>
                </c:pt>
                <c:pt idx="6757">
                  <c:v>4</c:v>
                </c:pt>
                <c:pt idx="6758">
                  <c:v>4</c:v>
                </c:pt>
                <c:pt idx="6759">
                  <c:v>4</c:v>
                </c:pt>
                <c:pt idx="676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ACE-4DAD-B7A4-910ED02A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  <c:majorUnit val="1000"/>
      </c:valAx>
      <c:valAx>
        <c:axId val="813189759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baseline="0">
                <a:effectLst/>
              </a:rPr>
              <a:t>1_80_LE_Female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transpose!$F$1</c:f>
              <c:strCache>
                <c:ptCount val="1"/>
                <c:pt idx="0">
                  <c:v>F_fordul1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transpose!$F$2:$F$7686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7-4244-8F41-40AC0B9FE676}"/>
            </c:ext>
          </c:extLst>
        </c:ser>
        <c:ser>
          <c:idx val="1"/>
          <c:order val="1"/>
          <c:tx>
            <c:strRef>
              <c:f>transpose!$G$1</c:f>
              <c:strCache>
                <c:ptCount val="1"/>
                <c:pt idx="0">
                  <c:v>F_fordul2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transpose!$G$2:$G$7686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7-4244-8F41-40AC0B9FE676}"/>
            </c:ext>
          </c:extLst>
        </c:ser>
        <c:ser>
          <c:idx val="2"/>
          <c:order val="2"/>
          <c:tx>
            <c:strRef>
              <c:f>transpose!$H$1</c:f>
              <c:strCache>
                <c:ptCount val="1"/>
                <c:pt idx="0">
                  <c:v>F_fordul3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transpose!$H$2:$H$7686</c:f>
              <c:numCache>
                <c:formatCode>General</c:formatCode>
                <c:ptCount val="7685"/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17-4244-8F41-40AC0B9FE676}"/>
            </c:ext>
          </c:extLst>
        </c:ser>
        <c:ser>
          <c:idx val="3"/>
          <c:order val="3"/>
          <c:tx>
            <c:strRef>
              <c:f>transpose!$I$1</c:f>
              <c:strCache>
                <c:ptCount val="1"/>
                <c:pt idx="0">
                  <c:v>F_fordul4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transpose!$I$2:$I$7686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17-4244-8F41-40AC0B9F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456927"/>
        <c:axId val="770458591"/>
      </c:scatterChart>
      <c:valAx>
        <c:axId val="770456927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458591"/>
        <c:crosses val="autoZero"/>
        <c:crossBetween val="midCat"/>
        <c:majorUnit val="1000"/>
      </c:valAx>
      <c:valAx>
        <c:axId val="770458591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4569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11267</xdr:colOff>
      <xdr:row>15</xdr:row>
      <xdr:rowOff>8595</xdr:rowOff>
    </xdr:from>
    <xdr:to>
      <xdr:col>8</xdr:col>
      <xdr:colOff>10440</xdr:colOff>
      <xdr:row>26</xdr:row>
      <xdr:rowOff>73069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9E52688-140D-16BE-6A4B-CDEB2BC06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7477</xdr:colOff>
      <xdr:row>15</xdr:row>
      <xdr:rowOff>15426</xdr:rowOff>
    </xdr:from>
    <xdr:to>
      <xdr:col>12</xdr:col>
      <xdr:colOff>10438</xdr:colOff>
      <xdr:row>26</xdr:row>
      <xdr:rowOff>62631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387</xdr:rowOff>
    </xdr:from>
    <xdr:to>
      <xdr:col>4</xdr:col>
      <xdr:colOff>10439</xdr:colOff>
      <xdr:row>14</xdr:row>
      <xdr:rowOff>158212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18411</xdr:colOff>
      <xdr:row>26</xdr:row>
      <xdr:rowOff>59153</xdr:rowOff>
    </xdr:from>
    <xdr:to>
      <xdr:col>12</xdr:col>
      <xdr:colOff>1</xdr:colOff>
      <xdr:row>40</xdr:row>
      <xdr:rowOff>41754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29750</xdr:colOff>
      <xdr:row>0</xdr:row>
      <xdr:rowOff>0</xdr:rowOff>
    </xdr:from>
    <xdr:to>
      <xdr:col>8</xdr:col>
      <xdr:colOff>20877</xdr:colOff>
      <xdr:row>14</xdr:row>
      <xdr:rowOff>164282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18477</xdr:colOff>
      <xdr:row>26</xdr:row>
      <xdr:rowOff>84997</xdr:rowOff>
    </xdr:from>
    <xdr:to>
      <xdr:col>8</xdr:col>
      <xdr:colOff>20878</xdr:colOff>
      <xdr:row>40</xdr:row>
      <xdr:rowOff>31316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572847</xdr:colOff>
      <xdr:row>0</xdr:row>
      <xdr:rowOff>35019</xdr:rowOff>
    </xdr:from>
    <xdr:to>
      <xdr:col>15</xdr:col>
      <xdr:colOff>514510</xdr:colOff>
      <xdr:row>15</xdr:row>
      <xdr:rowOff>35019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559338</xdr:colOff>
      <xdr:row>15</xdr:row>
      <xdr:rowOff>9856</xdr:rowOff>
    </xdr:from>
    <xdr:to>
      <xdr:col>15</xdr:col>
      <xdr:colOff>496084</xdr:colOff>
      <xdr:row>26</xdr:row>
      <xdr:rowOff>62631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2902</xdr:colOff>
      <xdr:row>26</xdr:row>
      <xdr:rowOff>37668</xdr:rowOff>
    </xdr:from>
    <xdr:to>
      <xdr:col>15</xdr:col>
      <xdr:colOff>553233</xdr:colOff>
      <xdr:row>40</xdr:row>
      <xdr:rowOff>41754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8009</xdr:colOff>
      <xdr:row>0</xdr:row>
      <xdr:rowOff>10438</xdr:rowOff>
    </xdr:from>
    <xdr:to>
      <xdr:col>12</xdr:col>
      <xdr:colOff>10438</xdr:colOff>
      <xdr:row>15</xdr:row>
      <xdr:rowOff>10438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4</xdr:col>
      <xdr:colOff>10438</xdr:colOff>
      <xdr:row>26</xdr:row>
      <xdr:rowOff>93946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JY52"/>
  <sheetViews>
    <sheetView tabSelected="1" zoomScale="40" zoomScaleNormal="4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49" sqref="B49"/>
    </sheetView>
  </sheetViews>
  <sheetFormatPr defaultColWidth="4.296875" defaultRowHeight="13.8"/>
  <sheetData>
    <row r="1" spans="1:7721" s="2" customFormat="1" ht="55.2">
      <c r="A1" t="s">
        <v>0</v>
      </c>
      <c r="B1" s="3" t="s">
        <v>80</v>
      </c>
      <c r="C1" s="3">
        <v>1.1574074074074073E-5</v>
      </c>
      <c r="D1" s="3">
        <v>2.3148148148148147E-5</v>
      </c>
      <c r="E1" s="3">
        <v>3.4722222222222202E-5</v>
      </c>
      <c r="F1" s="3">
        <v>4.6296296296296301E-5</v>
      </c>
      <c r="G1" s="3">
        <v>5.78703703703704E-5</v>
      </c>
      <c r="H1" s="3">
        <v>6.9444444444444499E-5</v>
      </c>
      <c r="I1" s="3">
        <v>8.1018518518518503E-5</v>
      </c>
      <c r="J1" s="3">
        <v>9.2592592592592602E-5</v>
      </c>
      <c r="K1" s="3">
        <v>1.04166666666667E-4</v>
      </c>
      <c r="L1" s="3">
        <v>1.15740740740741E-4</v>
      </c>
      <c r="M1" s="3">
        <v>1.2731481481481499E-4</v>
      </c>
      <c r="N1" s="3">
        <v>1.38888888888889E-4</v>
      </c>
      <c r="O1" s="3">
        <v>1.50462962962963E-4</v>
      </c>
      <c r="P1" s="3">
        <v>1.6203703703703701E-4</v>
      </c>
      <c r="Q1" s="3">
        <v>1.7361111111111101E-4</v>
      </c>
      <c r="R1" s="3">
        <v>1.8518518518518501E-4</v>
      </c>
      <c r="S1" s="3">
        <v>1.9675925925925899E-4</v>
      </c>
      <c r="T1" s="3">
        <v>2.0833333333333299E-4</v>
      </c>
      <c r="U1" s="3">
        <v>2.19907407407407E-4</v>
      </c>
      <c r="V1" s="3">
        <v>2.31481481481481E-4</v>
      </c>
      <c r="W1" s="3">
        <v>2.4305555555555501E-4</v>
      </c>
      <c r="X1" s="3">
        <v>2.5462962962962999E-4</v>
      </c>
      <c r="Y1" s="3">
        <v>2.6620370370370399E-4</v>
      </c>
      <c r="Z1" s="3">
        <v>2.7777777777777799E-4</v>
      </c>
      <c r="AA1" s="3">
        <v>2.89351851851852E-4</v>
      </c>
      <c r="AB1" s="3">
        <v>3.00925925925926E-4</v>
      </c>
      <c r="AC1" s="3">
        <v>3.1250000000000001E-4</v>
      </c>
      <c r="AD1" s="3">
        <v>3.2407407407407401E-4</v>
      </c>
      <c r="AE1" s="3">
        <v>3.3564814814814801E-4</v>
      </c>
      <c r="AF1" s="3">
        <v>3.4722222222222202E-4</v>
      </c>
      <c r="AG1" s="3">
        <v>3.5879629629629602E-4</v>
      </c>
      <c r="AH1" s="3">
        <v>3.7037037037037003E-4</v>
      </c>
      <c r="AI1" s="3">
        <v>3.8194444444444398E-4</v>
      </c>
      <c r="AJ1" s="3">
        <v>3.9351851851851798E-4</v>
      </c>
      <c r="AK1" s="3" t="s">
        <v>7598</v>
      </c>
      <c r="AL1" s="3" t="s">
        <v>7599</v>
      </c>
      <c r="AM1" s="3" t="s">
        <v>7600</v>
      </c>
      <c r="AN1" s="3" t="s">
        <v>7601</v>
      </c>
      <c r="AO1" s="3" t="s">
        <v>7602</v>
      </c>
      <c r="AP1" s="3" t="s">
        <v>7603</v>
      </c>
      <c r="AQ1" s="3" t="s">
        <v>7604</v>
      </c>
      <c r="AR1" s="3" t="s">
        <v>7605</v>
      </c>
      <c r="AS1" s="3" t="s">
        <v>7606</v>
      </c>
      <c r="AT1" s="3" t="s">
        <v>7607</v>
      </c>
      <c r="AU1" s="3" t="s">
        <v>7608</v>
      </c>
      <c r="AV1" s="3" t="s">
        <v>7609</v>
      </c>
      <c r="AW1" s="3" t="s">
        <v>7610</v>
      </c>
      <c r="AX1" s="3" t="s">
        <v>7611</v>
      </c>
      <c r="AY1" s="3" t="s">
        <v>7612</v>
      </c>
      <c r="AZ1" s="3" t="s">
        <v>7613</v>
      </c>
      <c r="BA1" s="3" t="s">
        <v>7614</v>
      </c>
      <c r="BB1" s="3" t="s">
        <v>7615</v>
      </c>
      <c r="BC1" s="3" t="s">
        <v>7616</v>
      </c>
      <c r="BD1" s="3" t="s">
        <v>7617</v>
      </c>
      <c r="BE1" s="3" t="s">
        <v>7618</v>
      </c>
      <c r="BF1" s="3" t="s">
        <v>7619</v>
      </c>
      <c r="BG1" s="3" t="s">
        <v>7619</v>
      </c>
      <c r="BH1" s="3" t="s">
        <v>7620</v>
      </c>
      <c r="BI1" s="3" t="s">
        <v>7621</v>
      </c>
      <c r="BJ1" s="3" t="s">
        <v>7622</v>
      </c>
      <c r="BK1" s="3" t="s">
        <v>7623</v>
      </c>
      <c r="BL1" s="3" t="s">
        <v>7624</v>
      </c>
      <c r="BM1" s="3" t="s">
        <v>7625</v>
      </c>
      <c r="BN1" s="3" t="s">
        <v>7626</v>
      </c>
      <c r="BO1" s="3" t="s">
        <v>7627</v>
      </c>
      <c r="BP1" s="3" t="s">
        <v>7628</v>
      </c>
      <c r="BQ1" s="3" t="s">
        <v>7629</v>
      </c>
      <c r="BR1" s="3" t="s">
        <v>7630</v>
      </c>
      <c r="BS1" s="3" t="s">
        <v>7631</v>
      </c>
      <c r="BT1" s="3" t="s">
        <v>47</v>
      </c>
      <c r="BU1" s="3" t="s">
        <v>52</v>
      </c>
      <c r="BV1" s="3" t="s">
        <v>53</v>
      </c>
      <c r="BW1" s="3" t="s">
        <v>54</v>
      </c>
      <c r="BX1" s="3" t="s">
        <v>55</v>
      </c>
      <c r="BY1" s="3" t="s">
        <v>56</v>
      </c>
      <c r="BZ1" s="3" t="s">
        <v>57</v>
      </c>
      <c r="CA1" s="3" t="s">
        <v>58</v>
      </c>
      <c r="CB1" s="3" t="s">
        <v>59</v>
      </c>
      <c r="CC1" s="3" t="s">
        <v>60</v>
      </c>
      <c r="CD1" s="3" t="s">
        <v>61</v>
      </c>
      <c r="CE1" s="3" t="s">
        <v>62</v>
      </c>
      <c r="CF1" s="3" t="s">
        <v>63</v>
      </c>
      <c r="CG1" s="3" t="s">
        <v>64</v>
      </c>
      <c r="CH1" s="3" t="s">
        <v>65</v>
      </c>
      <c r="CI1" s="3" t="s">
        <v>48</v>
      </c>
      <c r="CJ1" s="3" t="s">
        <v>66</v>
      </c>
      <c r="CK1" s="3" t="s">
        <v>67</v>
      </c>
      <c r="CL1" s="3" t="s">
        <v>68</v>
      </c>
      <c r="CM1" s="3" t="s">
        <v>69</v>
      </c>
      <c r="CN1" s="3" t="s">
        <v>70</v>
      </c>
      <c r="CO1" s="3" t="s">
        <v>71</v>
      </c>
      <c r="CP1" s="3" t="s">
        <v>72</v>
      </c>
      <c r="CQ1" s="3" t="s">
        <v>73</v>
      </c>
      <c r="CR1" s="3" t="s">
        <v>74</v>
      </c>
      <c r="CS1" s="3" t="s">
        <v>75</v>
      </c>
      <c r="CT1" s="3" t="s">
        <v>76</v>
      </c>
      <c r="CU1" s="3" t="s">
        <v>49</v>
      </c>
      <c r="CV1" s="3" t="s">
        <v>77</v>
      </c>
      <c r="CW1" s="3" t="s">
        <v>78</v>
      </c>
      <c r="CX1" s="3" t="s">
        <v>79</v>
      </c>
      <c r="CY1" s="3" t="s">
        <v>80</v>
      </c>
      <c r="CZ1" s="3" t="s">
        <v>50</v>
      </c>
      <c r="DA1" s="3" t="s">
        <v>81</v>
      </c>
      <c r="DB1" s="3" t="s">
        <v>82</v>
      </c>
      <c r="DC1" s="3" t="s">
        <v>83</v>
      </c>
      <c r="DD1" s="3" t="s">
        <v>84</v>
      </c>
      <c r="DE1" s="3" t="s">
        <v>85</v>
      </c>
      <c r="DF1" s="3" t="s">
        <v>86</v>
      </c>
      <c r="DG1" s="3" t="s">
        <v>87</v>
      </c>
      <c r="DH1" s="3" t="s">
        <v>88</v>
      </c>
      <c r="DI1" s="3" t="s">
        <v>89</v>
      </c>
      <c r="DJ1" s="3" t="s">
        <v>90</v>
      </c>
      <c r="DK1" s="3" t="s">
        <v>91</v>
      </c>
      <c r="DL1" s="3" t="s">
        <v>92</v>
      </c>
      <c r="DM1" s="3" t="s">
        <v>93</v>
      </c>
      <c r="DN1" s="3" t="s">
        <v>94</v>
      </c>
      <c r="DO1" s="3" t="s">
        <v>95</v>
      </c>
      <c r="DP1" s="3" t="s">
        <v>96</v>
      </c>
      <c r="DQ1" s="3" t="s">
        <v>97</v>
      </c>
      <c r="DR1" s="3" t="s">
        <v>98</v>
      </c>
      <c r="DS1" s="3" t="s">
        <v>99</v>
      </c>
      <c r="DT1" s="3" t="s">
        <v>100</v>
      </c>
      <c r="DU1" s="3" t="s">
        <v>101</v>
      </c>
      <c r="DV1" s="3" t="s">
        <v>102</v>
      </c>
      <c r="DW1" s="3" t="s">
        <v>103</v>
      </c>
      <c r="DX1" s="3" t="s">
        <v>104</v>
      </c>
      <c r="DY1" s="3" t="s">
        <v>105</v>
      </c>
      <c r="DZ1" s="3" t="s">
        <v>106</v>
      </c>
      <c r="EA1" s="3" t="s">
        <v>107</v>
      </c>
      <c r="EB1" s="3" t="s">
        <v>108</v>
      </c>
      <c r="EC1" s="3" t="s">
        <v>109</v>
      </c>
      <c r="ED1" s="3" t="s">
        <v>110</v>
      </c>
      <c r="EE1" s="3" t="s">
        <v>111</v>
      </c>
      <c r="EF1" s="3" t="s">
        <v>112</v>
      </c>
      <c r="EG1" s="3" t="s">
        <v>113</v>
      </c>
      <c r="EH1" s="3" t="s">
        <v>114</v>
      </c>
      <c r="EI1" s="3" t="s">
        <v>115</v>
      </c>
      <c r="EJ1" s="3" t="s">
        <v>116</v>
      </c>
      <c r="EK1" s="3" t="s">
        <v>117</v>
      </c>
      <c r="EL1" s="3" t="s">
        <v>118</v>
      </c>
      <c r="EM1" s="3" t="s">
        <v>119</v>
      </c>
      <c r="EN1" s="3" t="s">
        <v>120</v>
      </c>
      <c r="EO1" s="3" t="s">
        <v>121</v>
      </c>
      <c r="EP1" s="3" t="s">
        <v>122</v>
      </c>
      <c r="EQ1" s="3" t="s">
        <v>123</v>
      </c>
      <c r="ER1" s="3" t="s">
        <v>124</v>
      </c>
      <c r="ES1" s="3" t="s">
        <v>125</v>
      </c>
      <c r="ET1" s="3" t="s">
        <v>126</v>
      </c>
      <c r="EU1" s="3" t="s">
        <v>127</v>
      </c>
      <c r="EV1" s="3" t="s">
        <v>128</v>
      </c>
      <c r="EW1" s="3" t="s">
        <v>129</v>
      </c>
      <c r="EX1" s="3" t="s">
        <v>130</v>
      </c>
      <c r="EY1" s="3" t="s">
        <v>131</v>
      </c>
      <c r="EZ1" s="3" t="s">
        <v>132</v>
      </c>
      <c r="FA1" s="3" t="s">
        <v>133</v>
      </c>
      <c r="FB1" s="3" t="s">
        <v>134</v>
      </c>
      <c r="FC1" s="3" t="s">
        <v>51</v>
      </c>
      <c r="FD1" s="3" t="s">
        <v>135</v>
      </c>
      <c r="FE1" s="3" t="s">
        <v>136</v>
      </c>
      <c r="FF1" s="3" t="s">
        <v>137</v>
      </c>
      <c r="FG1" s="3" t="s">
        <v>138</v>
      </c>
      <c r="FH1" s="3" t="s">
        <v>139</v>
      </c>
      <c r="FI1" s="3" t="s">
        <v>140</v>
      </c>
      <c r="FJ1" s="3" t="s">
        <v>141</v>
      </c>
      <c r="FK1" s="3" t="s">
        <v>142</v>
      </c>
      <c r="FL1" s="3" t="s">
        <v>143</v>
      </c>
      <c r="FM1" s="3" t="s">
        <v>144</v>
      </c>
      <c r="FN1" s="3" t="s">
        <v>145</v>
      </c>
      <c r="FO1" s="3" t="s">
        <v>146</v>
      </c>
      <c r="FP1" s="3" t="s">
        <v>147</v>
      </c>
      <c r="FQ1" s="3" t="s">
        <v>148</v>
      </c>
      <c r="FR1" s="3" t="s">
        <v>149</v>
      </c>
      <c r="FS1" s="3" t="s">
        <v>150</v>
      </c>
      <c r="FT1" s="3" t="s">
        <v>151</v>
      </c>
      <c r="FU1" s="3" t="s">
        <v>152</v>
      </c>
      <c r="FV1" s="3" t="s">
        <v>153</v>
      </c>
      <c r="FW1" s="3" t="s">
        <v>154</v>
      </c>
      <c r="FX1" s="3" t="s">
        <v>155</v>
      </c>
      <c r="FY1" s="3" t="s">
        <v>156</v>
      </c>
      <c r="FZ1" s="3" t="s">
        <v>157</v>
      </c>
      <c r="GA1" s="3" t="s">
        <v>158</v>
      </c>
      <c r="GB1" s="3" t="s">
        <v>159</v>
      </c>
      <c r="GC1" s="3" t="s">
        <v>160</v>
      </c>
      <c r="GD1" s="3" t="s">
        <v>161</v>
      </c>
      <c r="GE1" s="3" t="s">
        <v>162</v>
      </c>
      <c r="GF1" s="3" t="s">
        <v>163</v>
      </c>
      <c r="GG1" s="3" t="s">
        <v>164</v>
      </c>
      <c r="GH1" s="3" t="s">
        <v>165</v>
      </c>
      <c r="GI1" s="3" t="s">
        <v>166</v>
      </c>
      <c r="GJ1" s="3" t="s">
        <v>167</v>
      </c>
      <c r="GK1" s="3" t="s">
        <v>168</v>
      </c>
      <c r="GL1" s="3" t="s">
        <v>169</v>
      </c>
      <c r="GM1" s="3" t="s">
        <v>170</v>
      </c>
      <c r="GN1" s="3" t="s">
        <v>171</v>
      </c>
      <c r="GO1" s="3" t="s">
        <v>172</v>
      </c>
      <c r="GP1" s="3" t="s">
        <v>173</v>
      </c>
      <c r="GQ1" s="3" t="s">
        <v>174</v>
      </c>
      <c r="GR1" s="3" t="s">
        <v>175</v>
      </c>
      <c r="GS1" s="3" t="s">
        <v>176</v>
      </c>
      <c r="GT1" s="3" t="s">
        <v>177</v>
      </c>
      <c r="GU1" s="3" t="s">
        <v>178</v>
      </c>
      <c r="GV1" s="3" t="s">
        <v>179</v>
      </c>
      <c r="GW1" s="3" t="s">
        <v>180</v>
      </c>
      <c r="GX1" s="3" t="s">
        <v>181</v>
      </c>
      <c r="GY1" s="3" t="s">
        <v>182</v>
      </c>
      <c r="GZ1" s="3" t="s">
        <v>183</v>
      </c>
      <c r="HA1" s="3" t="s">
        <v>184</v>
      </c>
      <c r="HB1" s="3" t="s">
        <v>185</v>
      </c>
      <c r="HC1" s="3" t="s">
        <v>186</v>
      </c>
      <c r="HD1" s="3" t="s">
        <v>187</v>
      </c>
      <c r="HE1" s="3" t="s">
        <v>188</v>
      </c>
      <c r="HF1" s="3" t="s">
        <v>189</v>
      </c>
      <c r="HG1" s="3" t="s">
        <v>190</v>
      </c>
      <c r="HH1" s="3" t="s">
        <v>191</v>
      </c>
      <c r="HI1" s="3" t="s">
        <v>192</v>
      </c>
      <c r="HJ1" s="3" t="s">
        <v>193</v>
      </c>
      <c r="HK1" s="3" t="s">
        <v>194</v>
      </c>
      <c r="HL1" s="3" t="s">
        <v>195</v>
      </c>
      <c r="HM1" s="3" t="s">
        <v>196</v>
      </c>
      <c r="HN1" s="3" t="s">
        <v>197</v>
      </c>
      <c r="HO1" s="3" t="s">
        <v>198</v>
      </c>
      <c r="HP1" s="3" t="s">
        <v>199</v>
      </c>
      <c r="HQ1" s="3" t="s">
        <v>200</v>
      </c>
      <c r="HR1" s="3" t="s">
        <v>201</v>
      </c>
      <c r="HS1" s="3" t="s">
        <v>202</v>
      </c>
      <c r="HT1" s="3" t="s">
        <v>203</v>
      </c>
      <c r="HU1" s="3" t="s">
        <v>204</v>
      </c>
      <c r="HV1" s="3" t="s">
        <v>205</v>
      </c>
      <c r="HW1" s="3" t="s">
        <v>206</v>
      </c>
      <c r="HX1" s="3" t="s">
        <v>207</v>
      </c>
      <c r="HY1" s="3" t="s">
        <v>208</v>
      </c>
      <c r="HZ1" s="3" t="s">
        <v>209</v>
      </c>
      <c r="IA1" s="3" t="s">
        <v>210</v>
      </c>
      <c r="IB1" s="3" t="s">
        <v>211</v>
      </c>
      <c r="IC1" s="3" t="s">
        <v>212</v>
      </c>
      <c r="ID1" s="3" t="s">
        <v>213</v>
      </c>
      <c r="IE1" s="3" t="s">
        <v>214</v>
      </c>
      <c r="IF1" s="3" t="s">
        <v>215</v>
      </c>
      <c r="IG1" s="3" t="s">
        <v>216</v>
      </c>
      <c r="IH1" s="3" t="s">
        <v>217</v>
      </c>
      <c r="II1" s="3" t="s">
        <v>218</v>
      </c>
      <c r="IJ1" s="3" t="s">
        <v>219</v>
      </c>
      <c r="IK1" s="3" t="s">
        <v>220</v>
      </c>
      <c r="IL1" s="3" t="s">
        <v>221</v>
      </c>
      <c r="IM1" s="3" t="s">
        <v>222</v>
      </c>
      <c r="IN1" s="3" t="s">
        <v>223</v>
      </c>
      <c r="IO1" s="3" t="s">
        <v>224</v>
      </c>
      <c r="IP1" s="3" t="s">
        <v>225</v>
      </c>
      <c r="IQ1" s="3" t="s">
        <v>226</v>
      </c>
      <c r="IR1" s="3" t="s">
        <v>227</v>
      </c>
      <c r="IS1" s="3" t="s">
        <v>228</v>
      </c>
      <c r="IT1" s="3" t="s">
        <v>229</v>
      </c>
      <c r="IU1" s="3" t="s">
        <v>230</v>
      </c>
      <c r="IV1" s="3" t="s">
        <v>231</v>
      </c>
      <c r="IW1" s="3" t="s">
        <v>232</v>
      </c>
      <c r="IX1" s="3" t="s">
        <v>233</v>
      </c>
      <c r="IY1" s="3" t="s">
        <v>234</v>
      </c>
      <c r="IZ1" s="3" t="s">
        <v>235</v>
      </c>
      <c r="JA1" s="3" t="s">
        <v>236</v>
      </c>
      <c r="JB1" s="3" t="s">
        <v>237</v>
      </c>
      <c r="JC1" s="3" t="s">
        <v>238</v>
      </c>
      <c r="JD1" s="3" t="s">
        <v>239</v>
      </c>
      <c r="JE1" s="3" t="s">
        <v>240</v>
      </c>
      <c r="JF1" s="3" t="s">
        <v>241</v>
      </c>
      <c r="JG1" s="3" t="s">
        <v>242</v>
      </c>
      <c r="JH1" s="3" t="s">
        <v>243</v>
      </c>
      <c r="JI1" s="3" t="s">
        <v>244</v>
      </c>
      <c r="JJ1" s="3" t="s">
        <v>245</v>
      </c>
      <c r="JK1" s="3" t="s">
        <v>246</v>
      </c>
      <c r="JL1" s="3" t="s">
        <v>247</v>
      </c>
      <c r="JM1" s="3" t="s">
        <v>248</v>
      </c>
      <c r="JN1" s="3" t="s">
        <v>249</v>
      </c>
      <c r="JO1" s="3" t="s">
        <v>250</v>
      </c>
      <c r="JP1" s="3" t="s">
        <v>251</v>
      </c>
      <c r="JQ1" s="3" t="s">
        <v>252</v>
      </c>
      <c r="JR1" s="3" t="s">
        <v>253</v>
      </c>
      <c r="JS1" s="3" t="s">
        <v>254</v>
      </c>
      <c r="JT1" s="3" t="s">
        <v>255</v>
      </c>
      <c r="JU1" s="3" t="s">
        <v>256</v>
      </c>
      <c r="JV1" s="3" t="s">
        <v>257</v>
      </c>
      <c r="JW1" s="3" t="s">
        <v>258</v>
      </c>
      <c r="JX1" s="3" t="s">
        <v>259</v>
      </c>
      <c r="JY1" s="3" t="s">
        <v>260</v>
      </c>
      <c r="JZ1" s="3" t="s">
        <v>261</v>
      </c>
      <c r="KA1" s="3" t="s">
        <v>262</v>
      </c>
      <c r="KB1" s="3" t="s">
        <v>263</v>
      </c>
      <c r="KC1" s="3" t="s">
        <v>264</v>
      </c>
      <c r="KD1" s="3" t="s">
        <v>265</v>
      </c>
      <c r="KE1" s="3" t="s">
        <v>266</v>
      </c>
      <c r="KF1" s="3" t="s">
        <v>267</v>
      </c>
      <c r="KG1" s="3" t="s">
        <v>268</v>
      </c>
      <c r="KH1" s="3" t="s">
        <v>269</v>
      </c>
      <c r="KI1" s="3" t="s">
        <v>270</v>
      </c>
      <c r="KJ1" s="3" t="s">
        <v>271</v>
      </c>
      <c r="KK1" s="3" t="s">
        <v>272</v>
      </c>
      <c r="KL1" s="3" t="s">
        <v>273</v>
      </c>
      <c r="KM1" s="3" t="s">
        <v>274</v>
      </c>
      <c r="KN1" s="3" t="s">
        <v>275</v>
      </c>
      <c r="KO1" s="3" t="s">
        <v>276</v>
      </c>
      <c r="KP1" s="3" t="s">
        <v>277</v>
      </c>
      <c r="KQ1" s="3" t="s">
        <v>278</v>
      </c>
      <c r="KR1" s="3" t="s">
        <v>279</v>
      </c>
      <c r="KS1" s="3" t="s">
        <v>280</v>
      </c>
      <c r="KT1" s="3" t="s">
        <v>281</v>
      </c>
      <c r="KU1" s="3" t="s">
        <v>282</v>
      </c>
      <c r="KV1" s="3" t="s">
        <v>283</v>
      </c>
      <c r="KW1" s="3" t="s">
        <v>284</v>
      </c>
      <c r="KX1" s="3" t="s">
        <v>285</v>
      </c>
      <c r="KY1" s="3" t="s">
        <v>286</v>
      </c>
      <c r="KZ1" s="3" t="s">
        <v>287</v>
      </c>
      <c r="LA1" s="3" t="s">
        <v>288</v>
      </c>
      <c r="LB1" s="3" t="s">
        <v>289</v>
      </c>
      <c r="LC1" s="3" t="s">
        <v>290</v>
      </c>
      <c r="LD1" s="3" t="s">
        <v>291</v>
      </c>
      <c r="LE1" s="3" t="s">
        <v>292</v>
      </c>
      <c r="LF1" s="3" t="s">
        <v>293</v>
      </c>
      <c r="LG1" s="3" t="s">
        <v>294</v>
      </c>
      <c r="LH1" s="3" t="s">
        <v>295</v>
      </c>
      <c r="LI1" s="3" t="s">
        <v>296</v>
      </c>
      <c r="LJ1" s="3" t="s">
        <v>297</v>
      </c>
      <c r="LK1" s="3" t="s">
        <v>298</v>
      </c>
      <c r="LL1" s="3" t="s">
        <v>299</v>
      </c>
      <c r="LM1" s="3" t="s">
        <v>300</v>
      </c>
      <c r="LN1" s="3" t="s">
        <v>301</v>
      </c>
      <c r="LO1" s="3" t="s">
        <v>302</v>
      </c>
      <c r="LP1" s="3" t="s">
        <v>303</v>
      </c>
      <c r="LQ1" s="3" t="s">
        <v>304</v>
      </c>
      <c r="LR1" s="3" t="s">
        <v>305</v>
      </c>
      <c r="LS1" s="3" t="s">
        <v>306</v>
      </c>
      <c r="LT1" s="3" t="s">
        <v>307</v>
      </c>
      <c r="LU1" s="3" t="s">
        <v>308</v>
      </c>
      <c r="LV1" s="3" t="s">
        <v>309</v>
      </c>
      <c r="LW1" s="3" t="s">
        <v>310</v>
      </c>
      <c r="LX1" s="3" t="s">
        <v>311</v>
      </c>
      <c r="LY1" s="3" t="s">
        <v>312</v>
      </c>
      <c r="LZ1" s="3" t="s">
        <v>313</v>
      </c>
      <c r="MA1" s="3" t="s">
        <v>314</v>
      </c>
      <c r="MB1" s="3" t="s">
        <v>315</v>
      </c>
      <c r="MC1" s="3" t="s">
        <v>316</v>
      </c>
      <c r="MD1" s="3" t="s">
        <v>317</v>
      </c>
      <c r="ME1" s="3" t="s">
        <v>318</v>
      </c>
      <c r="MF1" s="3" t="s">
        <v>319</v>
      </c>
      <c r="MG1" s="3" t="s">
        <v>320</v>
      </c>
      <c r="MH1" s="3" t="s">
        <v>321</v>
      </c>
      <c r="MI1" s="3" t="s">
        <v>322</v>
      </c>
      <c r="MJ1" s="3" t="s">
        <v>323</v>
      </c>
      <c r="MK1" s="3" t="s">
        <v>324</v>
      </c>
      <c r="ML1" s="3" t="s">
        <v>325</v>
      </c>
      <c r="MM1" s="3" t="s">
        <v>326</v>
      </c>
      <c r="MN1" s="3" t="s">
        <v>327</v>
      </c>
      <c r="MO1" s="3" t="s">
        <v>328</v>
      </c>
      <c r="MP1" s="3" t="s">
        <v>329</v>
      </c>
      <c r="MQ1" s="3" t="s">
        <v>330</v>
      </c>
      <c r="MR1" s="3" t="s">
        <v>331</v>
      </c>
      <c r="MS1" s="3" t="s">
        <v>332</v>
      </c>
      <c r="MT1" s="3" t="s">
        <v>333</v>
      </c>
      <c r="MU1" s="3" t="s">
        <v>334</v>
      </c>
      <c r="MV1" s="3" t="s">
        <v>335</v>
      </c>
      <c r="MW1" s="3" t="s">
        <v>336</v>
      </c>
      <c r="MX1" s="3" t="s">
        <v>337</v>
      </c>
      <c r="MY1" s="3" t="s">
        <v>338</v>
      </c>
      <c r="MZ1" s="3" t="s">
        <v>339</v>
      </c>
      <c r="NA1" s="3" t="s">
        <v>340</v>
      </c>
      <c r="NB1" s="3" t="s">
        <v>341</v>
      </c>
      <c r="NC1" s="3" t="s">
        <v>342</v>
      </c>
      <c r="ND1" s="3" t="s">
        <v>343</v>
      </c>
      <c r="NE1" s="3" t="s">
        <v>344</v>
      </c>
      <c r="NF1" s="3" t="s">
        <v>345</v>
      </c>
      <c r="NG1" s="3" t="s">
        <v>346</v>
      </c>
      <c r="NH1" s="3" t="s">
        <v>347</v>
      </c>
      <c r="NI1" s="3" t="s">
        <v>348</v>
      </c>
      <c r="NJ1" s="3" t="s">
        <v>349</v>
      </c>
      <c r="NK1" s="3" t="s">
        <v>350</v>
      </c>
      <c r="NL1" s="3" t="s">
        <v>351</v>
      </c>
      <c r="NM1" s="3" t="s">
        <v>352</v>
      </c>
      <c r="NN1" s="3" t="s">
        <v>353</v>
      </c>
      <c r="NO1" s="3" t="s">
        <v>354</v>
      </c>
      <c r="NP1" s="3" t="s">
        <v>355</v>
      </c>
      <c r="NQ1" s="3" t="s">
        <v>356</v>
      </c>
      <c r="NR1" s="3" t="s">
        <v>357</v>
      </c>
      <c r="NS1" s="3" t="s">
        <v>358</v>
      </c>
      <c r="NT1" s="3" t="s">
        <v>359</v>
      </c>
      <c r="NU1" s="3" t="s">
        <v>360</v>
      </c>
      <c r="NV1" s="3" t="s">
        <v>361</v>
      </c>
      <c r="NW1" s="3" t="s">
        <v>362</v>
      </c>
      <c r="NX1" s="3" t="s">
        <v>363</v>
      </c>
      <c r="NY1" s="3" t="s">
        <v>364</v>
      </c>
      <c r="NZ1" s="3" t="s">
        <v>365</v>
      </c>
      <c r="OA1" s="3" t="s">
        <v>366</v>
      </c>
      <c r="OB1" s="3" t="s">
        <v>367</v>
      </c>
      <c r="OC1" s="3" t="s">
        <v>368</v>
      </c>
      <c r="OD1" s="3" t="s">
        <v>369</v>
      </c>
      <c r="OE1" s="3" t="s">
        <v>370</v>
      </c>
      <c r="OF1" s="3" t="s">
        <v>371</v>
      </c>
      <c r="OG1" s="3" t="s">
        <v>372</v>
      </c>
      <c r="OH1" s="3" t="s">
        <v>373</v>
      </c>
      <c r="OI1" s="3" t="s">
        <v>374</v>
      </c>
      <c r="OJ1" s="3" t="s">
        <v>375</v>
      </c>
      <c r="OK1" s="3" t="s">
        <v>376</v>
      </c>
      <c r="OL1" s="3" t="s">
        <v>377</v>
      </c>
      <c r="OM1" s="3" t="s">
        <v>378</v>
      </c>
      <c r="ON1" s="3" t="s">
        <v>379</v>
      </c>
      <c r="OO1" s="3" t="s">
        <v>380</v>
      </c>
      <c r="OP1" s="3" t="s">
        <v>381</v>
      </c>
      <c r="OQ1" s="3" t="s">
        <v>382</v>
      </c>
      <c r="OR1" s="3" t="s">
        <v>383</v>
      </c>
      <c r="OS1" s="3" t="s">
        <v>384</v>
      </c>
      <c r="OT1" s="3" t="s">
        <v>385</v>
      </c>
      <c r="OU1" s="3" t="s">
        <v>386</v>
      </c>
      <c r="OV1" s="3" t="s">
        <v>387</v>
      </c>
      <c r="OW1" s="3" t="s">
        <v>388</v>
      </c>
      <c r="OX1" s="3" t="s">
        <v>389</v>
      </c>
      <c r="OY1" s="3" t="s">
        <v>390</v>
      </c>
      <c r="OZ1" s="3" t="s">
        <v>391</v>
      </c>
      <c r="PA1" s="3" t="s">
        <v>392</v>
      </c>
      <c r="PB1" s="3" t="s">
        <v>393</v>
      </c>
      <c r="PC1" s="3" t="s">
        <v>394</v>
      </c>
      <c r="PD1" s="3" t="s">
        <v>395</v>
      </c>
      <c r="PE1" s="3" t="s">
        <v>396</v>
      </c>
      <c r="PF1" s="3" t="s">
        <v>397</v>
      </c>
      <c r="PG1" s="3" t="s">
        <v>398</v>
      </c>
      <c r="PH1" s="3" t="s">
        <v>399</v>
      </c>
      <c r="PI1" s="3" t="s">
        <v>400</v>
      </c>
      <c r="PJ1" s="3" t="s">
        <v>401</v>
      </c>
      <c r="PK1" s="3" t="s">
        <v>402</v>
      </c>
      <c r="PL1" s="3" t="s">
        <v>403</v>
      </c>
      <c r="PM1" s="3" t="s">
        <v>404</v>
      </c>
      <c r="PN1" s="3" t="s">
        <v>405</v>
      </c>
      <c r="PO1" s="3" t="s">
        <v>406</v>
      </c>
      <c r="PP1" s="3" t="s">
        <v>407</v>
      </c>
      <c r="PQ1" s="3" t="s">
        <v>408</v>
      </c>
      <c r="PR1" s="3" t="s">
        <v>409</v>
      </c>
      <c r="PS1" s="3" t="s">
        <v>410</v>
      </c>
      <c r="PT1" s="3" t="s">
        <v>411</v>
      </c>
      <c r="PU1" s="3" t="s">
        <v>412</v>
      </c>
      <c r="PV1" s="3" t="s">
        <v>413</v>
      </c>
      <c r="PW1" s="3" t="s">
        <v>414</v>
      </c>
      <c r="PX1" s="3" t="s">
        <v>415</v>
      </c>
      <c r="PY1" s="3" t="s">
        <v>416</v>
      </c>
      <c r="PZ1" s="3" t="s">
        <v>417</v>
      </c>
      <c r="QA1" s="3" t="s">
        <v>418</v>
      </c>
      <c r="QB1" s="3" t="s">
        <v>419</v>
      </c>
      <c r="QC1" s="3" t="s">
        <v>420</v>
      </c>
      <c r="QD1" s="3" t="s">
        <v>421</v>
      </c>
      <c r="QE1" s="3" t="s">
        <v>422</v>
      </c>
      <c r="QF1" s="3" t="s">
        <v>423</v>
      </c>
      <c r="QG1" s="3" t="s">
        <v>424</v>
      </c>
      <c r="QH1" s="3" t="s">
        <v>425</v>
      </c>
      <c r="QI1" s="3" t="s">
        <v>426</v>
      </c>
      <c r="QJ1" s="3" t="s">
        <v>427</v>
      </c>
      <c r="QK1" s="3" t="s">
        <v>428</v>
      </c>
      <c r="QL1" s="3" t="s">
        <v>429</v>
      </c>
      <c r="QM1" s="3" t="s">
        <v>430</v>
      </c>
      <c r="QN1" s="3" t="s">
        <v>431</v>
      </c>
      <c r="QO1" s="3" t="s">
        <v>432</v>
      </c>
      <c r="QP1" s="3" t="s">
        <v>433</v>
      </c>
      <c r="QQ1" s="3" t="s">
        <v>434</v>
      </c>
      <c r="QR1" s="3" t="s">
        <v>435</v>
      </c>
      <c r="QS1" s="3" t="s">
        <v>436</v>
      </c>
      <c r="QT1" s="3" t="s">
        <v>437</v>
      </c>
      <c r="QU1" s="3" t="s">
        <v>438</v>
      </c>
      <c r="QV1" s="3" t="s">
        <v>439</v>
      </c>
      <c r="QW1" s="3" t="s">
        <v>440</v>
      </c>
      <c r="QX1" s="3" t="s">
        <v>441</v>
      </c>
      <c r="QY1" s="3" t="s">
        <v>442</v>
      </c>
      <c r="QZ1" s="3" t="s">
        <v>443</v>
      </c>
      <c r="RA1" s="3" t="s">
        <v>444</v>
      </c>
      <c r="RB1" s="3" t="s">
        <v>445</v>
      </c>
      <c r="RC1" s="3" t="s">
        <v>446</v>
      </c>
      <c r="RD1" s="3" t="s">
        <v>447</v>
      </c>
      <c r="RE1" s="3" t="s">
        <v>448</v>
      </c>
      <c r="RF1" s="3" t="s">
        <v>449</v>
      </c>
      <c r="RG1" s="3" t="s">
        <v>450</v>
      </c>
      <c r="RH1" s="3" t="s">
        <v>451</v>
      </c>
      <c r="RI1" s="3" t="s">
        <v>452</v>
      </c>
      <c r="RJ1" s="3" t="s">
        <v>453</v>
      </c>
      <c r="RK1" s="3" t="s">
        <v>454</v>
      </c>
      <c r="RL1" s="3" t="s">
        <v>455</v>
      </c>
      <c r="RM1" s="3" t="s">
        <v>456</v>
      </c>
      <c r="RN1" s="3" t="s">
        <v>457</v>
      </c>
      <c r="RO1" s="3" t="s">
        <v>458</v>
      </c>
      <c r="RP1" s="3" t="s">
        <v>459</v>
      </c>
      <c r="RQ1" s="3" t="s">
        <v>460</v>
      </c>
      <c r="RR1" s="3" t="s">
        <v>461</v>
      </c>
      <c r="RS1" s="3" t="s">
        <v>462</v>
      </c>
      <c r="RT1" s="3" t="s">
        <v>463</v>
      </c>
      <c r="RU1" s="3" t="s">
        <v>464</v>
      </c>
      <c r="RV1" s="3" t="s">
        <v>465</v>
      </c>
      <c r="RW1" s="3" t="s">
        <v>466</v>
      </c>
      <c r="RX1" s="3" t="s">
        <v>467</v>
      </c>
      <c r="RY1" s="3" t="s">
        <v>468</v>
      </c>
      <c r="RZ1" s="3" t="s">
        <v>469</v>
      </c>
      <c r="SA1" s="3" t="s">
        <v>470</v>
      </c>
      <c r="SB1" s="3" t="s">
        <v>471</v>
      </c>
      <c r="SC1" s="3" t="s">
        <v>472</v>
      </c>
      <c r="SD1" s="3" t="s">
        <v>473</v>
      </c>
      <c r="SE1" s="3" t="s">
        <v>474</v>
      </c>
      <c r="SF1" s="3" t="s">
        <v>475</v>
      </c>
      <c r="SG1" s="3" t="s">
        <v>476</v>
      </c>
      <c r="SH1" s="3" t="s">
        <v>477</v>
      </c>
      <c r="SI1" s="3" t="s">
        <v>478</v>
      </c>
      <c r="SJ1" s="3" t="s">
        <v>479</v>
      </c>
      <c r="SK1" s="3" t="s">
        <v>480</v>
      </c>
      <c r="SL1" s="3" t="s">
        <v>481</v>
      </c>
      <c r="SM1" s="3" t="s">
        <v>482</v>
      </c>
      <c r="SN1" s="3" t="s">
        <v>483</v>
      </c>
      <c r="SO1" s="3" t="s">
        <v>484</v>
      </c>
      <c r="SP1" s="3" t="s">
        <v>485</v>
      </c>
      <c r="SQ1" s="3" t="s">
        <v>486</v>
      </c>
      <c r="SR1" s="3" t="s">
        <v>487</v>
      </c>
      <c r="SS1" s="3" t="s">
        <v>488</v>
      </c>
      <c r="ST1" s="3" t="s">
        <v>489</v>
      </c>
      <c r="SU1" s="3" t="s">
        <v>490</v>
      </c>
      <c r="SV1" s="3" t="s">
        <v>491</v>
      </c>
      <c r="SW1" s="3" t="s">
        <v>492</v>
      </c>
      <c r="SX1" s="3" t="s">
        <v>493</v>
      </c>
      <c r="SY1" s="3" t="s">
        <v>494</v>
      </c>
      <c r="SZ1" s="3" t="s">
        <v>495</v>
      </c>
      <c r="TA1" s="3" t="s">
        <v>496</v>
      </c>
      <c r="TB1" s="3" t="s">
        <v>497</v>
      </c>
      <c r="TC1" s="3" t="s">
        <v>498</v>
      </c>
      <c r="TD1" s="3" t="s">
        <v>499</v>
      </c>
      <c r="TE1" s="3" t="s">
        <v>500</v>
      </c>
      <c r="TF1" s="3" t="s">
        <v>501</v>
      </c>
      <c r="TG1" s="3" t="s">
        <v>502</v>
      </c>
      <c r="TH1" s="3" t="s">
        <v>503</v>
      </c>
      <c r="TI1" s="3" t="s">
        <v>504</v>
      </c>
      <c r="TJ1" s="3" t="s">
        <v>505</v>
      </c>
      <c r="TK1" s="3" t="s">
        <v>506</v>
      </c>
      <c r="TL1" s="3" t="s">
        <v>507</v>
      </c>
      <c r="TM1" s="3" t="s">
        <v>508</v>
      </c>
      <c r="TN1" s="3" t="s">
        <v>509</v>
      </c>
      <c r="TO1" s="3" t="s">
        <v>510</v>
      </c>
      <c r="TP1" s="3" t="s">
        <v>511</v>
      </c>
      <c r="TQ1" s="3" t="s">
        <v>512</v>
      </c>
      <c r="TR1" s="3" t="s">
        <v>513</v>
      </c>
      <c r="TS1" s="3" t="s">
        <v>514</v>
      </c>
      <c r="TT1" s="3" t="s">
        <v>515</v>
      </c>
      <c r="TU1" s="3" t="s">
        <v>516</v>
      </c>
      <c r="TV1" s="3" t="s">
        <v>517</v>
      </c>
      <c r="TW1" s="3" t="s">
        <v>518</v>
      </c>
      <c r="TX1" s="3" t="s">
        <v>519</v>
      </c>
      <c r="TY1" s="3" t="s">
        <v>520</v>
      </c>
      <c r="TZ1" s="3" t="s">
        <v>521</v>
      </c>
      <c r="UA1" s="3" t="s">
        <v>522</v>
      </c>
      <c r="UB1" s="3" t="s">
        <v>523</v>
      </c>
      <c r="UC1" s="3" t="s">
        <v>524</v>
      </c>
      <c r="UD1" s="3" t="s">
        <v>525</v>
      </c>
      <c r="UE1" s="3" t="s">
        <v>526</v>
      </c>
      <c r="UF1" s="3" t="s">
        <v>527</v>
      </c>
      <c r="UG1" s="3" t="s">
        <v>528</v>
      </c>
      <c r="UH1" s="3" t="s">
        <v>529</v>
      </c>
      <c r="UI1" s="3" t="s">
        <v>530</v>
      </c>
      <c r="UJ1" s="3" t="s">
        <v>531</v>
      </c>
      <c r="UK1" s="3" t="s">
        <v>532</v>
      </c>
      <c r="UL1" s="3" t="s">
        <v>533</v>
      </c>
      <c r="UM1" s="3" t="s">
        <v>534</v>
      </c>
      <c r="UN1" s="3" t="s">
        <v>535</v>
      </c>
      <c r="UO1" s="3" t="s">
        <v>536</v>
      </c>
      <c r="UP1" s="3" t="s">
        <v>537</v>
      </c>
      <c r="UQ1" s="3" t="s">
        <v>538</v>
      </c>
      <c r="UR1" s="3" t="s">
        <v>539</v>
      </c>
      <c r="US1" s="3" t="s">
        <v>540</v>
      </c>
      <c r="UT1" s="3" t="s">
        <v>541</v>
      </c>
      <c r="UU1" s="3" t="s">
        <v>542</v>
      </c>
      <c r="UV1" s="3" t="s">
        <v>543</v>
      </c>
      <c r="UW1" s="3" t="s">
        <v>544</v>
      </c>
      <c r="UX1" s="3" t="s">
        <v>545</v>
      </c>
      <c r="UY1" s="3" t="s">
        <v>546</v>
      </c>
      <c r="UZ1" s="3" t="s">
        <v>547</v>
      </c>
      <c r="VA1" s="3" t="s">
        <v>548</v>
      </c>
      <c r="VB1" s="3" t="s">
        <v>549</v>
      </c>
      <c r="VC1" s="3" t="s">
        <v>550</v>
      </c>
      <c r="VD1" s="3" t="s">
        <v>551</v>
      </c>
      <c r="VE1" s="3" t="s">
        <v>552</v>
      </c>
      <c r="VF1" s="3" t="s">
        <v>553</v>
      </c>
      <c r="VG1" s="3" t="s">
        <v>554</v>
      </c>
      <c r="VH1" s="3" t="s">
        <v>555</v>
      </c>
      <c r="VI1" s="3" t="s">
        <v>556</v>
      </c>
      <c r="VJ1" s="3" t="s">
        <v>557</v>
      </c>
      <c r="VK1" s="3" t="s">
        <v>558</v>
      </c>
      <c r="VL1" s="3" t="s">
        <v>559</v>
      </c>
      <c r="VM1" s="3" t="s">
        <v>560</v>
      </c>
      <c r="VN1" s="3" t="s">
        <v>561</v>
      </c>
      <c r="VO1" s="3" t="s">
        <v>562</v>
      </c>
      <c r="VP1" s="3" t="s">
        <v>563</v>
      </c>
      <c r="VQ1" s="3" t="s">
        <v>564</v>
      </c>
      <c r="VR1" s="3" t="s">
        <v>565</v>
      </c>
      <c r="VS1" s="3" t="s">
        <v>566</v>
      </c>
      <c r="VT1" s="3" t="s">
        <v>567</v>
      </c>
      <c r="VU1" s="3" t="s">
        <v>568</v>
      </c>
      <c r="VV1" s="3" t="s">
        <v>569</v>
      </c>
      <c r="VW1" s="3" t="s">
        <v>570</v>
      </c>
      <c r="VX1" s="3" t="s">
        <v>571</v>
      </c>
      <c r="VY1" s="3" t="s">
        <v>572</v>
      </c>
      <c r="VZ1" s="3" t="s">
        <v>573</v>
      </c>
      <c r="WA1" s="3" t="s">
        <v>574</v>
      </c>
      <c r="WB1" s="3" t="s">
        <v>575</v>
      </c>
      <c r="WC1" s="3" t="s">
        <v>576</v>
      </c>
      <c r="WD1" s="3" t="s">
        <v>577</v>
      </c>
      <c r="WE1" s="3" t="s">
        <v>578</v>
      </c>
      <c r="WF1" s="3" t="s">
        <v>579</v>
      </c>
      <c r="WG1" s="3" t="s">
        <v>580</v>
      </c>
      <c r="WH1" s="3" t="s">
        <v>581</v>
      </c>
      <c r="WI1" s="3" t="s">
        <v>582</v>
      </c>
      <c r="WJ1" s="3" t="s">
        <v>583</v>
      </c>
      <c r="WK1" s="3" t="s">
        <v>584</v>
      </c>
      <c r="WL1" s="3" t="s">
        <v>585</v>
      </c>
      <c r="WM1" s="3" t="s">
        <v>586</v>
      </c>
      <c r="WN1" s="3" t="s">
        <v>587</v>
      </c>
      <c r="WO1" s="3" t="s">
        <v>588</v>
      </c>
      <c r="WP1" s="3" t="s">
        <v>589</v>
      </c>
      <c r="WQ1" s="3" t="s">
        <v>590</v>
      </c>
      <c r="WR1" s="3" t="s">
        <v>591</v>
      </c>
      <c r="WS1" s="3" t="s">
        <v>592</v>
      </c>
      <c r="WT1" s="3" t="s">
        <v>593</v>
      </c>
      <c r="WU1" s="3" t="s">
        <v>594</v>
      </c>
      <c r="WV1" s="3" t="s">
        <v>595</v>
      </c>
      <c r="WW1" s="3" t="s">
        <v>596</v>
      </c>
      <c r="WX1" s="3" t="s">
        <v>597</v>
      </c>
      <c r="WY1" s="3" t="s">
        <v>598</v>
      </c>
      <c r="WZ1" s="3" t="s">
        <v>599</v>
      </c>
      <c r="XA1" s="3" t="s">
        <v>600</v>
      </c>
      <c r="XB1" s="3" t="s">
        <v>601</v>
      </c>
      <c r="XC1" s="3" t="s">
        <v>602</v>
      </c>
      <c r="XD1" s="3" t="s">
        <v>603</v>
      </c>
      <c r="XE1" s="3" t="s">
        <v>604</v>
      </c>
      <c r="XF1" s="3" t="s">
        <v>605</v>
      </c>
      <c r="XG1" s="3" t="s">
        <v>606</v>
      </c>
      <c r="XH1" s="3" t="s">
        <v>607</v>
      </c>
      <c r="XI1" s="3" t="s">
        <v>608</v>
      </c>
      <c r="XJ1" s="3" t="s">
        <v>609</v>
      </c>
      <c r="XK1" s="3" t="s">
        <v>610</v>
      </c>
      <c r="XL1" s="3" t="s">
        <v>611</v>
      </c>
      <c r="XM1" s="3" t="s">
        <v>612</v>
      </c>
      <c r="XN1" s="3" t="s">
        <v>613</v>
      </c>
      <c r="XO1" s="3" t="s">
        <v>614</v>
      </c>
      <c r="XP1" s="3" t="s">
        <v>615</v>
      </c>
      <c r="XQ1" s="3" t="s">
        <v>616</v>
      </c>
      <c r="XR1" s="3" t="s">
        <v>617</v>
      </c>
      <c r="XS1" s="3" t="s">
        <v>618</v>
      </c>
      <c r="XT1" s="3" t="s">
        <v>619</v>
      </c>
      <c r="XU1" s="3" t="s">
        <v>620</v>
      </c>
      <c r="XV1" s="3" t="s">
        <v>621</v>
      </c>
      <c r="XW1" s="3" t="s">
        <v>622</v>
      </c>
      <c r="XX1" s="3" t="s">
        <v>623</v>
      </c>
      <c r="XY1" s="3" t="s">
        <v>624</v>
      </c>
      <c r="XZ1" s="3" t="s">
        <v>625</v>
      </c>
      <c r="YA1" s="3" t="s">
        <v>626</v>
      </c>
      <c r="YB1" s="3" t="s">
        <v>627</v>
      </c>
      <c r="YC1" s="3" t="s">
        <v>628</v>
      </c>
      <c r="YD1" s="3" t="s">
        <v>629</v>
      </c>
      <c r="YE1" s="3" t="s">
        <v>630</v>
      </c>
      <c r="YF1" s="3" t="s">
        <v>631</v>
      </c>
      <c r="YG1" s="3" t="s">
        <v>632</v>
      </c>
      <c r="YH1" s="3" t="s">
        <v>633</v>
      </c>
      <c r="YI1" s="3" t="s">
        <v>634</v>
      </c>
      <c r="YJ1" s="3" t="s">
        <v>635</v>
      </c>
      <c r="YK1" s="3" t="s">
        <v>636</v>
      </c>
      <c r="YL1" s="3" t="s">
        <v>637</v>
      </c>
      <c r="YM1" s="3" t="s">
        <v>638</v>
      </c>
      <c r="YN1" s="3" t="s">
        <v>639</v>
      </c>
      <c r="YO1" s="3" t="s">
        <v>640</v>
      </c>
      <c r="YP1" s="3" t="s">
        <v>641</v>
      </c>
      <c r="YQ1" s="3" t="s">
        <v>642</v>
      </c>
      <c r="YR1" s="3" t="s">
        <v>643</v>
      </c>
      <c r="YS1" s="3" t="s">
        <v>644</v>
      </c>
      <c r="YT1" s="3" t="s">
        <v>645</v>
      </c>
      <c r="YU1" s="3" t="s">
        <v>646</v>
      </c>
      <c r="YV1" s="3" t="s">
        <v>647</v>
      </c>
      <c r="YW1" s="3" t="s">
        <v>648</v>
      </c>
      <c r="YX1" s="3" t="s">
        <v>649</v>
      </c>
      <c r="YY1" s="3" t="s">
        <v>650</v>
      </c>
      <c r="YZ1" s="3" t="s">
        <v>651</v>
      </c>
      <c r="ZA1" s="3" t="s">
        <v>652</v>
      </c>
      <c r="ZB1" s="3" t="s">
        <v>653</v>
      </c>
      <c r="ZC1" s="3" t="s">
        <v>654</v>
      </c>
      <c r="ZD1" s="3" t="s">
        <v>655</v>
      </c>
      <c r="ZE1" s="3" t="s">
        <v>656</v>
      </c>
      <c r="ZF1" s="3" t="s">
        <v>657</v>
      </c>
      <c r="ZG1" s="3" t="s">
        <v>658</v>
      </c>
      <c r="ZH1" s="3" t="s">
        <v>659</v>
      </c>
      <c r="ZI1" s="3" t="s">
        <v>660</v>
      </c>
      <c r="ZJ1" s="3" t="s">
        <v>661</v>
      </c>
      <c r="ZK1" s="3" t="s">
        <v>662</v>
      </c>
      <c r="ZL1" s="3" t="s">
        <v>663</v>
      </c>
      <c r="ZM1" s="3" t="s">
        <v>664</v>
      </c>
      <c r="ZN1" s="3" t="s">
        <v>665</v>
      </c>
      <c r="ZO1" s="3" t="s">
        <v>666</v>
      </c>
      <c r="ZP1" s="3" t="s">
        <v>667</v>
      </c>
      <c r="ZQ1" s="3" t="s">
        <v>668</v>
      </c>
      <c r="ZR1" s="3" t="s">
        <v>669</v>
      </c>
      <c r="ZS1" s="3" t="s">
        <v>670</v>
      </c>
      <c r="ZT1" s="3" t="s">
        <v>671</v>
      </c>
      <c r="ZU1" s="3" t="s">
        <v>672</v>
      </c>
      <c r="ZV1" s="3" t="s">
        <v>673</v>
      </c>
      <c r="ZW1" s="3" t="s">
        <v>674</v>
      </c>
      <c r="ZX1" s="3" t="s">
        <v>675</v>
      </c>
      <c r="ZY1" s="3" t="s">
        <v>676</v>
      </c>
      <c r="ZZ1" s="3" t="s">
        <v>677</v>
      </c>
      <c r="AAA1" s="3" t="s">
        <v>678</v>
      </c>
      <c r="AAB1" s="3" t="s">
        <v>679</v>
      </c>
      <c r="AAC1" s="3" t="s">
        <v>680</v>
      </c>
      <c r="AAD1" s="3" t="s">
        <v>681</v>
      </c>
      <c r="AAE1" s="3" t="s">
        <v>682</v>
      </c>
      <c r="AAF1" s="3" t="s">
        <v>683</v>
      </c>
      <c r="AAG1" s="3" t="s">
        <v>684</v>
      </c>
      <c r="AAH1" s="3" t="s">
        <v>685</v>
      </c>
      <c r="AAI1" s="3" t="s">
        <v>686</v>
      </c>
      <c r="AAJ1" s="3" t="s">
        <v>687</v>
      </c>
      <c r="AAK1" s="3" t="s">
        <v>688</v>
      </c>
      <c r="AAL1" s="3" t="s">
        <v>689</v>
      </c>
      <c r="AAM1" s="3" t="s">
        <v>690</v>
      </c>
      <c r="AAN1" s="3" t="s">
        <v>691</v>
      </c>
      <c r="AAO1" s="3" t="s">
        <v>692</v>
      </c>
      <c r="AAP1" s="3" t="s">
        <v>693</v>
      </c>
      <c r="AAQ1" s="3" t="s">
        <v>694</v>
      </c>
      <c r="AAR1" s="3" t="s">
        <v>695</v>
      </c>
      <c r="AAS1" s="3" t="s">
        <v>696</v>
      </c>
      <c r="AAT1" s="3" t="s">
        <v>697</v>
      </c>
      <c r="AAU1" s="3" t="s">
        <v>698</v>
      </c>
      <c r="AAV1" s="3" t="s">
        <v>699</v>
      </c>
      <c r="AAW1" s="3" t="s">
        <v>700</v>
      </c>
      <c r="AAX1" s="3" t="s">
        <v>701</v>
      </c>
      <c r="AAY1" s="3" t="s">
        <v>702</v>
      </c>
      <c r="AAZ1" s="3" t="s">
        <v>703</v>
      </c>
      <c r="ABA1" s="3" t="s">
        <v>704</v>
      </c>
      <c r="ABB1" s="3" t="s">
        <v>705</v>
      </c>
      <c r="ABC1" s="3" t="s">
        <v>706</v>
      </c>
      <c r="ABD1" s="3" t="s">
        <v>707</v>
      </c>
      <c r="ABE1" s="3" t="s">
        <v>708</v>
      </c>
      <c r="ABF1" s="3" t="s">
        <v>709</v>
      </c>
      <c r="ABG1" s="3" t="s">
        <v>710</v>
      </c>
      <c r="ABH1" s="3" t="s">
        <v>711</v>
      </c>
      <c r="ABI1" s="3" t="s">
        <v>712</v>
      </c>
      <c r="ABJ1" s="3" t="s">
        <v>713</v>
      </c>
      <c r="ABK1" s="3" t="s">
        <v>714</v>
      </c>
      <c r="ABL1" s="3" t="s">
        <v>715</v>
      </c>
      <c r="ABM1" s="3" t="s">
        <v>716</v>
      </c>
      <c r="ABN1" s="3" t="s">
        <v>717</v>
      </c>
      <c r="ABO1" s="3" t="s">
        <v>718</v>
      </c>
      <c r="ABP1" s="3" t="s">
        <v>719</v>
      </c>
      <c r="ABQ1" s="3" t="s">
        <v>720</v>
      </c>
      <c r="ABR1" s="3" t="s">
        <v>721</v>
      </c>
      <c r="ABS1" s="3" t="s">
        <v>722</v>
      </c>
      <c r="ABT1" s="3" t="s">
        <v>723</v>
      </c>
      <c r="ABU1" s="3" t="s">
        <v>724</v>
      </c>
      <c r="ABV1" s="3" t="s">
        <v>725</v>
      </c>
      <c r="ABW1" s="3" t="s">
        <v>726</v>
      </c>
      <c r="ABX1" s="3" t="s">
        <v>727</v>
      </c>
      <c r="ABY1" s="3" t="s">
        <v>728</v>
      </c>
      <c r="ABZ1" s="3" t="s">
        <v>729</v>
      </c>
      <c r="ACA1" s="3" t="s">
        <v>730</v>
      </c>
      <c r="ACB1" s="3" t="s">
        <v>731</v>
      </c>
      <c r="ACC1" s="3" t="s">
        <v>732</v>
      </c>
      <c r="ACD1" s="3" t="s">
        <v>733</v>
      </c>
      <c r="ACE1" s="3" t="s">
        <v>734</v>
      </c>
      <c r="ACF1" s="3" t="s">
        <v>735</v>
      </c>
      <c r="ACG1" s="3" t="s">
        <v>736</v>
      </c>
      <c r="ACH1" s="3" t="s">
        <v>737</v>
      </c>
      <c r="ACI1" s="3" t="s">
        <v>738</v>
      </c>
      <c r="ACJ1" s="3" t="s">
        <v>739</v>
      </c>
      <c r="ACK1" s="3" t="s">
        <v>740</v>
      </c>
      <c r="ACL1" s="3" t="s">
        <v>741</v>
      </c>
      <c r="ACM1" s="3" t="s">
        <v>742</v>
      </c>
      <c r="ACN1" s="3" t="s">
        <v>743</v>
      </c>
      <c r="ACO1" s="3" t="s">
        <v>744</v>
      </c>
      <c r="ACP1" s="3" t="s">
        <v>745</v>
      </c>
      <c r="ACQ1" s="3" t="s">
        <v>746</v>
      </c>
      <c r="ACR1" s="3" t="s">
        <v>747</v>
      </c>
      <c r="ACS1" s="3" t="s">
        <v>748</v>
      </c>
      <c r="ACT1" s="3" t="s">
        <v>749</v>
      </c>
      <c r="ACU1" s="3" t="s">
        <v>750</v>
      </c>
      <c r="ACV1" s="3" t="s">
        <v>751</v>
      </c>
      <c r="ACW1" s="3" t="s">
        <v>752</v>
      </c>
      <c r="ACX1" s="3" t="s">
        <v>753</v>
      </c>
      <c r="ACY1" s="3" t="s">
        <v>754</v>
      </c>
      <c r="ACZ1" s="3" t="s">
        <v>755</v>
      </c>
      <c r="ADA1" s="3" t="s">
        <v>756</v>
      </c>
      <c r="ADB1" s="3" t="s">
        <v>757</v>
      </c>
      <c r="ADC1" s="3" t="s">
        <v>758</v>
      </c>
      <c r="ADD1" s="3" t="s">
        <v>759</v>
      </c>
      <c r="ADE1" s="3" t="s">
        <v>760</v>
      </c>
      <c r="ADF1" s="3" t="s">
        <v>761</v>
      </c>
      <c r="ADG1" s="3" t="s">
        <v>762</v>
      </c>
      <c r="ADH1" s="3" t="s">
        <v>763</v>
      </c>
      <c r="ADI1" s="3" t="s">
        <v>764</v>
      </c>
      <c r="ADJ1" s="3" t="s">
        <v>765</v>
      </c>
      <c r="ADK1" s="3" t="s">
        <v>766</v>
      </c>
      <c r="ADL1" s="3" t="s">
        <v>767</v>
      </c>
      <c r="ADM1" s="3" t="s">
        <v>768</v>
      </c>
      <c r="ADN1" s="3" t="s">
        <v>769</v>
      </c>
      <c r="ADO1" s="3" t="s">
        <v>770</v>
      </c>
      <c r="ADP1" s="3" t="s">
        <v>771</v>
      </c>
      <c r="ADQ1" s="3" t="s">
        <v>772</v>
      </c>
      <c r="ADR1" s="3" t="s">
        <v>773</v>
      </c>
      <c r="ADS1" s="3" t="s">
        <v>774</v>
      </c>
      <c r="ADT1" s="3" t="s">
        <v>775</v>
      </c>
      <c r="ADU1" s="3" t="s">
        <v>776</v>
      </c>
      <c r="ADV1" s="3" t="s">
        <v>777</v>
      </c>
      <c r="ADW1" s="3" t="s">
        <v>778</v>
      </c>
      <c r="ADX1" s="3" t="s">
        <v>779</v>
      </c>
      <c r="ADY1" s="3" t="s">
        <v>780</v>
      </c>
      <c r="ADZ1" s="3" t="s">
        <v>781</v>
      </c>
      <c r="AEA1" s="3" t="s">
        <v>782</v>
      </c>
      <c r="AEB1" s="3" t="s">
        <v>783</v>
      </c>
      <c r="AEC1" s="3" t="s">
        <v>784</v>
      </c>
      <c r="AED1" s="3" t="s">
        <v>785</v>
      </c>
      <c r="AEE1" s="3" t="s">
        <v>786</v>
      </c>
      <c r="AEF1" s="3" t="s">
        <v>787</v>
      </c>
      <c r="AEG1" s="3" t="s">
        <v>788</v>
      </c>
      <c r="AEH1" s="3" t="s">
        <v>789</v>
      </c>
      <c r="AEI1" s="3" t="s">
        <v>790</v>
      </c>
      <c r="AEJ1" s="3" t="s">
        <v>791</v>
      </c>
      <c r="AEK1" s="3" t="s">
        <v>792</v>
      </c>
      <c r="AEL1" s="3" t="s">
        <v>793</v>
      </c>
      <c r="AEM1" s="3" t="s">
        <v>794</v>
      </c>
      <c r="AEN1" s="3" t="s">
        <v>795</v>
      </c>
      <c r="AEO1" s="3" t="s">
        <v>796</v>
      </c>
      <c r="AEP1" s="3" t="s">
        <v>797</v>
      </c>
      <c r="AEQ1" s="3" t="s">
        <v>798</v>
      </c>
      <c r="AER1" s="3" t="s">
        <v>799</v>
      </c>
      <c r="AES1" s="3" t="s">
        <v>800</v>
      </c>
      <c r="AET1" s="3" t="s">
        <v>801</v>
      </c>
      <c r="AEU1" s="3" t="s">
        <v>802</v>
      </c>
      <c r="AEV1" s="3" t="s">
        <v>803</v>
      </c>
      <c r="AEW1" s="3" t="s">
        <v>804</v>
      </c>
      <c r="AEX1" s="3" t="s">
        <v>805</v>
      </c>
      <c r="AEY1" s="3" t="s">
        <v>806</v>
      </c>
      <c r="AEZ1" s="3" t="s">
        <v>807</v>
      </c>
      <c r="AFA1" s="3" t="s">
        <v>808</v>
      </c>
      <c r="AFB1" s="3" t="s">
        <v>809</v>
      </c>
      <c r="AFC1" s="3" t="s">
        <v>810</v>
      </c>
      <c r="AFD1" s="3" t="s">
        <v>811</v>
      </c>
      <c r="AFE1" s="3" t="s">
        <v>812</v>
      </c>
      <c r="AFF1" s="3" t="s">
        <v>813</v>
      </c>
      <c r="AFG1" s="3" t="s">
        <v>814</v>
      </c>
      <c r="AFH1" s="3" t="s">
        <v>815</v>
      </c>
      <c r="AFI1" s="3" t="s">
        <v>816</v>
      </c>
      <c r="AFJ1" s="3" t="s">
        <v>817</v>
      </c>
      <c r="AFK1" s="3" t="s">
        <v>818</v>
      </c>
      <c r="AFL1" s="3" t="s">
        <v>819</v>
      </c>
      <c r="AFM1" s="3" t="s">
        <v>820</v>
      </c>
      <c r="AFN1" s="3" t="s">
        <v>821</v>
      </c>
      <c r="AFO1" s="3" t="s">
        <v>822</v>
      </c>
      <c r="AFP1" s="3" t="s">
        <v>823</v>
      </c>
      <c r="AFQ1" s="3" t="s">
        <v>824</v>
      </c>
      <c r="AFR1" s="3" t="s">
        <v>825</v>
      </c>
      <c r="AFS1" s="3" t="s">
        <v>826</v>
      </c>
      <c r="AFT1" s="3" t="s">
        <v>827</v>
      </c>
      <c r="AFU1" s="3" t="s">
        <v>828</v>
      </c>
      <c r="AFV1" s="3" t="s">
        <v>829</v>
      </c>
      <c r="AFW1" s="3" t="s">
        <v>830</v>
      </c>
      <c r="AFX1" s="3" t="s">
        <v>831</v>
      </c>
      <c r="AFY1" s="3" t="s">
        <v>832</v>
      </c>
      <c r="AFZ1" s="3" t="s">
        <v>833</v>
      </c>
      <c r="AGA1" s="3" t="s">
        <v>834</v>
      </c>
      <c r="AGB1" s="3" t="s">
        <v>835</v>
      </c>
      <c r="AGC1" s="3" t="s">
        <v>836</v>
      </c>
      <c r="AGD1" s="3" t="s">
        <v>837</v>
      </c>
      <c r="AGE1" s="3" t="s">
        <v>838</v>
      </c>
      <c r="AGF1" s="3" t="s">
        <v>839</v>
      </c>
      <c r="AGG1" s="3" t="s">
        <v>840</v>
      </c>
      <c r="AGH1" s="3" t="s">
        <v>841</v>
      </c>
      <c r="AGI1" s="3" t="s">
        <v>842</v>
      </c>
      <c r="AGJ1" s="3" t="s">
        <v>843</v>
      </c>
      <c r="AGK1" s="3" t="s">
        <v>844</v>
      </c>
      <c r="AGL1" s="3" t="s">
        <v>845</v>
      </c>
      <c r="AGM1" s="3" t="s">
        <v>846</v>
      </c>
      <c r="AGN1" s="3" t="s">
        <v>847</v>
      </c>
      <c r="AGO1" s="3" t="s">
        <v>848</v>
      </c>
      <c r="AGP1" s="3" t="s">
        <v>849</v>
      </c>
      <c r="AGQ1" s="3" t="s">
        <v>850</v>
      </c>
      <c r="AGR1" s="3" t="s">
        <v>851</v>
      </c>
      <c r="AGS1" s="3" t="s">
        <v>852</v>
      </c>
      <c r="AGT1" s="3" t="s">
        <v>853</v>
      </c>
      <c r="AGU1" s="3" t="s">
        <v>854</v>
      </c>
      <c r="AGV1" s="3" t="s">
        <v>855</v>
      </c>
      <c r="AGW1" s="3" t="s">
        <v>856</v>
      </c>
      <c r="AGX1" s="3" t="s">
        <v>857</v>
      </c>
      <c r="AGY1" s="3" t="s">
        <v>858</v>
      </c>
      <c r="AGZ1" s="3" t="s">
        <v>859</v>
      </c>
      <c r="AHA1" s="3" t="s">
        <v>860</v>
      </c>
      <c r="AHB1" s="3" t="s">
        <v>861</v>
      </c>
      <c r="AHC1" s="3" t="s">
        <v>862</v>
      </c>
      <c r="AHD1" s="3" t="s">
        <v>863</v>
      </c>
      <c r="AHE1" s="3" t="s">
        <v>864</v>
      </c>
      <c r="AHF1" s="3" t="s">
        <v>865</v>
      </c>
      <c r="AHG1" s="3" t="s">
        <v>866</v>
      </c>
      <c r="AHH1" s="3" t="s">
        <v>867</v>
      </c>
      <c r="AHI1" s="3" t="s">
        <v>868</v>
      </c>
      <c r="AHJ1" s="3" t="s">
        <v>869</v>
      </c>
      <c r="AHK1" s="3" t="s">
        <v>870</v>
      </c>
      <c r="AHL1" s="3" t="s">
        <v>871</v>
      </c>
      <c r="AHM1" s="3" t="s">
        <v>872</v>
      </c>
      <c r="AHN1" s="3" t="s">
        <v>873</v>
      </c>
      <c r="AHO1" s="3" t="s">
        <v>874</v>
      </c>
      <c r="AHP1" s="3" t="s">
        <v>875</v>
      </c>
      <c r="AHQ1" s="3" t="s">
        <v>876</v>
      </c>
      <c r="AHR1" s="3" t="s">
        <v>877</v>
      </c>
      <c r="AHS1" s="3" t="s">
        <v>878</v>
      </c>
      <c r="AHT1" s="3" t="s">
        <v>879</v>
      </c>
      <c r="AHU1" s="3" t="s">
        <v>880</v>
      </c>
      <c r="AHV1" s="3" t="s">
        <v>881</v>
      </c>
      <c r="AHW1" s="3" t="s">
        <v>882</v>
      </c>
      <c r="AHX1" s="3" t="s">
        <v>883</v>
      </c>
      <c r="AHY1" s="3" t="s">
        <v>884</v>
      </c>
      <c r="AHZ1" s="3" t="s">
        <v>885</v>
      </c>
      <c r="AIA1" s="3" t="s">
        <v>886</v>
      </c>
      <c r="AIB1" s="3" t="s">
        <v>887</v>
      </c>
      <c r="AIC1" s="3" t="s">
        <v>888</v>
      </c>
      <c r="AID1" s="3" t="s">
        <v>889</v>
      </c>
      <c r="AIE1" s="3" t="s">
        <v>890</v>
      </c>
      <c r="AIF1" s="3" t="s">
        <v>891</v>
      </c>
      <c r="AIG1" s="3" t="s">
        <v>892</v>
      </c>
      <c r="AIH1" s="3" t="s">
        <v>893</v>
      </c>
      <c r="AII1" s="3" t="s">
        <v>894</v>
      </c>
      <c r="AIJ1" s="3" t="s">
        <v>895</v>
      </c>
      <c r="AIK1" s="3" t="s">
        <v>896</v>
      </c>
      <c r="AIL1" s="3" t="s">
        <v>897</v>
      </c>
      <c r="AIM1" s="3" t="s">
        <v>898</v>
      </c>
      <c r="AIN1" s="3" t="s">
        <v>899</v>
      </c>
      <c r="AIO1" s="3" t="s">
        <v>900</v>
      </c>
      <c r="AIP1" s="3" t="s">
        <v>901</v>
      </c>
      <c r="AIQ1" s="3" t="s">
        <v>902</v>
      </c>
      <c r="AIR1" s="3" t="s">
        <v>903</v>
      </c>
      <c r="AIS1" s="3" t="s">
        <v>904</v>
      </c>
      <c r="AIT1" s="3" t="s">
        <v>905</v>
      </c>
      <c r="AIU1" s="3" t="s">
        <v>906</v>
      </c>
      <c r="AIV1" s="3" t="s">
        <v>907</v>
      </c>
      <c r="AIW1" s="3" t="s">
        <v>908</v>
      </c>
      <c r="AIX1" s="3" t="s">
        <v>909</v>
      </c>
      <c r="AIY1" s="3" t="s">
        <v>910</v>
      </c>
      <c r="AIZ1" s="3" t="s">
        <v>911</v>
      </c>
      <c r="AJA1" s="3" t="s">
        <v>912</v>
      </c>
      <c r="AJB1" s="3" t="s">
        <v>913</v>
      </c>
      <c r="AJC1" s="3" t="s">
        <v>914</v>
      </c>
      <c r="AJD1" s="3" t="s">
        <v>915</v>
      </c>
      <c r="AJE1" s="3" t="s">
        <v>916</v>
      </c>
      <c r="AJF1" s="3" t="s">
        <v>917</v>
      </c>
      <c r="AJG1" s="3" t="s">
        <v>918</v>
      </c>
      <c r="AJH1" s="3" t="s">
        <v>919</v>
      </c>
      <c r="AJI1" s="3" t="s">
        <v>920</v>
      </c>
      <c r="AJJ1" s="3" t="s">
        <v>921</v>
      </c>
      <c r="AJK1" s="3" t="s">
        <v>922</v>
      </c>
      <c r="AJL1" s="3" t="s">
        <v>923</v>
      </c>
      <c r="AJM1" s="3" t="s">
        <v>924</v>
      </c>
      <c r="AJN1" s="3" t="s">
        <v>925</v>
      </c>
      <c r="AJO1" s="3" t="s">
        <v>926</v>
      </c>
      <c r="AJP1" s="3" t="s">
        <v>927</v>
      </c>
      <c r="AJQ1" s="3" t="s">
        <v>928</v>
      </c>
      <c r="AJR1" s="3" t="s">
        <v>929</v>
      </c>
      <c r="AJS1" s="3" t="s">
        <v>930</v>
      </c>
      <c r="AJT1" s="3" t="s">
        <v>931</v>
      </c>
      <c r="AJU1" s="3" t="s">
        <v>932</v>
      </c>
      <c r="AJV1" s="3" t="s">
        <v>933</v>
      </c>
      <c r="AJW1" s="3" t="s">
        <v>934</v>
      </c>
      <c r="AJX1" s="3" t="s">
        <v>935</v>
      </c>
      <c r="AJY1" s="3" t="s">
        <v>936</v>
      </c>
      <c r="AJZ1" s="3" t="s">
        <v>937</v>
      </c>
      <c r="AKA1" s="3" t="s">
        <v>938</v>
      </c>
      <c r="AKB1" s="3" t="s">
        <v>939</v>
      </c>
      <c r="AKC1" s="3" t="s">
        <v>940</v>
      </c>
      <c r="AKD1" s="3" t="s">
        <v>941</v>
      </c>
      <c r="AKE1" s="3" t="s">
        <v>942</v>
      </c>
      <c r="AKF1" s="3" t="s">
        <v>943</v>
      </c>
      <c r="AKG1" s="3" t="s">
        <v>944</v>
      </c>
      <c r="AKH1" s="3" t="s">
        <v>945</v>
      </c>
      <c r="AKI1" s="3" t="s">
        <v>946</v>
      </c>
      <c r="AKJ1" s="3" t="s">
        <v>947</v>
      </c>
      <c r="AKK1" s="3" t="s">
        <v>948</v>
      </c>
      <c r="AKL1" s="3" t="s">
        <v>949</v>
      </c>
      <c r="AKM1" s="3" t="s">
        <v>950</v>
      </c>
      <c r="AKN1" s="3" t="s">
        <v>951</v>
      </c>
      <c r="AKO1" s="3" t="s">
        <v>952</v>
      </c>
      <c r="AKP1" s="3" t="s">
        <v>953</v>
      </c>
      <c r="AKQ1" s="3" t="s">
        <v>954</v>
      </c>
      <c r="AKR1" s="3" t="s">
        <v>955</v>
      </c>
      <c r="AKS1" s="3" t="s">
        <v>956</v>
      </c>
      <c r="AKT1" s="3" t="s">
        <v>957</v>
      </c>
      <c r="AKU1" s="3" t="s">
        <v>958</v>
      </c>
      <c r="AKV1" s="3" t="s">
        <v>959</v>
      </c>
      <c r="AKW1" s="3" t="s">
        <v>960</v>
      </c>
      <c r="AKX1" s="3" t="s">
        <v>961</v>
      </c>
      <c r="AKY1" s="3" t="s">
        <v>962</v>
      </c>
      <c r="AKZ1" s="3" t="s">
        <v>963</v>
      </c>
      <c r="ALA1" s="3" t="s">
        <v>964</v>
      </c>
      <c r="ALB1" s="3" t="s">
        <v>965</v>
      </c>
      <c r="ALC1" s="3" t="s">
        <v>966</v>
      </c>
      <c r="ALD1" s="3" t="s">
        <v>967</v>
      </c>
      <c r="ALE1" s="3" t="s">
        <v>968</v>
      </c>
      <c r="ALF1" s="3" t="s">
        <v>969</v>
      </c>
      <c r="ALG1" s="3" t="s">
        <v>970</v>
      </c>
      <c r="ALH1" s="3" t="s">
        <v>971</v>
      </c>
      <c r="ALI1" s="3" t="s">
        <v>972</v>
      </c>
      <c r="ALJ1" s="3" t="s">
        <v>973</v>
      </c>
      <c r="ALK1" s="3" t="s">
        <v>974</v>
      </c>
      <c r="ALL1" s="3" t="s">
        <v>975</v>
      </c>
      <c r="ALM1" s="3" t="s">
        <v>976</v>
      </c>
      <c r="ALN1" s="3" t="s">
        <v>977</v>
      </c>
      <c r="ALO1" s="3" t="s">
        <v>978</v>
      </c>
      <c r="ALP1" s="3" t="s">
        <v>979</v>
      </c>
      <c r="ALQ1" s="3" t="s">
        <v>980</v>
      </c>
      <c r="ALR1" s="3" t="s">
        <v>981</v>
      </c>
      <c r="ALS1" s="3" t="s">
        <v>982</v>
      </c>
      <c r="ALT1" s="3" t="s">
        <v>983</v>
      </c>
      <c r="ALU1" s="3" t="s">
        <v>984</v>
      </c>
      <c r="ALV1" s="3" t="s">
        <v>985</v>
      </c>
      <c r="ALW1" s="3" t="s">
        <v>986</v>
      </c>
      <c r="ALX1" s="3" t="s">
        <v>987</v>
      </c>
      <c r="ALY1" s="3" t="s">
        <v>988</v>
      </c>
      <c r="ALZ1" s="3" t="s">
        <v>989</v>
      </c>
      <c r="AMA1" s="3" t="s">
        <v>990</v>
      </c>
      <c r="AMB1" s="3" t="s">
        <v>991</v>
      </c>
      <c r="AMC1" s="3" t="s">
        <v>992</v>
      </c>
      <c r="AMD1" s="3" t="s">
        <v>993</v>
      </c>
      <c r="AME1" s="3" t="s">
        <v>994</v>
      </c>
      <c r="AMF1" s="3" t="s">
        <v>995</v>
      </c>
      <c r="AMG1" s="3" t="s">
        <v>996</v>
      </c>
      <c r="AMH1" s="3" t="s">
        <v>997</v>
      </c>
      <c r="AMI1" s="3" t="s">
        <v>998</v>
      </c>
      <c r="AMJ1" s="3" t="s">
        <v>999</v>
      </c>
      <c r="AMK1" s="3" t="s">
        <v>1000</v>
      </c>
      <c r="AML1" s="3" t="s">
        <v>1001</v>
      </c>
      <c r="AMM1" s="3" t="s">
        <v>1002</v>
      </c>
      <c r="AMN1" s="3" t="s">
        <v>1003</v>
      </c>
      <c r="AMO1" s="3" t="s">
        <v>1004</v>
      </c>
      <c r="AMP1" s="3" t="s">
        <v>1005</v>
      </c>
      <c r="AMQ1" s="3" t="s">
        <v>1006</v>
      </c>
      <c r="AMR1" s="3" t="s">
        <v>1007</v>
      </c>
      <c r="AMS1" s="3" t="s">
        <v>1008</v>
      </c>
      <c r="AMT1" s="3" t="s">
        <v>1009</v>
      </c>
      <c r="AMU1" s="3" t="s">
        <v>1010</v>
      </c>
      <c r="AMV1" s="3" t="s">
        <v>1011</v>
      </c>
      <c r="AMW1" s="3" t="s">
        <v>1012</v>
      </c>
      <c r="AMX1" s="3" t="s">
        <v>1013</v>
      </c>
      <c r="AMY1" s="3" t="s">
        <v>1014</v>
      </c>
      <c r="AMZ1" s="3" t="s">
        <v>1015</v>
      </c>
      <c r="ANA1" s="3" t="s">
        <v>1016</v>
      </c>
      <c r="ANB1" s="3" t="s">
        <v>1017</v>
      </c>
      <c r="ANC1" s="3" t="s">
        <v>1018</v>
      </c>
      <c r="AND1" s="3" t="s">
        <v>1019</v>
      </c>
      <c r="ANE1" s="3" t="s">
        <v>1020</v>
      </c>
      <c r="ANF1" s="3" t="s">
        <v>1021</v>
      </c>
      <c r="ANG1" s="3" t="s">
        <v>1022</v>
      </c>
      <c r="ANH1" s="3" t="s">
        <v>1023</v>
      </c>
      <c r="ANI1" s="3" t="s">
        <v>1024</v>
      </c>
      <c r="ANJ1" s="3" t="s">
        <v>1025</v>
      </c>
      <c r="ANK1" s="3" t="s">
        <v>1026</v>
      </c>
      <c r="ANL1" s="3" t="s">
        <v>1027</v>
      </c>
      <c r="ANM1" s="3" t="s">
        <v>1028</v>
      </c>
      <c r="ANN1" s="3" t="s">
        <v>1029</v>
      </c>
      <c r="ANO1" s="3" t="s">
        <v>1030</v>
      </c>
      <c r="ANP1" s="3" t="s">
        <v>1031</v>
      </c>
      <c r="ANQ1" s="3" t="s">
        <v>1032</v>
      </c>
      <c r="ANR1" s="3" t="s">
        <v>1033</v>
      </c>
      <c r="ANS1" s="3" t="s">
        <v>1034</v>
      </c>
      <c r="ANT1" s="3" t="s">
        <v>1035</v>
      </c>
      <c r="ANU1" s="3" t="s">
        <v>1036</v>
      </c>
      <c r="ANV1" s="3" t="s">
        <v>1037</v>
      </c>
      <c r="ANW1" s="3" t="s">
        <v>1038</v>
      </c>
      <c r="ANX1" s="3" t="s">
        <v>1039</v>
      </c>
      <c r="ANY1" s="3" t="s">
        <v>1040</v>
      </c>
      <c r="ANZ1" s="3" t="s">
        <v>1041</v>
      </c>
      <c r="AOA1" s="3" t="s">
        <v>1042</v>
      </c>
      <c r="AOB1" s="3" t="s">
        <v>1043</v>
      </c>
      <c r="AOC1" s="3" t="s">
        <v>1044</v>
      </c>
      <c r="AOD1" s="3" t="s">
        <v>1045</v>
      </c>
      <c r="AOE1" s="3" t="s">
        <v>1046</v>
      </c>
      <c r="AOF1" s="3" t="s">
        <v>1047</v>
      </c>
      <c r="AOG1" s="3" t="s">
        <v>1048</v>
      </c>
      <c r="AOH1" s="3" t="s">
        <v>1049</v>
      </c>
      <c r="AOI1" s="3" t="s">
        <v>1050</v>
      </c>
      <c r="AOJ1" s="3" t="s">
        <v>1051</v>
      </c>
      <c r="AOK1" s="3" t="s">
        <v>1052</v>
      </c>
      <c r="AOL1" s="3" t="s">
        <v>1053</v>
      </c>
      <c r="AOM1" s="3" t="s">
        <v>1054</v>
      </c>
      <c r="AON1" s="3" t="s">
        <v>1055</v>
      </c>
      <c r="AOO1" s="3" t="s">
        <v>1056</v>
      </c>
      <c r="AOP1" s="3" t="s">
        <v>1057</v>
      </c>
      <c r="AOQ1" s="3" t="s">
        <v>1058</v>
      </c>
      <c r="AOR1" s="3" t="s">
        <v>1059</v>
      </c>
      <c r="AOS1" s="3" t="s">
        <v>1060</v>
      </c>
      <c r="AOT1" s="3" t="s">
        <v>1061</v>
      </c>
      <c r="AOU1" s="3" t="s">
        <v>1062</v>
      </c>
      <c r="AOV1" s="3" t="s">
        <v>1063</v>
      </c>
      <c r="AOW1" s="3" t="s">
        <v>1064</v>
      </c>
      <c r="AOX1" s="3" t="s">
        <v>1065</v>
      </c>
      <c r="AOY1" s="3" t="s">
        <v>1066</v>
      </c>
      <c r="AOZ1" s="3" t="s">
        <v>1067</v>
      </c>
      <c r="APA1" s="3" t="s">
        <v>1068</v>
      </c>
      <c r="APB1" s="3" t="s">
        <v>1069</v>
      </c>
      <c r="APC1" s="3" t="s">
        <v>1070</v>
      </c>
      <c r="APD1" s="3" t="s">
        <v>1071</v>
      </c>
      <c r="APE1" s="3" t="s">
        <v>1072</v>
      </c>
      <c r="APF1" s="3" t="s">
        <v>1073</v>
      </c>
      <c r="APG1" s="3" t="s">
        <v>1074</v>
      </c>
      <c r="APH1" s="3" t="s">
        <v>1075</v>
      </c>
      <c r="API1" s="3" t="s">
        <v>1076</v>
      </c>
      <c r="APJ1" s="3" t="s">
        <v>1077</v>
      </c>
      <c r="APK1" s="3" t="s">
        <v>1078</v>
      </c>
      <c r="APL1" s="3" t="s">
        <v>1079</v>
      </c>
      <c r="APM1" s="3" t="s">
        <v>1080</v>
      </c>
      <c r="APN1" s="3" t="s">
        <v>1081</v>
      </c>
      <c r="APO1" s="3" t="s">
        <v>1082</v>
      </c>
      <c r="APP1" s="3" t="s">
        <v>1083</v>
      </c>
      <c r="APQ1" s="3" t="s">
        <v>1084</v>
      </c>
      <c r="APR1" s="3" t="s">
        <v>1085</v>
      </c>
      <c r="APS1" s="3" t="s">
        <v>1086</v>
      </c>
      <c r="APT1" s="3" t="s">
        <v>1087</v>
      </c>
      <c r="APU1" s="3" t="s">
        <v>1088</v>
      </c>
      <c r="APV1" s="3" t="s">
        <v>1089</v>
      </c>
      <c r="APW1" s="3" t="s">
        <v>1090</v>
      </c>
      <c r="APX1" s="3" t="s">
        <v>1091</v>
      </c>
      <c r="APY1" s="3" t="s">
        <v>1092</v>
      </c>
      <c r="APZ1" s="3" t="s">
        <v>1093</v>
      </c>
      <c r="AQA1" s="3" t="s">
        <v>1094</v>
      </c>
      <c r="AQB1" s="3" t="s">
        <v>1095</v>
      </c>
      <c r="AQC1" s="3" t="s">
        <v>1096</v>
      </c>
      <c r="AQD1" s="3" t="s">
        <v>1097</v>
      </c>
      <c r="AQE1" s="3" t="s">
        <v>1098</v>
      </c>
      <c r="AQF1" s="3" t="s">
        <v>1099</v>
      </c>
      <c r="AQG1" s="3" t="s">
        <v>1100</v>
      </c>
      <c r="AQH1" s="3" t="s">
        <v>1101</v>
      </c>
      <c r="AQI1" s="3" t="s">
        <v>1102</v>
      </c>
      <c r="AQJ1" s="3" t="s">
        <v>1103</v>
      </c>
      <c r="AQK1" s="3" t="s">
        <v>1104</v>
      </c>
      <c r="AQL1" s="3" t="s">
        <v>1105</v>
      </c>
      <c r="AQM1" s="3" t="s">
        <v>1106</v>
      </c>
      <c r="AQN1" s="3" t="s">
        <v>1107</v>
      </c>
      <c r="AQO1" s="3" t="s">
        <v>1108</v>
      </c>
      <c r="AQP1" s="3" t="s">
        <v>1109</v>
      </c>
      <c r="AQQ1" s="3" t="s">
        <v>1110</v>
      </c>
      <c r="AQR1" s="3" t="s">
        <v>1111</v>
      </c>
      <c r="AQS1" s="3" t="s">
        <v>1112</v>
      </c>
      <c r="AQT1" s="3" t="s">
        <v>1113</v>
      </c>
      <c r="AQU1" s="3" t="s">
        <v>1114</v>
      </c>
      <c r="AQV1" s="3" t="s">
        <v>1115</v>
      </c>
      <c r="AQW1" s="3" t="s">
        <v>1116</v>
      </c>
      <c r="AQX1" s="3" t="s">
        <v>1117</v>
      </c>
      <c r="AQY1" s="3" t="s">
        <v>1118</v>
      </c>
      <c r="AQZ1" s="3" t="s">
        <v>1119</v>
      </c>
      <c r="ARA1" s="3" t="s">
        <v>1120</v>
      </c>
      <c r="ARB1" s="3" t="s">
        <v>1121</v>
      </c>
      <c r="ARC1" s="3" t="s">
        <v>1122</v>
      </c>
      <c r="ARD1" s="3" t="s">
        <v>1123</v>
      </c>
      <c r="ARE1" s="3" t="s">
        <v>1124</v>
      </c>
      <c r="ARF1" s="3" t="s">
        <v>1125</v>
      </c>
      <c r="ARG1" s="3" t="s">
        <v>1126</v>
      </c>
      <c r="ARH1" s="3" t="s">
        <v>1127</v>
      </c>
      <c r="ARI1" s="3" t="s">
        <v>1128</v>
      </c>
      <c r="ARJ1" s="3" t="s">
        <v>1129</v>
      </c>
      <c r="ARK1" s="3" t="s">
        <v>1130</v>
      </c>
      <c r="ARL1" s="3" t="s">
        <v>1131</v>
      </c>
      <c r="ARM1" s="3" t="s">
        <v>1132</v>
      </c>
      <c r="ARN1" s="3" t="s">
        <v>1133</v>
      </c>
      <c r="ARO1" s="3" t="s">
        <v>1134</v>
      </c>
      <c r="ARP1" s="3" t="s">
        <v>1135</v>
      </c>
      <c r="ARQ1" s="3" t="s">
        <v>1136</v>
      </c>
      <c r="ARR1" s="3" t="s">
        <v>1137</v>
      </c>
      <c r="ARS1" s="3" t="s">
        <v>1138</v>
      </c>
      <c r="ART1" s="3" t="s">
        <v>1139</v>
      </c>
      <c r="ARU1" s="3" t="s">
        <v>1140</v>
      </c>
      <c r="ARV1" s="3" t="s">
        <v>1141</v>
      </c>
      <c r="ARW1" s="3" t="s">
        <v>1142</v>
      </c>
      <c r="ARX1" s="3" t="s">
        <v>1143</v>
      </c>
      <c r="ARY1" s="3" t="s">
        <v>1144</v>
      </c>
      <c r="ARZ1" s="3" t="s">
        <v>1145</v>
      </c>
      <c r="ASA1" s="3" t="s">
        <v>1146</v>
      </c>
      <c r="ASB1" s="3" t="s">
        <v>1147</v>
      </c>
      <c r="ASC1" s="3" t="s">
        <v>1148</v>
      </c>
      <c r="ASD1" s="3" t="s">
        <v>1149</v>
      </c>
      <c r="ASE1" s="3" t="s">
        <v>1150</v>
      </c>
      <c r="ASF1" s="3" t="s">
        <v>1151</v>
      </c>
      <c r="ASG1" s="3" t="s">
        <v>1152</v>
      </c>
      <c r="ASH1" s="3" t="s">
        <v>1153</v>
      </c>
      <c r="ASI1" s="3" t="s">
        <v>1154</v>
      </c>
      <c r="ASJ1" s="3" t="s">
        <v>1155</v>
      </c>
      <c r="ASK1" s="3" t="s">
        <v>1156</v>
      </c>
      <c r="ASL1" s="3" t="s">
        <v>1157</v>
      </c>
      <c r="ASM1" s="3" t="s">
        <v>1158</v>
      </c>
      <c r="ASN1" s="3" t="s">
        <v>1159</v>
      </c>
      <c r="ASO1" s="3" t="s">
        <v>1160</v>
      </c>
      <c r="ASP1" s="3" t="s">
        <v>1161</v>
      </c>
      <c r="ASQ1" s="3" t="s">
        <v>1162</v>
      </c>
      <c r="ASR1" s="3" t="s">
        <v>1163</v>
      </c>
      <c r="ASS1" s="3" t="s">
        <v>1164</v>
      </c>
      <c r="AST1" s="3" t="s">
        <v>1165</v>
      </c>
      <c r="ASU1" s="3" t="s">
        <v>1166</v>
      </c>
      <c r="ASV1" s="3" t="s">
        <v>1167</v>
      </c>
      <c r="ASW1" s="3" t="s">
        <v>1168</v>
      </c>
      <c r="ASX1" s="3" t="s">
        <v>1169</v>
      </c>
      <c r="ASY1" s="3" t="s">
        <v>1170</v>
      </c>
      <c r="ASZ1" s="3" t="s">
        <v>1171</v>
      </c>
      <c r="ATA1" s="3" t="s">
        <v>1172</v>
      </c>
      <c r="ATB1" s="3" t="s">
        <v>1173</v>
      </c>
      <c r="ATC1" s="3" t="s">
        <v>1174</v>
      </c>
      <c r="ATD1" s="3" t="s">
        <v>1175</v>
      </c>
      <c r="ATE1" s="3" t="s">
        <v>1176</v>
      </c>
      <c r="ATF1" s="3" t="s">
        <v>1177</v>
      </c>
      <c r="ATG1" s="3" t="s">
        <v>1178</v>
      </c>
      <c r="ATH1" s="3" t="s">
        <v>1179</v>
      </c>
      <c r="ATI1" s="3" t="s">
        <v>1180</v>
      </c>
      <c r="ATJ1" s="3" t="s">
        <v>1181</v>
      </c>
      <c r="ATK1" s="3" t="s">
        <v>1182</v>
      </c>
      <c r="ATL1" s="3" t="s">
        <v>1183</v>
      </c>
      <c r="ATM1" s="3" t="s">
        <v>1184</v>
      </c>
      <c r="ATN1" s="3" t="s">
        <v>1185</v>
      </c>
      <c r="ATO1" s="3" t="s">
        <v>1186</v>
      </c>
      <c r="ATP1" s="3" t="s">
        <v>1187</v>
      </c>
      <c r="ATQ1" s="3" t="s">
        <v>1188</v>
      </c>
      <c r="ATR1" s="3" t="s">
        <v>1189</v>
      </c>
      <c r="ATS1" s="3" t="s">
        <v>1190</v>
      </c>
      <c r="ATT1" s="3" t="s">
        <v>1191</v>
      </c>
      <c r="ATU1" s="3" t="s">
        <v>1192</v>
      </c>
      <c r="ATV1" s="3" t="s">
        <v>1193</v>
      </c>
      <c r="ATW1" s="3" t="s">
        <v>1194</v>
      </c>
      <c r="ATX1" s="3" t="s">
        <v>1195</v>
      </c>
      <c r="ATY1" s="3" t="s">
        <v>1196</v>
      </c>
      <c r="ATZ1" s="3" t="s">
        <v>1197</v>
      </c>
      <c r="AUA1" s="3" t="s">
        <v>1198</v>
      </c>
      <c r="AUB1" s="3" t="s">
        <v>1199</v>
      </c>
      <c r="AUC1" s="3" t="s">
        <v>1200</v>
      </c>
      <c r="AUD1" s="3" t="s">
        <v>1201</v>
      </c>
      <c r="AUE1" s="3" t="s">
        <v>1202</v>
      </c>
      <c r="AUF1" s="3" t="s">
        <v>1203</v>
      </c>
      <c r="AUG1" s="3" t="s">
        <v>1204</v>
      </c>
      <c r="AUH1" s="3" t="s">
        <v>1205</v>
      </c>
      <c r="AUI1" s="3" t="s">
        <v>1206</v>
      </c>
      <c r="AUJ1" s="3" t="s">
        <v>1207</v>
      </c>
      <c r="AUK1" s="3" t="s">
        <v>1208</v>
      </c>
      <c r="AUL1" s="3" t="s">
        <v>1209</v>
      </c>
      <c r="AUM1" s="3" t="s">
        <v>1210</v>
      </c>
      <c r="AUN1" s="3" t="s">
        <v>1211</v>
      </c>
      <c r="AUO1" s="3" t="s">
        <v>1212</v>
      </c>
      <c r="AUP1" s="3" t="s">
        <v>1213</v>
      </c>
      <c r="AUQ1" s="3" t="s">
        <v>1214</v>
      </c>
      <c r="AUR1" s="3" t="s">
        <v>1215</v>
      </c>
      <c r="AUS1" s="3" t="s">
        <v>1216</v>
      </c>
      <c r="AUT1" s="3" t="s">
        <v>1217</v>
      </c>
      <c r="AUU1" s="3" t="s">
        <v>1218</v>
      </c>
      <c r="AUV1" s="3" t="s">
        <v>1219</v>
      </c>
      <c r="AUW1" s="3" t="s">
        <v>1220</v>
      </c>
      <c r="AUX1" s="3" t="s">
        <v>1221</v>
      </c>
      <c r="AUY1" s="3" t="s">
        <v>1222</v>
      </c>
      <c r="AUZ1" s="3" t="s">
        <v>1223</v>
      </c>
      <c r="AVA1" s="3" t="s">
        <v>1224</v>
      </c>
      <c r="AVB1" s="3" t="s">
        <v>1225</v>
      </c>
      <c r="AVC1" s="3" t="s">
        <v>1226</v>
      </c>
      <c r="AVD1" s="3" t="s">
        <v>1227</v>
      </c>
      <c r="AVE1" s="3" t="s">
        <v>1228</v>
      </c>
      <c r="AVF1" s="3" t="s">
        <v>1229</v>
      </c>
      <c r="AVG1" s="3" t="s">
        <v>1230</v>
      </c>
      <c r="AVH1" s="3" t="s">
        <v>1231</v>
      </c>
      <c r="AVI1" s="3" t="s">
        <v>1232</v>
      </c>
      <c r="AVJ1" s="3" t="s">
        <v>1233</v>
      </c>
      <c r="AVK1" s="3" t="s">
        <v>1234</v>
      </c>
      <c r="AVL1" s="3" t="s">
        <v>1235</v>
      </c>
      <c r="AVM1" s="3" t="s">
        <v>1236</v>
      </c>
      <c r="AVN1" s="3" t="s">
        <v>1237</v>
      </c>
      <c r="AVO1" s="3" t="s">
        <v>1238</v>
      </c>
      <c r="AVP1" s="3" t="s">
        <v>1239</v>
      </c>
      <c r="AVQ1" s="3" t="s">
        <v>1240</v>
      </c>
      <c r="AVR1" s="3" t="s">
        <v>1241</v>
      </c>
      <c r="AVS1" s="3" t="s">
        <v>1242</v>
      </c>
      <c r="AVT1" s="3" t="s">
        <v>1243</v>
      </c>
      <c r="AVU1" s="3" t="s">
        <v>1244</v>
      </c>
      <c r="AVV1" s="3" t="s">
        <v>1245</v>
      </c>
      <c r="AVW1" s="3" t="s">
        <v>1246</v>
      </c>
      <c r="AVX1" s="3" t="s">
        <v>1247</v>
      </c>
      <c r="AVY1" s="3" t="s">
        <v>1248</v>
      </c>
      <c r="AVZ1" s="3" t="s">
        <v>1249</v>
      </c>
      <c r="AWA1" s="3" t="s">
        <v>1250</v>
      </c>
      <c r="AWB1" s="3" t="s">
        <v>1251</v>
      </c>
      <c r="AWC1" s="3" t="s">
        <v>1252</v>
      </c>
      <c r="AWD1" s="3" t="s">
        <v>1253</v>
      </c>
      <c r="AWE1" s="3" t="s">
        <v>1254</v>
      </c>
      <c r="AWF1" s="3" t="s">
        <v>1255</v>
      </c>
      <c r="AWG1" s="3" t="s">
        <v>1256</v>
      </c>
      <c r="AWH1" s="3" t="s">
        <v>1257</v>
      </c>
      <c r="AWI1" s="3" t="s">
        <v>1258</v>
      </c>
      <c r="AWJ1" s="3" t="s">
        <v>1259</v>
      </c>
      <c r="AWK1" s="3" t="s">
        <v>1260</v>
      </c>
      <c r="AWL1" s="3" t="s">
        <v>1261</v>
      </c>
      <c r="AWM1" s="3" t="s">
        <v>1262</v>
      </c>
      <c r="AWN1" s="3" t="s">
        <v>1263</v>
      </c>
      <c r="AWO1" s="3" t="s">
        <v>1264</v>
      </c>
      <c r="AWP1" s="3" t="s">
        <v>1265</v>
      </c>
      <c r="AWQ1" s="3" t="s">
        <v>1266</v>
      </c>
      <c r="AWR1" s="3" t="s">
        <v>1267</v>
      </c>
      <c r="AWS1" s="3" t="s">
        <v>1268</v>
      </c>
      <c r="AWT1" s="3" t="s">
        <v>1269</v>
      </c>
      <c r="AWU1" s="3" t="s">
        <v>1270</v>
      </c>
      <c r="AWV1" s="3" t="s">
        <v>1271</v>
      </c>
      <c r="AWW1" s="3" t="s">
        <v>1272</v>
      </c>
      <c r="AWX1" s="3" t="s">
        <v>1273</v>
      </c>
      <c r="AWY1" s="3" t="s">
        <v>1274</v>
      </c>
      <c r="AWZ1" s="3" t="s">
        <v>1275</v>
      </c>
      <c r="AXA1" s="3" t="s">
        <v>1276</v>
      </c>
      <c r="AXB1" s="3" t="s">
        <v>1277</v>
      </c>
      <c r="AXC1" s="3" t="s">
        <v>1278</v>
      </c>
      <c r="AXD1" s="3" t="s">
        <v>1279</v>
      </c>
      <c r="AXE1" s="3" t="s">
        <v>1280</v>
      </c>
      <c r="AXF1" s="3" t="s">
        <v>1281</v>
      </c>
      <c r="AXG1" s="3" t="s">
        <v>1282</v>
      </c>
      <c r="AXH1" s="3" t="s">
        <v>1283</v>
      </c>
      <c r="AXI1" s="3" t="s">
        <v>1284</v>
      </c>
      <c r="AXJ1" s="3" t="s">
        <v>1285</v>
      </c>
      <c r="AXK1" s="3" t="s">
        <v>1286</v>
      </c>
      <c r="AXL1" s="3" t="s">
        <v>1287</v>
      </c>
      <c r="AXM1" s="3" t="s">
        <v>1288</v>
      </c>
      <c r="AXN1" s="3" t="s">
        <v>1289</v>
      </c>
      <c r="AXO1" s="3" t="s">
        <v>1290</v>
      </c>
      <c r="AXP1" s="3" t="s">
        <v>1291</v>
      </c>
      <c r="AXQ1" s="3" t="s">
        <v>1292</v>
      </c>
      <c r="AXR1" s="3" t="s">
        <v>1293</v>
      </c>
      <c r="AXS1" s="3" t="s">
        <v>1294</v>
      </c>
      <c r="AXT1" s="3" t="s">
        <v>1295</v>
      </c>
      <c r="AXU1" s="3" t="s">
        <v>1296</v>
      </c>
      <c r="AXV1" s="3" t="s">
        <v>1297</v>
      </c>
      <c r="AXW1" s="3" t="s">
        <v>1298</v>
      </c>
      <c r="AXX1" s="3" t="s">
        <v>1299</v>
      </c>
      <c r="AXY1" s="3" t="s">
        <v>1300</v>
      </c>
      <c r="AXZ1" s="3" t="s">
        <v>1301</v>
      </c>
      <c r="AYA1" s="3" t="s">
        <v>1302</v>
      </c>
      <c r="AYB1" s="3" t="s">
        <v>1303</v>
      </c>
      <c r="AYC1" s="3" t="s">
        <v>1304</v>
      </c>
      <c r="AYD1" s="3" t="s">
        <v>1305</v>
      </c>
      <c r="AYE1" s="3" t="s">
        <v>1306</v>
      </c>
      <c r="AYF1" s="3" t="s">
        <v>1307</v>
      </c>
      <c r="AYG1" s="3" t="s">
        <v>1308</v>
      </c>
      <c r="AYH1" s="3" t="s">
        <v>1309</v>
      </c>
      <c r="AYI1" s="3" t="s">
        <v>1310</v>
      </c>
      <c r="AYJ1" s="3" t="s">
        <v>1311</v>
      </c>
      <c r="AYK1" s="3" t="s">
        <v>1312</v>
      </c>
      <c r="AYL1" s="3" t="s">
        <v>1313</v>
      </c>
      <c r="AYM1" s="3" t="s">
        <v>1314</v>
      </c>
      <c r="AYN1" s="3" t="s">
        <v>1315</v>
      </c>
      <c r="AYO1" s="3" t="s">
        <v>1316</v>
      </c>
      <c r="AYP1" s="3" t="s">
        <v>1317</v>
      </c>
      <c r="AYQ1" s="3" t="s">
        <v>1318</v>
      </c>
      <c r="AYR1" s="3" t="s">
        <v>1319</v>
      </c>
      <c r="AYS1" s="3" t="s">
        <v>1320</v>
      </c>
      <c r="AYT1" s="3" t="s">
        <v>1321</v>
      </c>
      <c r="AYU1" s="3" t="s">
        <v>1322</v>
      </c>
      <c r="AYV1" s="3" t="s">
        <v>1323</v>
      </c>
      <c r="AYW1" s="3" t="s">
        <v>1324</v>
      </c>
      <c r="AYX1" s="3" t="s">
        <v>1325</v>
      </c>
      <c r="AYY1" s="3" t="s">
        <v>1326</v>
      </c>
      <c r="AYZ1" s="3" t="s">
        <v>1327</v>
      </c>
      <c r="AZA1" s="3" t="s">
        <v>1328</v>
      </c>
      <c r="AZB1" s="3" t="s">
        <v>1329</v>
      </c>
      <c r="AZC1" s="3" t="s">
        <v>1330</v>
      </c>
      <c r="AZD1" s="3" t="s">
        <v>1331</v>
      </c>
      <c r="AZE1" s="3" t="s">
        <v>1332</v>
      </c>
      <c r="AZF1" s="3" t="s">
        <v>1333</v>
      </c>
      <c r="AZG1" s="3" t="s">
        <v>1334</v>
      </c>
      <c r="AZH1" s="3" t="s">
        <v>1335</v>
      </c>
      <c r="AZI1" s="3" t="s">
        <v>1336</v>
      </c>
      <c r="AZJ1" s="3" t="s">
        <v>1337</v>
      </c>
      <c r="AZK1" s="3" t="s">
        <v>1338</v>
      </c>
      <c r="AZL1" s="3" t="s">
        <v>1339</v>
      </c>
      <c r="AZM1" s="3" t="s">
        <v>1340</v>
      </c>
      <c r="AZN1" s="3" t="s">
        <v>1341</v>
      </c>
      <c r="AZO1" s="3" t="s">
        <v>1342</v>
      </c>
      <c r="AZP1" s="3" t="s">
        <v>1343</v>
      </c>
      <c r="AZQ1" s="3" t="s">
        <v>1344</v>
      </c>
      <c r="AZR1" s="3" t="s">
        <v>1345</v>
      </c>
      <c r="AZS1" s="3" t="s">
        <v>1346</v>
      </c>
      <c r="AZT1" s="3" t="s">
        <v>1347</v>
      </c>
      <c r="AZU1" s="3" t="s">
        <v>1348</v>
      </c>
      <c r="AZV1" s="3" t="s">
        <v>1349</v>
      </c>
      <c r="AZW1" s="3" t="s">
        <v>1350</v>
      </c>
      <c r="AZX1" s="3" t="s">
        <v>1351</v>
      </c>
      <c r="AZY1" s="3" t="s">
        <v>1352</v>
      </c>
      <c r="AZZ1" s="3" t="s">
        <v>1353</v>
      </c>
      <c r="BAA1" s="3" t="s">
        <v>1354</v>
      </c>
      <c r="BAB1" s="3" t="s">
        <v>1355</v>
      </c>
      <c r="BAC1" s="3" t="s">
        <v>1356</v>
      </c>
      <c r="BAD1" s="3" t="s">
        <v>1357</v>
      </c>
      <c r="BAE1" s="3" t="s">
        <v>1358</v>
      </c>
      <c r="BAF1" s="3" t="s">
        <v>1359</v>
      </c>
      <c r="BAG1" s="3" t="s">
        <v>1360</v>
      </c>
      <c r="BAH1" s="3" t="s">
        <v>1361</v>
      </c>
      <c r="BAI1" s="3" t="s">
        <v>1362</v>
      </c>
      <c r="BAJ1" s="3" t="s">
        <v>1363</v>
      </c>
      <c r="BAK1" s="3" t="s">
        <v>1364</v>
      </c>
      <c r="BAL1" s="3" t="s">
        <v>1365</v>
      </c>
      <c r="BAM1" s="3" t="s">
        <v>1366</v>
      </c>
      <c r="BAN1" s="3" t="s">
        <v>1367</v>
      </c>
      <c r="BAO1" s="3" t="s">
        <v>1368</v>
      </c>
      <c r="BAP1" s="3" t="s">
        <v>1369</v>
      </c>
      <c r="BAQ1" s="3" t="s">
        <v>1370</v>
      </c>
      <c r="BAR1" s="3" t="s">
        <v>1371</v>
      </c>
      <c r="BAS1" s="3" t="s">
        <v>1372</v>
      </c>
      <c r="BAT1" s="3" t="s">
        <v>1373</v>
      </c>
      <c r="BAU1" s="3" t="s">
        <v>1374</v>
      </c>
      <c r="BAV1" s="3" t="s">
        <v>1375</v>
      </c>
      <c r="BAW1" s="3" t="s">
        <v>1376</v>
      </c>
      <c r="BAX1" s="3" t="s">
        <v>1377</v>
      </c>
      <c r="BAY1" s="3" t="s">
        <v>1378</v>
      </c>
      <c r="BAZ1" s="3" t="s">
        <v>1379</v>
      </c>
      <c r="BBA1" s="3" t="s">
        <v>1380</v>
      </c>
      <c r="BBB1" s="3" t="s">
        <v>1381</v>
      </c>
      <c r="BBC1" s="3" t="s">
        <v>1382</v>
      </c>
      <c r="BBD1" s="3" t="s">
        <v>1383</v>
      </c>
      <c r="BBE1" s="3" t="s">
        <v>1384</v>
      </c>
      <c r="BBF1" s="3" t="s">
        <v>1385</v>
      </c>
      <c r="BBG1" s="3" t="s">
        <v>1386</v>
      </c>
      <c r="BBH1" s="3" t="s">
        <v>1387</v>
      </c>
      <c r="BBI1" s="3" t="s">
        <v>1388</v>
      </c>
      <c r="BBJ1" s="3" t="s">
        <v>1389</v>
      </c>
      <c r="BBK1" s="3" t="s">
        <v>1390</v>
      </c>
      <c r="BBL1" s="3" t="s">
        <v>1391</v>
      </c>
      <c r="BBM1" s="3" t="s">
        <v>1392</v>
      </c>
      <c r="BBN1" s="3" t="s">
        <v>1393</v>
      </c>
      <c r="BBO1" s="3" t="s">
        <v>1394</v>
      </c>
      <c r="BBP1" s="3" t="s">
        <v>1395</v>
      </c>
      <c r="BBQ1" s="3" t="s">
        <v>1396</v>
      </c>
      <c r="BBR1" s="3" t="s">
        <v>1397</v>
      </c>
      <c r="BBS1" s="3" t="s">
        <v>1398</v>
      </c>
      <c r="BBT1" s="3" t="s">
        <v>1399</v>
      </c>
      <c r="BBU1" s="3" t="s">
        <v>1400</v>
      </c>
      <c r="BBV1" s="3" t="s">
        <v>1401</v>
      </c>
      <c r="BBW1" s="3" t="s">
        <v>1402</v>
      </c>
      <c r="BBX1" s="3" t="s">
        <v>1403</v>
      </c>
      <c r="BBY1" s="3" t="s">
        <v>1404</v>
      </c>
      <c r="BBZ1" s="3" t="s">
        <v>1405</v>
      </c>
      <c r="BCA1" s="3" t="s">
        <v>1406</v>
      </c>
      <c r="BCB1" s="3" t="s">
        <v>1407</v>
      </c>
      <c r="BCC1" s="3" t="s">
        <v>1408</v>
      </c>
      <c r="BCD1" s="3" t="s">
        <v>1409</v>
      </c>
      <c r="BCE1" s="3" t="s">
        <v>1410</v>
      </c>
      <c r="BCF1" s="3" t="s">
        <v>1411</v>
      </c>
      <c r="BCG1" s="3" t="s">
        <v>1412</v>
      </c>
      <c r="BCH1" s="3" t="s">
        <v>1413</v>
      </c>
      <c r="BCI1" s="3" t="s">
        <v>1414</v>
      </c>
      <c r="BCJ1" s="3" t="s">
        <v>1415</v>
      </c>
      <c r="BCK1" s="3" t="s">
        <v>1416</v>
      </c>
      <c r="BCL1" s="3" t="s">
        <v>1417</v>
      </c>
      <c r="BCM1" s="3" t="s">
        <v>1418</v>
      </c>
      <c r="BCN1" s="3" t="s">
        <v>1419</v>
      </c>
      <c r="BCO1" s="3" t="s">
        <v>1420</v>
      </c>
      <c r="BCP1" s="3" t="s">
        <v>1421</v>
      </c>
      <c r="BCQ1" s="3" t="s">
        <v>1422</v>
      </c>
      <c r="BCR1" s="3" t="s">
        <v>1423</v>
      </c>
      <c r="BCS1" s="3" t="s">
        <v>1424</v>
      </c>
      <c r="BCT1" s="3" t="s">
        <v>1425</v>
      </c>
      <c r="BCU1" s="3" t="s">
        <v>1426</v>
      </c>
      <c r="BCV1" s="3" t="s">
        <v>1427</v>
      </c>
      <c r="BCW1" s="3" t="s">
        <v>1428</v>
      </c>
      <c r="BCX1" s="3" t="s">
        <v>1429</v>
      </c>
      <c r="BCY1" s="3" t="s">
        <v>1430</v>
      </c>
      <c r="BCZ1" s="3" t="s">
        <v>1431</v>
      </c>
      <c r="BDA1" s="3" t="s">
        <v>1432</v>
      </c>
      <c r="BDB1" s="3" t="s">
        <v>1433</v>
      </c>
      <c r="BDC1" s="3" t="s">
        <v>1434</v>
      </c>
      <c r="BDD1" s="3" t="s">
        <v>1435</v>
      </c>
      <c r="BDE1" s="3" t="s">
        <v>1436</v>
      </c>
      <c r="BDF1" s="3" t="s">
        <v>1437</v>
      </c>
      <c r="BDG1" s="3" t="s">
        <v>1438</v>
      </c>
      <c r="BDH1" s="3" t="s">
        <v>1439</v>
      </c>
      <c r="BDI1" s="3" t="s">
        <v>1440</v>
      </c>
      <c r="BDJ1" s="3" t="s">
        <v>1441</v>
      </c>
      <c r="BDK1" s="3" t="s">
        <v>1442</v>
      </c>
      <c r="BDL1" s="3" t="s">
        <v>1443</v>
      </c>
      <c r="BDM1" s="3" t="s">
        <v>1444</v>
      </c>
      <c r="BDN1" s="3" t="s">
        <v>1445</v>
      </c>
      <c r="BDO1" s="3" t="s">
        <v>1446</v>
      </c>
      <c r="BDP1" s="3" t="s">
        <v>1447</v>
      </c>
      <c r="BDQ1" s="3" t="s">
        <v>1448</v>
      </c>
      <c r="BDR1" s="3" t="s">
        <v>1449</v>
      </c>
      <c r="BDS1" s="3" t="s">
        <v>1450</v>
      </c>
      <c r="BDT1" s="3" t="s">
        <v>1451</v>
      </c>
      <c r="BDU1" s="3" t="s">
        <v>1452</v>
      </c>
      <c r="BDV1" s="3" t="s">
        <v>1453</v>
      </c>
      <c r="BDW1" s="3" t="s">
        <v>1454</v>
      </c>
      <c r="BDX1" s="3" t="s">
        <v>1455</v>
      </c>
      <c r="BDY1" s="3" t="s">
        <v>1456</v>
      </c>
      <c r="BDZ1" s="3" t="s">
        <v>1457</v>
      </c>
      <c r="BEA1" s="3" t="s">
        <v>1458</v>
      </c>
      <c r="BEB1" s="3" t="s">
        <v>1459</v>
      </c>
      <c r="BEC1" s="3" t="s">
        <v>1460</v>
      </c>
      <c r="BED1" s="3" t="s">
        <v>1461</v>
      </c>
      <c r="BEE1" s="3" t="s">
        <v>1462</v>
      </c>
      <c r="BEF1" s="3" t="s">
        <v>1463</v>
      </c>
      <c r="BEG1" s="3" t="s">
        <v>1464</v>
      </c>
      <c r="BEH1" s="3" t="s">
        <v>1465</v>
      </c>
      <c r="BEI1" s="3" t="s">
        <v>1466</v>
      </c>
      <c r="BEJ1" s="3" t="s">
        <v>1467</v>
      </c>
      <c r="BEK1" s="3" t="s">
        <v>1468</v>
      </c>
      <c r="BEL1" s="3" t="s">
        <v>1469</v>
      </c>
      <c r="BEM1" s="3" t="s">
        <v>1470</v>
      </c>
      <c r="BEN1" s="3" t="s">
        <v>1471</v>
      </c>
      <c r="BEO1" s="3" t="s">
        <v>1472</v>
      </c>
      <c r="BEP1" s="3" t="s">
        <v>1473</v>
      </c>
      <c r="BEQ1" s="3" t="s">
        <v>1474</v>
      </c>
      <c r="BER1" s="3" t="s">
        <v>1475</v>
      </c>
      <c r="BES1" s="3" t="s">
        <v>1476</v>
      </c>
      <c r="BET1" s="3" t="s">
        <v>1477</v>
      </c>
      <c r="BEU1" s="3" t="s">
        <v>1478</v>
      </c>
      <c r="BEV1" s="3" t="s">
        <v>1479</v>
      </c>
      <c r="BEW1" s="3" t="s">
        <v>1480</v>
      </c>
      <c r="BEX1" s="3" t="s">
        <v>1481</v>
      </c>
      <c r="BEY1" s="3" t="s">
        <v>1482</v>
      </c>
      <c r="BEZ1" s="3" t="s">
        <v>1483</v>
      </c>
      <c r="BFA1" s="3" t="s">
        <v>1484</v>
      </c>
      <c r="BFB1" s="3" t="s">
        <v>1485</v>
      </c>
      <c r="BFC1" s="3" t="s">
        <v>1486</v>
      </c>
      <c r="BFD1" s="3" t="s">
        <v>1487</v>
      </c>
      <c r="BFE1" s="3" t="s">
        <v>1488</v>
      </c>
      <c r="BFF1" s="3" t="s">
        <v>1489</v>
      </c>
      <c r="BFG1" s="3" t="s">
        <v>1490</v>
      </c>
      <c r="BFH1" s="3" t="s">
        <v>1491</v>
      </c>
      <c r="BFI1" s="3" t="s">
        <v>1492</v>
      </c>
      <c r="BFJ1" s="3" t="s">
        <v>1493</v>
      </c>
      <c r="BFK1" s="3" t="s">
        <v>1494</v>
      </c>
      <c r="BFL1" s="3" t="s">
        <v>1495</v>
      </c>
      <c r="BFM1" s="3" t="s">
        <v>1496</v>
      </c>
      <c r="BFN1" s="3" t="s">
        <v>1497</v>
      </c>
      <c r="BFO1" s="3" t="s">
        <v>1498</v>
      </c>
      <c r="BFP1" s="3" t="s">
        <v>1499</v>
      </c>
      <c r="BFQ1" s="3" t="s">
        <v>1500</v>
      </c>
      <c r="BFR1" s="3" t="s">
        <v>1501</v>
      </c>
      <c r="BFS1" s="3" t="s">
        <v>1502</v>
      </c>
      <c r="BFT1" s="3" t="s">
        <v>1503</v>
      </c>
      <c r="BFU1" s="3" t="s">
        <v>1504</v>
      </c>
      <c r="BFV1" s="3" t="s">
        <v>1505</v>
      </c>
      <c r="BFW1" s="3" t="s">
        <v>1506</v>
      </c>
      <c r="BFX1" s="3" t="s">
        <v>1507</v>
      </c>
      <c r="BFY1" s="3" t="s">
        <v>1508</v>
      </c>
      <c r="BFZ1" s="3" t="s">
        <v>1509</v>
      </c>
      <c r="BGA1" s="3" t="s">
        <v>1510</v>
      </c>
      <c r="BGB1" s="3" t="s">
        <v>1511</v>
      </c>
      <c r="BGC1" s="3" t="s">
        <v>1512</v>
      </c>
      <c r="BGD1" s="3" t="s">
        <v>1513</v>
      </c>
      <c r="BGE1" s="3" t="s">
        <v>1514</v>
      </c>
      <c r="BGF1" s="3" t="s">
        <v>1515</v>
      </c>
      <c r="BGG1" s="3" t="s">
        <v>1516</v>
      </c>
      <c r="BGH1" s="3" t="s">
        <v>1517</v>
      </c>
      <c r="BGI1" s="3" t="s">
        <v>1518</v>
      </c>
      <c r="BGJ1" s="3" t="s">
        <v>1519</v>
      </c>
      <c r="BGK1" s="3" t="s">
        <v>1520</v>
      </c>
      <c r="BGL1" s="3" t="s">
        <v>1521</v>
      </c>
      <c r="BGM1" s="3" t="s">
        <v>1522</v>
      </c>
      <c r="BGN1" s="3" t="s">
        <v>1523</v>
      </c>
      <c r="BGO1" s="3" t="s">
        <v>1524</v>
      </c>
      <c r="BGP1" s="3" t="s">
        <v>1525</v>
      </c>
      <c r="BGQ1" s="3" t="s">
        <v>1526</v>
      </c>
      <c r="BGR1" s="3" t="s">
        <v>1527</v>
      </c>
      <c r="BGS1" s="3" t="s">
        <v>1528</v>
      </c>
      <c r="BGT1" s="3" t="s">
        <v>1529</v>
      </c>
      <c r="BGU1" s="3" t="s">
        <v>1530</v>
      </c>
      <c r="BGV1" s="3" t="s">
        <v>1531</v>
      </c>
      <c r="BGW1" s="3" t="s">
        <v>1532</v>
      </c>
      <c r="BGX1" s="3" t="s">
        <v>1533</v>
      </c>
      <c r="BGY1" s="3" t="s">
        <v>1534</v>
      </c>
      <c r="BGZ1" s="3" t="s">
        <v>1535</v>
      </c>
      <c r="BHA1" s="3" t="s">
        <v>1536</v>
      </c>
      <c r="BHB1" s="3" t="s">
        <v>1537</v>
      </c>
      <c r="BHC1" s="3" t="s">
        <v>1538</v>
      </c>
      <c r="BHD1" s="3" t="s">
        <v>1539</v>
      </c>
      <c r="BHE1" s="3" t="s">
        <v>1540</v>
      </c>
      <c r="BHF1" s="3" t="s">
        <v>1541</v>
      </c>
      <c r="BHG1" s="3" t="s">
        <v>1542</v>
      </c>
      <c r="BHH1" s="3" t="s">
        <v>1543</v>
      </c>
      <c r="BHI1" s="3" t="s">
        <v>1544</v>
      </c>
      <c r="BHJ1" s="3" t="s">
        <v>1545</v>
      </c>
      <c r="BHK1" s="3" t="s">
        <v>1546</v>
      </c>
      <c r="BHL1" s="3" t="s">
        <v>1547</v>
      </c>
      <c r="BHM1" s="3" t="s">
        <v>1548</v>
      </c>
      <c r="BHN1" s="3" t="s">
        <v>1549</v>
      </c>
      <c r="BHO1" s="3" t="s">
        <v>1550</v>
      </c>
      <c r="BHP1" s="3" t="s">
        <v>1551</v>
      </c>
      <c r="BHQ1" s="3" t="s">
        <v>1552</v>
      </c>
      <c r="BHR1" s="3" t="s">
        <v>1553</v>
      </c>
      <c r="BHS1" s="3" t="s">
        <v>1554</v>
      </c>
      <c r="BHT1" s="3" t="s">
        <v>1555</v>
      </c>
      <c r="BHU1" s="3" t="s">
        <v>1556</v>
      </c>
      <c r="BHV1" s="3" t="s">
        <v>1557</v>
      </c>
      <c r="BHW1" s="3" t="s">
        <v>1558</v>
      </c>
      <c r="BHX1" s="3" t="s">
        <v>1559</v>
      </c>
      <c r="BHY1" s="3" t="s">
        <v>1560</v>
      </c>
      <c r="BHZ1" s="3" t="s">
        <v>1561</v>
      </c>
      <c r="BIA1" s="3" t="s">
        <v>1562</v>
      </c>
      <c r="BIB1" s="3" t="s">
        <v>1563</v>
      </c>
      <c r="BIC1" s="3" t="s">
        <v>1564</v>
      </c>
      <c r="BID1" s="3" t="s">
        <v>1565</v>
      </c>
      <c r="BIE1" s="3" t="s">
        <v>1566</v>
      </c>
      <c r="BIF1" s="3" t="s">
        <v>1567</v>
      </c>
      <c r="BIG1" s="3" t="s">
        <v>1568</v>
      </c>
      <c r="BIH1" s="3" t="s">
        <v>1569</v>
      </c>
      <c r="BII1" s="3" t="s">
        <v>1570</v>
      </c>
      <c r="BIJ1" s="3" t="s">
        <v>1571</v>
      </c>
      <c r="BIK1" s="3" t="s">
        <v>1572</v>
      </c>
      <c r="BIL1" s="3" t="s">
        <v>1573</v>
      </c>
      <c r="BIM1" s="3" t="s">
        <v>1574</v>
      </c>
      <c r="BIN1" s="3" t="s">
        <v>1575</v>
      </c>
      <c r="BIO1" s="3" t="s">
        <v>1576</v>
      </c>
      <c r="BIP1" s="3" t="s">
        <v>1577</v>
      </c>
      <c r="BIQ1" s="3" t="s">
        <v>1578</v>
      </c>
      <c r="BIR1" s="3" t="s">
        <v>1579</v>
      </c>
      <c r="BIS1" s="3" t="s">
        <v>1580</v>
      </c>
      <c r="BIT1" s="3" t="s">
        <v>1581</v>
      </c>
      <c r="BIU1" s="3" t="s">
        <v>1582</v>
      </c>
      <c r="BIV1" s="3" t="s">
        <v>1583</v>
      </c>
      <c r="BIW1" s="3" t="s">
        <v>1584</v>
      </c>
      <c r="BIX1" s="3" t="s">
        <v>1585</v>
      </c>
      <c r="BIY1" s="3" t="s">
        <v>1586</v>
      </c>
      <c r="BIZ1" s="3" t="s">
        <v>1587</v>
      </c>
      <c r="BJA1" s="3" t="s">
        <v>1588</v>
      </c>
      <c r="BJB1" s="3" t="s">
        <v>1589</v>
      </c>
      <c r="BJC1" s="3" t="s">
        <v>1590</v>
      </c>
      <c r="BJD1" s="3" t="s">
        <v>1591</v>
      </c>
      <c r="BJE1" s="3" t="s">
        <v>1592</v>
      </c>
      <c r="BJF1" s="3" t="s">
        <v>1593</v>
      </c>
      <c r="BJG1" s="3" t="s">
        <v>1594</v>
      </c>
      <c r="BJH1" s="3" t="s">
        <v>1595</v>
      </c>
      <c r="BJI1" s="3" t="s">
        <v>1596</v>
      </c>
      <c r="BJJ1" s="3" t="s">
        <v>1597</v>
      </c>
      <c r="BJK1" s="3" t="s">
        <v>1598</v>
      </c>
      <c r="BJL1" s="3" t="s">
        <v>1599</v>
      </c>
      <c r="BJM1" s="3" t="s">
        <v>1600</v>
      </c>
      <c r="BJN1" s="3" t="s">
        <v>1601</v>
      </c>
      <c r="BJO1" s="3" t="s">
        <v>1602</v>
      </c>
      <c r="BJP1" s="3" t="s">
        <v>1603</v>
      </c>
      <c r="BJQ1" s="3" t="s">
        <v>1604</v>
      </c>
      <c r="BJR1" s="3" t="s">
        <v>1605</v>
      </c>
      <c r="BJS1" s="3" t="s">
        <v>1606</v>
      </c>
      <c r="BJT1" s="3" t="s">
        <v>1607</v>
      </c>
      <c r="BJU1" s="3" t="s">
        <v>1608</v>
      </c>
      <c r="BJV1" s="3" t="s">
        <v>1609</v>
      </c>
      <c r="BJW1" s="3" t="s">
        <v>1610</v>
      </c>
      <c r="BJX1" s="3" t="s">
        <v>1611</v>
      </c>
      <c r="BJY1" s="3" t="s">
        <v>1612</v>
      </c>
      <c r="BJZ1" s="3" t="s">
        <v>1613</v>
      </c>
      <c r="BKA1" s="3" t="s">
        <v>1614</v>
      </c>
      <c r="BKB1" s="3" t="s">
        <v>1615</v>
      </c>
      <c r="BKC1" s="3" t="s">
        <v>1616</v>
      </c>
      <c r="BKD1" s="3" t="s">
        <v>1617</v>
      </c>
      <c r="BKE1" s="3" t="s">
        <v>1618</v>
      </c>
      <c r="BKF1" s="3" t="s">
        <v>1619</v>
      </c>
      <c r="BKG1" s="3" t="s">
        <v>1620</v>
      </c>
      <c r="BKH1" s="3" t="s">
        <v>1621</v>
      </c>
      <c r="BKI1" s="3" t="s">
        <v>1622</v>
      </c>
      <c r="BKJ1" s="3" t="s">
        <v>1623</v>
      </c>
      <c r="BKK1" s="3" t="s">
        <v>1624</v>
      </c>
      <c r="BKL1" s="3" t="s">
        <v>1625</v>
      </c>
      <c r="BKM1" s="3" t="s">
        <v>1626</v>
      </c>
      <c r="BKN1" s="3" t="s">
        <v>1627</v>
      </c>
      <c r="BKO1" s="3" t="s">
        <v>1628</v>
      </c>
      <c r="BKP1" s="3" t="s">
        <v>1629</v>
      </c>
      <c r="BKQ1" s="3" t="s">
        <v>1630</v>
      </c>
      <c r="BKR1" s="3" t="s">
        <v>1631</v>
      </c>
      <c r="BKS1" s="3" t="s">
        <v>1632</v>
      </c>
      <c r="BKT1" s="3" t="s">
        <v>1633</v>
      </c>
      <c r="BKU1" s="3" t="s">
        <v>1634</v>
      </c>
      <c r="BKV1" s="3" t="s">
        <v>1635</v>
      </c>
      <c r="BKW1" s="3" t="s">
        <v>1636</v>
      </c>
      <c r="BKX1" s="3" t="s">
        <v>1637</v>
      </c>
      <c r="BKY1" s="3" t="s">
        <v>1638</v>
      </c>
      <c r="BKZ1" s="3" t="s">
        <v>1639</v>
      </c>
      <c r="BLA1" s="3" t="s">
        <v>1640</v>
      </c>
      <c r="BLB1" s="3" t="s">
        <v>1641</v>
      </c>
      <c r="BLC1" s="3" t="s">
        <v>1642</v>
      </c>
      <c r="BLD1" s="3" t="s">
        <v>1643</v>
      </c>
      <c r="BLE1" s="3" t="s">
        <v>1644</v>
      </c>
      <c r="BLF1" s="3" t="s">
        <v>1645</v>
      </c>
      <c r="BLG1" s="3" t="s">
        <v>1646</v>
      </c>
      <c r="BLH1" s="3" t="s">
        <v>1647</v>
      </c>
      <c r="BLI1" s="3" t="s">
        <v>1648</v>
      </c>
      <c r="BLJ1" s="3" t="s">
        <v>1649</v>
      </c>
      <c r="BLK1" s="3" t="s">
        <v>1650</v>
      </c>
      <c r="BLL1" s="3" t="s">
        <v>1651</v>
      </c>
      <c r="BLM1" s="3" t="s">
        <v>1652</v>
      </c>
      <c r="BLN1" s="3" t="s">
        <v>1653</v>
      </c>
      <c r="BLO1" s="3" t="s">
        <v>1654</v>
      </c>
      <c r="BLP1" s="3" t="s">
        <v>1655</v>
      </c>
      <c r="BLQ1" s="3" t="s">
        <v>1656</v>
      </c>
      <c r="BLR1" s="3" t="s">
        <v>1657</v>
      </c>
      <c r="BLS1" s="3" t="s">
        <v>1658</v>
      </c>
      <c r="BLT1" s="3" t="s">
        <v>1659</v>
      </c>
      <c r="BLU1" s="3" t="s">
        <v>1660</v>
      </c>
      <c r="BLV1" s="3" t="s">
        <v>1661</v>
      </c>
      <c r="BLW1" s="3" t="s">
        <v>1662</v>
      </c>
      <c r="BLX1" s="3" t="s">
        <v>1663</v>
      </c>
      <c r="BLY1" s="3" t="s">
        <v>1664</v>
      </c>
      <c r="BLZ1" s="3" t="s">
        <v>1665</v>
      </c>
      <c r="BMA1" s="3" t="s">
        <v>1666</v>
      </c>
      <c r="BMB1" s="3" t="s">
        <v>1667</v>
      </c>
      <c r="BMC1" s="3" t="s">
        <v>1668</v>
      </c>
      <c r="BMD1" s="3" t="s">
        <v>1669</v>
      </c>
      <c r="BME1" s="3" t="s">
        <v>1670</v>
      </c>
      <c r="BMF1" s="3" t="s">
        <v>1671</v>
      </c>
      <c r="BMG1" s="3" t="s">
        <v>1672</v>
      </c>
      <c r="BMH1" s="3" t="s">
        <v>1673</v>
      </c>
      <c r="BMI1" s="3" t="s">
        <v>1674</v>
      </c>
      <c r="BMJ1" s="3" t="s">
        <v>1675</v>
      </c>
      <c r="BMK1" s="3" t="s">
        <v>1676</v>
      </c>
      <c r="BML1" s="3" t="s">
        <v>1677</v>
      </c>
      <c r="BMM1" s="3" t="s">
        <v>1678</v>
      </c>
      <c r="BMN1" s="3" t="s">
        <v>1679</v>
      </c>
      <c r="BMO1" s="3" t="s">
        <v>1680</v>
      </c>
      <c r="BMP1" s="3" t="s">
        <v>1681</v>
      </c>
      <c r="BMQ1" s="3" t="s">
        <v>1682</v>
      </c>
      <c r="BMR1" s="3" t="s">
        <v>1683</v>
      </c>
      <c r="BMS1" s="3" t="s">
        <v>1684</v>
      </c>
      <c r="BMT1" s="3" t="s">
        <v>1685</v>
      </c>
      <c r="BMU1" s="3" t="s">
        <v>1686</v>
      </c>
      <c r="BMV1" s="3" t="s">
        <v>1687</v>
      </c>
      <c r="BMW1" s="3" t="s">
        <v>1688</v>
      </c>
      <c r="BMX1" s="3" t="s">
        <v>1689</v>
      </c>
      <c r="BMY1" s="3" t="s">
        <v>1690</v>
      </c>
      <c r="BMZ1" s="3" t="s">
        <v>1691</v>
      </c>
      <c r="BNA1" s="3" t="s">
        <v>1692</v>
      </c>
      <c r="BNB1" s="3" t="s">
        <v>1693</v>
      </c>
      <c r="BNC1" s="3" t="s">
        <v>1694</v>
      </c>
      <c r="BND1" s="3" t="s">
        <v>1695</v>
      </c>
      <c r="BNE1" s="3" t="s">
        <v>1696</v>
      </c>
      <c r="BNF1" s="3" t="s">
        <v>1697</v>
      </c>
      <c r="BNG1" s="3" t="s">
        <v>1698</v>
      </c>
      <c r="BNH1" s="3" t="s">
        <v>1699</v>
      </c>
      <c r="BNI1" s="3" t="s">
        <v>1700</v>
      </c>
      <c r="BNJ1" s="3" t="s">
        <v>1701</v>
      </c>
      <c r="BNK1" s="3" t="s">
        <v>1702</v>
      </c>
      <c r="BNL1" s="3" t="s">
        <v>1703</v>
      </c>
      <c r="BNM1" s="3" t="s">
        <v>1704</v>
      </c>
      <c r="BNN1" s="3" t="s">
        <v>1705</v>
      </c>
      <c r="BNO1" s="3" t="s">
        <v>1706</v>
      </c>
      <c r="BNP1" s="3" t="s">
        <v>1707</v>
      </c>
      <c r="BNQ1" s="3" t="s">
        <v>1708</v>
      </c>
      <c r="BNR1" s="3" t="s">
        <v>1709</v>
      </c>
      <c r="BNS1" s="3" t="s">
        <v>1710</v>
      </c>
      <c r="BNT1" s="3" t="s">
        <v>1711</v>
      </c>
      <c r="BNU1" s="3" t="s">
        <v>1712</v>
      </c>
      <c r="BNV1" s="3" t="s">
        <v>1713</v>
      </c>
      <c r="BNW1" s="3" t="s">
        <v>1714</v>
      </c>
      <c r="BNX1" s="3" t="s">
        <v>1715</v>
      </c>
      <c r="BNY1" s="3" t="s">
        <v>1716</v>
      </c>
      <c r="BNZ1" s="3" t="s">
        <v>1717</v>
      </c>
      <c r="BOA1" s="3" t="s">
        <v>1718</v>
      </c>
      <c r="BOB1" s="3" t="s">
        <v>1719</v>
      </c>
      <c r="BOC1" s="3" t="s">
        <v>1720</v>
      </c>
      <c r="BOD1" s="3" t="s">
        <v>1721</v>
      </c>
      <c r="BOE1" s="3" t="s">
        <v>1722</v>
      </c>
      <c r="BOF1" s="3" t="s">
        <v>1723</v>
      </c>
      <c r="BOG1" s="3" t="s">
        <v>1724</v>
      </c>
      <c r="BOH1" s="3" t="s">
        <v>1725</v>
      </c>
      <c r="BOI1" s="3" t="s">
        <v>1726</v>
      </c>
      <c r="BOJ1" s="3" t="s">
        <v>1727</v>
      </c>
      <c r="BOK1" s="3" t="s">
        <v>1728</v>
      </c>
      <c r="BOL1" s="3" t="s">
        <v>1729</v>
      </c>
      <c r="BOM1" s="3" t="s">
        <v>1730</v>
      </c>
      <c r="BON1" s="3" t="s">
        <v>1731</v>
      </c>
      <c r="BOO1" s="3" t="s">
        <v>1732</v>
      </c>
      <c r="BOP1" s="3" t="s">
        <v>1733</v>
      </c>
      <c r="BOQ1" s="3" t="s">
        <v>1734</v>
      </c>
      <c r="BOR1" s="3" t="s">
        <v>1735</v>
      </c>
      <c r="BOS1" s="3" t="s">
        <v>1736</v>
      </c>
      <c r="BOT1" s="3" t="s">
        <v>1737</v>
      </c>
      <c r="BOU1" s="3" t="s">
        <v>1738</v>
      </c>
      <c r="BOV1" s="3" t="s">
        <v>1739</v>
      </c>
      <c r="BOW1" s="3" t="s">
        <v>1740</v>
      </c>
      <c r="BOX1" s="3" t="s">
        <v>1741</v>
      </c>
      <c r="BOY1" s="3" t="s">
        <v>1742</v>
      </c>
      <c r="BOZ1" s="3" t="s">
        <v>1743</v>
      </c>
      <c r="BPA1" s="3" t="s">
        <v>1744</v>
      </c>
      <c r="BPB1" s="3" t="s">
        <v>1745</v>
      </c>
      <c r="BPC1" s="3" t="s">
        <v>1746</v>
      </c>
      <c r="BPD1" s="3" t="s">
        <v>1747</v>
      </c>
      <c r="BPE1" s="3" t="s">
        <v>1748</v>
      </c>
      <c r="BPF1" s="3" t="s">
        <v>1749</v>
      </c>
      <c r="BPG1" s="3" t="s">
        <v>1750</v>
      </c>
      <c r="BPH1" s="3" t="s">
        <v>1751</v>
      </c>
      <c r="BPI1" s="3" t="s">
        <v>1752</v>
      </c>
      <c r="BPJ1" s="3" t="s">
        <v>1753</v>
      </c>
      <c r="BPK1" s="3" t="s">
        <v>1754</v>
      </c>
      <c r="BPL1" s="3" t="s">
        <v>1755</v>
      </c>
      <c r="BPM1" s="3" t="s">
        <v>1756</v>
      </c>
      <c r="BPN1" s="3" t="s">
        <v>1757</v>
      </c>
      <c r="BPO1" s="3" t="s">
        <v>1758</v>
      </c>
      <c r="BPP1" s="3" t="s">
        <v>1759</v>
      </c>
      <c r="BPQ1" s="3" t="s">
        <v>1760</v>
      </c>
      <c r="BPR1" s="3" t="s">
        <v>1761</v>
      </c>
      <c r="BPS1" s="3" t="s">
        <v>1762</v>
      </c>
      <c r="BPT1" s="3" t="s">
        <v>1763</v>
      </c>
      <c r="BPU1" s="3" t="s">
        <v>1764</v>
      </c>
      <c r="BPV1" s="3" t="s">
        <v>1765</v>
      </c>
      <c r="BPW1" s="3" t="s">
        <v>1766</v>
      </c>
      <c r="BPX1" s="3" t="s">
        <v>1767</v>
      </c>
      <c r="BPY1" s="3" t="s">
        <v>1768</v>
      </c>
      <c r="BPZ1" s="3" t="s">
        <v>1769</v>
      </c>
      <c r="BQA1" s="3" t="s">
        <v>1770</v>
      </c>
      <c r="BQB1" s="3" t="s">
        <v>1771</v>
      </c>
      <c r="BQC1" s="3" t="s">
        <v>1772</v>
      </c>
      <c r="BQD1" s="3" t="s">
        <v>1773</v>
      </c>
      <c r="BQE1" s="3" t="s">
        <v>1774</v>
      </c>
      <c r="BQF1" s="3" t="s">
        <v>1775</v>
      </c>
      <c r="BQG1" s="3" t="s">
        <v>1776</v>
      </c>
      <c r="BQH1" s="3" t="s">
        <v>1777</v>
      </c>
      <c r="BQI1" s="3" t="s">
        <v>1778</v>
      </c>
      <c r="BQJ1" s="3" t="s">
        <v>1779</v>
      </c>
      <c r="BQK1" s="3" t="s">
        <v>1780</v>
      </c>
      <c r="BQL1" s="3" t="s">
        <v>1781</v>
      </c>
      <c r="BQM1" s="3" t="s">
        <v>1782</v>
      </c>
      <c r="BQN1" s="3" t="s">
        <v>1783</v>
      </c>
      <c r="BQO1" s="3" t="s">
        <v>1784</v>
      </c>
      <c r="BQP1" s="3" t="s">
        <v>1785</v>
      </c>
      <c r="BQQ1" s="3" t="s">
        <v>1786</v>
      </c>
      <c r="BQR1" s="3" t="s">
        <v>1787</v>
      </c>
      <c r="BQS1" s="3" t="s">
        <v>1788</v>
      </c>
      <c r="BQT1" s="3" t="s">
        <v>1789</v>
      </c>
      <c r="BQU1" s="3" t="s">
        <v>1790</v>
      </c>
      <c r="BQV1" s="3" t="s">
        <v>1791</v>
      </c>
      <c r="BQW1" s="3" t="s">
        <v>1792</v>
      </c>
      <c r="BQX1" s="3" t="s">
        <v>1793</v>
      </c>
      <c r="BQY1" s="3" t="s">
        <v>1794</v>
      </c>
      <c r="BQZ1" s="3" t="s">
        <v>1795</v>
      </c>
      <c r="BRA1" s="3" t="s">
        <v>1796</v>
      </c>
      <c r="BRB1" s="3" t="s">
        <v>1797</v>
      </c>
      <c r="BRC1" s="3" t="s">
        <v>1798</v>
      </c>
      <c r="BRD1" s="3" t="s">
        <v>1799</v>
      </c>
      <c r="BRE1" s="3" t="s">
        <v>1800</v>
      </c>
      <c r="BRF1" s="3" t="s">
        <v>1801</v>
      </c>
      <c r="BRG1" s="3" t="s">
        <v>1802</v>
      </c>
      <c r="BRH1" s="3" t="s">
        <v>1803</v>
      </c>
      <c r="BRI1" s="3" t="s">
        <v>1804</v>
      </c>
      <c r="BRJ1" s="3" t="s">
        <v>1805</v>
      </c>
      <c r="BRK1" s="3" t="s">
        <v>1806</v>
      </c>
      <c r="BRL1" s="3" t="s">
        <v>1807</v>
      </c>
      <c r="BRM1" s="3" t="s">
        <v>1808</v>
      </c>
      <c r="BRN1" s="3" t="s">
        <v>1809</v>
      </c>
      <c r="BRO1" s="3" t="s">
        <v>1810</v>
      </c>
      <c r="BRP1" s="3" t="s">
        <v>1811</v>
      </c>
      <c r="BRQ1" s="3" t="s">
        <v>1812</v>
      </c>
      <c r="BRR1" s="3" t="s">
        <v>1813</v>
      </c>
      <c r="BRS1" s="3" t="s">
        <v>1814</v>
      </c>
      <c r="BRT1" s="3" t="s">
        <v>1815</v>
      </c>
      <c r="BRU1" s="3" t="s">
        <v>1816</v>
      </c>
      <c r="BRV1" s="3" t="s">
        <v>1817</v>
      </c>
      <c r="BRW1" s="3" t="s">
        <v>1818</v>
      </c>
      <c r="BRX1" s="3" t="s">
        <v>1819</v>
      </c>
      <c r="BRY1" s="3" t="s">
        <v>1820</v>
      </c>
      <c r="BRZ1" s="3" t="s">
        <v>1821</v>
      </c>
      <c r="BSA1" s="3" t="s">
        <v>1822</v>
      </c>
      <c r="BSB1" s="3" t="s">
        <v>1823</v>
      </c>
      <c r="BSC1" s="3" t="s">
        <v>1824</v>
      </c>
      <c r="BSD1" s="3" t="s">
        <v>1825</v>
      </c>
      <c r="BSE1" s="3" t="s">
        <v>1826</v>
      </c>
      <c r="BSF1" s="3" t="s">
        <v>1827</v>
      </c>
      <c r="BSG1" s="3" t="s">
        <v>1828</v>
      </c>
      <c r="BSH1" s="3" t="s">
        <v>1829</v>
      </c>
      <c r="BSI1" s="3" t="s">
        <v>1830</v>
      </c>
      <c r="BSJ1" s="3" t="s">
        <v>1831</v>
      </c>
      <c r="BSK1" s="3" t="s">
        <v>1832</v>
      </c>
      <c r="BSL1" s="3" t="s">
        <v>1833</v>
      </c>
      <c r="BSM1" s="3" t="s">
        <v>1834</v>
      </c>
      <c r="BSN1" s="3" t="s">
        <v>1835</v>
      </c>
      <c r="BSO1" s="3" t="s">
        <v>1836</v>
      </c>
      <c r="BSP1" s="3" t="s">
        <v>1837</v>
      </c>
      <c r="BSQ1" s="3" t="s">
        <v>1838</v>
      </c>
      <c r="BSR1" s="3" t="s">
        <v>1839</v>
      </c>
      <c r="BSS1" s="3" t="s">
        <v>1840</v>
      </c>
      <c r="BST1" s="3" t="s">
        <v>1841</v>
      </c>
      <c r="BSU1" s="3" t="s">
        <v>1842</v>
      </c>
      <c r="BSV1" s="3" t="s">
        <v>1843</v>
      </c>
      <c r="BSW1" s="3" t="s">
        <v>1844</v>
      </c>
      <c r="BSX1" s="3" t="s">
        <v>1845</v>
      </c>
      <c r="BSY1" s="3" t="s">
        <v>1846</v>
      </c>
      <c r="BSZ1" s="3" t="s">
        <v>1847</v>
      </c>
      <c r="BTA1" s="3" t="s">
        <v>1848</v>
      </c>
      <c r="BTB1" s="3" t="s">
        <v>1849</v>
      </c>
      <c r="BTC1" s="3" t="s">
        <v>1850</v>
      </c>
      <c r="BTD1" s="3" t="s">
        <v>1851</v>
      </c>
      <c r="BTE1" s="3" t="s">
        <v>1852</v>
      </c>
      <c r="BTF1" s="3" t="s">
        <v>1853</v>
      </c>
      <c r="BTG1" s="3" t="s">
        <v>1854</v>
      </c>
      <c r="BTH1" s="3" t="s">
        <v>1855</v>
      </c>
      <c r="BTI1" s="3" t="s">
        <v>1856</v>
      </c>
      <c r="BTJ1" s="3" t="s">
        <v>1857</v>
      </c>
      <c r="BTK1" s="3" t="s">
        <v>1858</v>
      </c>
      <c r="BTL1" s="3" t="s">
        <v>1859</v>
      </c>
      <c r="BTM1" s="3" t="s">
        <v>1860</v>
      </c>
      <c r="BTN1" s="3" t="s">
        <v>1861</v>
      </c>
      <c r="BTO1" s="3" t="s">
        <v>1862</v>
      </c>
      <c r="BTP1" s="3" t="s">
        <v>1863</v>
      </c>
      <c r="BTQ1" s="3" t="s">
        <v>1864</v>
      </c>
      <c r="BTR1" s="3" t="s">
        <v>1865</v>
      </c>
      <c r="BTS1" s="3" t="s">
        <v>1866</v>
      </c>
      <c r="BTT1" s="3" t="s">
        <v>1867</v>
      </c>
      <c r="BTU1" s="3" t="s">
        <v>1868</v>
      </c>
      <c r="BTV1" s="3" t="s">
        <v>1869</v>
      </c>
      <c r="BTW1" s="3" t="s">
        <v>1870</v>
      </c>
      <c r="BTX1" s="3" t="s">
        <v>1871</v>
      </c>
      <c r="BTY1" s="3" t="s">
        <v>1872</v>
      </c>
      <c r="BTZ1" s="3" t="s">
        <v>1873</v>
      </c>
      <c r="BUA1" s="3" t="s">
        <v>1874</v>
      </c>
      <c r="BUB1" s="3" t="s">
        <v>1875</v>
      </c>
      <c r="BUC1" s="3" t="s">
        <v>1876</v>
      </c>
      <c r="BUD1" s="3" t="s">
        <v>1877</v>
      </c>
      <c r="BUE1" s="3" t="s">
        <v>1878</v>
      </c>
      <c r="BUF1" s="3" t="s">
        <v>1879</v>
      </c>
      <c r="BUG1" s="3" t="s">
        <v>1880</v>
      </c>
      <c r="BUH1" s="3" t="s">
        <v>1881</v>
      </c>
      <c r="BUI1" s="3" t="s">
        <v>1882</v>
      </c>
      <c r="BUJ1" s="3" t="s">
        <v>1883</v>
      </c>
      <c r="BUK1" s="3" t="s">
        <v>1884</v>
      </c>
      <c r="BUL1" s="3" t="s">
        <v>1885</v>
      </c>
      <c r="BUM1" s="3" t="s">
        <v>1886</v>
      </c>
      <c r="BUN1" s="3" t="s">
        <v>1887</v>
      </c>
      <c r="BUO1" s="3" t="s">
        <v>1888</v>
      </c>
      <c r="BUP1" s="3" t="s">
        <v>1889</v>
      </c>
      <c r="BUQ1" s="3" t="s">
        <v>1890</v>
      </c>
      <c r="BUR1" s="3" t="s">
        <v>1891</v>
      </c>
      <c r="BUS1" s="3" t="s">
        <v>1892</v>
      </c>
      <c r="BUT1" s="3" t="s">
        <v>1893</v>
      </c>
      <c r="BUU1" s="3" t="s">
        <v>1894</v>
      </c>
      <c r="BUV1" s="3" t="s">
        <v>1895</v>
      </c>
      <c r="BUW1" s="3" t="s">
        <v>1896</v>
      </c>
      <c r="BUX1" s="3" t="s">
        <v>1897</v>
      </c>
      <c r="BUY1" s="3" t="s">
        <v>1898</v>
      </c>
      <c r="BUZ1" s="3" t="s">
        <v>1899</v>
      </c>
      <c r="BVA1" s="3" t="s">
        <v>1900</v>
      </c>
      <c r="BVB1" s="3" t="s">
        <v>1901</v>
      </c>
      <c r="BVC1" s="3" t="s">
        <v>1902</v>
      </c>
      <c r="BVD1" s="3" t="s">
        <v>1903</v>
      </c>
      <c r="BVE1" s="3" t="s">
        <v>1904</v>
      </c>
      <c r="BVF1" s="3" t="s">
        <v>1905</v>
      </c>
      <c r="BVG1" s="3" t="s">
        <v>1906</v>
      </c>
      <c r="BVH1" s="3" t="s">
        <v>1907</v>
      </c>
      <c r="BVI1" s="3" t="s">
        <v>1908</v>
      </c>
      <c r="BVJ1" s="3" t="s">
        <v>1909</v>
      </c>
      <c r="BVK1" s="3" t="s">
        <v>1910</v>
      </c>
      <c r="BVL1" s="3" t="s">
        <v>1911</v>
      </c>
      <c r="BVM1" s="3" t="s">
        <v>1912</v>
      </c>
      <c r="BVN1" s="3" t="s">
        <v>1913</v>
      </c>
      <c r="BVO1" s="3" t="s">
        <v>1914</v>
      </c>
      <c r="BVP1" s="3" t="s">
        <v>1915</v>
      </c>
      <c r="BVQ1" s="3" t="s">
        <v>1916</v>
      </c>
      <c r="BVR1" s="3" t="s">
        <v>1917</v>
      </c>
      <c r="BVS1" s="3" t="s">
        <v>1918</v>
      </c>
      <c r="BVT1" s="3" t="s">
        <v>1919</v>
      </c>
      <c r="BVU1" s="3" t="s">
        <v>1920</v>
      </c>
      <c r="BVV1" s="3" t="s">
        <v>1921</v>
      </c>
      <c r="BVW1" s="3" t="s">
        <v>1922</v>
      </c>
      <c r="BVX1" s="3" t="s">
        <v>1923</v>
      </c>
      <c r="BVY1" s="3" t="s">
        <v>1924</v>
      </c>
      <c r="BVZ1" s="3" t="s">
        <v>1925</v>
      </c>
      <c r="BWA1" s="3" t="s">
        <v>1926</v>
      </c>
      <c r="BWB1" s="3" t="s">
        <v>1927</v>
      </c>
      <c r="BWC1" s="3" t="s">
        <v>1928</v>
      </c>
      <c r="BWD1" s="3" t="s">
        <v>1929</v>
      </c>
      <c r="BWE1" s="3" t="s">
        <v>1930</v>
      </c>
      <c r="BWF1" s="3" t="s">
        <v>1931</v>
      </c>
      <c r="BWG1" s="3" t="s">
        <v>1932</v>
      </c>
      <c r="BWH1" s="3" t="s">
        <v>1933</v>
      </c>
      <c r="BWI1" s="3" t="s">
        <v>1934</v>
      </c>
      <c r="BWJ1" s="3" t="s">
        <v>1935</v>
      </c>
      <c r="BWK1" s="3" t="s">
        <v>1936</v>
      </c>
      <c r="BWL1" s="3" t="s">
        <v>1937</v>
      </c>
      <c r="BWM1" s="3" t="s">
        <v>1938</v>
      </c>
      <c r="BWN1" s="3" t="s">
        <v>1939</v>
      </c>
      <c r="BWO1" s="3" t="s">
        <v>1940</v>
      </c>
      <c r="BWP1" s="3" t="s">
        <v>1941</v>
      </c>
      <c r="BWQ1" s="3" t="s">
        <v>1942</v>
      </c>
      <c r="BWR1" s="3" t="s">
        <v>1943</v>
      </c>
      <c r="BWS1" s="3" t="s">
        <v>1944</v>
      </c>
      <c r="BWT1" s="3" t="s">
        <v>1945</v>
      </c>
      <c r="BWU1" s="3" t="s">
        <v>1946</v>
      </c>
      <c r="BWV1" s="3" t="s">
        <v>1947</v>
      </c>
      <c r="BWW1" s="3" t="s">
        <v>1948</v>
      </c>
      <c r="BWX1" s="3" t="s">
        <v>1949</v>
      </c>
      <c r="BWY1" s="3" t="s">
        <v>1950</v>
      </c>
      <c r="BWZ1" s="3" t="s">
        <v>1951</v>
      </c>
      <c r="BXA1" s="3" t="s">
        <v>1952</v>
      </c>
      <c r="BXB1" s="3" t="s">
        <v>1953</v>
      </c>
      <c r="BXC1" s="3" t="s">
        <v>1954</v>
      </c>
      <c r="BXD1" s="3" t="s">
        <v>1955</v>
      </c>
      <c r="BXE1" s="3" t="s">
        <v>1956</v>
      </c>
      <c r="BXF1" s="3" t="s">
        <v>1957</v>
      </c>
      <c r="BXG1" s="3" t="s">
        <v>1958</v>
      </c>
      <c r="BXH1" s="3" t="s">
        <v>1959</v>
      </c>
      <c r="BXI1" s="3" t="s">
        <v>1960</v>
      </c>
      <c r="BXJ1" s="3" t="s">
        <v>1961</v>
      </c>
      <c r="BXK1" s="3" t="s">
        <v>1962</v>
      </c>
      <c r="BXL1" s="3" t="s">
        <v>1963</v>
      </c>
      <c r="BXM1" s="3" t="s">
        <v>1964</v>
      </c>
      <c r="BXN1" s="3" t="s">
        <v>1965</v>
      </c>
      <c r="BXO1" s="3" t="s">
        <v>1966</v>
      </c>
      <c r="BXP1" s="3" t="s">
        <v>1967</v>
      </c>
      <c r="BXQ1" s="3" t="s">
        <v>1968</v>
      </c>
      <c r="BXR1" s="3" t="s">
        <v>1969</v>
      </c>
      <c r="BXS1" s="3" t="s">
        <v>1970</v>
      </c>
      <c r="BXT1" s="3" t="s">
        <v>1971</v>
      </c>
      <c r="BXU1" s="3" t="s">
        <v>1972</v>
      </c>
      <c r="BXV1" s="3" t="s">
        <v>1973</v>
      </c>
      <c r="BXW1" s="3" t="s">
        <v>1974</v>
      </c>
      <c r="BXX1" s="3" t="s">
        <v>1975</v>
      </c>
      <c r="BXY1" s="3" t="s">
        <v>1976</v>
      </c>
      <c r="BXZ1" s="3" t="s">
        <v>1977</v>
      </c>
      <c r="BYA1" s="3" t="s">
        <v>1978</v>
      </c>
      <c r="BYB1" s="3" t="s">
        <v>1979</v>
      </c>
      <c r="BYC1" s="3" t="s">
        <v>1980</v>
      </c>
      <c r="BYD1" s="3" t="s">
        <v>1981</v>
      </c>
      <c r="BYE1" s="3" t="s">
        <v>1982</v>
      </c>
      <c r="BYF1" s="3" t="s">
        <v>1983</v>
      </c>
      <c r="BYG1" s="3" t="s">
        <v>1984</v>
      </c>
      <c r="BYH1" s="3" t="s">
        <v>1985</v>
      </c>
      <c r="BYI1" s="3" t="s">
        <v>1986</v>
      </c>
      <c r="BYJ1" s="3" t="s">
        <v>1987</v>
      </c>
      <c r="BYK1" s="3" t="s">
        <v>1988</v>
      </c>
      <c r="BYL1" s="3" t="s">
        <v>1989</v>
      </c>
      <c r="BYM1" s="3" t="s">
        <v>1990</v>
      </c>
      <c r="BYN1" s="3" t="s">
        <v>1991</v>
      </c>
      <c r="BYO1" s="3" t="s">
        <v>1992</v>
      </c>
      <c r="BYP1" s="3" t="s">
        <v>1993</v>
      </c>
      <c r="BYQ1" s="3" t="s">
        <v>1994</v>
      </c>
      <c r="BYR1" s="3" t="s">
        <v>1995</v>
      </c>
      <c r="BYS1" s="3" t="s">
        <v>1996</v>
      </c>
      <c r="BYT1" s="3" t="s">
        <v>1997</v>
      </c>
      <c r="BYU1" s="3" t="s">
        <v>1998</v>
      </c>
      <c r="BYV1" s="3" t="s">
        <v>1999</v>
      </c>
      <c r="BYW1" s="3" t="s">
        <v>2000</v>
      </c>
      <c r="BYX1" s="3" t="s">
        <v>2001</v>
      </c>
      <c r="BYY1" s="3" t="s">
        <v>2002</v>
      </c>
      <c r="BYZ1" s="3" t="s">
        <v>2003</v>
      </c>
      <c r="BZA1" s="3" t="s">
        <v>2004</v>
      </c>
      <c r="BZB1" s="3" t="s">
        <v>2005</v>
      </c>
      <c r="BZC1" s="3" t="s">
        <v>2006</v>
      </c>
      <c r="BZD1" s="3" t="s">
        <v>2007</v>
      </c>
      <c r="BZE1" s="3" t="s">
        <v>2008</v>
      </c>
      <c r="BZF1" s="3" t="s">
        <v>2009</v>
      </c>
      <c r="BZG1" s="3" t="s">
        <v>2010</v>
      </c>
      <c r="BZH1" s="3" t="s">
        <v>2011</v>
      </c>
      <c r="BZI1" s="3" t="s">
        <v>2012</v>
      </c>
      <c r="BZJ1" s="3" t="s">
        <v>2013</v>
      </c>
      <c r="BZK1" s="3" t="s">
        <v>2014</v>
      </c>
      <c r="BZL1" s="3" t="s">
        <v>2015</v>
      </c>
      <c r="BZM1" s="3" t="s">
        <v>2016</v>
      </c>
      <c r="BZN1" s="3" t="s">
        <v>2017</v>
      </c>
      <c r="BZO1" s="3" t="s">
        <v>2018</v>
      </c>
      <c r="BZP1" s="3" t="s">
        <v>2019</v>
      </c>
      <c r="BZQ1" s="3" t="s">
        <v>2020</v>
      </c>
      <c r="BZR1" s="3" t="s">
        <v>2021</v>
      </c>
      <c r="BZS1" s="3" t="s">
        <v>2022</v>
      </c>
      <c r="BZT1" s="3" t="s">
        <v>2023</v>
      </c>
      <c r="BZU1" s="3" t="s">
        <v>2024</v>
      </c>
      <c r="BZV1" s="3" t="s">
        <v>2025</v>
      </c>
      <c r="BZW1" s="3" t="s">
        <v>2026</v>
      </c>
      <c r="BZX1" s="3" t="s">
        <v>2027</v>
      </c>
      <c r="BZY1" s="3" t="s">
        <v>2028</v>
      </c>
      <c r="BZZ1" s="3" t="s">
        <v>2029</v>
      </c>
      <c r="CAA1" s="3" t="s">
        <v>2030</v>
      </c>
      <c r="CAB1" s="3" t="s">
        <v>2031</v>
      </c>
      <c r="CAC1" s="3" t="s">
        <v>2032</v>
      </c>
      <c r="CAD1" s="3" t="s">
        <v>2033</v>
      </c>
      <c r="CAE1" s="3" t="s">
        <v>2034</v>
      </c>
      <c r="CAF1" s="3" t="s">
        <v>2035</v>
      </c>
      <c r="CAG1" s="3" t="s">
        <v>2036</v>
      </c>
      <c r="CAH1" s="3" t="s">
        <v>2037</v>
      </c>
      <c r="CAI1" s="3" t="s">
        <v>2038</v>
      </c>
      <c r="CAJ1" s="3" t="s">
        <v>2039</v>
      </c>
      <c r="CAK1" s="3" t="s">
        <v>2040</v>
      </c>
      <c r="CAL1" s="3" t="s">
        <v>2041</v>
      </c>
      <c r="CAM1" s="3" t="s">
        <v>2042</v>
      </c>
      <c r="CAN1" s="3" t="s">
        <v>2043</v>
      </c>
      <c r="CAO1" s="3" t="s">
        <v>2044</v>
      </c>
      <c r="CAP1" s="3" t="s">
        <v>2045</v>
      </c>
      <c r="CAQ1" s="3" t="s">
        <v>2046</v>
      </c>
      <c r="CAR1" s="3" t="s">
        <v>2047</v>
      </c>
      <c r="CAS1" s="3" t="s">
        <v>2048</v>
      </c>
      <c r="CAT1" s="3" t="s">
        <v>2049</v>
      </c>
      <c r="CAU1" s="3" t="s">
        <v>2050</v>
      </c>
      <c r="CAV1" s="3" t="s">
        <v>2051</v>
      </c>
      <c r="CAW1" s="3" t="s">
        <v>2052</v>
      </c>
      <c r="CAX1" s="3" t="s">
        <v>2053</v>
      </c>
      <c r="CAY1" s="3" t="s">
        <v>2054</v>
      </c>
      <c r="CAZ1" s="3" t="s">
        <v>2055</v>
      </c>
      <c r="CBA1" s="3" t="s">
        <v>2056</v>
      </c>
      <c r="CBB1" s="3" t="s">
        <v>2057</v>
      </c>
      <c r="CBC1" s="3" t="s">
        <v>2058</v>
      </c>
      <c r="CBD1" s="3" t="s">
        <v>2059</v>
      </c>
      <c r="CBE1" s="3" t="s">
        <v>2060</v>
      </c>
      <c r="CBF1" s="3" t="s">
        <v>2061</v>
      </c>
      <c r="CBG1" s="3" t="s">
        <v>2062</v>
      </c>
      <c r="CBH1" s="3" t="s">
        <v>2063</v>
      </c>
      <c r="CBI1" s="3" t="s">
        <v>2064</v>
      </c>
      <c r="CBJ1" s="3" t="s">
        <v>2065</v>
      </c>
      <c r="CBK1" s="3" t="s">
        <v>2066</v>
      </c>
      <c r="CBL1" s="3" t="s">
        <v>2067</v>
      </c>
      <c r="CBM1" s="3" t="s">
        <v>2068</v>
      </c>
      <c r="CBN1" s="3" t="s">
        <v>2069</v>
      </c>
      <c r="CBO1" s="3" t="s">
        <v>2070</v>
      </c>
      <c r="CBP1" s="3" t="s">
        <v>2071</v>
      </c>
      <c r="CBQ1" s="3" t="s">
        <v>2072</v>
      </c>
      <c r="CBR1" s="3" t="s">
        <v>2073</v>
      </c>
      <c r="CBS1" s="3" t="s">
        <v>2074</v>
      </c>
      <c r="CBT1" s="3" t="s">
        <v>2075</v>
      </c>
      <c r="CBU1" s="3" t="s">
        <v>2076</v>
      </c>
      <c r="CBV1" s="3" t="s">
        <v>2077</v>
      </c>
      <c r="CBW1" s="3" t="s">
        <v>2078</v>
      </c>
      <c r="CBX1" s="3" t="s">
        <v>2079</v>
      </c>
      <c r="CBY1" s="3" t="s">
        <v>2080</v>
      </c>
      <c r="CBZ1" s="3" t="s">
        <v>2081</v>
      </c>
      <c r="CCA1" s="3" t="s">
        <v>2082</v>
      </c>
      <c r="CCB1" s="3" t="s">
        <v>2083</v>
      </c>
      <c r="CCC1" s="3" t="s">
        <v>2084</v>
      </c>
      <c r="CCD1" s="3" t="s">
        <v>2085</v>
      </c>
      <c r="CCE1" s="3" t="s">
        <v>2086</v>
      </c>
      <c r="CCF1" s="3" t="s">
        <v>2087</v>
      </c>
      <c r="CCG1" s="3" t="s">
        <v>2088</v>
      </c>
      <c r="CCH1" s="3" t="s">
        <v>2089</v>
      </c>
      <c r="CCI1" s="3" t="s">
        <v>2090</v>
      </c>
      <c r="CCJ1" s="3" t="s">
        <v>2091</v>
      </c>
      <c r="CCK1" s="3" t="s">
        <v>2092</v>
      </c>
      <c r="CCL1" s="3" t="s">
        <v>2093</v>
      </c>
      <c r="CCM1" s="3" t="s">
        <v>2094</v>
      </c>
      <c r="CCN1" s="3" t="s">
        <v>2095</v>
      </c>
      <c r="CCO1" s="3" t="s">
        <v>2096</v>
      </c>
      <c r="CCP1" s="3" t="s">
        <v>2097</v>
      </c>
      <c r="CCQ1" s="3" t="s">
        <v>2098</v>
      </c>
      <c r="CCR1" s="3" t="s">
        <v>2099</v>
      </c>
      <c r="CCS1" s="3" t="s">
        <v>2100</v>
      </c>
      <c r="CCT1" s="3" t="s">
        <v>2101</v>
      </c>
      <c r="CCU1" s="3" t="s">
        <v>2102</v>
      </c>
      <c r="CCV1" s="3" t="s">
        <v>2103</v>
      </c>
      <c r="CCW1" s="3" t="s">
        <v>2104</v>
      </c>
      <c r="CCX1" s="3" t="s">
        <v>2105</v>
      </c>
      <c r="CCY1" s="3" t="s">
        <v>2106</v>
      </c>
      <c r="CCZ1" s="3" t="s">
        <v>2107</v>
      </c>
      <c r="CDA1" s="3" t="s">
        <v>2108</v>
      </c>
      <c r="CDB1" s="3" t="s">
        <v>2109</v>
      </c>
      <c r="CDC1" s="3" t="s">
        <v>2110</v>
      </c>
      <c r="CDD1" s="3" t="s">
        <v>2111</v>
      </c>
      <c r="CDE1" s="3" t="s">
        <v>2112</v>
      </c>
      <c r="CDF1" s="3" t="s">
        <v>2113</v>
      </c>
      <c r="CDG1" s="3" t="s">
        <v>2114</v>
      </c>
      <c r="CDH1" s="3" t="s">
        <v>2115</v>
      </c>
      <c r="CDI1" s="3" t="s">
        <v>2116</v>
      </c>
      <c r="CDJ1" s="3" t="s">
        <v>2117</v>
      </c>
      <c r="CDK1" s="3" t="s">
        <v>2118</v>
      </c>
      <c r="CDL1" s="3" t="s">
        <v>2119</v>
      </c>
      <c r="CDM1" s="3" t="s">
        <v>2120</v>
      </c>
      <c r="CDN1" s="3" t="s">
        <v>2121</v>
      </c>
      <c r="CDO1" s="3" t="s">
        <v>2122</v>
      </c>
      <c r="CDP1" s="3" t="s">
        <v>2123</v>
      </c>
      <c r="CDQ1" s="3" t="s">
        <v>2124</v>
      </c>
      <c r="CDR1" s="3" t="s">
        <v>2125</v>
      </c>
      <c r="CDS1" s="3" t="s">
        <v>2126</v>
      </c>
      <c r="CDT1" s="3" t="s">
        <v>2127</v>
      </c>
      <c r="CDU1" s="3" t="s">
        <v>2128</v>
      </c>
      <c r="CDV1" s="3" t="s">
        <v>2129</v>
      </c>
      <c r="CDW1" s="3" t="s">
        <v>2130</v>
      </c>
      <c r="CDX1" s="3" t="s">
        <v>2131</v>
      </c>
      <c r="CDY1" s="3" t="s">
        <v>2132</v>
      </c>
      <c r="CDZ1" s="3" t="s">
        <v>2133</v>
      </c>
      <c r="CEA1" s="3" t="s">
        <v>2134</v>
      </c>
      <c r="CEB1" s="3" t="s">
        <v>2135</v>
      </c>
      <c r="CEC1" s="3" t="s">
        <v>2136</v>
      </c>
      <c r="CED1" s="3" t="s">
        <v>2137</v>
      </c>
      <c r="CEE1" s="3" t="s">
        <v>2138</v>
      </c>
      <c r="CEF1" s="3" t="s">
        <v>2139</v>
      </c>
      <c r="CEG1" s="3" t="s">
        <v>2140</v>
      </c>
      <c r="CEH1" s="3" t="s">
        <v>2141</v>
      </c>
      <c r="CEI1" s="3" t="s">
        <v>2142</v>
      </c>
      <c r="CEJ1" s="3" t="s">
        <v>2143</v>
      </c>
      <c r="CEK1" s="3" t="s">
        <v>2144</v>
      </c>
      <c r="CEL1" s="3" t="s">
        <v>2145</v>
      </c>
      <c r="CEM1" s="3" t="s">
        <v>2146</v>
      </c>
      <c r="CEN1" s="3" t="s">
        <v>2147</v>
      </c>
      <c r="CEO1" s="3" t="s">
        <v>2148</v>
      </c>
      <c r="CEP1" s="3" t="s">
        <v>2149</v>
      </c>
      <c r="CEQ1" s="3" t="s">
        <v>2150</v>
      </c>
      <c r="CER1" s="3" t="s">
        <v>2151</v>
      </c>
      <c r="CES1" s="3" t="s">
        <v>2152</v>
      </c>
      <c r="CET1" s="3" t="s">
        <v>2153</v>
      </c>
      <c r="CEU1" s="3" t="s">
        <v>2154</v>
      </c>
      <c r="CEV1" s="3" t="s">
        <v>2155</v>
      </c>
      <c r="CEW1" s="3" t="s">
        <v>2156</v>
      </c>
      <c r="CEX1" s="3" t="s">
        <v>2157</v>
      </c>
      <c r="CEY1" s="3" t="s">
        <v>2158</v>
      </c>
      <c r="CEZ1" s="3" t="s">
        <v>2159</v>
      </c>
      <c r="CFA1" s="3" t="s">
        <v>2160</v>
      </c>
      <c r="CFB1" s="3" t="s">
        <v>2161</v>
      </c>
      <c r="CFC1" s="3" t="s">
        <v>2162</v>
      </c>
      <c r="CFD1" s="3" t="s">
        <v>2163</v>
      </c>
      <c r="CFE1" s="3" t="s">
        <v>2164</v>
      </c>
      <c r="CFF1" s="3" t="s">
        <v>2165</v>
      </c>
      <c r="CFG1" s="3" t="s">
        <v>2166</v>
      </c>
      <c r="CFH1" s="3" t="s">
        <v>2167</v>
      </c>
      <c r="CFI1" s="3" t="s">
        <v>2168</v>
      </c>
      <c r="CFJ1" s="3" t="s">
        <v>2169</v>
      </c>
      <c r="CFK1" s="3" t="s">
        <v>2170</v>
      </c>
      <c r="CFL1" s="3" t="s">
        <v>2171</v>
      </c>
      <c r="CFM1" s="3" t="s">
        <v>2172</v>
      </c>
      <c r="CFN1" s="3" t="s">
        <v>2173</v>
      </c>
      <c r="CFO1" s="3" t="s">
        <v>2174</v>
      </c>
      <c r="CFP1" s="3" t="s">
        <v>2175</v>
      </c>
      <c r="CFQ1" s="3" t="s">
        <v>2176</v>
      </c>
      <c r="CFR1" s="3" t="s">
        <v>2177</v>
      </c>
      <c r="CFS1" s="3" t="s">
        <v>2178</v>
      </c>
      <c r="CFT1" s="3" t="s">
        <v>2179</v>
      </c>
      <c r="CFU1" s="3" t="s">
        <v>2180</v>
      </c>
      <c r="CFV1" s="3" t="s">
        <v>2181</v>
      </c>
      <c r="CFW1" s="3" t="s">
        <v>2182</v>
      </c>
      <c r="CFX1" s="3" t="s">
        <v>2183</v>
      </c>
      <c r="CFY1" s="3" t="s">
        <v>2184</v>
      </c>
      <c r="CFZ1" s="3" t="s">
        <v>2185</v>
      </c>
      <c r="CGA1" s="3" t="s">
        <v>2186</v>
      </c>
      <c r="CGB1" s="3" t="s">
        <v>2187</v>
      </c>
      <c r="CGC1" s="3" t="s">
        <v>2188</v>
      </c>
      <c r="CGD1" s="3" t="s">
        <v>2189</v>
      </c>
      <c r="CGE1" s="3" t="s">
        <v>2190</v>
      </c>
      <c r="CGF1" s="3" t="s">
        <v>2191</v>
      </c>
      <c r="CGG1" s="3" t="s">
        <v>2192</v>
      </c>
      <c r="CGH1" s="3" t="s">
        <v>2193</v>
      </c>
      <c r="CGI1" s="3" t="s">
        <v>2194</v>
      </c>
      <c r="CGJ1" s="3" t="s">
        <v>2195</v>
      </c>
      <c r="CGK1" s="3" t="s">
        <v>2196</v>
      </c>
      <c r="CGL1" s="3" t="s">
        <v>2197</v>
      </c>
      <c r="CGM1" s="3" t="s">
        <v>2198</v>
      </c>
      <c r="CGN1" s="3" t="s">
        <v>2199</v>
      </c>
      <c r="CGO1" s="3" t="s">
        <v>2200</v>
      </c>
      <c r="CGP1" s="3" t="s">
        <v>2201</v>
      </c>
      <c r="CGQ1" s="3" t="s">
        <v>2202</v>
      </c>
      <c r="CGR1" s="3" t="s">
        <v>2203</v>
      </c>
      <c r="CGS1" s="3" t="s">
        <v>2204</v>
      </c>
      <c r="CGT1" s="3" t="s">
        <v>2205</v>
      </c>
      <c r="CGU1" s="3" t="s">
        <v>2206</v>
      </c>
      <c r="CGV1" s="3" t="s">
        <v>2207</v>
      </c>
      <c r="CGW1" s="3" t="s">
        <v>2208</v>
      </c>
      <c r="CGX1" s="3" t="s">
        <v>2209</v>
      </c>
      <c r="CGY1" s="3" t="s">
        <v>2210</v>
      </c>
      <c r="CGZ1" s="3" t="s">
        <v>2211</v>
      </c>
      <c r="CHA1" s="3" t="s">
        <v>2212</v>
      </c>
      <c r="CHB1" s="3" t="s">
        <v>2213</v>
      </c>
      <c r="CHC1" s="3" t="s">
        <v>2214</v>
      </c>
      <c r="CHD1" s="3" t="s">
        <v>2215</v>
      </c>
      <c r="CHE1" s="3" t="s">
        <v>2216</v>
      </c>
      <c r="CHF1" s="3" t="s">
        <v>2217</v>
      </c>
      <c r="CHG1" s="3" t="s">
        <v>2218</v>
      </c>
      <c r="CHH1" s="3" t="s">
        <v>2219</v>
      </c>
      <c r="CHI1" s="3" t="s">
        <v>2220</v>
      </c>
      <c r="CHJ1" s="3" t="s">
        <v>2221</v>
      </c>
      <c r="CHK1" s="3" t="s">
        <v>2222</v>
      </c>
      <c r="CHL1" s="3" t="s">
        <v>2223</v>
      </c>
      <c r="CHM1" s="3" t="s">
        <v>2224</v>
      </c>
      <c r="CHN1" s="3" t="s">
        <v>2225</v>
      </c>
      <c r="CHO1" s="3" t="s">
        <v>2226</v>
      </c>
      <c r="CHP1" s="3" t="s">
        <v>2227</v>
      </c>
      <c r="CHQ1" s="3" t="s">
        <v>2228</v>
      </c>
      <c r="CHR1" s="3" t="s">
        <v>2229</v>
      </c>
      <c r="CHS1" s="3" t="s">
        <v>2230</v>
      </c>
      <c r="CHT1" s="3" t="s">
        <v>2231</v>
      </c>
      <c r="CHU1" s="3" t="s">
        <v>2232</v>
      </c>
      <c r="CHV1" s="3" t="s">
        <v>2233</v>
      </c>
      <c r="CHW1" s="3" t="s">
        <v>2234</v>
      </c>
      <c r="CHX1" s="3" t="s">
        <v>2235</v>
      </c>
      <c r="CHY1" s="3" t="s">
        <v>2236</v>
      </c>
      <c r="CHZ1" s="3" t="s">
        <v>2237</v>
      </c>
      <c r="CIA1" s="3" t="s">
        <v>2238</v>
      </c>
      <c r="CIB1" s="3" t="s">
        <v>2239</v>
      </c>
      <c r="CIC1" s="3" t="s">
        <v>2240</v>
      </c>
      <c r="CID1" s="3" t="s">
        <v>2241</v>
      </c>
      <c r="CIE1" s="3" t="s">
        <v>2242</v>
      </c>
      <c r="CIF1" s="3" t="s">
        <v>2243</v>
      </c>
      <c r="CIG1" s="3" t="s">
        <v>2244</v>
      </c>
      <c r="CIH1" s="3" t="s">
        <v>2245</v>
      </c>
      <c r="CII1" s="3" t="s">
        <v>2246</v>
      </c>
      <c r="CIJ1" s="3" t="s">
        <v>2247</v>
      </c>
      <c r="CIK1" s="3" t="s">
        <v>2248</v>
      </c>
      <c r="CIL1" s="3" t="s">
        <v>2249</v>
      </c>
      <c r="CIM1" s="3" t="s">
        <v>2250</v>
      </c>
      <c r="CIN1" s="3" t="s">
        <v>2251</v>
      </c>
      <c r="CIO1" s="3" t="s">
        <v>2252</v>
      </c>
      <c r="CIP1" s="3" t="s">
        <v>2253</v>
      </c>
      <c r="CIQ1" s="3" t="s">
        <v>2254</v>
      </c>
      <c r="CIR1" s="3" t="s">
        <v>2255</v>
      </c>
      <c r="CIS1" s="3" t="s">
        <v>2256</v>
      </c>
      <c r="CIT1" s="3" t="s">
        <v>2257</v>
      </c>
      <c r="CIU1" s="3" t="s">
        <v>2258</v>
      </c>
      <c r="CIV1" s="3" t="s">
        <v>2259</v>
      </c>
      <c r="CIW1" s="3" t="s">
        <v>2260</v>
      </c>
      <c r="CIX1" s="3" t="s">
        <v>2261</v>
      </c>
      <c r="CIY1" s="3" t="s">
        <v>2262</v>
      </c>
      <c r="CIZ1" s="3" t="s">
        <v>2263</v>
      </c>
      <c r="CJA1" s="3" t="s">
        <v>2264</v>
      </c>
      <c r="CJB1" s="3" t="s">
        <v>2265</v>
      </c>
      <c r="CJC1" s="3" t="s">
        <v>2266</v>
      </c>
      <c r="CJD1" s="3" t="s">
        <v>2267</v>
      </c>
      <c r="CJE1" s="3" t="s">
        <v>2268</v>
      </c>
      <c r="CJF1" s="3" t="s">
        <v>2269</v>
      </c>
      <c r="CJG1" s="3" t="s">
        <v>2270</v>
      </c>
      <c r="CJH1" s="3" t="s">
        <v>2271</v>
      </c>
      <c r="CJI1" s="3" t="s">
        <v>2272</v>
      </c>
      <c r="CJJ1" s="3" t="s">
        <v>2273</v>
      </c>
      <c r="CJK1" s="3" t="s">
        <v>2274</v>
      </c>
      <c r="CJL1" s="3" t="s">
        <v>2275</v>
      </c>
      <c r="CJM1" s="3" t="s">
        <v>2276</v>
      </c>
      <c r="CJN1" s="3" t="s">
        <v>2277</v>
      </c>
      <c r="CJO1" s="3" t="s">
        <v>2278</v>
      </c>
      <c r="CJP1" s="3" t="s">
        <v>2279</v>
      </c>
      <c r="CJQ1" s="3" t="s">
        <v>2280</v>
      </c>
      <c r="CJR1" s="3" t="s">
        <v>2281</v>
      </c>
      <c r="CJS1" s="3" t="s">
        <v>2282</v>
      </c>
      <c r="CJT1" s="3" t="s">
        <v>2283</v>
      </c>
      <c r="CJU1" s="3" t="s">
        <v>2284</v>
      </c>
      <c r="CJV1" s="3" t="s">
        <v>2285</v>
      </c>
      <c r="CJW1" s="3" t="s">
        <v>2286</v>
      </c>
      <c r="CJX1" s="3" t="s">
        <v>2287</v>
      </c>
      <c r="CJY1" s="3" t="s">
        <v>2288</v>
      </c>
      <c r="CJZ1" s="3" t="s">
        <v>2289</v>
      </c>
      <c r="CKA1" s="3" t="s">
        <v>2290</v>
      </c>
      <c r="CKB1" s="3" t="s">
        <v>2291</v>
      </c>
      <c r="CKC1" s="3" t="s">
        <v>2292</v>
      </c>
      <c r="CKD1" s="3" t="s">
        <v>2293</v>
      </c>
      <c r="CKE1" s="3" t="s">
        <v>2294</v>
      </c>
      <c r="CKF1" s="3" t="s">
        <v>2295</v>
      </c>
      <c r="CKG1" s="3" t="s">
        <v>2296</v>
      </c>
      <c r="CKH1" s="3" t="s">
        <v>2297</v>
      </c>
      <c r="CKI1" s="3" t="s">
        <v>2298</v>
      </c>
      <c r="CKJ1" s="3" t="s">
        <v>2299</v>
      </c>
      <c r="CKK1" s="3" t="s">
        <v>2300</v>
      </c>
      <c r="CKL1" s="3" t="s">
        <v>2301</v>
      </c>
      <c r="CKM1" s="3" t="s">
        <v>2302</v>
      </c>
      <c r="CKN1" s="3" t="s">
        <v>2303</v>
      </c>
      <c r="CKO1" s="3" t="s">
        <v>2304</v>
      </c>
      <c r="CKP1" s="3" t="s">
        <v>2305</v>
      </c>
      <c r="CKQ1" s="3" t="s">
        <v>2306</v>
      </c>
      <c r="CKR1" s="3" t="s">
        <v>2307</v>
      </c>
      <c r="CKS1" s="3" t="s">
        <v>2308</v>
      </c>
      <c r="CKT1" s="3" t="s">
        <v>2309</v>
      </c>
      <c r="CKU1" s="3" t="s">
        <v>2310</v>
      </c>
      <c r="CKV1" s="3" t="s">
        <v>2311</v>
      </c>
      <c r="CKW1" s="3" t="s">
        <v>2312</v>
      </c>
      <c r="CKX1" s="3" t="s">
        <v>2313</v>
      </c>
      <c r="CKY1" s="3" t="s">
        <v>2314</v>
      </c>
      <c r="CKZ1" s="3" t="s">
        <v>2315</v>
      </c>
      <c r="CLA1" s="3" t="s">
        <v>2316</v>
      </c>
      <c r="CLB1" s="3" t="s">
        <v>2317</v>
      </c>
      <c r="CLC1" s="3" t="s">
        <v>2318</v>
      </c>
      <c r="CLD1" s="3" t="s">
        <v>2319</v>
      </c>
      <c r="CLE1" s="3" t="s">
        <v>2320</v>
      </c>
      <c r="CLF1" s="3" t="s">
        <v>2321</v>
      </c>
      <c r="CLG1" s="3" t="s">
        <v>2322</v>
      </c>
      <c r="CLH1" s="3" t="s">
        <v>2323</v>
      </c>
      <c r="CLI1" s="3" t="s">
        <v>2324</v>
      </c>
      <c r="CLJ1" s="3" t="s">
        <v>2325</v>
      </c>
      <c r="CLK1" s="3" t="s">
        <v>2326</v>
      </c>
      <c r="CLL1" s="3" t="s">
        <v>2327</v>
      </c>
      <c r="CLM1" s="3" t="s">
        <v>2328</v>
      </c>
      <c r="CLN1" s="3" t="s">
        <v>2329</v>
      </c>
      <c r="CLO1" s="3" t="s">
        <v>2330</v>
      </c>
      <c r="CLP1" s="3" t="s">
        <v>2331</v>
      </c>
      <c r="CLQ1" s="3" t="s">
        <v>2332</v>
      </c>
      <c r="CLR1" s="3" t="s">
        <v>2333</v>
      </c>
      <c r="CLS1" s="3" t="s">
        <v>2334</v>
      </c>
      <c r="CLT1" s="3" t="s">
        <v>2335</v>
      </c>
      <c r="CLU1" s="3" t="s">
        <v>2336</v>
      </c>
      <c r="CLV1" s="3" t="s">
        <v>2337</v>
      </c>
      <c r="CLW1" s="3" t="s">
        <v>2338</v>
      </c>
      <c r="CLX1" s="3" t="s">
        <v>2339</v>
      </c>
      <c r="CLY1" s="3" t="s">
        <v>2340</v>
      </c>
      <c r="CLZ1" s="3" t="s">
        <v>2341</v>
      </c>
      <c r="CMA1" s="3" t="s">
        <v>2342</v>
      </c>
      <c r="CMB1" s="3" t="s">
        <v>2343</v>
      </c>
      <c r="CMC1" s="3" t="s">
        <v>2344</v>
      </c>
      <c r="CMD1" s="3" t="s">
        <v>2345</v>
      </c>
      <c r="CME1" s="3" t="s">
        <v>2346</v>
      </c>
      <c r="CMF1" s="3" t="s">
        <v>2347</v>
      </c>
      <c r="CMG1" s="3" t="s">
        <v>2348</v>
      </c>
      <c r="CMH1" s="3" t="s">
        <v>2349</v>
      </c>
      <c r="CMI1" s="3" t="s">
        <v>2350</v>
      </c>
      <c r="CMJ1" s="3" t="s">
        <v>2351</v>
      </c>
      <c r="CMK1" s="3" t="s">
        <v>2352</v>
      </c>
      <c r="CML1" s="3" t="s">
        <v>2353</v>
      </c>
      <c r="CMM1" s="3" t="s">
        <v>2354</v>
      </c>
      <c r="CMN1" s="3" t="s">
        <v>2355</v>
      </c>
      <c r="CMO1" s="3" t="s">
        <v>2356</v>
      </c>
      <c r="CMP1" s="3" t="s">
        <v>2357</v>
      </c>
      <c r="CMQ1" s="3" t="s">
        <v>2358</v>
      </c>
      <c r="CMR1" s="3" t="s">
        <v>2359</v>
      </c>
      <c r="CMS1" s="3" t="s">
        <v>2360</v>
      </c>
      <c r="CMT1" s="3" t="s">
        <v>2361</v>
      </c>
      <c r="CMU1" s="3" t="s">
        <v>2362</v>
      </c>
      <c r="CMV1" s="3" t="s">
        <v>2363</v>
      </c>
      <c r="CMW1" s="3" t="s">
        <v>2364</v>
      </c>
      <c r="CMX1" s="3" t="s">
        <v>2365</v>
      </c>
      <c r="CMY1" s="3" t="s">
        <v>2366</v>
      </c>
      <c r="CMZ1" s="3" t="s">
        <v>2367</v>
      </c>
      <c r="CNA1" s="3" t="s">
        <v>2368</v>
      </c>
      <c r="CNB1" s="3" t="s">
        <v>2369</v>
      </c>
      <c r="CNC1" s="3" t="s">
        <v>2370</v>
      </c>
      <c r="CND1" s="3" t="s">
        <v>2371</v>
      </c>
      <c r="CNE1" s="3" t="s">
        <v>2372</v>
      </c>
      <c r="CNF1" s="3" t="s">
        <v>2373</v>
      </c>
      <c r="CNG1" s="3" t="s">
        <v>2374</v>
      </c>
      <c r="CNH1" s="3" t="s">
        <v>2375</v>
      </c>
      <c r="CNI1" s="3" t="s">
        <v>2376</v>
      </c>
      <c r="CNJ1" s="3" t="s">
        <v>2377</v>
      </c>
      <c r="CNK1" s="3" t="s">
        <v>2378</v>
      </c>
      <c r="CNL1" s="3" t="s">
        <v>2379</v>
      </c>
      <c r="CNM1" s="3" t="s">
        <v>2380</v>
      </c>
      <c r="CNN1" s="3" t="s">
        <v>2381</v>
      </c>
      <c r="CNO1" s="3" t="s">
        <v>2382</v>
      </c>
      <c r="CNP1" s="3" t="s">
        <v>2383</v>
      </c>
      <c r="CNQ1" s="3" t="s">
        <v>2384</v>
      </c>
      <c r="CNR1" s="3" t="s">
        <v>2385</v>
      </c>
      <c r="CNS1" s="3" t="s">
        <v>2386</v>
      </c>
      <c r="CNT1" s="3" t="s">
        <v>2387</v>
      </c>
      <c r="CNU1" s="3" t="s">
        <v>2388</v>
      </c>
      <c r="CNV1" s="3" t="s">
        <v>2389</v>
      </c>
      <c r="CNW1" s="3" t="s">
        <v>2390</v>
      </c>
      <c r="CNX1" s="3" t="s">
        <v>2391</v>
      </c>
      <c r="CNY1" s="3" t="s">
        <v>2392</v>
      </c>
      <c r="CNZ1" s="3" t="s">
        <v>2393</v>
      </c>
      <c r="COA1" s="3" t="s">
        <v>2394</v>
      </c>
      <c r="COB1" s="3" t="s">
        <v>2395</v>
      </c>
      <c r="COC1" s="3" t="s">
        <v>2396</v>
      </c>
      <c r="COD1" s="3" t="s">
        <v>2397</v>
      </c>
      <c r="COE1" s="3" t="s">
        <v>2398</v>
      </c>
      <c r="COF1" s="3" t="s">
        <v>2399</v>
      </c>
      <c r="COG1" s="3" t="s">
        <v>2400</v>
      </c>
      <c r="COH1" s="3" t="s">
        <v>2401</v>
      </c>
      <c r="COI1" s="3" t="s">
        <v>2402</v>
      </c>
      <c r="COJ1" s="3" t="s">
        <v>2403</v>
      </c>
      <c r="COK1" s="3" t="s">
        <v>2404</v>
      </c>
      <c r="COL1" s="3" t="s">
        <v>2405</v>
      </c>
      <c r="COM1" s="3" t="s">
        <v>2406</v>
      </c>
      <c r="CON1" s="3" t="s">
        <v>2407</v>
      </c>
      <c r="COO1" s="3" t="s">
        <v>2408</v>
      </c>
      <c r="COP1" s="3" t="s">
        <v>2409</v>
      </c>
      <c r="COQ1" s="3" t="s">
        <v>2410</v>
      </c>
      <c r="COR1" s="3" t="s">
        <v>2411</v>
      </c>
      <c r="COS1" s="3" t="s">
        <v>2412</v>
      </c>
      <c r="COT1" s="3" t="s">
        <v>2413</v>
      </c>
      <c r="COU1" s="3" t="s">
        <v>2414</v>
      </c>
      <c r="COV1" s="3" t="s">
        <v>2415</v>
      </c>
      <c r="COW1" s="3" t="s">
        <v>2416</v>
      </c>
      <c r="COX1" s="3" t="s">
        <v>2417</v>
      </c>
      <c r="COY1" s="3" t="s">
        <v>2418</v>
      </c>
      <c r="COZ1" s="3" t="s">
        <v>2419</v>
      </c>
      <c r="CPA1" s="3" t="s">
        <v>2420</v>
      </c>
      <c r="CPB1" s="3" t="s">
        <v>2421</v>
      </c>
      <c r="CPC1" s="3" t="s">
        <v>2422</v>
      </c>
      <c r="CPD1" s="3" t="s">
        <v>2423</v>
      </c>
      <c r="CPE1" s="3" t="s">
        <v>2424</v>
      </c>
      <c r="CPF1" s="3" t="s">
        <v>2425</v>
      </c>
      <c r="CPG1" s="3" t="s">
        <v>2426</v>
      </c>
      <c r="CPH1" s="3" t="s">
        <v>2427</v>
      </c>
      <c r="CPI1" s="3" t="s">
        <v>2428</v>
      </c>
      <c r="CPJ1" s="3" t="s">
        <v>2429</v>
      </c>
      <c r="CPK1" s="3" t="s">
        <v>2430</v>
      </c>
      <c r="CPL1" s="3" t="s">
        <v>2431</v>
      </c>
      <c r="CPM1" s="3" t="s">
        <v>2432</v>
      </c>
      <c r="CPN1" s="3" t="s">
        <v>2433</v>
      </c>
      <c r="CPO1" s="3" t="s">
        <v>2434</v>
      </c>
      <c r="CPP1" s="3" t="s">
        <v>2435</v>
      </c>
      <c r="CPQ1" s="3" t="s">
        <v>2436</v>
      </c>
      <c r="CPR1" s="3" t="s">
        <v>2437</v>
      </c>
      <c r="CPS1" s="3" t="s">
        <v>2438</v>
      </c>
      <c r="CPT1" s="3" t="s">
        <v>2439</v>
      </c>
      <c r="CPU1" s="3" t="s">
        <v>2440</v>
      </c>
      <c r="CPV1" s="3" t="s">
        <v>2441</v>
      </c>
      <c r="CPW1" s="3" t="s">
        <v>2442</v>
      </c>
      <c r="CPX1" s="3" t="s">
        <v>2443</v>
      </c>
      <c r="CPY1" s="3" t="s">
        <v>2444</v>
      </c>
      <c r="CPZ1" s="3" t="s">
        <v>2445</v>
      </c>
      <c r="CQA1" s="3" t="s">
        <v>2446</v>
      </c>
      <c r="CQB1" s="3" t="s">
        <v>2447</v>
      </c>
      <c r="CQC1" s="3" t="s">
        <v>2448</v>
      </c>
      <c r="CQD1" s="3" t="s">
        <v>2449</v>
      </c>
      <c r="CQE1" s="3" t="s">
        <v>2450</v>
      </c>
      <c r="CQF1" s="3" t="s">
        <v>2451</v>
      </c>
      <c r="CQG1" s="3" t="s">
        <v>2452</v>
      </c>
      <c r="CQH1" s="3" t="s">
        <v>2453</v>
      </c>
      <c r="CQI1" s="3" t="s">
        <v>2454</v>
      </c>
      <c r="CQJ1" s="3" t="s">
        <v>2455</v>
      </c>
      <c r="CQK1" s="3" t="s">
        <v>2456</v>
      </c>
      <c r="CQL1" s="3" t="s">
        <v>2457</v>
      </c>
      <c r="CQM1" s="3" t="s">
        <v>2458</v>
      </c>
      <c r="CQN1" s="3" t="s">
        <v>2459</v>
      </c>
      <c r="CQO1" s="3" t="s">
        <v>2460</v>
      </c>
      <c r="CQP1" s="3" t="s">
        <v>2461</v>
      </c>
      <c r="CQQ1" s="3" t="s">
        <v>2462</v>
      </c>
      <c r="CQR1" s="3" t="s">
        <v>2463</v>
      </c>
      <c r="CQS1" s="3" t="s">
        <v>2464</v>
      </c>
      <c r="CQT1" s="3" t="s">
        <v>2465</v>
      </c>
      <c r="CQU1" s="3" t="s">
        <v>2466</v>
      </c>
      <c r="CQV1" s="3" t="s">
        <v>2467</v>
      </c>
      <c r="CQW1" s="3" t="s">
        <v>2468</v>
      </c>
      <c r="CQX1" s="3" t="s">
        <v>2469</v>
      </c>
      <c r="CQY1" s="3" t="s">
        <v>2470</v>
      </c>
      <c r="CQZ1" s="3" t="s">
        <v>2471</v>
      </c>
      <c r="CRA1" s="3" t="s">
        <v>2472</v>
      </c>
      <c r="CRB1" s="3" t="s">
        <v>2473</v>
      </c>
      <c r="CRC1" s="3" t="s">
        <v>2474</v>
      </c>
      <c r="CRD1" s="3" t="s">
        <v>2475</v>
      </c>
      <c r="CRE1" s="3" t="s">
        <v>2476</v>
      </c>
      <c r="CRF1" s="3" t="s">
        <v>2477</v>
      </c>
      <c r="CRG1" s="3" t="s">
        <v>2478</v>
      </c>
      <c r="CRH1" s="3" t="s">
        <v>2479</v>
      </c>
      <c r="CRI1" s="3" t="s">
        <v>2480</v>
      </c>
      <c r="CRJ1" s="3" t="s">
        <v>2481</v>
      </c>
      <c r="CRK1" s="3" t="s">
        <v>2482</v>
      </c>
      <c r="CRL1" s="3" t="s">
        <v>2483</v>
      </c>
      <c r="CRM1" s="3" t="s">
        <v>2484</v>
      </c>
      <c r="CRN1" s="3" t="s">
        <v>2485</v>
      </c>
      <c r="CRO1" s="3" t="s">
        <v>2486</v>
      </c>
      <c r="CRP1" s="3" t="s">
        <v>2487</v>
      </c>
      <c r="CRQ1" s="3" t="s">
        <v>2488</v>
      </c>
      <c r="CRR1" s="3" t="s">
        <v>2489</v>
      </c>
      <c r="CRS1" s="3" t="s">
        <v>2490</v>
      </c>
      <c r="CRT1" s="3" t="s">
        <v>2491</v>
      </c>
      <c r="CRU1" s="3" t="s">
        <v>2492</v>
      </c>
      <c r="CRV1" s="3" t="s">
        <v>2493</v>
      </c>
      <c r="CRW1" s="3" t="s">
        <v>2494</v>
      </c>
      <c r="CRX1" s="3" t="s">
        <v>2495</v>
      </c>
      <c r="CRY1" s="3" t="s">
        <v>2496</v>
      </c>
      <c r="CRZ1" s="3" t="s">
        <v>2497</v>
      </c>
      <c r="CSA1" s="3" t="s">
        <v>2498</v>
      </c>
      <c r="CSB1" s="3" t="s">
        <v>2499</v>
      </c>
      <c r="CSC1" s="3" t="s">
        <v>2500</v>
      </c>
      <c r="CSD1" s="3" t="s">
        <v>2501</v>
      </c>
      <c r="CSE1" s="3" t="s">
        <v>2502</v>
      </c>
      <c r="CSF1" s="3" t="s">
        <v>2503</v>
      </c>
      <c r="CSG1" s="3" t="s">
        <v>2504</v>
      </c>
      <c r="CSH1" s="3" t="s">
        <v>2505</v>
      </c>
      <c r="CSI1" s="3" t="s">
        <v>2506</v>
      </c>
      <c r="CSJ1" s="3" t="s">
        <v>2507</v>
      </c>
      <c r="CSK1" s="3" t="s">
        <v>2508</v>
      </c>
      <c r="CSL1" s="3" t="s">
        <v>2509</v>
      </c>
      <c r="CSM1" s="3" t="s">
        <v>2510</v>
      </c>
      <c r="CSN1" s="3" t="s">
        <v>2511</v>
      </c>
      <c r="CSO1" s="3" t="s">
        <v>2512</v>
      </c>
      <c r="CSP1" s="3" t="s">
        <v>2513</v>
      </c>
      <c r="CSQ1" s="3" t="s">
        <v>2514</v>
      </c>
      <c r="CSR1" s="3" t="s">
        <v>2515</v>
      </c>
      <c r="CSS1" s="3" t="s">
        <v>2516</v>
      </c>
      <c r="CST1" s="3" t="s">
        <v>2517</v>
      </c>
      <c r="CSU1" s="3" t="s">
        <v>2518</v>
      </c>
      <c r="CSV1" s="3" t="s">
        <v>2519</v>
      </c>
      <c r="CSW1" s="3" t="s">
        <v>2520</v>
      </c>
      <c r="CSX1" s="3" t="s">
        <v>2521</v>
      </c>
      <c r="CSY1" s="3" t="s">
        <v>2522</v>
      </c>
      <c r="CSZ1" s="3" t="s">
        <v>2523</v>
      </c>
      <c r="CTA1" s="3" t="s">
        <v>2524</v>
      </c>
      <c r="CTB1" s="3" t="s">
        <v>2525</v>
      </c>
      <c r="CTC1" s="3" t="s">
        <v>2526</v>
      </c>
      <c r="CTD1" s="3" t="s">
        <v>2527</v>
      </c>
      <c r="CTE1" s="3" t="s">
        <v>2528</v>
      </c>
      <c r="CTF1" s="3" t="s">
        <v>2529</v>
      </c>
      <c r="CTG1" s="3" t="s">
        <v>2530</v>
      </c>
      <c r="CTH1" s="3" t="s">
        <v>2531</v>
      </c>
      <c r="CTI1" s="3" t="s">
        <v>2532</v>
      </c>
      <c r="CTJ1" s="3" t="s">
        <v>2533</v>
      </c>
      <c r="CTK1" s="3" t="s">
        <v>2534</v>
      </c>
      <c r="CTL1" s="3" t="s">
        <v>2535</v>
      </c>
      <c r="CTM1" s="3" t="s">
        <v>2536</v>
      </c>
      <c r="CTN1" s="3" t="s">
        <v>2537</v>
      </c>
      <c r="CTO1" s="3" t="s">
        <v>2538</v>
      </c>
      <c r="CTP1" s="3" t="s">
        <v>2539</v>
      </c>
      <c r="CTQ1" s="3" t="s">
        <v>2540</v>
      </c>
      <c r="CTR1" s="3" t="s">
        <v>2541</v>
      </c>
      <c r="CTS1" s="3" t="s">
        <v>2542</v>
      </c>
      <c r="CTT1" s="3" t="s">
        <v>2543</v>
      </c>
      <c r="CTU1" s="3" t="s">
        <v>2544</v>
      </c>
      <c r="CTV1" s="3" t="s">
        <v>2545</v>
      </c>
      <c r="CTW1" s="3" t="s">
        <v>2546</v>
      </c>
      <c r="CTX1" s="3" t="s">
        <v>2547</v>
      </c>
      <c r="CTY1" s="3" t="s">
        <v>2548</v>
      </c>
      <c r="CTZ1" s="3" t="s">
        <v>2549</v>
      </c>
      <c r="CUA1" s="3" t="s">
        <v>2550</v>
      </c>
      <c r="CUB1" s="3" t="s">
        <v>2551</v>
      </c>
      <c r="CUC1" s="3" t="s">
        <v>2552</v>
      </c>
      <c r="CUD1" s="3" t="s">
        <v>2553</v>
      </c>
      <c r="CUE1" s="3" t="s">
        <v>2554</v>
      </c>
      <c r="CUF1" s="3" t="s">
        <v>2555</v>
      </c>
      <c r="CUG1" s="3" t="s">
        <v>2556</v>
      </c>
      <c r="CUH1" s="3" t="s">
        <v>2557</v>
      </c>
      <c r="CUI1" s="3" t="s">
        <v>2558</v>
      </c>
      <c r="CUJ1" s="3" t="s">
        <v>2559</v>
      </c>
      <c r="CUK1" s="3" t="s">
        <v>2560</v>
      </c>
      <c r="CUL1" s="3" t="s">
        <v>2561</v>
      </c>
      <c r="CUM1" s="3" t="s">
        <v>2562</v>
      </c>
      <c r="CUN1" s="3" t="s">
        <v>2563</v>
      </c>
      <c r="CUO1" s="3" t="s">
        <v>2564</v>
      </c>
      <c r="CUP1" s="3" t="s">
        <v>2565</v>
      </c>
      <c r="CUQ1" s="3" t="s">
        <v>2566</v>
      </c>
      <c r="CUR1" s="3" t="s">
        <v>2567</v>
      </c>
      <c r="CUS1" s="3" t="s">
        <v>2568</v>
      </c>
      <c r="CUT1" s="3" t="s">
        <v>2569</v>
      </c>
      <c r="CUU1" s="3" t="s">
        <v>2570</v>
      </c>
      <c r="CUV1" s="3" t="s">
        <v>2571</v>
      </c>
      <c r="CUW1" s="3" t="s">
        <v>2572</v>
      </c>
      <c r="CUX1" s="3" t="s">
        <v>2573</v>
      </c>
      <c r="CUY1" s="3" t="s">
        <v>2574</v>
      </c>
      <c r="CUZ1" s="3" t="s">
        <v>2575</v>
      </c>
      <c r="CVA1" s="3" t="s">
        <v>2576</v>
      </c>
      <c r="CVB1" s="3" t="s">
        <v>2577</v>
      </c>
      <c r="CVC1" s="3" t="s">
        <v>2578</v>
      </c>
      <c r="CVD1" s="3" t="s">
        <v>2579</v>
      </c>
      <c r="CVE1" s="3" t="s">
        <v>2580</v>
      </c>
      <c r="CVF1" s="3" t="s">
        <v>2581</v>
      </c>
      <c r="CVG1" s="3" t="s">
        <v>2582</v>
      </c>
      <c r="CVH1" s="3" t="s">
        <v>2583</v>
      </c>
      <c r="CVI1" s="3" t="s">
        <v>2584</v>
      </c>
      <c r="CVJ1" s="3" t="s">
        <v>2585</v>
      </c>
      <c r="CVK1" s="3" t="s">
        <v>2586</v>
      </c>
      <c r="CVL1" s="3" t="s">
        <v>2587</v>
      </c>
      <c r="CVM1" s="3" t="s">
        <v>2588</v>
      </c>
      <c r="CVN1" s="3" t="s">
        <v>2589</v>
      </c>
      <c r="CVO1" s="3" t="s">
        <v>2590</v>
      </c>
      <c r="CVP1" s="3" t="s">
        <v>2591</v>
      </c>
      <c r="CVQ1" s="3" t="s">
        <v>2592</v>
      </c>
      <c r="CVR1" s="3" t="s">
        <v>2593</v>
      </c>
      <c r="CVS1" s="3" t="s">
        <v>2594</v>
      </c>
      <c r="CVT1" s="3" t="s">
        <v>2595</v>
      </c>
      <c r="CVU1" s="3" t="s">
        <v>2596</v>
      </c>
      <c r="CVV1" s="3" t="s">
        <v>2597</v>
      </c>
      <c r="CVW1" s="3" t="s">
        <v>2598</v>
      </c>
      <c r="CVX1" s="3" t="s">
        <v>2599</v>
      </c>
      <c r="CVY1" s="3" t="s">
        <v>2600</v>
      </c>
      <c r="CVZ1" s="3" t="s">
        <v>2601</v>
      </c>
      <c r="CWA1" s="3" t="s">
        <v>2602</v>
      </c>
      <c r="CWB1" s="3" t="s">
        <v>2603</v>
      </c>
      <c r="CWC1" s="3" t="s">
        <v>2604</v>
      </c>
      <c r="CWD1" s="3" t="s">
        <v>2605</v>
      </c>
      <c r="CWE1" s="3" t="s">
        <v>2606</v>
      </c>
      <c r="CWF1" s="3" t="s">
        <v>2607</v>
      </c>
      <c r="CWG1" s="3" t="s">
        <v>2608</v>
      </c>
      <c r="CWH1" s="3" t="s">
        <v>2609</v>
      </c>
      <c r="CWI1" s="3" t="s">
        <v>2610</v>
      </c>
      <c r="CWJ1" s="3" t="s">
        <v>2611</v>
      </c>
      <c r="CWK1" s="3" t="s">
        <v>2612</v>
      </c>
      <c r="CWL1" s="3" t="s">
        <v>2613</v>
      </c>
      <c r="CWM1" s="3" t="s">
        <v>2614</v>
      </c>
      <c r="CWN1" s="3" t="s">
        <v>2615</v>
      </c>
      <c r="CWO1" s="3" t="s">
        <v>2616</v>
      </c>
      <c r="CWP1" s="3" t="s">
        <v>2617</v>
      </c>
      <c r="CWQ1" s="3" t="s">
        <v>2618</v>
      </c>
      <c r="CWR1" s="3" t="s">
        <v>2619</v>
      </c>
      <c r="CWS1" s="3" t="s">
        <v>2620</v>
      </c>
      <c r="CWT1" s="3" t="s">
        <v>2621</v>
      </c>
      <c r="CWU1" s="3" t="s">
        <v>2622</v>
      </c>
      <c r="CWV1" s="3" t="s">
        <v>2623</v>
      </c>
      <c r="CWW1" s="3" t="s">
        <v>2624</v>
      </c>
      <c r="CWX1" s="3" t="s">
        <v>2625</v>
      </c>
      <c r="CWY1" s="3" t="s">
        <v>2626</v>
      </c>
      <c r="CWZ1" s="3" t="s">
        <v>2627</v>
      </c>
      <c r="CXA1" s="3" t="s">
        <v>2628</v>
      </c>
      <c r="CXB1" s="3" t="s">
        <v>2629</v>
      </c>
      <c r="CXC1" s="3" t="s">
        <v>2630</v>
      </c>
      <c r="CXD1" s="3" t="s">
        <v>2631</v>
      </c>
      <c r="CXE1" s="3" t="s">
        <v>2632</v>
      </c>
      <c r="CXF1" s="3" t="s">
        <v>2633</v>
      </c>
      <c r="CXG1" s="3" t="s">
        <v>2634</v>
      </c>
      <c r="CXH1" s="3" t="s">
        <v>2635</v>
      </c>
      <c r="CXI1" s="3" t="s">
        <v>2636</v>
      </c>
      <c r="CXJ1" s="3" t="s">
        <v>2637</v>
      </c>
      <c r="CXK1" s="3" t="s">
        <v>2638</v>
      </c>
      <c r="CXL1" s="3" t="s">
        <v>2639</v>
      </c>
      <c r="CXM1" s="3" t="s">
        <v>2640</v>
      </c>
      <c r="CXN1" s="3" t="s">
        <v>2641</v>
      </c>
      <c r="CXO1" s="3" t="s">
        <v>2642</v>
      </c>
      <c r="CXP1" s="3" t="s">
        <v>2643</v>
      </c>
      <c r="CXQ1" s="3" t="s">
        <v>2644</v>
      </c>
      <c r="CXR1" s="3" t="s">
        <v>2645</v>
      </c>
      <c r="CXS1" s="3" t="s">
        <v>2646</v>
      </c>
      <c r="CXT1" s="3" t="s">
        <v>2647</v>
      </c>
      <c r="CXU1" s="3" t="s">
        <v>2648</v>
      </c>
      <c r="CXV1" s="3" t="s">
        <v>2649</v>
      </c>
      <c r="CXW1" s="3" t="s">
        <v>2650</v>
      </c>
      <c r="CXX1" s="3" t="s">
        <v>2651</v>
      </c>
      <c r="CXY1" s="3" t="s">
        <v>2652</v>
      </c>
      <c r="CXZ1" s="3" t="s">
        <v>2653</v>
      </c>
      <c r="CYA1" s="3" t="s">
        <v>2654</v>
      </c>
      <c r="CYB1" s="3" t="s">
        <v>2655</v>
      </c>
      <c r="CYC1" s="3" t="s">
        <v>2656</v>
      </c>
      <c r="CYD1" s="3" t="s">
        <v>2657</v>
      </c>
      <c r="CYE1" s="3" t="s">
        <v>2658</v>
      </c>
      <c r="CYF1" s="3" t="s">
        <v>2659</v>
      </c>
      <c r="CYG1" s="3" t="s">
        <v>2660</v>
      </c>
      <c r="CYH1" s="3" t="s">
        <v>2661</v>
      </c>
      <c r="CYI1" s="3" t="s">
        <v>2662</v>
      </c>
      <c r="CYJ1" s="3" t="s">
        <v>2663</v>
      </c>
      <c r="CYK1" s="3" t="s">
        <v>2664</v>
      </c>
      <c r="CYL1" s="3" t="s">
        <v>2665</v>
      </c>
      <c r="CYM1" s="3" t="s">
        <v>2666</v>
      </c>
      <c r="CYN1" s="3" t="s">
        <v>2667</v>
      </c>
      <c r="CYO1" s="3" t="s">
        <v>2668</v>
      </c>
      <c r="CYP1" s="3" t="s">
        <v>2669</v>
      </c>
      <c r="CYQ1" s="3" t="s">
        <v>2670</v>
      </c>
      <c r="CYR1" s="3" t="s">
        <v>2671</v>
      </c>
      <c r="CYS1" s="3" t="s">
        <v>2672</v>
      </c>
      <c r="CYT1" s="3" t="s">
        <v>2673</v>
      </c>
      <c r="CYU1" s="3" t="s">
        <v>2674</v>
      </c>
      <c r="CYV1" s="3" t="s">
        <v>2675</v>
      </c>
      <c r="CYW1" s="3" t="s">
        <v>2676</v>
      </c>
      <c r="CYX1" s="3" t="s">
        <v>2677</v>
      </c>
      <c r="CYY1" s="3" t="s">
        <v>2678</v>
      </c>
      <c r="CYZ1" s="3" t="s">
        <v>2679</v>
      </c>
      <c r="CZA1" s="3" t="s">
        <v>2680</v>
      </c>
      <c r="CZB1" s="3" t="s">
        <v>2681</v>
      </c>
      <c r="CZC1" s="3" t="s">
        <v>2682</v>
      </c>
      <c r="CZD1" s="3" t="s">
        <v>2683</v>
      </c>
      <c r="CZE1" s="3" t="s">
        <v>2684</v>
      </c>
      <c r="CZF1" s="3" t="s">
        <v>2685</v>
      </c>
      <c r="CZG1" s="3" t="s">
        <v>2686</v>
      </c>
      <c r="CZH1" s="3" t="s">
        <v>2687</v>
      </c>
      <c r="CZI1" s="3" t="s">
        <v>2688</v>
      </c>
      <c r="CZJ1" s="3" t="s">
        <v>2689</v>
      </c>
      <c r="CZK1" s="3" t="s">
        <v>2690</v>
      </c>
      <c r="CZL1" s="3" t="s">
        <v>2691</v>
      </c>
      <c r="CZM1" s="3" t="s">
        <v>2692</v>
      </c>
      <c r="CZN1" s="3" t="s">
        <v>2693</v>
      </c>
      <c r="CZO1" s="3" t="s">
        <v>2694</v>
      </c>
      <c r="CZP1" s="3" t="s">
        <v>2695</v>
      </c>
      <c r="CZQ1" s="3" t="s">
        <v>2696</v>
      </c>
      <c r="CZR1" s="3" t="s">
        <v>2697</v>
      </c>
      <c r="CZS1" s="3" t="s">
        <v>2698</v>
      </c>
      <c r="CZT1" s="3" t="s">
        <v>2699</v>
      </c>
      <c r="CZU1" s="3" t="s">
        <v>2700</v>
      </c>
      <c r="CZV1" s="3" t="s">
        <v>2701</v>
      </c>
      <c r="CZW1" s="3" t="s">
        <v>2702</v>
      </c>
      <c r="CZX1" s="3" t="s">
        <v>2703</v>
      </c>
      <c r="CZY1" s="3" t="s">
        <v>2704</v>
      </c>
      <c r="CZZ1" s="3" t="s">
        <v>2705</v>
      </c>
      <c r="DAA1" s="3" t="s">
        <v>2706</v>
      </c>
      <c r="DAB1" s="3" t="s">
        <v>2707</v>
      </c>
      <c r="DAC1" s="3" t="s">
        <v>2708</v>
      </c>
      <c r="DAD1" s="3" t="s">
        <v>2709</v>
      </c>
      <c r="DAE1" s="3" t="s">
        <v>2710</v>
      </c>
      <c r="DAF1" s="3" t="s">
        <v>2711</v>
      </c>
      <c r="DAG1" s="3" t="s">
        <v>2712</v>
      </c>
      <c r="DAH1" s="3" t="s">
        <v>2713</v>
      </c>
      <c r="DAI1" s="3" t="s">
        <v>2714</v>
      </c>
      <c r="DAJ1" s="3" t="s">
        <v>2715</v>
      </c>
      <c r="DAK1" s="3" t="s">
        <v>2716</v>
      </c>
      <c r="DAL1" s="3" t="s">
        <v>2717</v>
      </c>
      <c r="DAM1" s="3" t="s">
        <v>2718</v>
      </c>
      <c r="DAN1" s="3" t="s">
        <v>2719</v>
      </c>
      <c r="DAO1" s="3" t="s">
        <v>2720</v>
      </c>
      <c r="DAP1" s="3" t="s">
        <v>2721</v>
      </c>
      <c r="DAQ1" s="3" t="s">
        <v>2722</v>
      </c>
      <c r="DAR1" s="3" t="s">
        <v>2723</v>
      </c>
      <c r="DAS1" s="3" t="s">
        <v>2724</v>
      </c>
      <c r="DAT1" s="3" t="s">
        <v>2725</v>
      </c>
      <c r="DAU1" s="3" t="s">
        <v>2726</v>
      </c>
      <c r="DAV1" s="3" t="s">
        <v>2727</v>
      </c>
      <c r="DAW1" s="3" t="s">
        <v>2728</v>
      </c>
      <c r="DAX1" s="3" t="s">
        <v>2729</v>
      </c>
      <c r="DAY1" s="3" t="s">
        <v>2730</v>
      </c>
      <c r="DAZ1" s="3" t="s">
        <v>2731</v>
      </c>
      <c r="DBA1" s="3" t="s">
        <v>2732</v>
      </c>
      <c r="DBB1" s="3" t="s">
        <v>2733</v>
      </c>
      <c r="DBC1" s="3" t="s">
        <v>2734</v>
      </c>
      <c r="DBD1" s="3" t="s">
        <v>2735</v>
      </c>
      <c r="DBE1" s="3" t="s">
        <v>2736</v>
      </c>
      <c r="DBF1" s="3" t="s">
        <v>2737</v>
      </c>
      <c r="DBG1" s="3" t="s">
        <v>2738</v>
      </c>
      <c r="DBH1" s="3" t="s">
        <v>2739</v>
      </c>
      <c r="DBI1" s="3" t="s">
        <v>2740</v>
      </c>
      <c r="DBJ1" s="3" t="s">
        <v>2741</v>
      </c>
      <c r="DBK1" s="3" t="s">
        <v>2742</v>
      </c>
      <c r="DBL1" s="3" t="s">
        <v>2743</v>
      </c>
      <c r="DBM1" s="3" t="s">
        <v>2744</v>
      </c>
      <c r="DBN1" s="3" t="s">
        <v>2745</v>
      </c>
      <c r="DBO1" s="3" t="s">
        <v>2746</v>
      </c>
      <c r="DBP1" s="3" t="s">
        <v>2747</v>
      </c>
      <c r="DBQ1" s="3" t="s">
        <v>2748</v>
      </c>
      <c r="DBR1" s="3" t="s">
        <v>2749</v>
      </c>
      <c r="DBS1" s="3" t="s">
        <v>2750</v>
      </c>
      <c r="DBT1" s="3" t="s">
        <v>2751</v>
      </c>
      <c r="DBU1" s="3" t="s">
        <v>2752</v>
      </c>
      <c r="DBV1" s="3" t="s">
        <v>2753</v>
      </c>
      <c r="DBW1" s="3" t="s">
        <v>2754</v>
      </c>
      <c r="DBX1" s="3" t="s">
        <v>2755</v>
      </c>
      <c r="DBY1" s="3" t="s">
        <v>2756</v>
      </c>
      <c r="DBZ1" s="3" t="s">
        <v>2757</v>
      </c>
      <c r="DCA1" s="3" t="s">
        <v>2758</v>
      </c>
      <c r="DCB1" s="3" t="s">
        <v>2759</v>
      </c>
      <c r="DCC1" s="3" t="s">
        <v>2760</v>
      </c>
      <c r="DCD1" s="3" t="s">
        <v>2761</v>
      </c>
      <c r="DCE1" s="3" t="s">
        <v>2762</v>
      </c>
      <c r="DCF1" s="3" t="s">
        <v>2763</v>
      </c>
      <c r="DCG1" s="3" t="s">
        <v>2764</v>
      </c>
      <c r="DCH1" s="3" t="s">
        <v>2765</v>
      </c>
      <c r="DCI1" s="3" t="s">
        <v>2766</v>
      </c>
      <c r="DCJ1" s="3" t="s">
        <v>2767</v>
      </c>
      <c r="DCK1" s="3" t="s">
        <v>2768</v>
      </c>
      <c r="DCL1" s="3" t="s">
        <v>2769</v>
      </c>
      <c r="DCM1" s="3" t="s">
        <v>2770</v>
      </c>
      <c r="DCN1" s="3" t="s">
        <v>2771</v>
      </c>
      <c r="DCO1" s="3" t="s">
        <v>2772</v>
      </c>
      <c r="DCP1" s="3" t="s">
        <v>2773</v>
      </c>
      <c r="DCQ1" s="3" t="s">
        <v>2774</v>
      </c>
      <c r="DCR1" s="3" t="s">
        <v>2775</v>
      </c>
      <c r="DCS1" s="3" t="s">
        <v>2776</v>
      </c>
      <c r="DCT1" s="3" t="s">
        <v>2777</v>
      </c>
      <c r="DCU1" s="3" t="s">
        <v>2778</v>
      </c>
      <c r="DCV1" s="3" t="s">
        <v>2779</v>
      </c>
      <c r="DCW1" s="3" t="s">
        <v>2780</v>
      </c>
      <c r="DCX1" s="3" t="s">
        <v>2781</v>
      </c>
      <c r="DCY1" s="3" t="s">
        <v>2782</v>
      </c>
      <c r="DCZ1" s="3" t="s">
        <v>2783</v>
      </c>
      <c r="DDA1" s="3" t="s">
        <v>2784</v>
      </c>
      <c r="DDB1" s="3" t="s">
        <v>2785</v>
      </c>
      <c r="DDC1" s="3" t="s">
        <v>2786</v>
      </c>
      <c r="DDD1" s="3" t="s">
        <v>2787</v>
      </c>
      <c r="DDE1" s="3" t="s">
        <v>2788</v>
      </c>
      <c r="DDF1" s="3" t="s">
        <v>2789</v>
      </c>
      <c r="DDG1" s="3" t="s">
        <v>2790</v>
      </c>
      <c r="DDH1" s="3" t="s">
        <v>2791</v>
      </c>
      <c r="DDI1" s="3" t="s">
        <v>2792</v>
      </c>
      <c r="DDJ1" s="3" t="s">
        <v>2793</v>
      </c>
      <c r="DDK1" s="3" t="s">
        <v>2794</v>
      </c>
      <c r="DDL1" s="3" t="s">
        <v>2795</v>
      </c>
      <c r="DDM1" s="3" t="s">
        <v>2796</v>
      </c>
      <c r="DDN1" s="3" t="s">
        <v>2797</v>
      </c>
      <c r="DDO1" s="3" t="s">
        <v>2798</v>
      </c>
      <c r="DDP1" s="3" t="s">
        <v>2799</v>
      </c>
      <c r="DDQ1" s="3" t="s">
        <v>2800</v>
      </c>
      <c r="DDR1" s="3" t="s">
        <v>2801</v>
      </c>
      <c r="DDS1" s="3" t="s">
        <v>2802</v>
      </c>
      <c r="DDT1" s="3" t="s">
        <v>2803</v>
      </c>
      <c r="DDU1" s="3" t="s">
        <v>2804</v>
      </c>
      <c r="DDV1" s="3" t="s">
        <v>2805</v>
      </c>
      <c r="DDW1" s="3" t="s">
        <v>2806</v>
      </c>
      <c r="DDX1" s="3" t="s">
        <v>2807</v>
      </c>
      <c r="DDY1" s="3" t="s">
        <v>2808</v>
      </c>
      <c r="DDZ1" s="3" t="s">
        <v>2809</v>
      </c>
      <c r="DEA1" s="3" t="s">
        <v>2810</v>
      </c>
      <c r="DEB1" s="3" t="s">
        <v>2811</v>
      </c>
      <c r="DEC1" s="3" t="s">
        <v>2812</v>
      </c>
      <c r="DED1" s="3" t="s">
        <v>2813</v>
      </c>
      <c r="DEE1" s="3" t="s">
        <v>2814</v>
      </c>
      <c r="DEF1" s="3" t="s">
        <v>2815</v>
      </c>
      <c r="DEG1" s="3" t="s">
        <v>2816</v>
      </c>
      <c r="DEH1" s="3" t="s">
        <v>2817</v>
      </c>
      <c r="DEI1" s="3" t="s">
        <v>2818</v>
      </c>
      <c r="DEJ1" s="3" t="s">
        <v>2819</v>
      </c>
      <c r="DEK1" s="3" t="s">
        <v>2820</v>
      </c>
      <c r="DEL1" s="3" t="s">
        <v>2821</v>
      </c>
      <c r="DEM1" s="3" t="s">
        <v>2822</v>
      </c>
      <c r="DEN1" s="3" t="s">
        <v>2823</v>
      </c>
      <c r="DEO1" s="3" t="s">
        <v>2824</v>
      </c>
      <c r="DEP1" s="3" t="s">
        <v>2825</v>
      </c>
      <c r="DEQ1" s="3" t="s">
        <v>2826</v>
      </c>
      <c r="DER1" s="3" t="s">
        <v>2827</v>
      </c>
      <c r="DES1" s="3" t="s">
        <v>2828</v>
      </c>
      <c r="DET1" s="3" t="s">
        <v>2829</v>
      </c>
      <c r="DEU1" s="3" t="s">
        <v>2830</v>
      </c>
      <c r="DEV1" s="3" t="s">
        <v>2831</v>
      </c>
      <c r="DEW1" s="3" t="s">
        <v>2832</v>
      </c>
      <c r="DEX1" s="3" t="s">
        <v>2833</v>
      </c>
      <c r="DEY1" s="3" t="s">
        <v>2834</v>
      </c>
      <c r="DEZ1" s="3" t="s">
        <v>2835</v>
      </c>
      <c r="DFA1" s="3" t="s">
        <v>2836</v>
      </c>
      <c r="DFB1" s="3" t="s">
        <v>2837</v>
      </c>
      <c r="DFC1" s="3" t="s">
        <v>2838</v>
      </c>
      <c r="DFD1" s="3" t="s">
        <v>2839</v>
      </c>
      <c r="DFE1" s="3" t="s">
        <v>2840</v>
      </c>
      <c r="DFF1" s="3" t="s">
        <v>2841</v>
      </c>
      <c r="DFG1" s="3" t="s">
        <v>2842</v>
      </c>
      <c r="DFH1" s="3" t="s">
        <v>2843</v>
      </c>
      <c r="DFI1" s="3" t="s">
        <v>2844</v>
      </c>
      <c r="DFJ1" s="3" t="s">
        <v>2845</v>
      </c>
      <c r="DFK1" s="3" t="s">
        <v>2846</v>
      </c>
      <c r="DFL1" s="3" t="s">
        <v>2847</v>
      </c>
      <c r="DFM1" s="3" t="s">
        <v>2848</v>
      </c>
      <c r="DFN1" s="3" t="s">
        <v>2849</v>
      </c>
      <c r="DFO1" s="3" t="s">
        <v>2850</v>
      </c>
      <c r="DFP1" s="3" t="s">
        <v>2851</v>
      </c>
      <c r="DFQ1" s="3" t="s">
        <v>2852</v>
      </c>
      <c r="DFR1" s="3" t="s">
        <v>2853</v>
      </c>
      <c r="DFS1" s="3" t="s">
        <v>2854</v>
      </c>
      <c r="DFT1" s="3" t="s">
        <v>2855</v>
      </c>
      <c r="DFU1" s="3" t="s">
        <v>2856</v>
      </c>
      <c r="DFV1" s="3" t="s">
        <v>2857</v>
      </c>
      <c r="DFW1" s="3" t="s">
        <v>2858</v>
      </c>
      <c r="DFX1" s="3" t="s">
        <v>2859</v>
      </c>
      <c r="DFY1" s="3" t="s">
        <v>2860</v>
      </c>
      <c r="DFZ1" s="3" t="s">
        <v>2861</v>
      </c>
      <c r="DGA1" s="3" t="s">
        <v>2862</v>
      </c>
      <c r="DGB1" s="3" t="s">
        <v>2863</v>
      </c>
      <c r="DGC1" s="3" t="s">
        <v>2864</v>
      </c>
      <c r="DGD1" s="3" t="s">
        <v>2865</v>
      </c>
      <c r="DGE1" s="3" t="s">
        <v>2866</v>
      </c>
      <c r="DGF1" s="3" t="s">
        <v>2867</v>
      </c>
      <c r="DGG1" s="3" t="s">
        <v>2868</v>
      </c>
      <c r="DGH1" s="3" t="s">
        <v>2869</v>
      </c>
      <c r="DGI1" s="3" t="s">
        <v>2870</v>
      </c>
      <c r="DGJ1" s="3" t="s">
        <v>2871</v>
      </c>
      <c r="DGK1" s="3" t="s">
        <v>2872</v>
      </c>
      <c r="DGL1" s="3" t="s">
        <v>2873</v>
      </c>
      <c r="DGM1" s="3" t="s">
        <v>2874</v>
      </c>
      <c r="DGN1" s="3" t="s">
        <v>2875</v>
      </c>
      <c r="DGO1" s="3" t="s">
        <v>2876</v>
      </c>
      <c r="DGP1" s="3" t="s">
        <v>2877</v>
      </c>
      <c r="DGQ1" s="3" t="s">
        <v>2878</v>
      </c>
      <c r="DGR1" s="3" t="s">
        <v>2879</v>
      </c>
      <c r="DGS1" s="3" t="s">
        <v>2880</v>
      </c>
      <c r="DGT1" s="3" t="s">
        <v>2881</v>
      </c>
      <c r="DGU1" s="3" t="s">
        <v>2882</v>
      </c>
      <c r="DGV1" s="3" t="s">
        <v>2883</v>
      </c>
      <c r="DGW1" s="3" t="s">
        <v>2884</v>
      </c>
      <c r="DGX1" s="3" t="s">
        <v>2885</v>
      </c>
      <c r="DGY1" s="3" t="s">
        <v>2886</v>
      </c>
      <c r="DGZ1" s="3" t="s">
        <v>2887</v>
      </c>
      <c r="DHA1" s="3" t="s">
        <v>2888</v>
      </c>
      <c r="DHB1" s="3" t="s">
        <v>2889</v>
      </c>
      <c r="DHC1" s="3" t="s">
        <v>2890</v>
      </c>
      <c r="DHD1" s="3" t="s">
        <v>2891</v>
      </c>
      <c r="DHE1" s="3" t="s">
        <v>2892</v>
      </c>
      <c r="DHF1" s="3" t="s">
        <v>2893</v>
      </c>
      <c r="DHG1" s="3" t="s">
        <v>2894</v>
      </c>
      <c r="DHH1" s="3" t="s">
        <v>2895</v>
      </c>
      <c r="DHI1" s="3" t="s">
        <v>2896</v>
      </c>
      <c r="DHJ1" s="3" t="s">
        <v>2897</v>
      </c>
      <c r="DHK1" s="3" t="s">
        <v>2898</v>
      </c>
      <c r="DHL1" s="3" t="s">
        <v>2899</v>
      </c>
      <c r="DHM1" s="3" t="s">
        <v>2900</v>
      </c>
      <c r="DHN1" s="3" t="s">
        <v>2901</v>
      </c>
      <c r="DHO1" s="3" t="s">
        <v>2902</v>
      </c>
      <c r="DHP1" s="3" t="s">
        <v>2903</v>
      </c>
      <c r="DHQ1" s="3" t="s">
        <v>2904</v>
      </c>
      <c r="DHR1" s="3" t="s">
        <v>2905</v>
      </c>
      <c r="DHS1" s="3" t="s">
        <v>2906</v>
      </c>
      <c r="DHT1" s="3" t="s">
        <v>2907</v>
      </c>
      <c r="DHU1" s="3" t="s">
        <v>2908</v>
      </c>
      <c r="DHV1" s="3" t="s">
        <v>2909</v>
      </c>
      <c r="DHW1" s="3" t="s">
        <v>2910</v>
      </c>
      <c r="DHX1" s="3" t="s">
        <v>2911</v>
      </c>
      <c r="DHY1" s="3" t="s">
        <v>2912</v>
      </c>
      <c r="DHZ1" s="3" t="s">
        <v>2913</v>
      </c>
      <c r="DIA1" s="3" t="s">
        <v>2914</v>
      </c>
      <c r="DIB1" s="3" t="s">
        <v>2915</v>
      </c>
      <c r="DIC1" s="3" t="s">
        <v>2916</v>
      </c>
      <c r="DID1" s="3" t="s">
        <v>2917</v>
      </c>
      <c r="DIE1" s="3" t="s">
        <v>2918</v>
      </c>
      <c r="DIF1" s="3" t="s">
        <v>2919</v>
      </c>
      <c r="DIG1" s="3" t="s">
        <v>2920</v>
      </c>
      <c r="DIH1" s="3" t="s">
        <v>2921</v>
      </c>
      <c r="DII1" s="3" t="s">
        <v>2922</v>
      </c>
      <c r="DIJ1" s="3" t="s">
        <v>2923</v>
      </c>
      <c r="DIK1" s="3" t="s">
        <v>2924</v>
      </c>
      <c r="DIL1" s="3" t="s">
        <v>2925</v>
      </c>
      <c r="DIM1" s="3" t="s">
        <v>2926</v>
      </c>
      <c r="DIN1" s="3" t="s">
        <v>2927</v>
      </c>
      <c r="DIO1" s="3" t="s">
        <v>2928</v>
      </c>
      <c r="DIP1" s="3" t="s">
        <v>2929</v>
      </c>
      <c r="DIQ1" s="3" t="s">
        <v>2930</v>
      </c>
      <c r="DIR1" s="3" t="s">
        <v>2931</v>
      </c>
      <c r="DIS1" s="3" t="s">
        <v>2932</v>
      </c>
      <c r="DIT1" s="3" t="s">
        <v>2933</v>
      </c>
      <c r="DIU1" s="3" t="s">
        <v>2934</v>
      </c>
      <c r="DIV1" s="3" t="s">
        <v>2935</v>
      </c>
      <c r="DIW1" s="3" t="s">
        <v>2936</v>
      </c>
      <c r="DIX1" s="3" t="s">
        <v>2937</v>
      </c>
      <c r="DIY1" s="3" t="s">
        <v>2938</v>
      </c>
      <c r="DIZ1" s="3" t="s">
        <v>2939</v>
      </c>
      <c r="DJA1" s="3" t="s">
        <v>2940</v>
      </c>
      <c r="DJB1" s="3" t="s">
        <v>2941</v>
      </c>
      <c r="DJC1" s="3" t="s">
        <v>2942</v>
      </c>
      <c r="DJD1" s="3" t="s">
        <v>2943</v>
      </c>
      <c r="DJE1" s="3" t="s">
        <v>2944</v>
      </c>
      <c r="DJF1" s="3" t="s">
        <v>2945</v>
      </c>
      <c r="DJG1" s="3" t="s">
        <v>2946</v>
      </c>
      <c r="DJH1" s="3" t="s">
        <v>2947</v>
      </c>
      <c r="DJI1" s="3" t="s">
        <v>2948</v>
      </c>
      <c r="DJJ1" s="3" t="s">
        <v>2949</v>
      </c>
      <c r="DJK1" s="3" t="s">
        <v>2950</v>
      </c>
      <c r="DJL1" s="3" t="s">
        <v>2951</v>
      </c>
      <c r="DJM1" s="3" t="s">
        <v>2952</v>
      </c>
      <c r="DJN1" s="3" t="s">
        <v>2953</v>
      </c>
      <c r="DJO1" s="3" t="s">
        <v>2954</v>
      </c>
      <c r="DJP1" s="3" t="s">
        <v>2955</v>
      </c>
      <c r="DJQ1" s="3" t="s">
        <v>2956</v>
      </c>
      <c r="DJR1" s="3" t="s">
        <v>2957</v>
      </c>
      <c r="DJS1" s="3" t="s">
        <v>2958</v>
      </c>
      <c r="DJT1" s="3" t="s">
        <v>2959</v>
      </c>
      <c r="DJU1" s="3" t="s">
        <v>2960</v>
      </c>
      <c r="DJV1" s="3" t="s">
        <v>2961</v>
      </c>
      <c r="DJW1" s="3" t="s">
        <v>2962</v>
      </c>
      <c r="DJX1" s="3" t="s">
        <v>2963</v>
      </c>
      <c r="DJY1" s="3" t="s">
        <v>2964</v>
      </c>
      <c r="DJZ1" s="3" t="s">
        <v>2965</v>
      </c>
      <c r="DKA1" s="3" t="s">
        <v>2966</v>
      </c>
      <c r="DKB1" s="3" t="s">
        <v>2967</v>
      </c>
      <c r="DKC1" s="3" t="s">
        <v>2968</v>
      </c>
      <c r="DKD1" s="3" t="s">
        <v>2969</v>
      </c>
      <c r="DKE1" s="3" t="s">
        <v>2970</v>
      </c>
      <c r="DKF1" s="3" t="s">
        <v>2971</v>
      </c>
      <c r="DKG1" s="3" t="s">
        <v>2972</v>
      </c>
      <c r="DKH1" s="3" t="s">
        <v>2973</v>
      </c>
      <c r="DKI1" s="3" t="s">
        <v>2974</v>
      </c>
      <c r="DKJ1" s="3" t="s">
        <v>2975</v>
      </c>
      <c r="DKK1" s="3" t="s">
        <v>2976</v>
      </c>
      <c r="DKL1" s="3" t="s">
        <v>2977</v>
      </c>
      <c r="DKM1" s="3" t="s">
        <v>2978</v>
      </c>
      <c r="DKN1" s="3" t="s">
        <v>2979</v>
      </c>
      <c r="DKO1" s="3" t="s">
        <v>2980</v>
      </c>
      <c r="DKP1" s="3" t="s">
        <v>2981</v>
      </c>
      <c r="DKQ1" s="3" t="s">
        <v>2982</v>
      </c>
      <c r="DKR1" s="3" t="s">
        <v>2983</v>
      </c>
      <c r="DKS1" s="3" t="s">
        <v>2984</v>
      </c>
      <c r="DKT1" s="3" t="s">
        <v>2985</v>
      </c>
      <c r="DKU1" s="3" t="s">
        <v>2986</v>
      </c>
      <c r="DKV1" s="3" t="s">
        <v>2987</v>
      </c>
      <c r="DKW1" s="3" t="s">
        <v>2988</v>
      </c>
      <c r="DKX1" s="3" t="s">
        <v>2989</v>
      </c>
      <c r="DKY1" s="3" t="s">
        <v>2990</v>
      </c>
      <c r="DKZ1" s="3" t="s">
        <v>2991</v>
      </c>
      <c r="DLA1" s="3" t="s">
        <v>2992</v>
      </c>
      <c r="DLB1" s="3" t="s">
        <v>2993</v>
      </c>
      <c r="DLC1" s="3" t="s">
        <v>2994</v>
      </c>
      <c r="DLD1" s="3" t="s">
        <v>2995</v>
      </c>
      <c r="DLE1" s="3" t="s">
        <v>2996</v>
      </c>
      <c r="DLF1" s="3" t="s">
        <v>2997</v>
      </c>
      <c r="DLG1" s="3" t="s">
        <v>2998</v>
      </c>
      <c r="DLH1" s="3" t="s">
        <v>2999</v>
      </c>
      <c r="DLI1" s="3" t="s">
        <v>3000</v>
      </c>
      <c r="DLJ1" s="3" t="s">
        <v>3001</v>
      </c>
      <c r="DLK1" s="3" t="s">
        <v>3002</v>
      </c>
      <c r="DLL1" s="3" t="s">
        <v>3003</v>
      </c>
      <c r="DLM1" s="3" t="s">
        <v>3004</v>
      </c>
      <c r="DLN1" s="3" t="s">
        <v>3005</v>
      </c>
      <c r="DLO1" s="3" t="s">
        <v>3006</v>
      </c>
      <c r="DLP1" s="3" t="s">
        <v>3007</v>
      </c>
      <c r="DLQ1" s="3" t="s">
        <v>3008</v>
      </c>
      <c r="DLR1" s="3" t="s">
        <v>3009</v>
      </c>
      <c r="DLS1" s="3" t="s">
        <v>3010</v>
      </c>
      <c r="DLT1" s="3" t="s">
        <v>3011</v>
      </c>
      <c r="DLU1" s="3" t="s">
        <v>3012</v>
      </c>
      <c r="DLV1" s="3" t="s">
        <v>3013</v>
      </c>
      <c r="DLW1" s="3" t="s">
        <v>3014</v>
      </c>
      <c r="DLX1" s="3" t="s">
        <v>3015</v>
      </c>
      <c r="DLY1" s="3" t="s">
        <v>3016</v>
      </c>
      <c r="DLZ1" s="3" t="s">
        <v>3017</v>
      </c>
      <c r="DMA1" s="3" t="s">
        <v>3018</v>
      </c>
      <c r="DMB1" s="3" t="s">
        <v>3019</v>
      </c>
      <c r="DMC1" s="3" t="s">
        <v>3020</v>
      </c>
      <c r="DMD1" s="3" t="s">
        <v>3021</v>
      </c>
      <c r="DME1" s="3" t="s">
        <v>3022</v>
      </c>
      <c r="DMF1" s="3" t="s">
        <v>3023</v>
      </c>
      <c r="DMG1" s="3" t="s">
        <v>3024</v>
      </c>
      <c r="DMH1" s="3" t="s">
        <v>3025</v>
      </c>
      <c r="DMI1" s="3" t="s">
        <v>3026</v>
      </c>
      <c r="DMJ1" s="3" t="s">
        <v>3027</v>
      </c>
      <c r="DMK1" s="3" t="s">
        <v>3028</v>
      </c>
      <c r="DML1" s="3" t="s">
        <v>3029</v>
      </c>
      <c r="DMM1" s="3" t="s">
        <v>3030</v>
      </c>
      <c r="DMN1" s="3" t="s">
        <v>3031</v>
      </c>
      <c r="DMO1" s="3" t="s">
        <v>3032</v>
      </c>
      <c r="DMP1" s="3" t="s">
        <v>3033</v>
      </c>
      <c r="DMQ1" s="3" t="s">
        <v>3034</v>
      </c>
      <c r="DMR1" s="3" t="s">
        <v>3035</v>
      </c>
      <c r="DMS1" s="3" t="s">
        <v>3036</v>
      </c>
      <c r="DMT1" s="3" t="s">
        <v>3037</v>
      </c>
      <c r="DMU1" s="3" t="s">
        <v>3038</v>
      </c>
      <c r="DMV1" s="3" t="s">
        <v>3039</v>
      </c>
      <c r="DMW1" s="3" t="s">
        <v>3040</v>
      </c>
      <c r="DMX1" s="3" t="s">
        <v>3041</v>
      </c>
      <c r="DMY1" s="3" t="s">
        <v>3042</v>
      </c>
      <c r="DMZ1" s="3" t="s">
        <v>3043</v>
      </c>
      <c r="DNA1" s="3" t="s">
        <v>3044</v>
      </c>
      <c r="DNB1" s="3" t="s">
        <v>3045</v>
      </c>
      <c r="DNC1" s="3" t="s">
        <v>3046</v>
      </c>
      <c r="DND1" s="3" t="s">
        <v>3047</v>
      </c>
      <c r="DNE1" s="3" t="s">
        <v>3048</v>
      </c>
      <c r="DNF1" s="3" t="s">
        <v>3049</v>
      </c>
      <c r="DNG1" s="3" t="s">
        <v>3050</v>
      </c>
      <c r="DNH1" s="3" t="s">
        <v>3051</v>
      </c>
      <c r="DNI1" s="3" t="s">
        <v>3052</v>
      </c>
      <c r="DNJ1" s="3" t="s">
        <v>3053</v>
      </c>
      <c r="DNK1" s="3" t="s">
        <v>3054</v>
      </c>
      <c r="DNL1" s="3" t="s">
        <v>3055</v>
      </c>
      <c r="DNM1" s="3" t="s">
        <v>3056</v>
      </c>
      <c r="DNN1" s="3" t="s">
        <v>3057</v>
      </c>
      <c r="DNO1" s="3" t="s">
        <v>3058</v>
      </c>
      <c r="DNP1" s="3" t="s">
        <v>3059</v>
      </c>
      <c r="DNQ1" s="3" t="s">
        <v>3060</v>
      </c>
      <c r="DNR1" s="3" t="s">
        <v>3061</v>
      </c>
      <c r="DNS1" s="3" t="s">
        <v>3062</v>
      </c>
      <c r="DNT1" s="3" t="s">
        <v>3063</v>
      </c>
      <c r="DNU1" s="3" t="s">
        <v>3064</v>
      </c>
      <c r="DNV1" s="3" t="s">
        <v>3065</v>
      </c>
      <c r="DNW1" s="3" t="s">
        <v>3066</v>
      </c>
      <c r="DNX1" s="3" t="s">
        <v>3067</v>
      </c>
      <c r="DNY1" s="3" t="s">
        <v>3068</v>
      </c>
      <c r="DNZ1" s="3" t="s">
        <v>3069</v>
      </c>
      <c r="DOA1" s="3" t="s">
        <v>3070</v>
      </c>
      <c r="DOB1" s="3" t="s">
        <v>3071</v>
      </c>
      <c r="DOC1" s="3" t="s">
        <v>3072</v>
      </c>
      <c r="DOD1" s="3" t="s">
        <v>3073</v>
      </c>
      <c r="DOE1" s="3" t="s">
        <v>3074</v>
      </c>
      <c r="DOF1" s="3" t="s">
        <v>3075</v>
      </c>
      <c r="DOG1" s="3" t="s">
        <v>3076</v>
      </c>
      <c r="DOH1" s="3" t="s">
        <v>3077</v>
      </c>
      <c r="DOI1" s="3" t="s">
        <v>3078</v>
      </c>
      <c r="DOJ1" s="3" t="s">
        <v>3079</v>
      </c>
      <c r="DOK1" s="3" t="s">
        <v>3080</v>
      </c>
      <c r="DOL1" s="3" t="s">
        <v>3081</v>
      </c>
      <c r="DOM1" s="3" t="s">
        <v>3082</v>
      </c>
      <c r="DON1" s="3" t="s">
        <v>3083</v>
      </c>
      <c r="DOO1" s="3" t="s">
        <v>3084</v>
      </c>
      <c r="DOP1" s="3" t="s">
        <v>3085</v>
      </c>
      <c r="DOQ1" s="3" t="s">
        <v>3086</v>
      </c>
      <c r="DOR1" s="3" t="s">
        <v>3087</v>
      </c>
      <c r="DOS1" s="3" t="s">
        <v>3088</v>
      </c>
      <c r="DOT1" s="3" t="s">
        <v>3089</v>
      </c>
      <c r="DOU1" s="3" t="s">
        <v>3090</v>
      </c>
      <c r="DOV1" s="3" t="s">
        <v>3091</v>
      </c>
      <c r="DOW1" s="3" t="s">
        <v>3092</v>
      </c>
      <c r="DOX1" s="3" t="s">
        <v>3093</v>
      </c>
      <c r="DOY1" s="3" t="s">
        <v>3094</v>
      </c>
      <c r="DOZ1" s="3" t="s">
        <v>3095</v>
      </c>
      <c r="DPA1" s="3" t="s">
        <v>3096</v>
      </c>
      <c r="DPB1" s="3" t="s">
        <v>3097</v>
      </c>
      <c r="DPC1" s="3" t="s">
        <v>3098</v>
      </c>
      <c r="DPD1" s="3" t="s">
        <v>3099</v>
      </c>
      <c r="DPE1" s="3" t="s">
        <v>3100</v>
      </c>
      <c r="DPF1" s="3" t="s">
        <v>3101</v>
      </c>
      <c r="DPG1" s="3" t="s">
        <v>3102</v>
      </c>
      <c r="DPH1" s="3" t="s">
        <v>3103</v>
      </c>
      <c r="DPI1" s="3" t="s">
        <v>3104</v>
      </c>
      <c r="DPJ1" s="3" t="s">
        <v>3105</v>
      </c>
      <c r="DPK1" s="3" t="s">
        <v>3106</v>
      </c>
      <c r="DPL1" s="3" t="s">
        <v>3107</v>
      </c>
      <c r="DPM1" s="3" t="s">
        <v>3108</v>
      </c>
      <c r="DPN1" s="3" t="s">
        <v>3109</v>
      </c>
      <c r="DPO1" s="3" t="s">
        <v>3110</v>
      </c>
      <c r="DPP1" s="3" t="s">
        <v>3111</v>
      </c>
      <c r="DPQ1" s="3" t="s">
        <v>3112</v>
      </c>
      <c r="DPR1" s="3" t="s">
        <v>3113</v>
      </c>
      <c r="DPS1" s="3" t="s">
        <v>3114</v>
      </c>
      <c r="DPT1" s="3" t="s">
        <v>3115</v>
      </c>
      <c r="DPU1" s="3" t="s">
        <v>3116</v>
      </c>
      <c r="DPV1" s="3" t="s">
        <v>3117</v>
      </c>
      <c r="DPW1" s="3" t="s">
        <v>3118</v>
      </c>
      <c r="DPX1" s="3" t="s">
        <v>3119</v>
      </c>
      <c r="DPY1" s="3" t="s">
        <v>3120</v>
      </c>
      <c r="DPZ1" s="3" t="s">
        <v>3121</v>
      </c>
      <c r="DQA1" s="3" t="s">
        <v>3122</v>
      </c>
      <c r="DQB1" s="3" t="s">
        <v>3123</v>
      </c>
      <c r="DQC1" s="3" t="s">
        <v>3124</v>
      </c>
      <c r="DQD1" s="3" t="s">
        <v>3125</v>
      </c>
      <c r="DQE1" s="3" t="s">
        <v>3126</v>
      </c>
      <c r="DQF1" s="3" t="s">
        <v>3127</v>
      </c>
      <c r="DQG1" s="3" t="s">
        <v>3128</v>
      </c>
      <c r="DQH1" s="3" t="s">
        <v>3129</v>
      </c>
      <c r="DQI1" s="3" t="s">
        <v>3130</v>
      </c>
      <c r="DQJ1" s="3" t="s">
        <v>3131</v>
      </c>
      <c r="DQK1" s="3" t="s">
        <v>3132</v>
      </c>
      <c r="DQL1" s="3" t="s">
        <v>3133</v>
      </c>
      <c r="DQM1" s="3" t="s">
        <v>3134</v>
      </c>
      <c r="DQN1" s="3" t="s">
        <v>3135</v>
      </c>
      <c r="DQO1" s="3" t="s">
        <v>3136</v>
      </c>
      <c r="DQP1" s="3" t="s">
        <v>3137</v>
      </c>
      <c r="DQQ1" s="3" t="s">
        <v>3138</v>
      </c>
      <c r="DQR1" s="3" t="s">
        <v>3139</v>
      </c>
      <c r="DQS1" s="3" t="s">
        <v>3140</v>
      </c>
      <c r="DQT1" s="3" t="s">
        <v>3141</v>
      </c>
      <c r="DQU1" s="3" t="s">
        <v>3142</v>
      </c>
      <c r="DQV1" s="3" t="s">
        <v>3143</v>
      </c>
      <c r="DQW1" s="3" t="s">
        <v>3144</v>
      </c>
      <c r="DQX1" s="3" t="s">
        <v>3145</v>
      </c>
      <c r="DQY1" s="3" t="s">
        <v>3146</v>
      </c>
      <c r="DQZ1" s="3" t="s">
        <v>3147</v>
      </c>
      <c r="DRA1" s="3" t="s">
        <v>3148</v>
      </c>
      <c r="DRB1" s="3" t="s">
        <v>3149</v>
      </c>
      <c r="DRC1" s="3" t="s">
        <v>3150</v>
      </c>
      <c r="DRD1" s="3" t="s">
        <v>3151</v>
      </c>
      <c r="DRE1" s="3" t="s">
        <v>3152</v>
      </c>
      <c r="DRF1" s="3" t="s">
        <v>3153</v>
      </c>
      <c r="DRG1" s="3" t="s">
        <v>3154</v>
      </c>
      <c r="DRH1" s="3" t="s">
        <v>3155</v>
      </c>
      <c r="DRI1" s="3" t="s">
        <v>3156</v>
      </c>
      <c r="DRJ1" s="3" t="s">
        <v>3157</v>
      </c>
      <c r="DRK1" s="3" t="s">
        <v>3158</v>
      </c>
      <c r="DRL1" s="3" t="s">
        <v>3159</v>
      </c>
      <c r="DRM1" s="3" t="s">
        <v>3160</v>
      </c>
      <c r="DRN1" s="3" t="s">
        <v>3161</v>
      </c>
      <c r="DRO1" s="3" t="s">
        <v>3162</v>
      </c>
      <c r="DRP1" s="3" t="s">
        <v>3163</v>
      </c>
      <c r="DRQ1" s="3" t="s">
        <v>3164</v>
      </c>
      <c r="DRR1" s="3" t="s">
        <v>3165</v>
      </c>
      <c r="DRS1" s="3" t="s">
        <v>3166</v>
      </c>
      <c r="DRT1" s="3" t="s">
        <v>3167</v>
      </c>
      <c r="DRU1" s="3" t="s">
        <v>3168</v>
      </c>
      <c r="DRV1" s="3" t="s">
        <v>3169</v>
      </c>
      <c r="DRW1" s="3" t="s">
        <v>3170</v>
      </c>
      <c r="DRX1" s="3" t="s">
        <v>3171</v>
      </c>
      <c r="DRY1" s="3" t="s">
        <v>3172</v>
      </c>
      <c r="DRZ1" s="3" t="s">
        <v>3173</v>
      </c>
      <c r="DSA1" s="3" t="s">
        <v>3174</v>
      </c>
      <c r="DSB1" s="3" t="s">
        <v>3175</v>
      </c>
      <c r="DSC1" s="3" t="s">
        <v>3176</v>
      </c>
      <c r="DSD1" s="3" t="s">
        <v>3177</v>
      </c>
      <c r="DSE1" s="3" t="s">
        <v>3178</v>
      </c>
      <c r="DSF1" s="3" t="s">
        <v>3179</v>
      </c>
      <c r="DSG1" s="3" t="s">
        <v>3180</v>
      </c>
      <c r="DSH1" s="3" t="s">
        <v>3181</v>
      </c>
      <c r="DSI1" s="3" t="s">
        <v>3182</v>
      </c>
      <c r="DSJ1" s="3" t="s">
        <v>3183</v>
      </c>
      <c r="DSK1" s="3" t="s">
        <v>3184</v>
      </c>
      <c r="DSL1" s="3" t="s">
        <v>3185</v>
      </c>
      <c r="DSM1" s="3" t="s">
        <v>3186</v>
      </c>
      <c r="DSN1" s="3" t="s">
        <v>3187</v>
      </c>
      <c r="DSO1" s="3" t="s">
        <v>3188</v>
      </c>
      <c r="DSP1" s="3" t="s">
        <v>3189</v>
      </c>
      <c r="DSQ1" s="3" t="s">
        <v>3190</v>
      </c>
      <c r="DSR1" s="3" t="s">
        <v>3191</v>
      </c>
      <c r="DSS1" s="3" t="s">
        <v>3192</v>
      </c>
      <c r="DST1" s="3" t="s">
        <v>3193</v>
      </c>
      <c r="DSU1" s="3" t="s">
        <v>3194</v>
      </c>
      <c r="DSV1" s="3" t="s">
        <v>3195</v>
      </c>
      <c r="DSW1" s="3" t="s">
        <v>3196</v>
      </c>
      <c r="DSX1" s="3" t="s">
        <v>3197</v>
      </c>
      <c r="DSY1" s="3" t="s">
        <v>3198</v>
      </c>
      <c r="DSZ1" s="3" t="s">
        <v>3199</v>
      </c>
      <c r="DTA1" s="3" t="s">
        <v>3200</v>
      </c>
      <c r="DTB1" s="3" t="s">
        <v>3201</v>
      </c>
      <c r="DTC1" s="3" t="s">
        <v>3202</v>
      </c>
      <c r="DTD1" s="3" t="s">
        <v>3203</v>
      </c>
      <c r="DTE1" s="3" t="s">
        <v>3204</v>
      </c>
      <c r="DTF1" s="3" t="s">
        <v>3205</v>
      </c>
      <c r="DTG1" s="3" t="s">
        <v>3206</v>
      </c>
      <c r="DTH1" s="3" t="s">
        <v>3207</v>
      </c>
      <c r="DTI1" s="3" t="s">
        <v>3208</v>
      </c>
      <c r="DTJ1" s="3" t="s">
        <v>3209</v>
      </c>
      <c r="DTK1" s="3" t="s">
        <v>3210</v>
      </c>
      <c r="DTL1" s="3" t="s">
        <v>3211</v>
      </c>
      <c r="DTM1" s="3" t="s">
        <v>3212</v>
      </c>
      <c r="DTN1" s="3" t="s">
        <v>3213</v>
      </c>
      <c r="DTO1" s="3" t="s">
        <v>3214</v>
      </c>
      <c r="DTP1" s="3" t="s">
        <v>3215</v>
      </c>
      <c r="DTQ1" s="3" t="s">
        <v>3216</v>
      </c>
      <c r="DTR1" s="3" t="s">
        <v>3217</v>
      </c>
      <c r="DTS1" s="3" t="s">
        <v>3218</v>
      </c>
      <c r="DTT1" s="3" t="s">
        <v>3219</v>
      </c>
      <c r="DTU1" s="3" t="s">
        <v>3220</v>
      </c>
      <c r="DTV1" s="3" t="s">
        <v>3221</v>
      </c>
      <c r="DTW1" s="3" t="s">
        <v>3222</v>
      </c>
      <c r="DTX1" s="3" t="s">
        <v>3223</v>
      </c>
      <c r="DTY1" s="3" t="s">
        <v>3224</v>
      </c>
      <c r="DTZ1" s="3" t="s">
        <v>3225</v>
      </c>
      <c r="DUA1" s="3" t="s">
        <v>3226</v>
      </c>
      <c r="DUB1" s="3" t="s">
        <v>3227</v>
      </c>
      <c r="DUC1" s="3" t="s">
        <v>3228</v>
      </c>
      <c r="DUD1" s="3" t="s">
        <v>3229</v>
      </c>
      <c r="DUE1" s="3" t="s">
        <v>3230</v>
      </c>
      <c r="DUF1" s="3" t="s">
        <v>3231</v>
      </c>
      <c r="DUG1" s="3" t="s">
        <v>3232</v>
      </c>
      <c r="DUH1" s="3" t="s">
        <v>3233</v>
      </c>
      <c r="DUI1" s="3" t="s">
        <v>3234</v>
      </c>
      <c r="DUJ1" s="3" t="s">
        <v>3235</v>
      </c>
      <c r="DUK1" s="3" t="s">
        <v>3236</v>
      </c>
      <c r="DUL1" s="3" t="s">
        <v>3237</v>
      </c>
      <c r="DUM1" s="3" t="s">
        <v>3238</v>
      </c>
      <c r="DUN1" s="3" t="s">
        <v>3239</v>
      </c>
      <c r="DUO1" s="3" t="s">
        <v>3240</v>
      </c>
      <c r="DUP1" s="3" t="s">
        <v>3241</v>
      </c>
      <c r="DUQ1" s="3" t="s">
        <v>3242</v>
      </c>
      <c r="DUR1" s="3" t="s">
        <v>3243</v>
      </c>
      <c r="DUS1" s="3" t="s">
        <v>3244</v>
      </c>
      <c r="DUT1" s="3" t="s">
        <v>3245</v>
      </c>
      <c r="DUU1" s="3" t="s">
        <v>3246</v>
      </c>
      <c r="DUV1" s="3" t="s">
        <v>3247</v>
      </c>
      <c r="DUW1" s="3" t="s">
        <v>3248</v>
      </c>
      <c r="DUX1" s="3" t="s">
        <v>3249</v>
      </c>
      <c r="DUY1" s="3" t="s">
        <v>3250</v>
      </c>
      <c r="DUZ1" s="3" t="s">
        <v>3251</v>
      </c>
      <c r="DVA1" s="3" t="s">
        <v>3252</v>
      </c>
      <c r="DVB1" s="3" t="s">
        <v>3253</v>
      </c>
      <c r="DVC1" s="3" t="s">
        <v>3254</v>
      </c>
      <c r="DVD1" s="3" t="s">
        <v>3255</v>
      </c>
      <c r="DVE1" s="3" t="s">
        <v>3256</v>
      </c>
      <c r="DVF1" s="3" t="s">
        <v>3257</v>
      </c>
      <c r="DVG1" s="3" t="s">
        <v>3258</v>
      </c>
      <c r="DVH1" s="3" t="s">
        <v>3259</v>
      </c>
      <c r="DVI1" s="3" t="s">
        <v>3260</v>
      </c>
      <c r="DVJ1" s="3" t="s">
        <v>3261</v>
      </c>
      <c r="DVK1" s="3" t="s">
        <v>3262</v>
      </c>
      <c r="DVL1" s="3" t="s">
        <v>3263</v>
      </c>
      <c r="DVM1" s="3" t="s">
        <v>3264</v>
      </c>
      <c r="DVN1" s="3" t="s">
        <v>3265</v>
      </c>
      <c r="DVO1" s="3" t="s">
        <v>3266</v>
      </c>
      <c r="DVP1" s="3" t="s">
        <v>3267</v>
      </c>
      <c r="DVQ1" s="3" t="s">
        <v>3268</v>
      </c>
      <c r="DVR1" s="3" t="s">
        <v>3269</v>
      </c>
      <c r="DVS1" s="3" t="s">
        <v>3270</v>
      </c>
      <c r="DVT1" s="3" t="s">
        <v>3271</v>
      </c>
      <c r="DVU1" s="3" t="s">
        <v>3272</v>
      </c>
      <c r="DVV1" s="3" t="s">
        <v>3273</v>
      </c>
      <c r="DVW1" s="3" t="s">
        <v>3274</v>
      </c>
      <c r="DVX1" s="3" t="s">
        <v>3275</v>
      </c>
      <c r="DVY1" s="3" t="s">
        <v>3276</v>
      </c>
      <c r="DVZ1" s="3" t="s">
        <v>3277</v>
      </c>
      <c r="DWA1" s="3" t="s">
        <v>3278</v>
      </c>
      <c r="DWB1" s="3" t="s">
        <v>3279</v>
      </c>
      <c r="DWC1" s="3" t="s">
        <v>3280</v>
      </c>
      <c r="DWD1" s="3" t="s">
        <v>3281</v>
      </c>
      <c r="DWE1" s="3" t="s">
        <v>3282</v>
      </c>
      <c r="DWF1" s="3" t="s">
        <v>3283</v>
      </c>
      <c r="DWG1" s="3" t="s">
        <v>3284</v>
      </c>
      <c r="DWH1" s="3" t="s">
        <v>3285</v>
      </c>
      <c r="DWI1" s="3" t="s">
        <v>3286</v>
      </c>
      <c r="DWJ1" s="3" t="s">
        <v>3287</v>
      </c>
      <c r="DWK1" s="3" t="s">
        <v>3288</v>
      </c>
      <c r="DWL1" s="3" t="s">
        <v>3289</v>
      </c>
      <c r="DWM1" s="3" t="s">
        <v>3290</v>
      </c>
      <c r="DWN1" s="3" t="s">
        <v>3291</v>
      </c>
      <c r="DWO1" s="3" t="s">
        <v>3292</v>
      </c>
      <c r="DWP1" s="3" t="s">
        <v>3293</v>
      </c>
      <c r="DWQ1" s="3" t="s">
        <v>3294</v>
      </c>
      <c r="DWR1" s="3" t="s">
        <v>3295</v>
      </c>
      <c r="DWS1" s="3" t="s">
        <v>3296</v>
      </c>
      <c r="DWT1" s="3" t="s">
        <v>3297</v>
      </c>
      <c r="DWU1" s="3" t="s">
        <v>3298</v>
      </c>
      <c r="DWV1" s="3" t="s">
        <v>3299</v>
      </c>
      <c r="DWW1" s="3" t="s">
        <v>3300</v>
      </c>
      <c r="DWX1" s="3" t="s">
        <v>3301</v>
      </c>
      <c r="DWY1" s="3" t="s">
        <v>3302</v>
      </c>
      <c r="DWZ1" s="3" t="s">
        <v>3303</v>
      </c>
      <c r="DXA1" s="3" t="s">
        <v>3304</v>
      </c>
      <c r="DXB1" s="3" t="s">
        <v>3305</v>
      </c>
      <c r="DXC1" s="3" t="s">
        <v>3306</v>
      </c>
      <c r="DXD1" s="3" t="s">
        <v>3307</v>
      </c>
      <c r="DXE1" s="3" t="s">
        <v>3308</v>
      </c>
      <c r="DXF1" s="3" t="s">
        <v>3309</v>
      </c>
      <c r="DXG1" s="3" t="s">
        <v>3310</v>
      </c>
      <c r="DXH1" s="3" t="s">
        <v>3311</v>
      </c>
      <c r="DXI1" s="3" t="s">
        <v>3312</v>
      </c>
      <c r="DXJ1" s="3" t="s">
        <v>3313</v>
      </c>
      <c r="DXK1" s="3" t="s">
        <v>3314</v>
      </c>
      <c r="DXL1" s="3" t="s">
        <v>3315</v>
      </c>
      <c r="DXM1" s="3" t="s">
        <v>3316</v>
      </c>
      <c r="DXN1" s="3" t="s">
        <v>3317</v>
      </c>
      <c r="DXO1" s="3" t="s">
        <v>3318</v>
      </c>
      <c r="DXP1" s="3" t="s">
        <v>3319</v>
      </c>
      <c r="DXQ1" s="3" t="s">
        <v>3320</v>
      </c>
      <c r="DXR1" s="3" t="s">
        <v>3321</v>
      </c>
      <c r="DXS1" s="3" t="s">
        <v>3322</v>
      </c>
      <c r="DXT1" s="3" t="s">
        <v>3323</v>
      </c>
      <c r="DXU1" s="3" t="s">
        <v>3324</v>
      </c>
      <c r="DXV1" s="3" t="s">
        <v>3325</v>
      </c>
      <c r="DXW1" s="3" t="s">
        <v>3326</v>
      </c>
      <c r="DXX1" s="3" t="s">
        <v>3327</v>
      </c>
      <c r="DXY1" s="3" t="s">
        <v>3328</v>
      </c>
      <c r="DXZ1" s="3" t="s">
        <v>3329</v>
      </c>
      <c r="DYA1" s="3" t="s">
        <v>3330</v>
      </c>
      <c r="DYB1" s="3" t="s">
        <v>3331</v>
      </c>
      <c r="DYC1" s="3" t="s">
        <v>3332</v>
      </c>
      <c r="DYD1" s="3" t="s">
        <v>3333</v>
      </c>
      <c r="DYE1" s="3" t="s">
        <v>3334</v>
      </c>
      <c r="DYF1" s="3" t="s">
        <v>3335</v>
      </c>
      <c r="DYG1" s="3" t="s">
        <v>3336</v>
      </c>
      <c r="DYH1" s="3" t="s">
        <v>3337</v>
      </c>
      <c r="DYI1" s="3" t="s">
        <v>3338</v>
      </c>
      <c r="DYJ1" s="3" t="s">
        <v>3339</v>
      </c>
      <c r="DYK1" s="3" t="s">
        <v>3340</v>
      </c>
      <c r="DYL1" s="3" t="s">
        <v>3341</v>
      </c>
      <c r="DYM1" s="3" t="s">
        <v>3342</v>
      </c>
      <c r="DYN1" s="3" t="s">
        <v>3343</v>
      </c>
      <c r="DYO1" s="3" t="s">
        <v>3344</v>
      </c>
      <c r="DYP1" s="3" t="s">
        <v>3345</v>
      </c>
      <c r="DYQ1" s="3" t="s">
        <v>3346</v>
      </c>
      <c r="DYR1" s="3" t="s">
        <v>3347</v>
      </c>
      <c r="DYS1" s="3" t="s">
        <v>3348</v>
      </c>
      <c r="DYT1" s="3" t="s">
        <v>3349</v>
      </c>
      <c r="DYU1" s="3" t="s">
        <v>3350</v>
      </c>
      <c r="DYV1" s="3" t="s">
        <v>3351</v>
      </c>
      <c r="DYW1" s="3" t="s">
        <v>3352</v>
      </c>
      <c r="DYX1" s="3" t="s">
        <v>3353</v>
      </c>
      <c r="DYY1" s="3" t="s">
        <v>3354</v>
      </c>
      <c r="DYZ1" s="3" t="s">
        <v>3355</v>
      </c>
      <c r="DZA1" s="3" t="s">
        <v>3356</v>
      </c>
      <c r="DZB1" s="3" t="s">
        <v>3357</v>
      </c>
      <c r="DZC1" s="3" t="s">
        <v>3358</v>
      </c>
      <c r="DZD1" s="3" t="s">
        <v>3359</v>
      </c>
      <c r="DZE1" s="3" t="s">
        <v>3360</v>
      </c>
      <c r="DZF1" s="3" t="s">
        <v>3361</v>
      </c>
      <c r="DZG1" s="3" t="s">
        <v>3362</v>
      </c>
      <c r="DZH1" s="3" t="s">
        <v>3363</v>
      </c>
      <c r="DZI1" s="3" t="s">
        <v>3364</v>
      </c>
      <c r="DZJ1" s="3" t="s">
        <v>3365</v>
      </c>
      <c r="DZK1" s="3" t="s">
        <v>3366</v>
      </c>
      <c r="DZL1" s="3" t="s">
        <v>3367</v>
      </c>
      <c r="DZM1" s="3" t="s">
        <v>3368</v>
      </c>
      <c r="DZN1" s="3" t="s">
        <v>3369</v>
      </c>
      <c r="DZO1" s="3" t="s">
        <v>3370</v>
      </c>
      <c r="DZP1" s="3" t="s">
        <v>3371</v>
      </c>
      <c r="DZQ1" s="3" t="s">
        <v>3372</v>
      </c>
      <c r="DZR1" s="3" t="s">
        <v>3373</v>
      </c>
      <c r="DZS1" s="3" t="s">
        <v>3374</v>
      </c>
      <c r="DZT1" s="3" t="s">
        <v>3375</v>
      </c>
      <c r="DZU1" s="3" t="s">
        <v>3376</v>
      </c>
      <c r="DZV1" s="3" t="s">
        <v>3377</v>
      </c>
      <c r="DZW1" s="3" t="s">
        <v>3378</v>
      </c>
      <c r="DZX1" s="3" t="s">
        <v>3379</v>
      </c>
      <c r="DZY1" s="3" t="s">
        <v>3380</v>
      </c>
      <c r="DZZ1" s="3" t="s">
        <v>3381</v>
      </c>
      <c r="EAA1" s="3" t="s">
        <v>3382</v>
      </c>
      <c r="EAB1" s="3" t="s">
        <v>3383</v>
      </c>
      <c r="EAC1" s="3" t="s">
        <v>3384</v>
      </c>
      <c r="EAD1" s="3" t="s">
        <v>3385</v>
      </c>
      <c r="EAE1" s="3" t="s">
        <v>3386</v>
      </c>
      <c r="EAF1" s="3" t="s">
        <v>3387</v>
      </c>
      <c r="EAG1" s="3" t="s">
        <v>3388</v>
      </c>
      <c r="EAH1" s="3" t="s">
        <v>3389</v>
      </c>
      <c r="EAI1" s="3" t="s">
        <v>3390</v>
      </c>
      <c r="EAJ1" s="3" t="s">
        <v>3391</v>
      </c>
      <c r="EAK1" s="3" t="s">
        <v>3392</v>
      </c>
      <c r="EAL1" s="3" t="s">
        <v>3393</v>
      </c>
      <c r="EAM1" s="3" t="s">
        <v>3394</v>
      </c>
      <c r="EAN1" s="3" t="s">
        <v>3395</v>
      </c>
      <c r="EAO1" s="3" t="s">
        <v>3396</v>
      </c>
      <c r="EAP1" s="3" t="s">
        <v>3397</v>
      </c>
      <c r="EAQ1" s="3" t="s">
        <v>3398</v>
      </c>
      <c r="EAR1" s="3" t="s">
        <v>3399</v>
      </c>
      <c r="EAS1" s="3" t="s">
        <v>3400</v>
      </c>
      <c r="EAT1" s="3" t="s">
        <v>3401</v>
      </c>
      <c r="EAU1" s="3" t="s">
        <v>3402</v>
      </c>
      <c r="EAV1" s="3" t="s">
        <v>3403</v>
      </c>
      <c r="EAW1" s="3" t="s">
        <v>3404</v>
      </c>
      <c r="EAX1" s="3" t="s">
        <v>3405</v>
      </c>
      <c r="EAY1" s="3" t="s">
        <v>3406</v>
      </c>
      <c r="EAZ1" s="3" t="s">
        <v>3407</v>
      </c>
      <c r="EBA1" s="3" t="s">
        <v>3408</v>
      </c>
      <c r="EBB1" s="3" t="s">
        <v>3409</v>
      </c>
      <c r="EBC1" s="3" t="s">
        <v>3410</v>
      </c>
      <c r="EBD1" s="3" t="s">
        <v>3411</v>
      </c>
      <c r="EBE1" s="3" t="s">
        <v>3412</v>
      </c>
      <c r="EBF1" s="3" t="s">
        <v>3413</v>
      </c>
      <c r="EBG1" s="3" t="s">
        <v>3414</v>
      </c>
      <c r="EBH1" s="3" t="s">
        <v>3415</v>
      </c>
      <c r="EBI1" s="3" t="s">
        <v>3416</v>
      </c>
      <c r="EBJ1" s="3" t="s">
        <v>3417</v>
      </c>
      <c r="EBK1" s="3" t="s">
        <v>3418</v>
      </c>
      <c r="EBL1" s="3" t="s">
        <v>3419</v>
      </c>
      <c r="EBM1" s="3" t="s">
        <v>3420</v>
      </c>
      <c r="EBN1" s="3" t="s">
        <v>3421</v>
      </c>
      <c r="EBO1" s="3" t="s">
        <v>3422</v>
      </c>
      <c r="EBP1" s="3" t="s">
        <v>3423</v>
      </c>
      <c r="EBQ1" s="3" t="s">
        <v>3424</v>
      </c>
      <c r="EBR1" s="3" t="s">
        <v>3425</v>
      </c>
      <c r="EBS1" s="3" t="s">
        <v>3426</v>
      </c>
      <c r="EBT1" s="3" t="s">
        <v>3427</v>
      </c>
      <c r="EBU1" s="3" t="s">
        <v>3428</v>
      </c>
      <c r="EBV1" s="3" t="s">
        <v>3429</v>
      </c>
      <c r="EBW1" s="3" t="s">
        <v>3430</v>
      </c>
      <c r="EBX1" s="3" t="s">
        <v>3431</v>
      </c>
      <c r="EBY1" s="3" t="s">
        <v>3432</v>
      </c>
      <c r="EBZ1" s="3" t="s">
        <v>3433</v>
      </c>
      <c r="ECA1" s="3" t="s">
        <v>3434</v>
      </c>
      <c r="ECB1" s="3" t="s">
        <v>3435</v>
      </c>
      <c r="ECC1" s="3" t="s">
        <v>3436</v>
      </c>
      <c r="ECD1" s="3" t="s">
        <v>3437</v>
      </c>
      <c r="ECE1" s="3" t="s">
        <v>3438</v>
      </c>
      <c r="ECF1" s="3" t="s">
        <v>3439</v>
      </c>
      <c r="ECG1" s="3" t="s">
        <v>3440</v>
      </c>
      <c r="ECH1" s="3" t="s">
        <v>3441</v>
      </c>
      <c r="ECI1" s="3" t="s">
        <v>3442</v>
      </c>
      <c r="ECJ1" s="3" t="s">
        <v>3443</v>
      </c>
      <c r="ECK1" s="3" t="s">
        <v>3444</v>
      </c>
      <c r="ECL1" s="3" t="s">
        <v>3445</v>
      </c>
      <c r="ECM1" s="3" t="s">
        <v>3446</v>
      </c>
      <c r="ECN1" s="3" t="s">
        <v>3447</v>
      </c>
      <c r="ECO1" s="3" t="s">
        <v>3448</v>
      </c>
      <c r="ECP1" s="3" t="s">
        <v>3449</v>
      </c>
      <c r="ECQ1" s="3" t="s">
        <v>3450</v>
      </c>
      <c r="ECR1" s="3" t="s">
        <v>3451</v>
      </c>
      <c r="ECS1" s="3" t="s">
        <v>3452</v>
      </c>
      <c r="ECT1" s="3" t="s">
        <v>3453</v>
      </c>
      <c r="ECU1" s="3" t="s">
        <v>3454</v>
      </c>
      <c r="ECV1" s="3" t="s">
        <v>3455</v>
      </c>
      <c r="ECW1" s="3" t="s">
        <v>3456</v>
      </c>
      <c r="ECX1" s="3" t="s">
        <v>3457</v>
      </c>
      <c r="ECY1" s="3" t="s">
        <v>3458</v>
      </c>
      <c r="ECZ1" s="3" t="s">
        <v>3459</v>
      </c>
      <c r="EDA1" s="3" t="s">
        <v>3460</v>
      </c>
      <c r="EDB1" s="3" t="s">
        <v>3461</v>
      </c>
      <c r="EDC1" s="3" t="s">
        <v>3462</v>
      </c>
      <c r="EDD1" s="3" t="s">
        <v>3463</v>
      </c>
      <c r="EDE1" s="3" t="s">
        <v>3464</v>
      </c>
      <c r="EDF1" s="3" t="s">
        <v>3465</v>
      </c>
      <c r="EDG1" s="3" t="s">
        <v>3466</v>
      </c>
      <c r="EDH1" s="3" t="s">
        <v>3467</v>
      </c>
      <c r="EDI1" s="3" t="s">
        <v>3468</v>
      </c>
      <c r="EDJ1" s="3" t="s">
        <v>3469</v>
      </c>
      <c r="EDK1" s="3" t="s">
        <v>3470</v>
      </c>
      <c r="EDL1" s="3" t="s">
        <v>3471</v>
      </c>
      <c r="EDM1" s="3" t="s">
        <v>3472</v>
      </c>
      <c r="EDN1" s="3" t="s">
        <v>3473</v>
      </c>
      <c r="EDO1" s="3" t="s">
        <v>3474</v>
      </c>
      <c r="EDP1" s="3" t="s">
        <v>3475</v>
      </c>
      <c r="EDQ1" s="3" t="s">
        <v>3476</v>
      </c>
      <c r="EDR1" s="3" t="s">
        <v>3477</v>
      </c>
      <c r="EDS1" s="3" t="s">
        <v>3478</v>
      </c>
      <c r="EDT1" s="3" t="s">
        <v>3479</v>
      </c>
      <c r="EDU1" s="3" t="s">
        <v>3480</v>
      </c>
      <c r="EDV1" s="3" t="s">
        <v>3481</v>
      </c>
      <c r="EDW1" s="3" t="s">
        <v>3482</v>
      </c>
      <c r="EDX1" s="3" t="s">
        <v>3483</v>
      </c>
      <c r="EDY1" s="3" t="s">
        <v>3484</v>
      </c>
      <c r="EDZ1" s="3" t="s">
        <v>3485</v>
      </c>
      <c r="EEA1" s="3" t="s">
        <v>3486</v>
      </c>
      <c r="EEB1" s="3" t="s">
        <v>3487</v>
      </c>
      <c r="EEC1" s="3" t="s">
        <v>3488</v>
      </c>
      <c r="EED1" s="3" t="s">
        <v>3489</v>
      </c>
      <c r="EEE1" s="3" t="s">
        <v>3490</v>
      </c>
      <c r="EEF1" s="3" t="s">
        <v>3491</v>
      </c>
      <c r="EEG1" s="3" t="s">
        <v>3492</v>
      </c>
      <c r="EEH1" s="3" t="s">
        <v>3493</v>
      </c>
      <c r="EEI1" s="3" t="s">
        <v>3494</v>
      </c>
      <c r="EEJ1" s="3" t="s">
        <v>3495</v>
      </c>
      <c r="EEK1" s="3" t="s">
        <v>3496</v>
      </c>
      <c r="EEL1" s="3" t="s">
        <v>3497</v>
      </c>
      <c r="EEM1" s="3" t="s">
        <v>3498</v>
      </c>
      <c r="EEN1" s="3" t="s">
        <v>3499</v>
      </c>
      <c r="EEO1" s="3" t="s">
        <v>3500</v>
      </c>
      <c r="EEP1" s="3" t="s">
        <v>3501</v>
      </c>
      <c r="EEQ1" s="3" t="s">
        <v>3502</v>
      </c>
      <c r="EER1" s="3" t="s">
        <v>3503</v>
      </c>
      <c r="EES1" s="3" t="s">
        <v>3504</v>
      </c>
      <c r="EET1" s="3" t="s">
        <v>3505</v>
      </c>
      <c r="EEU1" s="3" t="s">
        <v>3506</v>
      </c>
      <c r="EEV1" s="3" t="s">
        <v>3507</v>
      </c>
      <c r="EEW1" s="3" t="s">
        <v>3508</v>
      </c>
      <c r="EEX1" s="3" t="s">
        <v>3509</v>
      </c>
      <c r="EEY1" s="3" t="s">
        <v>3510</v>
      </c>
      <c r="EEZ1" s="3" t="s">
        <v>3511</v>
      </c>
      <c r="EFA1" s="3" t="s">
        <v>3512</v>
      </c>
      <c r="EFB1" s="3" t="s">
        <v>3513</v>
      </c>
      <c r="EFC1" s="3" t="s">
        <v>3514</v>
      </c>
      <c r="EFD1" s="3" t="s">
        <v>3515</v>
      </c>
      <c r="EFE1" s="3" t="s">
        <v>3516</v>
      </c>
      <c r="EFF1" s="3" t="s">
        <v>3517</v>
      </c>
      <c r="EFG1" s="3" t="s">
        <v>3518</v>
      </c>
      <c r="EFH1" s="3" t="s">
        <v>3519</v>
      </c>
      <c r="EFI1" s="3" t="s">
        <v>3520</v>
      </c>
      <c r="EFJ1" s="3" t="s">
        <v>3521</v>
      </c>
      <c r="EFK1" s="3" t="s">
        <v>3522</v>
      </c>
      <c r="EFL1" s="3" t="s">
        <v>3523</v>
      </c>
      <c r="EFM1" s="3" t="s">
        <v>3524</v>
      </c>
      <c r="EFN1" s="3" t="s">
        <v>3525</v>
      </c>
      <c r="EFO1" s="3" t="s">
        <v>3526</v>
      </c>
      <c r="EFP1" s="3" t="s">
        <v>3527</v>
      </c>
      <c r="EFQ1" s="3" t="s">
        <v>3528</v>
      </c>
      <c r="EFR1" s="3" t="s">
        <v>3529</v>
      </c>
      <c r="EFS1" s="3" t="s">
        <v>3530</v>
      </c>
      <c r="EFT1" s="3" t="s">
        <v>3531</v>
      </c>
      <c r="EFU1" s="3" t="s">
        <v>3532</v>
      </c>
      <c r="EFV1" s="3" t="s">
        <v>3533</v>
      </c>
      <c r="EFW1" s="3" t="s">
        <v>3534</v>
      </c>
      <c r="EFX1" s="3" t="s">
        <v>3535</v>
      </c>
      <c r="EFY1" s="3" t="s">
        <v>3536</v>
      </c>
      <c r="EFZ1" s="3" t="s">
        <v>3537</v>
      </c>
      <c r="EGA1" s="3" t="s">
        <v>3538</v>
      </c>
      <c r="EGB1" s="3" t="s">
        <v>3539</v>
      </c>
      <c r="EGC1" s="3" t="s">
        <v>3540</v>
      </c>
      <c r="EGD1" s="3" t="s">
        <v>3541</v>
      </c>
      <c r="EGE1" s="3" t="s">
        <v>3542</v>
      </c>
      <c r="EGF1" s="3" t="s">
        <v>3543</v>
      </c>
      <c r="EGG1" s="3" t="s">
        <v>3544</v>
      </c>
      <c r="EGH1" s="3" t="s">
        <v>3545</v>
      </c>
      <c r="EGI1" s="3" t="s">
        <v>3546</v>
      </c>
      <c r="EGJ1" s="3" t="s">
        <v>3547</v>
      </c>
      <c r="EGK1" s="3" t="s">
        <v>3548</v>
      </c>
      <c r="EGL1" s="3" t="s">
        <v>3549</v>
      </c>
      <c r="EGM1" s="3" t="s">
        <v>3550</v>
      </c>
      <c r="EGN1" s="3" t="s">
        <v>3551</v>
      </c>
      <c r="EGO1" s="3" t="s">
        <v>3552</v>
      </c>
      <c r="EGP1" s="3" t="s">
        <v>3553</v>
      </c>
      <c r="EGQ1" s="3" t="s">
        <v>3554</v>
      </c>
      <c r="EGR1" s="3" t="s">
        <v>3555</v>
      </c>
      <c r="EGS1" s="3" t="s">
        <v>3556</v>
      </c>
      <c r="EGT1" s="3" t="s">
        <v>3557</v>
      </c>
      <c r="EGU1" s="3" t="s">
        <v>3558</v>
      </c>
      <c r="EGV1" s="3" t="s">
        <v>3559</v>
      </c>
      <c r="EGW1" s="3" t="s">
        <v>3560</v>
      </c>
      <c r="EGX1" s="3" t="s">
        <v>3561</v>
      </c>
      <c r="EGY1" s="3" t="s">
        <v>3562</v>
      </c>
      <c r="EGZ1" s="3" t="s">
        <v>3563</v>
      </c>
      <c r="EHA1" s="3" t="s">
        <v>3564</v>
      </c>
      <c r="EHB1" s="3" t="s">
        <v>3565</v>
      </c>
      <c r="EHC1" s="3" t="s">
        <v>3566</v>
      </c>
      <c r="EHD1" s="3" t="s">
        <v>3567</v>
      </c>
      <c r="EHE1" s="3" t="s">
        <v>3568</v>
      </c>
      <c r="EHF1" s="3" t="s">
        <v>3569</v>
      </c>
      <c r="EHG1" s="3" t="s">
        <v>3570</v>
      </c>
      <c r="EHH1" s="3" t="s">
        <v>3571</v>
      </c>
      <c r="EHI1" s="3" t="s">
        <v>3572</v>
      </c>
      <c r="EHJ1" s="3" t="s">
        <v>3573</v>
      </c>
      <c r="EHK1" s="3" t="s">
        <v>3574</v>
      </c>
      <c r="EHL1" s="3" t="s">
        <v>3575</v>
      </c>
      <c r="EHM1" s="3" t="s">
        <v>3576</v>
      </c>
      <c r="EHN1" s="3" t="s">
        <v>3577</v>
      </c>
      <c r="EHO1" s="3" t="s">
        <v>3578</v>
      </c>
      <c r="EHP1" s="3" t="s">
        <v>3579</v>
      </c>
      <c r="EHQ1" s="3" t="s">
        <v>3580</v>
      </c>
      <c r="EHR1" s="3" t="s">
        <v>3581</v>
      </c>
      <c r="EHS1" s="3" t="s">
        <v>3582</v>
      </c>
      <c r="EHT1" s="3" t="s">
        <v>3583</v>
      </c>
      <c r="EHU1" s="3" t="s">
        <v>3584</v>
      </c>
      <c r="EHV1" s="3" t="s">
        <v>3585</v>
      </c>
      <c r="EHW1" s="3" t="s">
        <v>3586</v>
      </c>
      <c r="EHX1" s="3" t="s">
        <v>3587</v>
      </c>
      <c r="EHY1" s="3" t="s">
        <v>3588</v>
      </c>
      <c r="EHZ1" s="3" t="s">
        <v>3589</v>
      </c>
      <c r="EIA1" s="3" t="s">
        <v>3590</v>
      </c>
      <c r="EIB1" s="3" t="s">
        <v>3591</v>
      </c>
      <c r="EIC1" s="3" t="s">
        <v>3592</v>
      </c>
      <c r="EID1" s="3" t="s">
        <v>3593</v>
      </c>
      <c r="EIE1" s="3" t="s">
        <v>3594</v>
      </c>
      <c r="EIF1" s="3" t="s">
        <v>3595</v>
      </c>
      <c r="EIG1" s="3" t="s">
        <v>3596</v>
      </c>
      <c r="EIH1" s="3" t="s">
        <v>3597</v>
      </c>
      <c r="EII1" s="3" t="s">
        <v>3598</v>
      </c>
      <c r="EIJ1" s="3" t="s">
        <v>3599</v>
      </c>
      <c r="EIK1" s="3" t="s">
        <v>3600</v>
      </c>
      <c r="EIL1" s="3" t="s">
        <v>3601</v>
      </c>
      <c r="EIM1" s="3" t="s">
        <v>3602</v>
      </c>
      <c r="EIN1" s="3" t="s">
        <v>3603</v>
      </c>
      <c r="EIO1" s="3" t="s">
        <v>3604</v>
      </c>
      <c r="EIP1" s="3" t="s">
        <v>3605</v>
      </c>
      <c r="EIQ1" s="3" t="s">
        <v>3606</v>
      </c>
      <c r="EIR1" s="3" t="s">
        <v>3607</v>
      </c>
      <c r="EIS1" s="3" t="s">
        <v>3608</v>
      </c>
      <c r="EIT1" s="3" t="s">
        <v>3609</v>
      </c>
      <c r="EIU1" s="3" t="s">
        <v>3610</v>
      </c>
      <c r="EIV1" s="3" t="s">
        <v>3611</v>
      </c>
      <c r="EIW1" s="3" t="s">
        <v>3612</v>
      </c>
      <c r="EIX1" s="3" t="s">
        <v>3613</v>
      </c>
      <c r="EIY1" s="3" t="s">
        <v>3614</v>
      </c>
      <c r="EIZ1" s="3" t="s">
        <v>3615</v>
      </c>
      <c r="EJA1" s="3" t="s">
        <v>3616</v>
      </c>
      <c r="EJB1" s="3" t="s">
        <v>3617</v>
      </c>
      <c r="EJC1" s="3" t="s">
        <v>3618</v>
      </c>
      <c r="EJD1" s="3" t="s">
        <v>3619</v>
      </c>
      <c r="EJE1" s="3" t="s">
        <v>3620</v>
      </c>
      <c r="EJF1" s="3" t="s">
        <v>3621</v>
      </c>
      <c r="EJG1" s="3" t="s">
        <v>3622</v>
      </c>
      <c r="EJH1" s="3" t="s">
        <v>3623</v>
      </c>
      <c r="EJI1" s="3" t="s">
        <v>3624</v>
      </c>
      <c r="EJJ1" s="3" t="s">
        <v>3625</v>
      </c>
      <c r="EJK1" s="3" t="s">
        <v>3626</v>
      </c>
      <c r="EJL1" s="3" t="s">
        <v>3627</v>
      </c>
      <c r="EJM1" s="3" t="s">
        <v>3628</v>
      </c>
      <c r="EJN1" s="3" t="s">
        <v>3629</v>
      </c>
      <c r="EJO1" s="3" t="s">
        <v>3630</v>
      </c>
      <c r="EJP1" s="3" t="s">
        <v>3631</v>
      </c>
      <c r="EJQ1" s="3" t="s">
        <v>3632</v>
      </c>
      <c r="EJR1" s="3" t="s">
        <v>3633</v>
      </c>
      <c r="EJS1" s="3" t="s">
        <v>3634</v>
      </c>
      <c r="EJT1" s="3" t="s">
        <v>3635</v>
      </c>
      <c r="EJU1" s="3" t="s">
        <v>3636</v>
      </c>
      <c r="EJV1" s="3" t="s">
        <v>3637</v>
      </c>
      <c r="EJW1" s="3" t="s">
        <v>3638</v>
      </c>
      <c r="EJX1" s="3" t="s">
        <v>3639</v>
      </c>
      <c r="EJY1" s="3" t="s">
        <v>3640</v>
      </c>
      <c r="EJZ1" s="3" t="s">
        <v>3641</v>
      </c>
      <c r="EKA1" s="3" t="s">
        <v>3642</v>
      </c>
      <c r="EKB1" s="3" t="s">
        <v>3643</v>
      </c>
      <c r="EKC1" s="3" t="s">
        <v>3644</v>
      </c>
      <c r="EKD1" s="3" t="s">
        <v>3645</v>
      </c>
      <c r="EKE1" s="3" t="s">
        <v>3646</v>
      </c>
      <c r="EKF1" s="3" t="s">
        <v>3647</v>
      </c>
      <c r="EKG1" s="3" t="s">
        <v>3648</v>
      </c>
      <c r="EKH1" s="3" t="s">
        <v>3649</v>
      </c>
      <c r="EKI1" s="3" t="s">
        <v>3650</v>
      </c>
      <c r="EKJ1" s="3" t="s">
        <v>3651</v>
      </c>
      <c r="EKK1" s="3" t="s">
        <v>3652</v>
      </c>
      <c r="EKL1" s="3" t="s">
        <v>3653</v>
      </c>
      <c r="EKM1" s="3" t="s">
        <v>3654</v>
      </c>
      <c r="EKN1" s="3" t="s">
        <v>3655</v>
      </c>
      <c r="EKO1" s="3" t="s">
        <v>3656</v>
      </c>
      <c r="EKP1" s="3" t="s">
        <v>3657</v>
      </c>
      <c r="EKQ1" s="3" t="s">
        <v>3658</v>
      </c>
      <c r="EKR1" s="3" t="s">
        <v>3659</v>
      </c>
      <c r="EKS1" s="3" t="s">
        <v>3660</v>
      </c>
      <c r="EKT1" s="3" t="s">
        <v>3661</v>
      </c>
      <c r="EKU1" s="3" t="s">
        <v>3662</v>
      </c>
      <c r="EKV1" s="3" t="s">
        <v>3663</v>
      </c>
      <c r="EKW1" s="3" t="s">
        <v>3664</v>
      </c>
      <c r="EKX1" s="3" t="s">
        <v>3665</v>
      </c>
      <c r="EKY1" s="3" t="s">
        <v>3666</v>
      </c>
      <c r="EKZ1" s="3" t="s">
        <v>3667</v>
      </c>
      <c r="ELA1" s="3" t="s">
        <v>3668</v>
      </c>
      <c r="ELB1" s="3" t="s">
        <v>3669</v>
      </c>
      <c r="ELC1" s="3" t="s">
        <v>3670</v>
      </c>
      <c r="ELD1" s="3" t="s">
        <v>3671</v>
      </c>
      <c r="ELE1" s="3" t="s">
        <v>3672</v>
      </c>
      <c r="ELF1" s="3" t="s">
        <v>3673</v>
      </c>
      <c r="ELG1" s="3" t="s">
        <v>3674</v>
      </c>
      <c r="ELH1" s="3" t="s">
        <v>3675</v>
      </c>
      <c r="ELI1" s="3" t="s">
        <v>3676</v>
      </c>
      <c r="ELJ1" s="3" t="s">
        <v>3677</v>
      </c>
      <c r="ELK1" s="3" t="s">
        <v>3678</v>
      </c>
      <c r="ELL1" s="3" t="s">
        <v>3679</v>
      </c>
      <c r="ELM1" s="3" t="s">
        <v>3680</v>
      </c>
      <c r="ELN1" s="3" t="s">
        <v>3681</v>
      </c>
      <c r="ELO1" s="3" t="s">
        <v>3682</v>
      </c>
      <c r="ELP1" s="3" t="s">
        <v>3683</v>
      </c>
      <c r="ELQ1" s="3" t="s">
        <v>3684</v>
      </c>
      <c r="ELR1" s="3" t="s">
        <v>3685</v>
      </c>
      <c r="ELS1" s="3" t="s">
        <v>3686</v>
      </c>
      <c r="ELT1" s="3" t="s">
        <v>3687</v>
      </c>
      <c r="ELU1" s="3" t="s">
        <v>3688</v>
      </c>
      <c r="ELV1" s="3" t="s">
        <v>3689</v>
      </c>
      <c r="ELW1" s="3" t="s">
        <v>3690</v>
      </c>
      <c r="ELX1" s="3" t="s">
        <v>3691</v>
      </c>
      <c r="ELY1" s="3" t="s">
        <v>3692</v>
      </c>
      <c r="ELZ1" s="3" t="s">
        <v>3693</v>
      </c>
      <c r="EMA1" s="3" t="s">
        <v>3694</v>
      </c>
      <c r="EMB1" s="3" t="s">
        <v>3695</v>
      </c>
      <c r="EMC1" s="3" t="s">
        <v>3696</v>
      </c>
      <c r="EMD1" s="3" t="s">
        <v>3697</v>
      </c>
      <c r="EME1" s="3" t="s">
        <v>3698</v>
      </c>
      <c r="EMF1" s="3" t="s">
        <v>3699</v>
      </c>
      <c r="EMG1" s="3" t="s">
        <v>3700</v>
      </c>
      <c r="EMH1" s="3" t="s">
        <v>3701</v>
      </c>
      <c r="EMI1" s="3" t="s">
        <v>3702</v>
      </c>
      <c r="EMJ1" s="3" t="s">
        <v>3703</v>
      </c>
      <c r="EMK1" s="3" t="s">
        <v>3704</v>
      </c>
      <c r="EML1" s="3" t="s">
        <v>3705</v>
      </c>
      <c r="EMM1" s="3" t="s">
        <v>3706</v>
      </c>
      <c r="EMN1" s="3" t="s">
        <v>3707</v>
      </c>
      <c r="EMO1" s="3" t="s">
        <v>3708</v>
      </c>
      <c r="EMP1" s="3" t="s">
        <v>3709</v>
      </c>
      <c r="EMQ1" s="3" t="s">
        <v>3710</v>
      </c>
      <c r="EMR1" s="3" t="s">
        <v>3711</v>
      </c>
      <c r="EMS1" s="3" t="s">
        <v>3712</v>
      </c>
      <c r="EMT1" s="3" t="s">
        <v>3713</v>
      </c>
      <c r="EMU1" s="3" t="s">
        <v>3714</v>
      </c>
      <c r="EMV1" s="3" t="s">
        <v>3715</v>
      </c>
      <c r="EMW1" s="3" t="s">
        <v>3716</v>
      </c>
      <c r="EMX1" s="3" t="s">
        <v>3717</v>
      </c>
      <c r="EMY1" s="3" t="s">
        <v>3718</v>
      </c>
      <c r="EMZ1" s="3" t="s">
        <v>3719</v>
      </c>
      <c r="ENA1" s="3" t="s">
        <v>3720</v>
      </c>
      <c r="ENB1" s="3" t="s">
        <v>3721</v>
      </c>
      <c r="ENC1" s="3" t="s">
        <v>3722</v>
      </c>
      <c r="END1" s="3" t="s">
        <v>3723</v>
      </c>
      <c r="ENE1" s="3" t="s">
        <v>3724</v>
      </c>
      <c r="ENF1" s="3" t="s">
        <v>3725</v>
      </c>
      <c r="ENG1" s="3" t="s">
        <v>3726</v>
      </c>
      <c r="ENH1" s="3" t="s">
        <v>3727</v>
      </c>
      <c r="ENI1" s="3" t="s">
        <v>3728</v>
      </c>
      <c r="ENJ1" s="3" t="s">
        <v>3729</v>
      </c>
      <c r="ENK1" s="3" t="s">
        <v>3730</v>
      </c>
      <c r="ENL1" s="3" t="s">
        <v>3731</v>
      </c>
      <c r="ENM1" s="3" t="s">
        <v>3732</v>
      </c>
      <c r="ENN1" s="3" t="s">
        <v>3733</v>
      </c>
      <c r="ENO1" s="3" t="s">
        <v>3734</v>
      </c>
      <c r="ENP1" s="3" t="s">
        <v>3735</v>
      </c>
      <c r="ENQ1" s="3" t="s">
        <v>3736</v>
      </c>
      <c r="ENR1" s="3" t="s">
        <v>3737</v>
      </c>
      <c r="ENS1" s="3" t="s">
        <v>3738</v>
      </c>
      <c r="ENT1" s="3" t="s">
        <v>3739</v>
      </c>
      <c r="ENU1" s="3" t="s">
        <v>3740</v>
      </c>
      <c r="ENV1" s="3" t="s">
        <v>3741</v>
      </c>
      <c r="ENW1" s="3" t="s">
        <v>3742</v>
      </c>
      <c r="ENX1" s="3" t="s">
        <v>3743</v>
      </c>
      <c r="ENY1" s="3" t="s">
        <v>3744</v>
      </c>
      <c r="ENZ1" s="3" t="s">
        <v>3745</v>
      </c>
      <c r="EOA1" s="3" t="s">
        <v>3746</v>
      </c>
      <c r="EOB1" s="3" t="s">
        <v>3747</v>
      </c>
      <c r="EOC1" s="3" t="s">
        <v>3748</v>
      </c>
      <c r="EOD1" s="3" t="s">
        <v>3749</v>
      </c>
      <c r="EOE1" s="3" t="s">
        <v>3750</v>
      </c>
      <c r="EOF1" s="3" t="s">
        <v>3751</v>
      </c>
      <c r="EOG1" s="3" t="s">
        <v>3752</v>
      </c>
      <c r="EOH1" s="3" t="s">
        <v>3753</v>
      </c>
      <c r="EOI1" s="3" t="s">
        <v>3754</v>
      </c>
      <c r="EOJ1" s="3" t="s">
        <v>3755</v>
      </c>
      <c r="EOK1" s="3" t="s">
        <v>3756</v>
      </c>
      <c r="EOL1" s="3" t="s">
        <v>3757</v>
      </c>
      <c r="EOM1" s="3" t="s">
        <v>3758</v>
      </c>
      <c r="EON1" s="3" t="s">
        <v>3759</v>
      </c>
      <c r="EOO1" s="3" t="s">
        <v>3760</v>
      </c>
      <c r="EOP1" s="3" t="s">
        <v>3761</v>
      </c>
      <c r="EOQ1" s="3" t="s">
        <v>3762</v>
      </c>
      <c r="EOR1" s="3" t="s">
        <v>3763</v>
      </c>
      <c r="EOS1" s="3" t="s">
        <v>3764</v>
      </c>
      <c r="EOT1" s="3" t="s">
        <v>3765</v>
      </c>
      <c r="EOU1" s="3" t="s">
        <v>3766</v>
      </c>
      <c r="EOV1" s="3" t="s">
        <v>3767</v>
      </c>
      <c r="EOW1" s="3" t="s">
        <v>3768</v>
      </c>
      <c r="EOX1" s="3" t="s">
        <v>3769</v>
      </c>
      <c r="EOY1" s="3" t="s">
        <v>3770</v>
      </c>
      <c r="EOZ1" s="3" t="s">
        <v>3771</v>
      </c>
      <c r="EPA1" s="3" t="s">
        <v>3772</v>
      </c>
      <c r="EPB1" s="3" t="s">
        <v>3773</v>
      </c>
      <c r="EPC1" s="3" t="s">
        <v>3774</v>
      </c>
      <c r="EPD1" s="3" t="s">
        <v>3775</v>
      </c>
      <c r="EPE1" s="3" t="s">
        <v>3776</v>
      </c>
      <c r="EPF1" s="3" t="s">
        <v>3777</v>
      </c>
      <c r="EPG1" s="3" t="s">
        <v>3778</v>
      </c>
      <c r="EPH1" s="3" t="s">
        <v>3779</v>
      </c>
      <c r="EPI1" s="3" t="s">
        <v>3780</v>
      </c>
      <c r="EPJ1" s="3" t="s">
        <v>3781</v>
      </c>
      <c r="EPK1" s="3" t="s">
        <v>3782</v>
      </c>
      <c r="EPL1" s="3" t="s">
        <v>3783</v>
      </c>
      <c r="EPM1" s="3" t="s">
        <v>3784</v>
      </c>
      <c r="EPN1" s="3" t="s">
        <v>3785</v>
      </c>
      <c r="EPO1" s="3" t="s">
        <v>3786</v>
      </c>
      <c r="EPP1" s="3" t="s">
        <v>3787</v>
      </c>
      <c r="EPQ1" s="3" t="s">
        <v>3788</v>
      </c>
      <c r="EPR1" s="3" t="s">
        <v>3789</v>
      </c>
      <c r="EPS1" s="3" t="s">
        <v>3790</v>
      </c>
      <c r="EPT1" s="3" t="s">
        <v>3791</v>
      </c>
      <c r="EPU1" s="3" t="s">
        <v>3792</v>
      </c>
      <c r="EPV1" s="3" t="s">
        <v>3793</v>
      </c>
      <c r="EPW1" s="3" t="s">
        <v>3794</v>
      </c>
      <c r="EPX1" s="3" t="s">
        <v>3795</v>
      </c>
      <c r="EPY1" s="3" t="s">
        <v>3796</v>
      </c>
      <c r="EPZ1" s="3" t="s">
        <v>3797</v>
      </c>
      <c r="EQA1" s="3" t="s">
        <v>3798</v>
      </c>
      <c r="EQB1" s="3" t="s">
        <v>3799</v>
      </c>
      <c r="EQC1" s="3" t="s">
        <v>3800</v>
      </c>
      <c r="EQD1" s="3" t="s">
        <v>3801</v>
      </c>
      <c r="EQE1" s="3" t="s">
        <v>3802</v>
      </c>
      <c r="EQF1" s="3" t="s">
        <v>3803</v>
      </c>
      <c r="EQG1" s="3" t="s">
        <v>3804</v>
      </c>
      <c r="EQH1" s="3" t="s">
        <v>3805</v>
      </c>
      <c r="EQI1" s="3" t="s">
        <v>3806</v>
      </c>
      <c r="EQJ1" s="3" t="s">
        <v>3807</v>
      </c>
      <c r="EQK1" s="3" t="s">
        <v>3808</v>
      </c>
      <c r="EQL1" s="3" t="s">
        <v>3809</v>
      </c>
      <c r="EQM1" s="3" t="s">
        <v>3810</v>
      </c>
      <c r="EQN1" s="3" t="s">
        <v>3811</v>
      </c>
      <c r="EQO1" s="3" t="s">
        <v>3812</v>
      </c>
      <c r="EQP1" s="3" t="s">
        <v>3813</v>
      </c>
      <c r="EQQ1" s="3" t="s">
        <v>3814</v>
      </c>
      <c r="EQR1" s="3" t="s">
        <v>3815</v>
      </c>
      <c r="EQS1" s="3" t="s">
        <v>3816</v>
      </c>
      <c r="EQT1" s="3" t="s">
        <v>3817</v>
      </c>
      <c r="EQU1" s="3" t="s">
        <v>3818</v>
      </c>
      <c r="EQV1" s="3" t="s">
        <v>3819</v>
      </c>
      <c r="EQW1" s="3" t="s">
        <v>3820</v>
      </c>
      <c r="EQX1" s="3" t="s">
        <v>3821</v>
      </c>
      <c r="EQY1" s="3" t="s">
        <v>3822</v>
      </c>
      <c r="EQZ1" s="3" t="s">
        <v>3823</v>
      </c>
      <c r="ERA1" s="3" t="s">
        <v>3824</v>
      </c>
      <c r="ERB1" s="3" t="s">
        <v>3825</v>
      </c>
      <c r="ERC1" s="3" t="s">
        <v>3826</v>
      </c>
      <c r="ERD1" s="3" t="s">
        <v>3827</v>
      </c>
      <c r="ERE1" s="3" t="s">
        <v>3828</v>
      </c>
      <c r="ERF1" s="3" t="s">
        <v>3829</v>
      </c>
      <c r="ERG1" s="3" t="s">
        <v>3830</v>
      </c>
      <c r="ERH1" s="3" t="s">
        <v>3831</v>
      </c>
      <c r="ERI1" s="3" t="s">
        <v>3832</v>
      </c>
      <c r="ERJ1" s="3" t="s">
        <v>3833</v>
      </c>
      <c r="ERK1" s="3" t="s">
        <v>3834</v>
      </c>
      <c r="ERL1" s="3" t="s">
        <v>3835</v>
      </c>
      <c r="ERM1" s="3" t="s">
        <v>3836</v>
      </c>
      <c r="ERN1" s="3" t="s">
        <v>3837</v>
      </c>
      <c r="ERO1" s="3" t="s">
        <v>3838</v>
      </c>
      <c r="ERP1" s="3" t="s">
        <v>3839</v>
      </c>
      <c r="ERQ1" s="3" t="s">
        <v>3840</v>
      </c>
      <c r="ERR1" s="3" t="s">
        <v>3841</v>
      </c>
      <c r="ERS1" s="3" t="s">
        <v>3842</v>
      </c>
      <c r="ERT1" s="3" t="s">
        <v>3843</v>
      </c>
      <c r="ERU1" s="3" t="s">
        <v>3844</v>
      </c>
      <c r="ERV1" s="3" t="s">
        <v>3845</v>
      </c>
      <c r="ERW1" s="3" t="s">
        <v>3846</v>
      </c>
      <c r="ERX1" s="3" t="s">
        <v>3847</v>
      </c>
      <c r="ERY1" s="3" t="s">
        <v>3848</v>
      </c>
      <c r="ERZ1" s="3" t="s">
        <v>3849</v>
      </c>
      <c r="ESA1" s="3" t="s">
        <v>3850</v>
      </c>
      <c r="ESB1" s="3" t="s">
        <v>3851</v>
      </c>
      <c r="ESC1" s="3" t="s">
        <v>3852</v>
      </c>
      <c r="ESD1" s="3" t="s">
        <v>3853</v>
      </c>
      <c r="ESE1" s="3" t="s">
        <v>3854</v>
      </c>
      <c r="ESF1" s="3" t="s">
        <v>3855</v>
      </c>
      <c r="ESG1" s="3" t="s">
        <v>3856</v>
      </c>
      <c r="ESH1" s="3" t="s">
        <v>3857</v>
      </c>
      <c r="ESI1" s="3" t="s">
        <v>3858</v>
      </c>
      <c r="ESJ1" s="3" t="s">
        <v>3859</v>
      </c>
      <c r="ESK1" s="3" t="s">
        <v>3860</v>
      </c>
      <c r="ESL1" s="3" t="s">
        <v>3861</v>
      </c>
      <c r="ESM1" s="3" t="s">
        <v>3862</v>
      </c>
      <c r="ESN1" s="3" t="s">
        <v>3863</v>
      </c>
      <c r="ESO1" s="3" t="s">
        <v>3864</v>
      </c>
      <c r="ESP1" s="3" t="s">
        <v>3865</v>
      </c>
      <c r="ESQ1" s="3" t="s">
        <v>3866</v>
      </c>
      <c r="ESR1" s="3" t="s">
        <v>3867</v>
      </c>
      <c r="ESS1" s="3" t="s">
        <v>3868</v>
      </c>
      <c r="EST1" s="3" t="s">
        <v>3869</v>
      </c>
      <c r="ESU1" s="3" t="s">
        <v>3870</v>
      </c>
      <c r="ESV1" s="3" t="s">
        <v>3871</v>
      </c>
      <c r="ESW1" s="3" t="s">
        <v>3872</v>
      </c>
      <c r="ESX1" s="3" t="s">
        <v>3873</v>
      </c>
      <c r="ESY1" s="3" t="s">
        <v>3874</v>
      </c>
      <c r="ESZ1" s="3" t="s">
        <v>3875</v>
      </c>
      <c r="ETA1" s="3" t="s">
        <v>3876</v>
      </c>
      <c r="ETB1" s="3" t="s">
        <v>3877</v>
      </c>
      <c r="ETC1" s="3" t="s">
        <v>3878</v>
      </c>
      <c r="ETD1" s="3" t="s">
        <v>3879</v>
      </c>
      <c r="ETE1" s="3" t="s">
        <v>3880</v>
      </c>
      <c r="ETF1" s="3" t="s">
        <v>3881</v>
      </c>
      <c r="ETG1" s="3" t="s">
        <v>3882</v>
      </c>
      <c r="ETH1" s="3" t="s">
        <v>3883</v>
      </c>
      <c r="ETI1" s="3" t="s">
        <v>3884</v>
      </c>
      <c r="ETJ1" s="3" t="s">
        <v>3885</v>
      </c>
      <c r="ETK1" s="3" t="s">
        <v>3886</v>
      </c>
      <c r="ETL1" s="3" t="s">
        <v>3887</v>
      </c>
      <c r="ETM1" s="3" t="s">
        <v>3888</v>
      </c>
      <c r="ETN1" s="3" t="s">
        <v>3889</v>
      </c>
      <c r="ETO1" s="3" t="s">
        <v>3890</v>
      </c>
      <c r="ETP1" s="3" t="s">
        <v>3891</v>
      </c>
      <c r="ETQ1" s="3" t="s">
        <v>3892</v>
      </c>
      <c r="ETR1" s="3" t="s">
        <v>3893</v>
      </c>
      <c r="ETS1" s="3" t="s">
        <v>3894</v>
      </c>
      <c r="ETT1" s="3" t="s">
        <v>3895</v>
      </c>
      <c r="ETU1" s="3" t="s">
        <v>3896</v>
      </c>
      <c r="ETV1" s="3" t="s">
        <v>3897</v>
      </c>
      <c r="ETW1" s="3" t="s">
        <v>3898</v>
      </c>
      <c r="ETX1" s="3" t="s">
        <v>3899</v>
      </c>
      <c r="ETY1" s="3" t="s">
        <v>3900</v>
      </c>
      <c r="ETZ1" s="3" t="s">
        <v>3901</v>
      </c>
      <c r="EUA1" s="3" t="s">
        <v>3902</v>
      </c>
      <c r="EUB1" s="3" t="s">
        <v>3903</v>
      </c>
      <c r="EUC1" s="3" t="s">
        <v>3904</v>
      </c>
      <c r="EUD1" s="3" t="s">
        <v>3905</v>
      </c>
      <c r="EUE1" s="3" t="s">
        <v>3906</v>
      </c>
      <c r="EUF1" s="3" t="s">
        <v>3907</v>
      </c>
      <c r="EUG1" s="3" t="s">
        <v>3908</v>
      </c>
      <c r="EUH1" s="3" t="s">
        <v>3909</v>
      </c>
      <c r="EUI1" s="3" t="s">
        <v>3910</v>
      </c>
      <c r="EUJ1" s="3" t="s">
        <v>3911</v>
      </c>
      <c r="EUK1" s="3" t="s">
        <v>3912</v>
      </c>
      <c r="EUL1" s="3" t="s">
        <v>3913</v>
      </c>
      <c r="EUM1" s="3" t="s">
        <v>3914</v>
      </c>
      <c r="EUN1" s="3" t="s">
        <v>3915</v>
      </c>
      <c r="EUO1" s="3" t="s">
        <v>3916</v>
      </c>
      <c r="EUP1" s="3" t="s">
        <v>3917</v>
      </c>
      <c r="EUQ1" s="3" t="s">
        <v>3918</v>
      </c>
      <c r="EUR1" s="3" t="s">
        <v>3919</v>
      </c>
      <c r="EUS1" s="3" t="s">
        <v>3920</v>
      </c>
      <c r="EUT1" s="3" t="s">
        <v>3921</v>
      </c>
      <c r="EUU1" s="3" t="s">
        <v>3922</v>
      </c>
      <c r="EUV1" s="3" t="s">
        <v>3923</v>
      </c>
      <c r="EUW1" s="3" t="s">
        <v>3924</v>
      </c>
      <c r="EUX1" s="3" t="s">
        <v>3925</v>
      </c>
      <c r="EUY1" s="3" t="s">
        <v>3926</v>
      </c>
      <c r="EUZ1" s="3" t="s">
        <v>3927</v>
      </c>
      <c r="EVA1" s="3" t="s">
        <v>3928</v>
      </c>
      <c r="EVB1" s="3" t="s">
        <v>3929</v>
      </c>
      <c r="EVC1" s="3" t="s">
        <v>3930</v>
      </c>
      <c r="EVD1" s="3" t="s">
        <v>3931</v>
      </c>
      <c r="EVE1" s="3" t="s">
        <v>3932</v>
      </c>
      <c r="EVF1" s="3" t="s">
        <v>3933</v>
      </c>
      <c r="EVG1" s="3" t="s">
        <v>3934</v>
      </c>
      <c r="EVH1" s="3" t="s">
        <v>3935</v>
      </c>
      <c r="EVI1" s="3" t="s">
        <v>3936</v>
      </c>
      <c r="EVJ1" s="3" t="s">
        <v>3937</v>
      </c>
      <c r="EVK1" s="3" t="s">
        <v>3938</v>
      </c>
      <c r="EVL1" s="3" t="s">
        <v>3939</v>
      </c>
      <c r="EVM1" s="3" t="s">
        <v>3940</v>
      </c>
      <c r="EVN1" s="3" t="s">
        <v>3941</v>
      </c>
      <c r="EVO1" s="3" t="s">
        <v>3942</v>
      </c>
      <c r="EVP1" s="3" t="s">
        <v>3943</v>
      </c>
      <c r="EVQ1" s="3" t="s">
        <v>3944</v>
      </c>
      <c r="EVR1" s="3" t="s">
        <v>3945</v>
      </c>
      <c r="EVS1" s="3" t="s">
        <v>3946</v>
      </c>
      <c r="EVT1" s="3" t="s">
        <v>3947</v>
      </c>
      <c r="EVU1" s="3" t="s">
        <v>3948</v>
      </c>
      <c r="EVV1" s="3" t="s">
        <v>3949</v>
      </c>
      <c r="EVW1" s="3" t="s">
        <v>3950</v>
      </c>
      <c r="EVX1" s="3" t="s">
        <v>3951</v>
      </c>
      <c r="EVY1" s="3" t="s">
        <v>3952</v>
      </c>
      <c r="EVZ1" s="3" t="s">
        <v>3953</v>
      </c>
      <c r="EWA1" s="3" t="s">
        <v>3954</v>
      </c>
      <c r="EWB1" s="3" t="s">
        <v>3955</v>
      </c>
      <c r="EWC1" s="3" t="s">
        <v>3956</v>
      </c>
      <c r="EWD1" s="3" t="s">
        <v>3957</v>
      </c>
      <c r="EWE1" s="3" t="s">
        <v>3958</v>
      </c>
      <c r="EWF1" s="3" t="s">
        <v>3959</v>
      </c>
      <c r="EWG1" s="3" t="s">
        <v>3960</v>
      </c>
      <c r="EWH1" s="3" t="s">
        <v>3961</v>
      </c>
      <c r="EWI1" s="3" t="s">
        <v>3962</v>
      </c>
      <c r="EWJ1" s="3" t="s">
        <v>3963</v>
      </c>
      <c r="EWK1" s="3" t="s">
        <v>3964</v>
      </c>
      <c r="EWL1" s="3" t="s">
        <v>3965</v>
      </c>
      <c r="EWM1" s="3" t="s">
        <v>3966</v>
      </c>
      <c r="EWN1" s="3" t="s">
        <v>3967</v>
      </c>
      <c r="EWO1" s="3" t="s">
        <v>3968</v>
      </c>
      <c r="EWP1" s="3" t="s">
        <v>3969</v>
      </c>
      <c r="EWQ1" s="3" t="s">
        <v>3970</v>
      </c>
      <c r="EWR1" s="3" t="s">
        <v>3971</v>
      </c>
      <c r="EWS1" s="3" t="s">
        <v>3972</v>
      </c>
      <c r="EWT1" s="3" t="s">
        <v>3973</v>
      </c>
      <c r="EWU1" s="3" t="s">
        <v>3974</v>
      </c>
      <c r="EWV1" s="3" t="s">
        <v>3975</v>
      </c>
      <c r="EWW1" s="3" t="s">
        <v>3976</v>
      </c>
      <c r="EWX1" s="3" t="s">
        <v>3977</v>
      </c>
      <c r="EWY1" s="3" t="s">
        <v>3978</v>
      </c>
      <c r="EWZ1" s="3" t="s">
        <v>3979</v>
      </c>
      <c r="EXA1" s="3" t="s">
        <v>3980</v>
      </c>
      <c r="EXB1" s="3" t="s">
        <v>3981</v>
      </c>
      <c r="EXC1" s="3" t="s">
        <v>3982</v>
      </c>
      <c r="EXD1" s="3" t="s">
        <v>3983</v>
      </c>
      <c r="EXE1" s="3" t="s">
        <v>3984</v>
      </c>
      <c r="EXF1" s="3" t="s">
        <v>3985</v>
      </c>
      <c r="EXG1" s="3" t="s">
        <v>3986</v>
      </c>
      <c r="EXH1" s="3" t="s">
        <v>3987</v>
      </c>
      <c r="EXI1" s="3" t="s">
        <v>3988</v>
      </c>
      <c r="EXJ1" s="3" t="s">
        <v>3989</v>
      </c>
      <c r="EXK1" s="3" t="s">
        <v>3990</v>
      </c>
      <c r="EXL1" s="3" t="s">
        <v>3991</v>
      </c>
      <c r="EXM1" s="3" t="s">
        <v>3992</v>
      </c>
      <c r="EXN1" s="3" t="s">
        <v>3993</v>
      </c>
      <c r="EXO1" s="3" t="s">
        <v>3994</v>
      </c>
      <c r="EXP1" s="3" t="s">
        <v>3995</v>
      </c>
      <c r="EXQ1" s="3" t="s">
        <v>3996</v>
      </c>
      <c r="EXR1" s="3" t="s">
        <v>3997</v>
      </c>
      <c r="EXS1" s="3" t="s">
        <v>3998</v>
      </c>
      <c r="EXT1" s="3" t="s">
        <v>3999</v>
      </c>
      <c r="EXU1" s="3" t="s">
        <v>4000</v>
      </c>
      <c r="EXV1" s="3" t="s">
        <v>4001</v>
      </c>
      <c r="EXW1" s="3" t="s">
        <v>4002</v>
      </c>
      <c r="EXX1" s="3" t="s">
        <v>4003</v>
      </c>
      <c r="EXY1" s="3" t="s">
        <v>4004</v>
      </c>
      <c r="EXZ1" s="3" t="s">
        <v>4005</v>
      </c>
      <c r="EYA1" s="3" t="s">
        <v>4006</v>
      </c>
      <c r="EYB1" s="3" t="s">
        <v>4007</v>
      </c>
      <c r="EYC1" s="3" t="s">
        <v>4008</v>
      </c>
      <c r="EYD1" s="3" t="s">
        <v>4009</v>
      </c>
      <c r="EYE1" s="3" t="s">
        <v>4010</v>
      </c>
      <c r="EYF1" s="3" t="s">
        <v>4011</v>
      </c>
      <c r="EYG1" s="3" t="s">
        <v>4012</v>
      </c>
      <c r="EYH1" s="3" t="s">
        <v>4013</v>
      </c>
      <c r="EYI1" s="3" t="s">
        <v>4014</v>
      </c>
      <c r="EYJ1" s="3" t="s">
        <v>4015</v>
      </c>
      <c r="EYK1" s="3" t="s">
        <v>4016</v>
      </c>
      <c r="EYL1" s="3" t="s">
        <v>4017</v>
      </c>
      <c r="EYM1" s="3" t="s">
        <v>4018</v>
      </c>
      <c r="EYN1" s="3" t="s">
        <v>4019</v>
      </c>
      <c r="EYO1" s="3" t="s">
        <v>4020</v>
      </c>
      <c r="EYP1" s="3" t="s">
        <v>4021</v>
      </c>
      <c r="EYQ1" s="3" t="s">
        <v>4022</v>
      </c>
      <c r="EYR1" s="3" t="s">
        <v>4023</v>
      </c>
      <c r="EYS1" s="3" t="s">
        <v>4024</v>
      </c>
      <c r="EYT1" s="3" t="s">
        <v>4025</v>
      </c>
      <c r="EYU1" s="3" t="s">
        <v>4026</v>
      </c>
      <c r="EYV1" s="3" t="s">
        <v>4027</v>
      </c>
      <c r="EYW1" s="3" t="s">
        <v>4028</v>
      </c>
      <c r="EYX1" s="3" t="s">
        <v>4029</v>
      </c>
      <c r="EYY1" s="3" t="s">
        <v>4030</v>
      </c>
      <c r="EYZ1" s="3" t="s">
        <v>4031</v>
      </c>
      <c r="EZA1" s="3" t="s">
        <v>4032</v>
      </c>
      <c r="EZB1" s="3" t="s">
        <v>4033</v>
      </c>
      <c r="EZC1" s="3" t="s">
        <v>4034</v>
      </c>
      <c r="EZD1" s="3" t="s">
        <v>4035</v>
      </c>
      <c r="EZE1" s="3" t="s">
        <v>4036</v>
      </c>
      <c r="EZF1" s="3" t="s">
        <v>4037</v>
      </c>
      <c r="EZG1" s="3" t="s">
        <v>4038</v>
      </c>
      <c r="EZH1" s="3" t="s">
        <v>4039</v>
      </c>
      <c r="EZI1" s="3" t="s">
        <v>4040</v>
      </c>
      <c r="EZJ1" s="3" t="s">
        <v>4041</v>
      </c>
      <c r="EZK1" s="3" t="s">
        <v>4042</v>
      </c>
      <c r="EZL1" s="3" t="s">
        <v>4043</v>
      </c>
      <c r="EZM1" s="3" t="s">
        <v>4044</v>
      </c>
      <c r="EZN1" s="3" t="s">
        <v>4045</v>
      </c>
      <c r="EZO1" s="3" t="s">
        <v>4046</v>
      </c>
      <c r="EZP1" s="3" t="s">
        <v>4047</v>
      </c>
      <c r="EZQ1" s="3" t="s">
        <v>4048</v>
      </c>
      <c r="EZR1" s="3" t="s">
        <v>4049</v>
      </c>
      <c r="EZS1" s="3" t="s">
        <v>4050</v>
      </c>
      <c r="EZT1" s="3" t="s">
        <v>4051</v>
      </c>
      <c r="EZU1" s="3" t="s">
        <v>4052</v>
      </c>
      <c r="EZV1" s="3" t="s">
        <v>4053</v>
      </c>
      <c r="EZW1" s="3" t="s">
        <v>4054</v>
      </c>
      <c r="EZX1" s="3" t="s">
        <v>4055</v>
      </c>
      <c r="EZY1" s="3" t="s">
        <v>4056</v>
      </c>
      <c r="EZZ1" s="3" t="s">
        <v>4057</v>
      </c>
      <c r="FAA1" s="3" t="s">
        <v>4058</v>
      </c>
      <c r="FAB1" s="3" t="s">
        <v>4059</v>
      </c>
      <c r="FAC1" s="3" t="s">
        <v>4060</v>
      </c>
      <c r="FAD1" s="3" t="s">
        <v>4061</v>
      </c>
      <c r="FAE1" s="3" t="s">
        <v>4062</v>
      </c>
      <c r="FAF1" s="3" t="s">
        <v>4063</v>
      </c>
      <c r="FAG1" s="3" t="s">
        <v>4064</v>
      </c>
      <c r="FAH1" s="3" t="s">
        <v>4065</v>
      </c>
      <c r="FAI1" s="3" t="s">
        <v>4066</v>
      </c>
      <c r="FAJ1" s="3" t="s">
        <v>4067</v>
      </c>
      <c r="FAK1" s="3" t="s">
        <v>4068</v>
      </c>
      <c r="FAL1" s="3" t="s">
        <v>4069</v>
      </c>
      <c r="FAM1" s="3" t="s">
        <v>4070</v>
      </c>
      <c r="FAN1" s="3" t="s">
        <v>4071</v>
      </c>
      <c r="FAO1" s="3" t="s">
        <v>4072</v>
      </c>
      <c r="FAP1" s="3" t="s">
        <v>4073</v>
      </c>
      <c r="FAQ1" s="3" t="s">
        <v>4074</v>
      </c>
      <c r="FAR1" s="3" t="s">
        <v>4075</v>
      </c>
      <c r="FAS1" s="3" t="s">
        <v>4076</v>
      </c>
      <c r="FAT1" s="3" t="s">
        <v>4077</v>
      </c>
      <c r="FAU1" s="3" t="s">
        <v>4078</v>
      </c>
      <c r="FAV1" s="3" t="s">
        <v>4079</v>
      </c>
      <c r="FAW1" s="3" t="s">
        <v>4080</v>
      </c>
      <c r="FAX1" s="3" t="s">
        <v>4081</v>
      </c>
      <c r="FAY1" s="3" t="s">
        <v>4082</v>
      </c>
      <c r="FAZ1" s="3" t="s">
        <v>4083</v>
      </c>
      <c r="FBA1" s="3" t="s">
        <v>4084</v>
      </c>
      <c r="FBB1" s="3" t="s">
        <v>4085</v>
      </c>
      <c r="FBC1" s="3" t="s">
        <v>4086</v>
      </c>
      <c r="FBD1" s="3" t="s">
        <v>4087</v>
      </c>
      <c r="FBE1" s="3" t="s">
        <v>4088</v>
      </c>
      <c r="FBF1" s="3" t="s">
        <v>4089</v>
      </c>
      <c r="FBG1" s="3" t="s">
        <v>4090</v>
      </c>
      <c r="FBH1" s="3" t="s">
        <v>4091</v>
      </c>
      <c r="FBI1" s="3" t="s">
        <v>4092</v>
      </c>
      <c r="FBJ1" s="3" t="s">
        <v>4093</v>
      </c>
      <c r="FBK1" s="3" t="s">
        <v>4094</v>
      </c>
      <c r="FBL1" s="3" t="s">
        <v>4095</v>
      </c>
      <c r="FBM1" s="3" t="s">
        <v>4096</v>
      </c>
      <c r="FBN1" s="3" t="s">
        <v>4097</v>
      </c>
      <c r="FBO1" s="3" t="s">
        <v>4098</v>
      </c>
      <c r="FBP1" s="3" t="s">
        <v>4099</v>
      </c>
      <c r="FBQ1" s="3" t="s">
        <v>4100</v>
      </c>
      <c r="FBR1" s="3" t="s">
        <v>4101</v>
      </c>
      <c r="FBS1" s="3" t="s">
        <v>4102</v>
      </c>
      <c r="FBT1" s="3" t="s">
        <v>4103</v>
      </c>
      <c r="FBU1" s="3" t="s">
        <v>4104</v>
      </c>
      <c r="FBV1" s="3" t="s">
        <v>4105</v>
      </c>
      <c r="FBW1" s="3" t="s">
        <v>4106</v>
      </c>
      <c r="FBX1" s="3" t="s">
        <v>4107</v>
      </c>
      <c r="FBY1" s="3" t="s">
        <v>4108</v>
      </c>
      <c r="FBZ1" s="3" t="s">
        <v>4109</v>
      </c>
      <c r="FCA1" s="3" t="s">
        <v>4110</v>
      </c>
      <c r="FCB1" s="3" t="s">
        <v>4111</v>
      </c>
      <c r="FCC1" s="3" t="s">
        <v>4112</v>
      </c>
      <c r="FCD1" s="3" t="s">
        <v>4113</v>
      </c>
      <c r="FCE1" s="3" t="s">
        <v>4114</v>
      </c>
      <c r="FCF1" s="3" t="s">
        <v>4115</v>
      </c>
      <c r="FCG1" s="3" t="s">
        <v>4116</v>
      </c>
      <c r="FCH1" s="3" t="s">
        <v>4117</v>
      </c>
      <c r="FCI1" s="3" t="s">
        <v>4118</v>
      </c>
      <c r="FCJ1" s="3" t="s">
        <v>4119</v>
      </c>
      <c r="FCK1" s="3" t="s">
        <v>4120</v>
      </c>
      <c r="FCL1" s="3" t="s">
        <v>4121</v>
      </c>
      <c r="FCM1" s="3" t="s">
        <v>4122</v>
      </c>
      <c r="FCN1" s="3" t="s">
        <v>4123</v>
      </c>
      <c r="FCO1" s="3" t="s">
        <v>4124</v>
      </c>
      <c r="FCP1" s="3" t="s">
        <v>4125</v>
      </c>
      <c r="FCQ1" s="3" t="s">
        <v>4126</v>
      </c>
      <c r="FCR1" s="3" t="s">
        <v>4127</v>
      </c>
      <c r="FCS1" s="3" t="s">
        <v>4128</v>
      </c>
      <c r="FCT1" s="3" t="s">
        <v>4129</v>
      </c>
      <c r="FCU1" s="3" t="s">
        <v>4130</v>
      </c>
      <c r="FCV1" s="3" t="s">
        <v>4131</v>
      </c>
      <c r="FCW1" s="3" t="s">
        <v>4132</v>
      </c>
      <c r="FCX1" s="3" t="s">
        <v>4133</v>
      </c>
      <c r="FCY1" s="3" t="s">
        <v>4134</v>
      </c>
      <c r="FCZ1" s="3" t="s">
        <v>4135</v>
      </c>
      <c r="FDA1" s="3" t="s">
        <v>4136</v>
      </c>
      <c r="FDB1" s="3" t="s">
        <v>4137</v>
      </c>
      <c r="FDC1" s="3" t="s">
        <v>4138</v>
      </c>
      <c r="FDD1" s="3" t="s">
        <v>4139</v>
      </c>
      <c r="FDE1" s="3" t="s">
        <v>4140</v>
      </c>
      <c r="FDF1" s="3" t="s">
        <v>4141</v>
      </c>
      <c r="FDG1" s="3" t="s">
        <v>4142</v>
      </c>
      <c r="FDH1" s="3" t="s">
        <v>4143</v>
      </c>
      <c r="FDI1" s="3" t="s">
        <v>4144</v>
      </c>
      <c r="FDJ1" s="3" t="s">
        <v>4145</v>
      </c>
      <c r="FDK1" s="3" t="s">
        <v>4146</v>
      </c>
      <c r="FDL1" s="3" t="s">
        <v>4147</v>
      </c>
      <c r="FDM1" s="3" t="s">
        <v>4148</v>
      </c>
      <c r="FDN1" s="3" t="s">
        <v>4149</v>
      </c>
      <c r="FDO1" s="3" t="s">
        <v>4150</v>
      </c>
      <c r="FDP1" s="3" t="s">
        <v>4151</v>
      </c>
      <c r="FDQ1" s="3" t="s">
        <v>4152</v>
      </c>
      <c r="FDR1" s="3" t="s">
        <v>4153</v>
      </c>
      <c r="FDS1" s="3" t="s">
        <v>4154</v>
      </c>
      <c r="FDT1" s="3" t="s">
        <v>4155</v>
      </c>
      <c r="FDU1" s="3" t="s">
        <v>4156</v>
      </c>
      <c r="FDV1" s="3" t="s">
        <v>4157</v>
      </c>
      <c r="FDW1" s="3" t="s">
        <v>4158</v>
      </c>
      <c r="FDX1" s="3" t="s">
        <v>4159</v>
      </c>
      <c r="FDY1" s="3" t="s">
        <v>4160</v>
      </c>
      <c r="FDZ1" s="3" t="s">
        <v>4161</v>
      </c>
      <c r="FEA1" s="3" t="s">
        <v>4162</v>
      </c>
      <c r="FEB1" s="3" t="s">
        <v>4163</v>
      </c>
      <c r="FEC1" s="3" t="s">
        <v>4164</v>
      </c>
      <c r="FED1" s="3" t="s">
        <v>4165</v>
      </c>
      <c r="FEE1" s="3" t="s">
        <v>4166</v>
      </c>
      <c r="FEF1" s="3" t="s">
        <v>4167</v>
      </c>
      <c r="FEG1" s="3" t="s">
        <v>4168</v>
      </c>
      <c r="FEH1" s="3" t="s">
        <v>4169</v>
      </c>
      <c r="FEI1" s="3" t="s">
        <v>4170</v>
      </c>
      <c r="FEJ1" s="3" t="s">
        <v>4171</v>
      </c>
      <c r="FEK1" s="3" t="s">
        <v>4172</v>
      </c>
      <c r="FEL1" s="3" t="s">
        <v>4173</v>
      </c>
      <c r="FEM1" s="3" t="s">
        <v>4174</v>
      </c>
      <c r="FEN1" s="3" t="s">
        <v>4175</v>
      </c>
      <c r="FEO1" s="3" t="s">
        <v>4176</v>
      </c>
      <c r="FEP1" s="3" t="s">
        <v>4177</v>
      </c>
      <c r="FEQ1" s="3" t="s">
        <v>4178</v>
      </c>
      <c r="FER1" s="3" t="s">
        <v>4179</v>
      </c>
      <c r="FES1" s="3" t="s">
        <v>4180</v>
      </c>
      <c r="FET1" s="3" t="s">
        <v>4181</v>
      </c>
      <c r="FEU1" s="3" t="s">
        <v>4182</v>
      </c>
      <c r="FEV1" s="3" t="s">
        <v>4183</v>
      </c>
      <c r="FEW1" s="3" t="s">
        <v>4184</v>
      </c>
      <c r="FEX1" s="3" t="s">
        <v>4185</v>
      </c>
      <c r="FEY1" s="3" t="s">
        <v>4186</v>
      </c>
      <c r="FEZ1" s="3" t="s">
        <v>4187</v>
      </c>
      <c r="FFA1" s="3" t="s">
        <v>4188</v>
      </c>
      <c r="FFB1" s="3" t="s">
        <v>4189</v>
      </c>
      <c r="FFC1" s="3" t="s">
        <v>4190</v>
      </c>
      <c r="FFD1" s="3" t="s">
        <v>4191</v>
      </c>
      <c r="FFE1" s="3" t="s">
        <v>4192</v>
      </c>
      <c r="FFF1" s="3" t="s">
        <v>4193</v>
      </c>
      <c r="FFG1" s="3" t="s">
        <v>4194</v>
      </c>
      <c r="FFH1" s="3" t="s">
        <v>4195</v>
      </c>
      <c r="FFI1" s="3" t="s">
        <v>4196</v>
      </c>
      <c r="FFJ1" s="3" t="s">
        <v>4197</v>
      </c>
      <c r="FFK1" s="3" t="s">
        <v>4198</v>
      </c>
      <c r="FFL1" s="3" t="s">
        <v>4199</v>
      </c>
      <c r="FFM1" s="3" t="s">
        <v>4200</v>
      </c>
      <c r="FFN1" s="3" t="s">
        <v>4201</v>
      </c>
      <c r="FFO1" s="3" t="s">
        <v>4202</v>
      </c>
      <c r="FFP1" s="3" t="s">
        <v>4203</v>
      </c>
      <c r="FFQ1" s="3" t="s">
        <v>4204</v>
      </c>
      <c r="FFR1" s="3" t="s">
        <v>4205</v>
      </c>
      <c r="FFS1" s="3" t="s">
        <v>4206</v>
      </c>
      <c r="FFT1" s="3" t="s">
        <v>4207</v>
      </c>
      <c r="FFU1" s="3" t="s">
        <v>4208</v>
      </c>
      <c r="FFV1" s="3" t="s">
        <v>4209</v>
      </c>
      <c r="FFW1" s="3" t="s">
        <v>4210</v>
      </c>
      <c r="FFX1" s="3" t="s">
        <v>4211</v>
      </c>
      <c r="FFY1" s="3" t="s">
        <v>4212</v>
      </c>
      <c r="FFZ1" s="3" t="s">
        <v>4213</v>
      </c>
      <c r="FGA1" s="3" t="s">
        <v>4214</v>
      </c>
      <c r="FGB1" s="3" t="s">
        <v>4215</v>
      </c>
      <c r="FGC1" s="3" t="s">
        <v>4216</v>
      </c>
      <c r="FGD1" s="3" t="s">
        <v>4217</v>
      </c>
      <c r="FGE1" s="3" t="s">
        <v>4218</v>
      </c>
      <c r="FGF1" s="3" t="s">
        <v>4219</v>
      </c>
      <c r="FGG1" s="3" t="s">
        <v>4220</v>
      </c>
      <c r="FGH1" s="3" t="s">
        <v>4221</v>
      </c>
      <c r="FGI1" s="3" t="s">
        <v>4222</v>
      </c>
      <c r="FGJ1" s="3" t="s">
        <v>4223</v>
      </c>
      <c r="FGK1" s="3" t="s">
        <v>4224</v>
      </c>
      <c r="FGL1" s="3" t="s">
        <v>4225</v>
      </c>
      <c r="FGM1" s="3" t="s">
        <v>4226</v>
      </c>
      <c r="FGN1" s="3" t="s">
        <v>4227</v>
      </c>
      <c r="FGO1" s="3" t="s">
        <v>4228</v>
      </c>
      <c r="FGP1" s="3" t="s">
        <v>4229</v>
      </c>
      <c r="FGQ1" s="3" t="s">
        <v>4230</v>
      </c>
      <c r="FGR1" s="3" t="s">
        <v>4231</v>
      </c>
      <c r="FGS1" s="3" t="s">
        <v>4232</v>
      </c>
      <c r="FGT1" s="3" t="s">
        <v>4233</v>
      </c>
      <c r="FGU1" s="3" t="s">
        <v>4234</v>
      </c>
      <c r="FGV1" s="3" t="s">
        <v>4235</v>
      </c>
      <c r="FGW1" s="3" t="s">
        <v>4236</v>
      </c>
      <c r="FGX1" s="3" t="s">
        <v>4237</v>
      </c>
      <c r="FGY1" s="3" t="s">
        <v>4238</v>
      </c>
      <c r="FGZ1" s="3" t="s">
        <v>4239</v>
      </c>
      <c r="FHA1" s="3" t="s">
        <v>4240</v>
      </c>
      <c r="FHB1" s="3" t="s">
        <v>4241</v>
      </c>
      <c r="FHC1" s="3" t="s">
        <v>4242</v>
      </c>
      <c r="FHD1" s="3" t="s">
        <v>4243</v>
      </c>
      <c r="FHE1" s="3" t="s">
        <v>4244</v>
      </c>
      <c r="FHF1" s="3" t="s">
        <v>4245</v>
      </c>
      <c r="FHG1" s="3" t="s">
        <v>4246</v>
      </c>
      <c r="FHH1" s="3" t="s">
        <v>4247</v>
      </c>
      <c r="FHI1" s="3" t="s">
        <v>4248</v>
      </c>
      <c r="FHJ1" s="3" t="s">
        <v>4249</v>
      </c>
      <c r="FHK1" s="3" t="s">
        <v>4250</v>
      </c>
      <c r="FHL1" s="3" t="s">
        <v>4251</v>
      </c>
      <c r="FHM1" s="3" t="s">
        <v>4252</v>
      </c>
      <c r="FHN1" s="3" t="s">
        <v>4253</v>
      </c>
      <c r="FHO1" s="3" t="s">
        <v>4254</v>
      </c>
      <c r="FHP1" s="3" t="s">
        <v>4255</v>
      </c>
      <c r="FHQ1" s="3" t="s">
        <v>4256</v>
      </c>
      <c r="FHR1" s="3" t="s">
        <v>4257</v>
      </c>
      <c r="FHS1" s="3" t="s">
        <v>4258</v>
      </c>
      <c r="FHT1" s="3" t="s">
        <v>4259</v>
      </c>
      <c r="FHU1" s="3" t="s">
        <v>4260</v>
      </c>
      <c r="FHV1" s="3" t="s">
        <v>4261</v>
      </c>
      <c r="FHW1" s="3" t="s">
        <v>4262</v>
      </c>
      <c r="FHX1" s="3" t="s">
        <v>4263</v>
      </c>
      <c r="FHY1" s="3" t="s">
        <v>4264</v>
      </c>
      <c r="FHZ1" s="3" t="s">
        <v>4265</v>
      </c>
      <c r="FIA1" s="3" t="s">
        <v>4266</v>
      </c>
      <c r="FIB1" s="3" t="s">
        <v>4267</v>
      </c>
      <c r="FIC1" s="3" t="s">
        <v>4268</v>
      </c>
      <c r="FID1" s="3" t="s">
        <v>4269</v>
      </c>
      <c r="FIE1" s="3" t="s">
        <v>4270</v>
      </c>
      <c r="FIF1" s="3" t="s">
        <v>4271</v>
      </c>
      <c r="FIG1" s="3" t="s">
        <v>4272</v>
      </c>
      <c r="FIH1" s="3" t="s">
        <v>4273</v>
      </c>
      <c r="FII1" s="3" t="s">
        <v>4274</v>
      </c>
      <c r="FIJ1" s="3" t="s">
        <v>4275</v>
      </c>
      <c r="FIK1" s="3" t="s">
        <v>4276</v>
      </c>
      <c r="FIL1" s="3" t="s">
        <v>4277</v>
      </c>
      <c r="FIM1" s="3" t="s">
        <v>4278</v>
      </c>
      <c r="FIN1" s="3" t="s">
        <v>4279</v>
      </c>
      <c r="FIO1" s="3" t="s">
        <v>4280</v>
      </c>
      <c r="FIP1" s="3" t="s">
        <v>4281</v>
      </c>
      <c r="FIQ1" s="3" t="s">
        <v>4282</v>
      </c>
      <c r="FIR1" s="3" t="s">
        <v>4283</v>
      </c>
      <c r="FIS1" s="3" t="s">
        <v>4284</v>
      </c>
      <c r="FIT1" s="3" t="s">
        <v>4285</v>
      </c>
      <c r="FIU1" s="3" t="s">
        <v>4286</v>
      </c>
      <c r="FIV1" s="3" t="s">
        <v>4287</v>
      </c>
      <c r="FIW1" s="3" t="s">
        <v>4288</v>
      </c>
      <c r="FIX1" s="3" t="s">
        <v>4289</v>
      </c>
      <c r="FIY1" s="3" t="s">
        <v>4290</v>
      </c>
      <c r="FIZ1" s="3" t="s">
        <v>4291</v>
      </c>
      <c r="FJA1" s="3" t="s">
        <v>4292</v>
      </c>
      <c r="FJB1" s="3" t="s">
        <v>4293</v>
      </c>
      <c r="FJC1" s="3" t="s">
        <v>4294</v>
      </c>
      <c r="FJD1" s="3" t="s">
        <v>4295</v>
      </c>
      <c r="FJE1" s="3" t="s">
        <v>4296</v>
      </c>
      <c r="FJF1" s="3" t="s">
        <v>4297</v>
      </c>
      <c r="FJG1" s="3" t="s">
        <v>4298</v>
      </c>
      <c r="FJH1" s="3" t="s">
        <v>4299</v>
      </c>
      <c r="FJI1" s="3" t="s">
        <v>4300</v>
      </c>
      <c r="FJJ1" s="3" t="s">
        <v>4301</v>
      </c>
      <c r="FJK1" s="3" t="s">
        <v>4302</v>
      </c>
      <c r="FJL1" s="3" t="s">
        <v>4303</v>
      </c>
      <c r="FJM1" s="3" t="s">
        <v>4304</v>
      </c>
      <c r="FJN1" s="3" t="s">
        <v>4305</v>
      </c>
      <c r="FJO1" s="3" t="s">
        <v>4306</v>
      </c>
      <c r="FJP1" s="3" t="s">
        <v>4307</v>
      </c>
      <c r="FJQ1" s="3" t="s">
        <v>4308</v>
      </c>
      <c r="FJR1" s="3" t="s">
        <v>4309</v>
      </c>
      <c r="FJS1" s="3" t="s">
        <v>4310</v>
      </c>
      <c r="FJT1" s="3" t="s">
        <v>4311</v>
      </c>
      <c r="FJU1" s="3" t="s">
        <v>4312</v>
      </c>
      <c r="FJV1" s="3" t="s">
        <v>4313</v>
      </c>
      <c r="FJW1" s="3" t="s">
        <v>4314</v>
      </c>
      <c r="FJX1" s="3" t="s">
        <v>4315</v>
      </c>
      <c r="FJY1" s="3" t="s">
        <v>4316</v>
      </c>
      <c r="FJZ1" s="3" t="s">
        <v>4317</v>
      </c>
      <c r="FKA1" s="3" t="s">
        <v>4318</v>
      </c>
      <c r="FKB1" s="3" t="s">
        <v>4319</v>
      </c>
      <c r="FKC1" s="3" t="s">
        <v>4320</v>
      </c>
      <c r="FKD1" s="3" t="s">
        <v>4321</v>
      </c>
      <c r="FKE1" s="3" t="s">
        <v>4322</v>
      </c>
      <c r="FKF1" s="3" t="s">
        <v>4323</v>
      </c>
      <c r="FKG1" s="3" t="s">
        <v>4324</v>
      </c>
      <c r="FKH1" s="3" t="s">
        <v>4325</v>
      </c>
      <c r="FKI1" s="3" t="s">
        <v>4326</v>
      </c>
      <c r="FKJ1" s="3" t="s">
        <v>4327</v>
      </c>
      <c r="FKK1" s="3" t="s">
        <v>4328</v>
      </c>
      <c r="FKL1" s="3" t="s">
        <v>4329</v>
      </c>
      <c r="FKM1" s="3" t="s">
        <v>4330</v>
      </c>
      <c r="FKN1" s="3" t="s">
        <v>4331</v>
      </c>
      <c r="FKO1" s="3" t="s">
        <v>4332</v>
      </c>
      <c r="FKP1" s="3" t="s">
        <v>4333</v>
      </c>
      <c r="FKQ1" s="3" t="s">
        <v>4334</v>
      </c>
      <c r="FKR1" s="3" t="s">
        <v>4335</v>
      </c>
      <c r="FKS1" s="3" t="s">
        <v>4336</v>
      </c>
      <c r="FKT1" s="3" t="s">
        <v>4337</v>
      </c>
      <c r="FKU1" s="3" t="s">
        <v>4338</v>
      </c>
      <c r="FKV1" s="3" t="s">
        <v>4339</v>
      </c>
      <c r="FKW1" s="3" t="s">
        <v>4340</v>
      </c>
      <c r="FKX1" s="3" t="s">
        <v>4341</v>
      </c>
      <c r="FKY1" s="3" t="s">
        <v>4342</v>
      </c>
      <c r="FKZ1" s="3" t="s">
        <v>4343</v>
      </c>
      <c r="FLA1" s="3" t="s">
        <v>4344</v>
      </c>
      <c r="FLB1" s="3" t="s">
        <v>4345</v>
      </c>
      <c r="FLC1" s="3" t="s">
        <v>4346</v>
      </c>
      <c r="FLD1" s="3" t="s">
        <v>4347</v>
      </c>
      <c r="FLE1" s="3" t="s">
        <v>4348</v>
      </c>
      <c r="FLF1" s="3" t="s">
        <v>4349</v>
      </c>
      <c r="FLG1" s="3" t="s">
        <v>4350</v>
      </c>
      <c r="FLH1" s="3" t="s">
        <v>4351</v>
      </c>
      <c r="FLI1" s="3" t="s">
        <v>4352</v>
      </c>
      <c r="FLJ1" s="3" t="s">
        <v>4353</v>
      </c>
      <c r="FLK1" s="3" t="s">
        <v>4354</v>
      </c>
      <c r="FLL1" s="3" t="s">
        <v>4355</v>
      </c>
      <c r="FLM1" s="3" t="s">
        <v>4356</v>
      </c>
      <c r="FLN1" s="3" t="s">
        <v>4357</v>
      </c>
      <c r="FLO1" s="3" t="s">
        <v>4358</v>
      </c>
      <c r="FLP1" s="3" t="s">
        <v>4359</v>
      </c>
      <c r="FLQ1" s="3" t="s">
        <v>4360</v>
      </c>
      <c r="FLR1" s="3" t="s">
        <v>4361</v>
      </c>
      <c r="FLS1" s="3" t="s">
        <v>4362</v>
      </c>
      <c r="FLT1" s="3" t="s">
        <v>4363</v>
      </c>
      <c r="FLU1" s="3" t="s">
        <v>4364</v>
      </c>
      <c r="FLV1" s="3" t="s">
        <v>4365</v>
      </c>
      <c r="FLW1" s="3" t="s">
        <v>4366</v>
      </c>
      <c r="FLX1" s="3" t="s">
        <v>4367</v>
      </c>
      <c r="FLY1" s="3" t="s">
        <v>4368</v>
      </c>
      <c r="FLZ1" s="3" t="s">
        <v>4369</v>
      </c>
      <c r="FMA1" s="3" t="s">
        <v>4370</v>
      </c>
      <c r="FMB1" s="3" t="s">
        <v>4371</v>
      </c>
      <c r="FMC1" s="3" t="s">
        <v>4372</v>
      </c>
      <c r="FMD1" s="3" t="s">
        <v>4373</v>
      </c>
      <c r="FME1" s="3" t="s">
        <v>4374</v>
      </c>
      <c r="FMF1" s="3" t="s">
        <v>4375</v>
      </c>
      <c r="FMG1" s="3" t="s">
        <v>4376</v>
      </c>
      <c r="FMH1" s="3" t="s">
        <v>4377</v>
      </c>
      <c r="FMI1" s="3" t="s">
        <v>4378</v>
      </c>
      <c r="FMJ1" s="3" t="s">
        <v>4379</v>
      </c>
      <c r="FMK1" s="3" t="s">
        <v>4380</v>
      </c>
      <c r="FML1" s="3" t="s">
        <v>4381</v>
      </c>
      <c r="FMM1" s="3" t="s">
        <v>4382</v>
      </c>
      <c r="FMN1" s="3" t="s">
        <v>4383</v>
      </c>
      <c r="FMO1" s="3" t="s">
        <v>4384</v>
      </c>
      <c r="FMP1" s="3" t="s">
        <v>4385</v>
      </c>
      <c r="FMQ1" s="3" t="s">
        <v>4386</v>
      </c>
      <c r="FMR1" s="3" t="s">
        <v>4387</v>
      </c>
      <c r="FMS1" s="3" t="s">
        <v>4388</v>
      </c>
      <c r="FMT1" s="3" t="s">
        <v>4389</v>
      </c>
      <c r="FMU1" s="3" t="s">
        <v>4390</v>
      </c>
      <c r="FMV1" s="3" t="s">
        <v>4391</v>
      </c>
      <c r="FMW1" s="3" t="s">
        <v>4392</v>
      </c>
      <c r="FMX1" s="3" t="s">
        <v>4393</v>
      </c>
      <c r="FMY1" s="3" t="s">
        <v>4394</v>
      </c>
      <c r="FMZ1" s="3" t="s">
        <v>4395</v>
      </c>
      <c r="FNA1" s="3" t="s">
        <v>4396</v>
      </c>
      <c r="FNB1" s="3" t="s">
        <v>4397</v>
      </c>
      <c r="FNC1" s="3" t="s">
        <v>4398</v>
      </c>
      <c r="FND1" s="3" t="s">
        <v>4399</v>
      </c>
      <c r="FNE1" s="3" t="s">
        <v>4400</v>
      </c>
      <c r="FNF1" s="3" t="s">
        <v>4401</v>
      </c>
      <c r="FNG1" s="3" t="s">
        <v>4402</v>
      </c>
      <c r="FNH1" s="3" t="s">
        <v>4403</v>
      </c>
      <c r="FNI1" s="3" t="s">
        <v>4404</v>
      </c>
      <c r="FNJ1" s="3" t="s">
        <v>4405</v>
      </c>
      <c r="FNK1" s="3" t="s">
        <v>4406</v>
      </c>
      <c r="FNL1" s="3" t="s">
        <v>4407</v>
      </c>
      <c r="FNM1" s="3" t="s">
        <v>4408</v>
      </c>
      <c r="FNN1" s="3" t="s">
        <v>4409</v>
      </c>
      <c r="FNO1" s="3" t="s">
        <v>4410</v>
      </c>
      <c r="FNP1" s="3" t="s">
        <v>4411</v>
      </c>
      <c r="FNQ1" s="3" t="s">
        <v>4412</v>
      </c>
      <c r="FNR1" s="3" t="s">
        <v>4413</v>
      </c>
      <c r="FNS1" s="3" t="s">
        <v>4414</v>
      </c>
      <c r="FNT1" s="3" t="s">
        <v>4415</v>
      </c>
      <c r="FNU1" s="3" t="s">
        <v>4416</v>
      </c>
      <c r="FNV1" s="3" t="s">
        <v>4417</v>
      </c>
      <c r="FNW1" s="3" t="s">
        <v>4418</v>
      </c>
      <c r="FNX1" s="3" t="s">
        <v>4419</v>
      </c>
      <c r="FNY1" s="3" t="s">
        <v>4420</v>
      </c>
      <c r="FNZ1" s="3" t="s">
        <v>4421</v>
      </c>
      <c r="FOA1" s="3" t="s">
        <v>4422</v>
      </c>
      <c r="FOB1" s="3" t="s">
        <v>4423</v>
      </c>
      <c r="FOC1" s="3" t="s">
        <v>4424</v>
      </c>
      <c r="FOD1" s="3" t="s">
        <v>4425</v>
      </c>
      <c r="FOE1" s="3" t="s">
        <v>4426</v>
      </c>
      <c r="FOF1" s="3" t="s">
        <v>4427</v>
      </c>
      <c r="FOG1" s="3" t="s">
        <v>4428</v>
      </c>
      <c r="FOH1" s="3" t="s">
        <v>4429</v>
      </c>
      <c r="FOI1" s="3" t="s">
        <v>4430</v>
      </c>
      <c r="FOJ1" s="3" t="s">
        <v>4431</v>
      </c>
      <c r="FOK1" s="3" t="s">
        <v>4432</v>
      </c>
      <c r="FOL1" s="3" t="s">
        <v>4433</v>
      </c>
      <c r="FOM1" s="3" t="s">
        <v>4434</v>
      </c>
      <c r="FON1" s="3" t="s">
        <v>4435</v>
      </c>
      <c r="FOO1" s="3" t="s">
        <v>4436</v>
      </c>
      <c r="FOP1" s="3" t="s">
        <v>4437</v>
      </c>
      <c r="FOQ1" s="3" t="s">
        <v>4438</v>
      </c>
      <c r="FOR1" s="3" t="s">
        <v>4439</v>
      </c>
      <c r="FOS1" s="3" t="s">
        <v>4440</v>
      </c>
      <c r="FOT1" s="3" t="s">
        <v>4441</v>
      </c>
      <c r="FOU1" s="3" t="s">
        <v>4442</v>
      </c>
      <c r="FOV1" s="3" t="s">
        <v>4443</v>
      </c>
      <c r="FOW1" s="3" t="s">
        <v>4444</v>
      </c>
      <c r="FOX1" s="3" t="s">
        <v>4445</v>
      </c>
      <c r="FOY1" s="3" t="s">
        <v>4446</v>
      </c>
      <c r="FOZ1" s="3" t="s">
        <v>4447</v>
      </c>
      <c r="FPA1" s="3" t="s">
        <v>4448</v>
      </c>
      <c r="FPB1" s="3" t="s">
        <v>4449</v>
      </c>
      <c r="FPC1" s="3" t="s">
        <v>4450</v>
      </c>
      <c r="FPD1" s="3" t="s">
        <v>4451</v>
      </c>
      <c r="FPE1" s="3" t="s">
        <v>4452</v>
      </c>
      <c r="FPF1" s="3" t="s">
        <v>4453</v>
      </c>
      <c r="FPG1" s="3" t="s">
        <v>4454</v>
      </c>
      <c r="FPH1" s="3" t="s">
        <v>4455</v>
      </c>
      <c r="FPI1" s="3" t="s">
        <v>4456</v>
      </c>
      <c r="FPJ1" s="3" t="s">
        <v>4457</v>
      </c>
      <c r="FPK1" s="3" t="s">
        <v>4458</v>
      </c>
      <c r="FPL1" s="3" t="s">
        <v>4459</v>
      </c>
      <c r="FPM1" s="3" t="s">
        <v>4460</v>
      </c>
      <c r="FPN1" s="3" t="s">
        <v>4461</v>
      </c>
      <c r="FPO1" s="3" t="s">
        <v>4462</v>
      </c>
      <c r="FPP1" s="3" t="s">
        <v>4463</v>
      </c>
      <c r="FPQ1" s="3" t="s">
        <v>4464</v>
      </c>
      <c r="FPR1" s="3" t="s">
        <v>4465</v>
      </c>
      <c r="FPS1" s="3" t="s">
        <v>4466</v>
      </c>
      <c r="FPT1" s="3" t="s">
        <v>4467</v>
      </c>
      <c r="FPU1" s="3" t="s">
        <v>4468</v>
      </c>
      <c r="FPV1" s="3" t="s">
        <v>4469</v>
      </c>
      <c r="FPW1" s="3" t="s">
        <v>4470</v>
      </c>
      <c r="FPX1" s="3" t="s">
        <v>4471</v>
      </c>
      <c r="FPY1" s="3" t="s">
        <v>4472</v>
      </c>
      <c r="FPZ1" s="3" t="s">
        <v>4473</v>
      </c>
      <c r="FQA1" s="3" t="s">
        <v>4474</v>
      </c>
      <c r="FQB1" s="3" t="s">
        <v>4475</v>
      </c>
      <c r="FQC1" s="3" t="s">
        <v>4476</v>
      </c>
      <c r="FQD1" s="3" t="s">
        <v>4477</v>
      </c>
      <c r="FQE1" s="3" t="s">
        <v>4478</v>
      </c>
      <c r="FQF1" s="3" t="s">
        <v>4479</v>
      </c>
      <c r="FQG1" s="3" t="s">
        <v>4480</v>
      </c>
      <c r="FQH1" s="3" t="s">
        <v>4481</v>
      </c>
      <c r="FQI1" s="3" t="s">
        <v>4482</v>
      </c>
      <c r="FQJ1" s="3" t="s">
        <v>4483</v>
      </c>
      <c r="FQK1" s="3" t="s">
        <v>4484</v>
      </c>
      <c r="FQL1" s="3" t="s">
        <v>4485</v>
      </c>
      <c r="FQM1" s="3" t="s">
        <v>4486</v>
      </c>
      <c r="FQN1" s="3" t="s">
        <v>4487</v>
      </c>
      <c r="FQO1" s="3" t="s">
        <v>4488</v>
      </c>
      <c r="FQP1" s="3" t="s">
        <v>4489</v>
      </c>
      <c r="FQQ1" s="3" t="s">
        <v>4490</v>
      </c>
      <c r="FQR1" s="3" t="s">
        <v>4491</v>
      </c>
      <c r="FQS1" s="3" t="s">
        <v>4492</v>
      </c>
      <c r="FQT1" s="3" t="s">
        <v>4493</v>
      </c>
      <c r="FQU1" s="3" t="s">
        <v>4494</v>
      </c>
      <c r="FQV1" s="3" t="s">
        <v>4495</v>
      </c>
      <c r="FQW1" s="3" t="s">
        <v>4496</v>
      </c>
      <c r="FQX1" s="3" t="s">
        <v>4497</v>
      </c>
      <c r="FQY1" s="3" t="s">
        <v>4498</v>
      </c>
      <c r="FQZ1" s="3" t="s">
        <v>4499</v>
      </c>
      <c r="FRA1" s="3" t="s">
        <v>4500</v>
      </c>
      <c r="FRB1" s="3" t="s">
        <v>4501</v>
      </c>
      <c r="FRC1" s="3" t="s">
        <v>4502</v>
      </c>
      <c r="FRD1" s="3" t="s">
        <v>4503</v>
      </c>
      <c r="FRE1" s="3" t="s">
        <v>4504</v>
      </c>
      <c r="FRF1" s="3" t="s">
        <v>4505</v>
      </c>
      <c r="FRG1" s="3" t="s">
        <v>4506</v>
      </c>
      <c r="FRH1" s="3" t="s">
        <v>4507</v>
      </c>
      <c r="FRI1" s="3" t="s">
        <v>4508</v>
      </c>
      <c r="FRJ1" s="3" t="s">
        <v>4509</v>
      </c>
      <c r="FRK1" s="3" t="s">
        <v>4510</v>
      </c>
      <c r="FRL1" s="3" t="s">
        <v>4511</v>
      </c>
      <c r="FRM1" s="3" t="s">
        <v>4512</v>
      </c>
      <c r="FRN1" s="3" t="s">
        <v>4513</v>
      </c>
      <c r="FRO1" s="3" t="s">
        <v>4514</v>
      </c>
      <c r="FRP1" s="3" t="s">
        <v>4515</v>
      </c>
      <c r="FRQ1" s="3" t="s">
        <v>4516</v>
      </c>
      <c r="FRR1" s="3" t="s">
        <v>4517</v>
      </c>
      <c r="FRS1" s="3" t="s">
        <v>4518</v>
      </c>
      <c r="FRT1" s="3" t="s">
        <v>4519</v>
      </c>
      <c r="FRU1" s="3" t="s">
        <v>4520</v>
      </c>
      <c r="FRV1" s="3" t="s">
        <v>4521</v>
      </c>
      <c r="FRW1" s="3" t="s">
        <v>4522</v>
      </c>
      <c r="FRX1" s="3" t="s">
        <v>4523</v>
      </c>
      <c r="FRY1" s="3" t="s">
        <v>4524</v>
      </c>
      <c r="FRZ1" s="3" t="s">
        <v>4525</v>
      </c>
      <c r="FSA1" s="3" t="s">
        <v>4526</v>
      </c>
      <c r="FSB1" s="3" t="s">
        <v>4527</v>
      </c>
      <c r="FSC1" s="3" t="s">
        <v>4528</v>
      </c>
      <c r="FSD1" s="3" t="s">
        <v>4529</v>
      </c>
      <c r="FSE1" s="3" t="s">
        <v>4530</v>
      </c>
      <c r="FSF1" s="3" t="s">
        <v>4531</v>
      </c>
      <c r="FSG1" s="3" t="s">
        <v>4532</v>
      </c>
      <c r="FSH1" s="3" t="s">
        <v>4533</v>
      </c>
      <c r="FSI1" s="3" t="s">
        <v>4534</v>
      </c>
      <c r="FSJ1" s="3" t="s">
        <v>4535</v>
      </c>
      <c r="FSK1" s="3" t="s">
        <v>4536</v>
      </c>
      <c r="FSL1" s="3" t="s">
        <v>4537</v>
      </c>
      <c r="FSM1" s="3" t="s">
        <v>4538</v>
      </c>
      <c r="FSN1" s="3" t="s">
        <v>4539</v>
      </c>
      <c r="FSO1" s="3" t="s">
        <v>4540</v>
      </c>
      <c r="FSP1" s="3" t="s">
        <v>4541</v>
      </c>
      <c r="FSQ1" s="3" t="s">
        <v>4542</v>
      </c>
      <c r="FSR1" s="3" t="s">
        <v>4543</v>
      </c>
      <c r="FSS1" s="3" t="s">
        <v>4544</v>
      </c>
      <c r="FST1" s="3" t="s">
        <v>4545</v>
      </c>
      <c r="FSU1" s="3" t="s">
        <v>4546</v>
      </c>
      <c r="FSV1" s="3" t="s">
        <v>4547</v>
      </c>
      <c r="FSW1" s="3" t="s">
        <v>4548</v>
      </c>
      <c r="FSX1" s="3" t="s">
        <v>4549</v>
      </c>
      <c r="FSY1" s="3" t="s">
        <v>4550</v>
      </c>
      <c r="FSZ1" s="3" t="s">
        <v>4551</v>
      </c>
      <c r="FTA1" s="3" t="s">
        <v>4552</v>
      </c>
      <c r="FTB1" s="3" t="s">
        <v>4553</v>
      </c>
      <c r="FTC1" s="3" t="s">
        <v>4554</v>
      </c>
      <c r="FTD1" s="3" t="s">
        <v>4555</v>
      </c>
      <c r="FTE1" s="3" t="s">
        <v>4556</v>
      </c>
      <c r="FTF1" s="3" t="s">
        <v>4557</v>
      </c>
      <c r="FTG1" s="3" t="s">
        <v>4558</v>
      </c>
      <c r="FTH1" s="3" t="s">
        <v>4559</v>
      </c>
      <c r="FTI1" s="3" t="s">
        <v>4560</v>
      </c>
      <c r="FTJ1" s="3" t="s">
        <v>4561</v>
      </c>
      <c r="FTK1" s="3" t="s">
        <v>4562</v>
      </c>
      <c r="FTL1" s="3" t="s">
        <v>4563</v>
      </c>
      <c r="FTM1" s="3" t="s">
        <v>4564</v>
      </c>
      <c r="FTN1" s="3" t="s">
        <v>4565</v>
      </c>
      <c r="FTO1" s="3" t="s">
        <v>4566</v>
      </c>
      <c r="FTP1" s="3" t="s">
        <v>4567</v>
      </c>
      <c r="FTQ1" s="3" t="s">
        <v>4568</v>
      </c>
      <c r="FTR1" s="3" t="s">
        <v>4569</v>
      </c>
      <c r="FTS1" s="3" t="s">
        <v>4570</v>
      </c>
      <c r="FTT1" s="3" t="s">
        <v>4571</v>
      </c>
      <c r="FTU1" s="3" t="s">
        <v>4572</v>
      </c>
      <c r="FTV1" s="3" t="s">
        <v>4573</v>
      </c>
      <c r="FTW1" s="3" t="s">
        <v>4574</v>
      </c>
      <c r="FTX1" s="3" t="s">
        <v>4575</v>
      </c>
      <c r="FTY1" s="3" t="s">
        <v>4576</v>
      </c>
      <c r="FTZ1" s="3" t="s">
        <v>4577</v>
      </c>
      <c r="FUA1" s="3" t="s">
        <v>4578</v>
      </c>
      <c r="FUB1" s="3" t="s">
        <v>4579</v>
      </c>
      <c r="FUC1" s="3" t="s">
        <v>4580</v>
      </c>
      <c r="FUD1" s="3" t="s">
        <v>4581</v>
      </c>
      <c r="FUE1" s="3" t="s">
        <v>4582</v>
      </c>
      <c r="FUF1" s="3" t="s">
        <v>4583</v>
      </c>
      <c r="FUG1" s="3" t="s">
        <v>4584</v>
      </c>
      <c r="FUH1" s="3" t="s">
        <v>4585</v>
      </c>
      <c r="FUI1" s="3" t="s">
        <v>4586</v>
      </c>
      <c r="FUJ1" s="3" t="s">
        <v>4587</v>
      </c>
      <c r="FUK1" s="3" t="s">
        <v>4588</v>
      </c>
      <c r="FUL1" s="3" t="s">
        <v>4589</v>
      </c>
      <c r="FUM1" s="3" t="s">
        <v>4590</v>
      </c>
      <c r="FUN1" s="3" t="s">
        <v>4591</v>
      </c>
      <c r="FUO1" s="3" t="s">
        <v>4592</v>
      </c>
      <c r="FUP1" s="3" t="s">
        <v>4593</v>
      </c>
      <c r="FUQ1" s="3" t="s">
        <v>4594</v>
      </c>
      <c r="FUR1" s="3" t="s">
        <v>4595</v>
      </c>
      <c r="FUS1" s="3" t="s">
        <v>4596</v>
      </c>
      <c r="FUT1" s="3" t="s">
        <v>4597</v>
      </c>
      <c r="FUU1" s="3" t="s">
        <v>4598</v>
      </c>
      <c r="FUV1" s="3" t="s">
        <v>4599</v>
      </c>
      <c r="FUW1" s="3" t="s">
        <v>4600</v>
      </c>
      <c r="FUX1" s="3" t="s">
        <v>4601</v>
      </c>
      <c r="FUY1" s="3" t="s">
        <v>4602</v>
      </c>
      <c r="FUZ1" s="3" t="s">
        <v>4603</v>
      </c>
      <c r="FVA1" s="3" t="s">
        <v>4604</v>
      </c>
      <c r="FVB1" s="3" t="s">
        <v>4605</v>
      </c>
      <c r="FVC1" s="3" t="s">
        <v>4606</v>
      </c>
      <c r="FVD1" s="3" t="s">
        <v>4607</v>
      </c>
      <c r="FVE1" s="3" t="s">
        <v>4608</v>
      </c>
      <c r="FVF1" s="3" t="s">
        <v>4609</v>
      </c>
      <c r="FVG1" s="3" t="s">
        <v>4610</v>
      </c>
      <c r="FVH1" s="3" t="s">
        <v>4611</v>
      </c>
      <c r="FVI1" s="3" t="s">
        <v>4612</v>
      </c>
      <c r="FVJ1" s="3" t="s">
        <v>4613</v>
      </c>
      <c r="FVK1" s="3" t="s">
        <v>4614</v>
      </c>
      <c r="FVL1" s="3" t="s">
        <v>4615</v>
      </c>
      <c r="FVM1" s="3" t="s">
        <v>4616</v>
      </c>
      <c r="FVN1" s="3" t="s">
        <v>4617</v>
      </c>
      <c r="FVO1" s="3" t="s">
        <v>4618</v>
      </c>
      <c r="FVP1" s="3" t="s">
        <v>4619</v>
      </c>
      <c r="FVQ1" s="3" t="s">
        <v>4620</v>
      </c>
      <c r="FVR1" s="3" t="s">
        <v>4621</v>
      </c>
      <c r="FVS1" s="3" t="s">
        <v>4622</v>
      </c>
      <c r="FVT1" s="3" t="s">
        <v>4623</v>
      </c>
      <c r="FVU1" s="3" t="s">
        <v>4624</v>
      </c>
      <c r="FVV1" s="3" t="s">
        <v>4625</v>
      </c>
      <c r="FVW1" s="3" t="s">
        <v>4626</v>
      </c>
      <c r="FVX1" s="3" t="s">
        <v>4627</v>
      </c>
      <c r="FVY1" s="3" t="s">
        <v>4628</v>
      </c>
      <c r="FVZ1" s="3" t="s">
        <v>4629</v>
      </c>
      <c r="FWA1" s="3" t="s">
        <v>4630</v>
      </c>
      <c r="FWB1" s="3" t="s">
        <v>4631</v>
      </c>
      <c r="FWC1" s="3" t="s">
        <v>4632</v>
      </c>
      <c r="FWD1" s="3" t="s">
        <v>4633</v>
      </c>
      <c r="FWE1" s="3" t="s">
        <v>4634</v>
      </c>
      <c r="FWF1" s="3" t="s">
        <v>4635</v>
      </c>
      <c r="FWG1" s="3" t="s">
        <v>4636</v>
      </c>
      <c r="FWH1" s="3" t="s">
        <v>4637</v>
      </c>
      <c r="FWI1" s="3" t="s">
        <v>4638</v>
      </c>
      <c r="FWJ1" s="3" t="s">
        <v>4639</v>
      </c>
      <c r="FWK1" s="3" t="s">
        <v>4640</v>
      </c>
      <c r="FWL1" s="3" t="s">
        <v>4641</v>
      </c>
      <c r="FWM1" s="3" t="s">
        <v>4642</v>
      </c>
      <c r="FWN1" s="3" t="s">
        <v>4643</v>
      </c>
      <c r="FWO1" s="3" t="s">
        <v>4644</v>
      </c>
      <c r="FWP1" s="3" t="s">
        <v>4645</v>
      </c>
      <c r="FWQ1" s="3" t="s">
        <v>4646</v>
      </c>
      <c r="FWR1" s="3" t="s">
        <v>4647</v>
      </c>
      <c r="FWS1" s="3" t="s">
        <v>4648</v>
      </c>
      <c r="FWT1" s="3" t="s">
        <v>4649</v>
      </c>
      <c r="FWU1" s="3" t="s">
        <v>4650</v>
      </c>
      <c r="FWV1" s="3" t="s">
        <v>4651</v>
      </c>
      <c r="FWW1" s="3" t="s">
        <v>4652</v>
      </c>
      <c r="FWX1" s="3" t="s">
        <v>4653</v>
      </c>
      <c r="FWY1" s="3" t="s">
        <v>4654</v>
      </c>
      <c r="FWZ1" s="3" t="s">
        <v>4655</v>
      </c>
      <c r="FXA1" s="3" t="s">
        <v>4656</v>
      </c>
      <c r="FXB1" s="3" t="s">
        <v>4657</v>
      </c>
      <c r="FXC1" s="3" t="s">
        <v>4658</v>
      </c>
      <c r="FXD1" s="3" t="s">
        <v>4659</v>
      </c>
      <c r="FXE1" s="3" t="s">
        <v>4660</v>
      </c>
      <c r="FXF1" s="3" t="s">
        <v>4661</v>
      </c>
      <c r="FXG1" s="3" t="s">
        <v>4662</v>
      </c>
      <c r="FXH1" s="3" t="s">
        <v>4663</v>
      </c>
      <c r="FXI1" s="3" t="s">
        <v>4664</v>
      </c>
      <c r="FXJ1" s="3" t="s">
        <v>4665</v>
      </c>
      <c r="FXK1" s="3" t="s">
        <v>4666</v>
      </c>
      <c r="FXL1" s="3" t="s">
        <v>4667</v>
      </c>
      <c r="FXM1" s="3" t="s">
        <v>4668</v>
      </c>
      <c r="FXN1" s="3" t="s">
        <v>4669</v>
      </c>
      <c r="FXO1" s="3" t="s">
        <v>4670</v>
      </c>
      <c r="FXP1" s="3" t="s">
        <v>4671</v>
      </c>
      <c r="FXQ1" s="3" t="s">
        <v>4672</v>
      </c>
      <c r="FXR1" s="3" t="s">
        <v>4673</v>
      </c>
      <c r="FXS1" s="3" t="s">
        <v>4674</v>
      </c>
      <c r="FXT1" s="3" t="s">
        <v>4675</v>
      </c>
      <c r="FXU1" s="3" t="s">
        <v>4676</v>
      </c>
      <c r="FXV1" s="3" t="s">
        <v>4677</v>
      </c>
      <c r="FXW1" s="3" t="s">
        <v>4678</v>
      </c>
      <c r="FXX1" s="3" t="s">
        <v>4679</v>
      </c>
      <c r="FXY1" s="3" t="s">
        <v>4680</v>
      </c>
      <c r="FXZ1" s="3" t="s">
        <v>4681</v>
      </c>
      <c r="FYA1" s="3" t="s">
        <v>4682</v>
      </c>
      <c r="FYB1" s="3" t="s">
        <v>4683</v>
      </c>
      <c r="FYC1" s="3" t="s">
        <v>4684</v>
      </c>
      <c r="FYD1" s="3" t="s">
        <v>4685</v>
      </c>
      <c r="FYE1" s="3" t="s">
        <v>4686</v>
      </c>
      <c r="FYF1" s="3" t="s">
        <v>4687</v>
      </c>
      <c r="FYG1" s="3" t="s">
        <v>4688</v>
      </c>
      <c r="FYH1" s="3" t="s">
        <v>4689</v>
      </c>
      <c r="FYI1" s="3" t="s">
        <v>4690</v>
      </c>
      <c r="FYJ1" s="3" t="s">
        <v>4691</v>
      </c>
      <c r="FYK1" s="3" t="s">
        <v>4692</v>
      </c>
      <c r="FYL1" s="3" t="s">
        <v>4693</v>
      </c>
      <c r="FYM1" s="3" t="s">
        <v>4694</v>
      </c>
      <c r="FYN1" s="3" t="s">
        <v>4695</v>
      </c>
      <c r="FYO1" s="3" t="s">
        <v>4696</v>
      </c>
      <c r="FYP1" s="3" t="s">
        <v>4697</v>
      </c>
      <c r="FYQ1" s="3" t="s">
        <v>4698</v>
      </c>
      <c r="FYR1" s="3" t="s">
        <v>4699</v>
      </c>
      <c r="FYS1" s="3" t="s">
        <v>4700</v>
      </c>
      <c r="FYT1" s="3" t="s">
        <v>4701</v>
      </c>
      <c r="FYU1" s="3" t="s">
        <v>4702</v>
      </c>
      <c r="FYV1" s="3" t="s">
        <v>4703</v>
      </c>
      <c r="FYW1" s="3" t="s">
        <v>4704</v>
      </c>
      <c r="FYX1" s="3" t="s">
        <v>4705</v>
      </c>
      <c r="FYY1" s="3" t="s">
        <v>4706</v>
      </c>
      <c r="FYZ1" s="3" t="s">
        <v>4707</v>
      </c>
      <c r="FZA1" s="3" t="s">
        <v>4708</v>
      </c>
      <c r="FZB1" s="3" t="s">
        <v>4709</v>
      </c>
      <c r="FZC1" s="3" t="s">
        <v>4710</v>
      </c>
      <c r="FZD1" s="3" t="s">
        <v>4711</v>
      </c>
      <c r="FZE1" s="3" t="s">
        <v>4712</v>
      </c>
      <c r="FZF1" s="3" t="s">
        <v>4713</v>
      </c>
      <c r="FZG1" s="3" t="s">
        <v>4714</v>
      </c>
      <c r="FZH1" s="3" t="s">
        <v>4715</v>
      </c>
      <c r="FZI1" s="3" t="s">
        <v>4716</v>
      </c>
      <c r="FZJ1" s="3" t="s">
        <v>4717</v>
      </c>
      <c r="FZK1" s="3" t="s">
        <v>4718</v>
      </c>
      <c r="FZL1" s="3" t="s">
        <v>4719</v>
      </c>
      <c r="FZM1" s="3" t="s">
        <v>4720</v>
      </c>
      <c r="FZN1" s="3" t="s">
        <v>4721</v>
      </c>
      <c r="FZO1" s="3" t="s">
        <v>4722</v>
      </c>
      <c r="FZP1" s="3" t="s">
        <v>4723</v>
      </c>
      <c r="FZQ1" s="3" t="s">
        <v>4724</v>
      </c>
      <c r="FZR1" s="3" t="s">
        <v>4725</v>
      </c>
      <c r="FZS1" s="3" t="s">
        <v>4726</v>
      </c>
      <c r="FZT1" s="3" t="s">
        <v>4727</v>
      </c>
      <c r="FZU1" s="3" t="s">
        <v>4728</v>
      </c>
      <c r="FZV1" s="3" t="s">
        <v>4729</v>
      </c>
      <c r="FZW1" s="3" t="s">
        <v>4730</v>
      </c>
      <c r="FZX1" s="3" t="s">
        <v>4731</v>
      </c>
      <c r="FZY1" s="3" t="s">
        <v>4732</v>
      </c>
      <c r="FZZ1" s="3" t="s">
        <v>4733</v>
      </c>
      <c r="GAA1" s="3" t="s">
        <v>4734</v>
      </c>
      <c r="GAB1" s="3" t="s">
        <v>4735</v>
      </c>
      <c r="GAC1" s="3" t="s">
        <v>4736</v>
      </c>
      <c r="GAD1" s="3" t="s">
        <v>4737</v>
      </c>
      <c r="GAE1" s="3" t="s">
        <v>4738</v>
      </c>
      <c r="GAF1" s="3" t="s">
        <v>4739</v>
      </c>
      <c r="GAG1" s="3" t="s">
        <v>4740</v>
      </c>
      <c r="GAH1" s="3" t="s">
        <v>4741</v>
      </c>
      <c r="GAI1" s="3" t="s">
        <v>4742</v>
      </c>
      <c r="GAJ1" s="3" t="s">
        <v>4743</v>
      </c>
      <c r="GAK1" s="3" t="s">
        <v>4744</v>
      </c>
      <c r="GAL1" s="3" t="s">
        <v>4745</v>
      </c>
      <c r="GAM1" s="3" t="s">
        <v>4746</v>
      </c>
      <c r="GAN1" s="3" t="s">
        <v>4747</v>
      </c>
      <c r="GAO1" s="3" t="s">
        <v>4748</v>
      </c>
      <c r="GAP1" s="3" t="s">
        <v>4749</v>
      </c>
      <c r="GAQ1" s="3" t="s">
        <v>4750</v>
      </c>
      <c r="GAR1" s="3" t="s">
        <v>4751</v>
      </c>
      <c r="GAS1" s="3" t="s">
        <v>4752</v>
      </c>
      <c r="GAT1" s="3" t="s">
        <v>4753</v>
      </c>
      <c r="GAU1" s="3" t="s">
        <v>4754</v>
      </c>
      <c r="GAV1" s="3" t="s">
        <v>4755</v>
      </c>
      <c r="GAW1" s="3" t="s">
        <v>4756</v>
      </c>
      <c r="GAX1" s="3" t="s">
        <v>4757</v>
      </c>
      <c r="GAY1" s="3" t="s">
        <v>4758</v>
      </c>
      <c r="GAZ1" s="3" t="s">
        <v>4759</v>
      </c>
      <c r="GBA1" s="3" t="s">
        <v>4760</v>
      </c>
      <c r="GBB1" s="3" t="s">
        <v>4761</v>
      </c>
      <c r="GBC1" s="3" t="s">
        <v>4762</v>
      </c>
      <c r="GBD1" s="3" t="s">
        <v>4763</v>
      </c>
      <c r="GBE1" s="3" t="s">
        <v>4764</v>
      </c>
      <c r="GBF1" s="3" t="s">
        <v>4765</v>
      </c>
      <c r="GBG1" s="3" t="s">
        <v>4766</v>
      </c>
      <c r="GBH1" s="3" t="s">
        <v>4767</v>
      </c>
      <c r="GBI1" s="3" t="s">
        <v>4768</v>
      </c>
      <c r="GBJ1" s="3" t="s">
        <v>4769</v>
      </c>
      <c r="GBK1" s="3" t="s">
        <v>4770</v>
      </c>
      <c r="GBL1" s="3" t="s">
        <v>4771</v>
      </c>
      <c r="GBM1" s="3" t="s">
        <v>4772</v>
      </c>
      <c r="GBN1" s="3" t="s">
        <v>4773</v>
      </c>
      <c r="GBO1" s="3" t="s">
        <v>4774</v>
      </c>
      <c r="GBP1" s="3" t="s">
        <v>4775</v>
      </c>
      <c r="GBQ1" s="3" t="s">
        <v>4776</v>
      </c>
      <c r="GBR1" s="3" t="s">
        <v>4777</v>
      </c>
      <c r="GBS1" s="3" t="s">
        <v>4778</v>
      </c>
      <c r="GBT1" s="3" t="s">
        <v>4779</v>
      </c>
      <c r="GBU1" s="3" t="s">
        <v>4780</v>
      </c>
      <c r="GBV1" s="3" t="s">
        <v>4781</v>
      </c>
      <c r="GBW1" s="3" t="s">
        <v>4782</v>
      </c>
      <c r="GBX1" s="3" t="s">
        <v>4783</v>
      </c>
      <c r="GBY1" s="3" t="s">
        <v>4784</v>
      </c>
      <c r="GBZ1" s="3" t="s">
        <v>4785</v>
      </c>
      <c r="GCA1" s="3" t="s">
        <v>4786</v>
      </c>
      <c r="GCB1" s="3" t="s">
        <v>4787</v>
      </c>
      <c r="GCC1" s="3" t="s">
        <v>4788</v>
      </c>
      <c r="GCD1" s="3" t="s">
        <v>4789</v>
      </c>
      <c r="GCE1" s="3" t="s">
        <v>4790</v>
      </c>
      <c r="GCF1" s="3" t="s">
        <v>4791</v>
      </c>
      <c r="GCG1" s="3" t="s">
        <v>4792</v>
      </c>
      <c r="GCH1" s="3" t="s">
        <v>4793</v>
      </c>
      <c r="GCI1" s="3" t="s">
        <v>4794</v>
      </c>
      <c r="GCJ1" s="3" t="s">
        <v>4795</v>
      </c>
      <c r="GCK1" s="3" t="s">
        <v>4796</v>
      </c>
      <c r="GCL1" s="3" t="s">
        <v>4797</v>
      </c>
      <c r="GCM1" s="3" t="s">
        <v>4798</v>
      </c>
      <c r="GCN1" s="3" t="s">
        <v>4799</v>
      </c>
      <c r="GCO1" s="3" t="s">
        <v>4800</v>
      </c>
      <c r="GCP1" s="3" t="s">
        <v>4801</v>
      </c>
      <c r="GCQ1" s="3" t="s">
        <v>4802</v>
      </c>
      <c r="GCR1" s="3" t="s">
        <v>4803</v>
      </c>
      <c r="GCS1" s="3" t="s">
        <v>4804</v>
      </c>
      <c r="GCT1" s="3" t="s">
        <v>4805</v>
      </c>
      <c r="GCU1" s="3" t="s">
        <v>4806</v>
      </c>
      <c r="GCV1" s="3" t="s">
        <v>4807</v>
      </c>
      <c r="GCW1" s="3" t="s">
        <v>4808</v>
      </c>
      <c r="GCX1" s="3" t="s">
        <v>4809</v>
      </c>
      <c r="GCY1" s="3" t="s">
        <v>4810</v>
      </c>
      <c r="GCZ1" s="3" t="s">
        <v>4811</v>
      </c>
      <c r="GDA1" s="3" t="s">
        <v>4812</v>
      </c>
      <c r="GDB1" s="3" t="s">
        <v>4813</v>
      </c>
      <c r="GDC1" s="3" t="s">
        <v>4814</v>
      </c>
      <c r="GDD1" s="3" t="s">
        <v>4815</v>
      </c>
      <c r="GDE1" s="3" t="s">
        <v>4816</v>
      </c>
      <c r="GDF1" s="3" t="s">
        <v>4817</v>
      </c>
      <c r="GDG1" s="3" t="s">
        <v>4818</v>
      </c>
      <c r="GDH1" s="3" t="s">
        <v>4819</v>
      </c>
      <c r="GDI1" s="3" t="s">
        <v>4820</v>
      </c>
      <c r="GDJ1" s="3" t="s">
        <v>4821</v>
      </c>
      <c r="GDK1" s="3" t="s">
        <v>4822</v>
      </c>
      <c r="GDL1" s="3" t="s">
        <v>4823</v>
      </c>
      <c r="GDM1" s="3" t="s">
        <v>4824</v>
      </c>
      <c r="GDN1" s="3" t="s">
        <v>4825</v>
      </c>
      <c r="GDO1" s="3" t="s">
        <v>4826</v>
      </c>
      <c r="GDP1" s="3" t="s">
        <v>4827</v>
      </c>
      <c r="GDQ1" s="3" t="s">
        <v>4828</v>
      </c>
      <c r="GDR1" s="3" t="s">
        <v>4829</v>
      </c>
      <c r="GDS1" s="3" t="s">
        <v>4830</v>
      </c>
      <c r="GDT1" s="3" t="s">
        <v>4831</v>
      </c>
      <c r="GDU1" s="3" t="s">
        <v>4832</v>
      </c>
      <c r="GDV1" s="3" t="s">
        <v>4833</v>
      </c>
      <c r="GDW1" s="3" t="s">
        <v>4834</v>
      </c>
      <c r="GDX1" s="3" t="s">
        <v>4835</v>
      </c>
      <c r="GDY1" s="3" t="s">
        <v>4836</v>
      </c>
      <c r="GDZ1" s="3" t="s">
        <v>4837</v>
      </c>
      <c r="GEA1" s="3" t="s">
        <v>4838</v>
      </c>
      <c r="GEB1" s="3" t="s">
        <v>4839</v>
      </c>
      <c r="GEC1" s="3" t="s">
        <v>4840</v>
      </c>
      <c r="GED1" s="3" t="s">
        <v>4841</v>
      </c>
      <c r="GEE1" s="3" t="s">
        <v>4842</v>
      </c>
      <c r="GEF1" s="3" t="s">
        <v>4843</v>
      </c>
      <c r="GEG1" s="3" t="s">
        <v>4844</v>
      </c>
      <c r="GEH1" s="3" t="s">
        <v>4845</v>
      </c>
      <c r="GEI1" s="3" t="s">
        <v>4846</v>
      </c>
      <c r="GEJ1" s="3" t="s">
        <v>4847</v>
      </c>
      <c r="GEK1" s="3" t="s">
        <v>4848</v>
      </c>
      <c r="GEL1" s="3" t="s">
        <v>4849</v>
      </c>
      <c r="GEM1" s="3" t="s">
        <v>4850</v>
      </c>
      <c r="GEN1" s="3" t="s">
        <v>4851</v>
      </c>
      <c r="GEO1" s="3" t="s">
        <v>4852</v>
      </c>
      <c r="GEP1" s="3" t="s">
        <v>4853</v>
      </c>
      <c r="GEQ1" s="3" t="s">
        <v>4854</v>
      </c>
      <c r="GER1" s="3" t="s">
        <v>4855</v>
      </c>
      <c r="GES1" s="3" t="s">
        <v>4856</v>
      </c>
      <c r="GET1" s="3" t="s">
        <v>4857</v>
      </c>
      <c r="GEU1" s="3" t="s">
        <v>4858</v>
      </c>
      <c r="GEV1" s="3" t="s">
        <v>4859</v>
      </c>
      <c r="GEW1" s="3" t="s">
        <v>4860</v>
      </c>
      <c r="GEX1" s="3" t="s">
        <v>4861</v>
      </c>
      <c r="GEY1" s="3" t="s">
        <v>4862</v>
      </c>
      <c r="GEZ1" s="3" t="s">
        <v>4863</v>
      </c>
      <c r="GFA1" s="3" t="s">
        <v>4864</v>
      </c>
      <c r="GFB1" s="3" t="s">
        <v>4865</v>
      </c>
      <c r="GFC1" s="3" t="s">
        <v>4866</v>
      </c>
      <c r="GFD1" s="3" t="s">
        <v>4867</v>
      </c>
      <c r="GFE1" s="3" t="s">
        <v>4868</v>
      </c>
      <c r="GFF1" s="3" t="s">
        <v>4869</v>
      </c>
      <c r="GFG1" s="3" t="s">
        <v>4870</v>
      </c>
      <c r="GFH1" s="3" t="s">
        <v>4871</v>
      </c>
      <c r="GFI1" s="3" t="s">
        <v>4872</v>
      </c>
      <c r="GFJ1" s="3" t="s">
        <v>4873</v>
      </c>
      <c r="GFK1" s="3" t="s">
        <v>4874</v>
      </c>
      <c r="GFL1" s="3" t="s">
        <v>4875</v>
      </c>
      <c r="GFM1" s="3" t="s">
        <v>4876</v>
      </c>
      <c r="GFN1" s="3" t="s">
        <v>4877</v>
      </c>
      <c r="GFO1" s="3" t="s">
        <v>4878</v>
      </c>
      <c r="GFP1" s="3" t="s">
        <v>4879</v>
      </c>
      <c r="GFQ1" s="3" t="s">
        <v>4880</v>
      </c>
      <c r="GFR1" s="3" t="s">
        <v>4881</v>
      </c>
      <c r="GFS1" s="3" t="s">
        <v>4882</v>
      </c>
      <c r="GFT1" s="3" t="s">
        <v>4883</v>
      </c>
      <c r="GFU1" s="3" t="s">
        <v>4884</v>
      </c>
      <c r="GFV1" s="3" t="s">
        <v>4885</v>
      </c>
      <c r="GFW1" s="3" t="s">
        <v>4886</v>
      </c>
      <c r="GFX1" s="3" t="s">
        <v>4887</v>
      </c>
      <c r="GFY1" s="3" t="s">
        <v>4888</v>
      </c>
      <c r="GFZ1" s="3" t="s">
        <v>4889</v>
      </c>
      <c r="GGA1" s="3" t="s">
        <v>4890</v>
      </c>
      <c r="GGB1" s="3" t="s">
        <v>4891</v>
      </c>
      <c r="GGC1" s="3" t="s">
        <v>4892</v>
      </c>
      <c r="GGD1" s="3" t="s">
        <v>4893</v>
      </c>
      <c r="GGE1" s="3" t="s">
        <v>4894</v>
      </c>
      <c r="GGF1" s="3" t="s">
        <v>4895</v>
      </c>
      <c r="GGG1" s="3" t="s">
        <v>4896</v>
      </c>
      <c r="GGH1" s="3" t="s">
        <v>4897</v>
      </c>
      <c r="GGI1" s="3" t="s">
        <v>4898</v>
      </c>
      <c r="GGJ1" s="3" t="s">
        <v>4899</v>
      </c>
      <c r="GGK1" s="3" t="s">
        <v>4900</v>
      </c>
      <c r="GGL1" s="3" t="s">
        <v>4901</v>
      </c>
      <c r="GGM1" s="3" t="s">
        <v>4902</v>
      </c>
      <c r="GGN1" s="3" t="s">
        <v>4903</v>
      </c>
      <c r="GGO1" s="3" t="s">
        <v>4904</v>
      </c>
      <c r="GGP1" s="3" t="s">
        <v>4905</v>
      </c>
      <c r="GGQ1" s="3" t="s">
        <v>4906</v>
      </c>
      <c r="GGR1" s="3" t="s">
        <v>4907</v>
      </c>
      <c r="GGS1" s="3" t="s">
        <v>4908</v>
      </c>
      <c r="GGT1" s="3" t="s">
        <v>4909</v>
      </c>
      <c r="GGU1" s="3" t="s">
        <v>4910</v>
      </c>
      <c r="GGV1" s="3" t="s">
        <v>4911</v>
      </c>
      <c r="GGW1" s="3" t="s">
        <v>4912</v>
      </c>
      <c r="GGX1" s="3" t="s">
        <v>4913</v>
      </c>
      <c r="GGY1" s="3" t="s">
        <v>4914</v>
      </c>
      <c r="GGZ1" s="3" t="s">
        <v>4915</v>
      </c>
      <c r="GHA1" s="3" t="s">
        <v>4916</v>
      </c>
      <c r="GHB1" s="3" t="s">
        <v>4917</v>
      </c>
      <c r="GHC1" s="3" t="s">
        <v>4918</v>
      </c>
      <c r="GHD1" s="3" t="s">
        <v>4919</v>
      </c>
      <c r="GHE1" s="3" t="s">
        <v>4920</v>
      </c>
      <c r="GHF1" s="3" t="s">
        <v>4921</v>
      </c>
      <c r="GHG1" s="3" t="s">
        <v>4922</v>
      </c>
      <c r="GHH1" s="3" t="s">
        <v>4923</v>
      </c>
      <c r="GHI1" s="3" t="s">
        <v>4924</v>
      </c>
      <c r="GHJ1" s="3" t="s">
        <v>4925</v>
      </c>
      <c r="GHK1" s="3" t="s">
        <v>4926</v>
      </c>
      <c r="GHL1" s="3" t="s">
        <v>4927</v>
      </c>
      <c r="GHM1" s="3" t="s">
        <v>4928</v>
      </c>
      <c r="GHN1" s="3" t="s">
        <v>4929</v>
      </c>
      <c r="GHO1" s="3" t="s">
        <v>4930</v>
      </c>
      <c r="GHP1" s="3" t="s">
        <v>4931</v>
      </c>
      <c r="GHQ1" s="3" t="s">
        <v>4932</v>
      </c>
      <c r="GHR1" s="3" t="s">
        <v>4933</v>
      </c>
      <c r="GHS1" s="3" t="s">
        <v>4934</v>
      </c>
      <c r="GHT1" s="3" t="s">
        <v>4935</v>
      </c>
      <c r="GHU1" s="3" t="s">
        <v>4936</v>
      </c>
      <c r="GHV1" s="3" t="s">
        <v>4937</v>
      </c>
      <c r="GHW1" s="3" t="s">
        <v>4938</v>
      </c>
      <c r="GHX1" s="3" t="s">
        <v>4939</v>
      </c>
      <c r="GHY1" s="3" t="s">
        <v>4940</v>
      </c>
      <c r="GHZ1" s="3" t="s">
        <v>4941</v>
      </c>
      <c r="GIA1" s="3" t="s">
        <v>4942</v>
      </c>
      <c r="GIB1" s="3" t="s">
        <v>4943</v>
      </c>
      <c r="GIC1" s="3" t="s">
        <v>4944</v>
      </c>
      <c r="GID1" s="3" t="s">
        <v>4945</v>
      </c>
      <c r="GIE1" s="3" t="s">
        <v>4946</v>
      </c>
      <c r="GIF1" s="3" t="s">
        <v>4947</v>
      </c>
      <c r="GIG1" s="3" t="s">
        <v>4948</v>
      </c>
      <c r="GIH1" s="3" t="s">
        <v>4949</v>
      </c>
      <c r="GII1" s="3" t="s">
        <v>4950</v>
      </c>
      <c r="GIJ1" s="3" t="s">
        <v>4951</v>
      </c>
      <c r="GIK1" s="3" t="s">
        <v>4952</v>
      </c>
      <c r="GIL1" s="3" t="s">
        <v>4953</v>
      </c>
      <c r="GIM1" s="3" t="s">
        <v>4954</v>
      </c>
      <c r="GIN1" s="3" t="s">
        <v>4955</v>
      </c>
      <c r="GIO1" s="3" t="s">
        <v>4956</v>
      </c>
      <c r="GIP1" s="3" t="s">
        <v>4957</v>
      </c>
      <c r="GIQ1" s="3" t="s">
        <v>4958</v>
      </c>
      <c r="GIR1" s="3" t="s">
        <v>4959</v>
      </c>
      <c r="GIS1" s="3" t="s">
        <v>4960</v>
      </c>
      <c r="GIT1" s="3" t="s">
        <v>4961</v>
      </c>
      <c r="GIU1" s="3" t="s">
        <v>4962</v>
      </c>
      <c r="GIV1" s="3" t="s">
        <v>4963</v>
      </c>
      <c r="GIW1" s="3" t="s">
        <v>4964</v>
      </c>
      <c r="GIX1" s="3" t="s">
        <v>4965</v>
      </c>
      <c r="GIY1" s="3" t="s">
        <v>4966</v>
      </c>
      <c r="GIZ1" s="3" t="s">
        <v>4967</v>
      </c>
      <c r="GJA1" s="3" t="s">
        <v>4968</v>
      </c>
      <c r="GJB1" s="3" t="s">
        <v>4969</v>
      </c>
      <c r="GJC1" s="3" t="s">
        <v>4970</v>
      </c>
      <c r="GJD1" s="3" t="s">
        <v>4971</v>
      </c>
      <c r="GJE1" s="3" t="s">
        <v>4972</v>
      </c>
      <c r="GJF1" s="3" t="s">
        <v>4973</v>
      </c>
      <c r="GJG1" s="3" t="s">
        <v>4974</v>
      </c>
      <c r="GJH1" s="3" t="s">
        <v>4975</v>
      </c>
      <c r="GJI1" s="3" t="s">
        <v>4976</v>
      </c>
      <c r="GJJ1" s="3" t="s">
        <v>4977</v>
      </c>
      <c r="GJK1" s="3" t="s">
        <v>4978</v>
      </c>
      <c r="GJL1" s="3" t="s">
        <v>4979</v>
      </c>
      <c r="GJM1" s="3" t="s">
        <v>4980</v>
      </c>
      <c r="GJN1" s="3" t="s">
        <v>4981</v>
      </c>
      <c r="GJO1" s="3" t="s">
        <v>4982</v>
      </c>
      <c r="GJP1" s="3" t="s">
        <v>4983</v>
      </c>
      <c r="GJQ1" s="3" t="s">
        <v>4984</v>
      </c>
      <c r="GJR1" s="3" t="s">
        <v>4985</v>
      </c>
      <c r="GJS1" s="3" t="s">
        <v>4986</v>
      </c>
      <c r="GJT1" s="3" t="s">
        <v>4987</v>
      </c>
      <c r="GJU1" s="3" t="s">
        <v>4988</v>
      </c>
      <c r="GJV1" s="3" t="s">
        <v>4989</v>
      </c>
      <c r="GJW1" s="3" t="s">
        <v>4990</v>
      </c>
      <c r="GJX1" s="3" t="s">
        <v>4991</v>
      </c>
      <c r="GJY1" s="3" t="s">
        <v>4992</v>
      </c>
      <c r="GJZ1" s="3" t="s">
        <v>4993</v>
      </c>
      <c r="GKA1" s="3" t="s">
        <v>4994</v>
      </c>
      <c r="GKB1" s="3" t="s">
        <v>4995</v>
      </c>
      <c r="GKC1" s="3" t="s">
        <v>4996</v>
      </c>
      <c r="GKD1" s="3" t="s">
        <v>4997</v>
      </c>
      <c r="GKE1" s="3" t="s">
        <v>4998</v>
      </c>
      <c r="GKF1" s="3" t="s">
        <v>4999</v>
      </c>
      <c r="GKG1" s="3" t="s">
        <v>5000</v>
      </c>
      <c r="GKH1" s="3" t="s">
        <v>5001</v>
      </c>
      <c r="GKI1" s="3" t="s">
        <v>5002</v>
      </c>
      <c r="GKJ1" s="3" t="s">
        <v>5003</v>
      </c>
      <c r="GKK1" s="3" t="s">
        <v>5004</v>
      </c>
      <c r="GKL1" s="3" t="s">
        <v>5005</v>
      </c>
      <c r="GKM1" s="3" t="s">
        <v>5006</v>
      </c>
      <c r="GKN1" s="3" t="s">
        <v>5007</v>
      </c>
      <c r="GKO1" s="3" t="s">
        <v>5008</v>
      </c>
      <c r="GKP1" s="3" t="s">
        <v>5009</v>
      </c>
      <c r="GKQ1" s="3" t="s">
        <v>5010</v>
      </c>
      <c r="GKR1" s="3" t="s">
        <v>5011</v>
      </c>
      <c r="GKS1" s="3" t="s">
        <v>5012</v>
      </c>
      <c r="GKT1" s="3" t="s">
        <v>5013</v>
      </c>
      <c r="GKU1" s="3" t="s">
        <v>5014</v>
      </c>
      <c r="GKV1" s="3" t="s">
        <v>5015</v>
      </c>
      <c r="GKW1" s="3" t="s">
        <v>5016</v>
      </c>
      <c r="GKX1" s="3" t="s">
        <v>5017</v>
      </c>
      <c r="GKY1" s="3" t="s">
        <v>5018</v>
      </c>
      <c r="GKZ1" s="3" t="s">
        <v>5019</v>
      </c>
      <c r="GLA1" s="3" t="s">
        <v>5020</v>
      </c>
      <c r="GLB1" s="3" t="s">
        <v>5021</v>
      </c>
      <c r="GLC1" s="3" t="s">
        <v>5022</v>
      </c>
      <c r="GLD1" s="3" t="s">
        <v>5023</v>
      </c>
      <c r="GLE1" s="3" t="s">
        <v>5024</v>
      </c>
      <c r="GLF1" s="3" t="s">
        <v>5025</v>
      </c>
      <c r="GLG1" s="3" t="s">
        <v>5026</v>
      </c>
      <c r="GLH1" s="3" t="s">
        <v>5027</v>
      </c>
      <c r="GLI1" s="3" t="s">
        <v>5028</v>
      </c>
      <c r="GLJ1" s="3" t="s">
        <v>5029</v>
      </c>
      <c r="GLK1" s="3" t="s">
        <v>5030</v>
      </c>
      <c r="GLL1" s="3" t="s">
        <v>5031</v>
      </c>
      <c r="GLM1" s="3" t="s">
        <v>5032</v>
      </c>
      <c r="GLN1" s="3" t="s">
        <v>5033</v>
      </c>
      <c r="GLO1" s="3" t="s">
        <v>5034</v>
      </c>
      <c r="GLP1" s="3" t="s">
        <v>5035</v>
      </c>
      <c r="GLQ1" s="3" t="s">
        <v>5036</v>
      </c>
      <c r="GLR1" s="3" t="s">
        <v>5037</v>
      </c>
      <c r="GLS1" s="3" t="s">
        <v>5038</v>
      </c>
      <c r="GLT1" s="3" t="s">
        <v>5039</v>
      </c>
      <c r="GLU1" s="3" t="s">
        <v>5040</v>
      </c>
      <c r="GLV1" s="3" t="s">
        <v>5041</v>
      </c>
      <c r="GLW1" s="3" t="s">
        <v>5042</v>
      </c>
      <c r="GLX1" s="3" t="s">
        <v>5043</v>
      </c>
      <c r="GLY1" s="3" t="s">
        <v>5044</v>
      </c>
      <c r="GLZ1" s="3" t="s">
        <v>5045</v>
      </c>
      <c r="GMA1" s="3" t="s">
        <v>5046</v>
      </c>
      <c r="GMB1" s="3" t="s">
        <v>5047</v>
      </c>
      <c r="GMC1" s="3" t="s">
        <v>5048</v>
      </c>
      <c r="GMD1" s="3" t="s">
        <v>5049</v>
      </c>
      <c r="GME1" s="3" t="s">
        <v>5050</v>
      </c>
      <c r="GMF1" s="3" t="s">
        <v>5051</v>
      </c>
      <c r="GMG1" s="3" t="s">
        <v>5052</v>
      </c>
      <c r="GMH1" s="3" t="s">
        <v>5053</v>
      </c>
      <c r="GMI1" s="3" t="s">
        <v>5054</v>
      </c>
      <c r="GMJ1" s="3" t="s">
        <v>5055</v>
      </c>
      <c r="GMK1" s="3" t="s">
        <v>5056</v>
      </c>
      <c r="GML1" s="3" t="s">
        <v>5057</v>
      </c>
      <c r="GMM1" s="3" t="s">
        <v>5058</v>
      </c>
      <c r="GMN1" s="3" t="s">
        <v>5059</v>
      </c>
      <c r="GMO1" s="3" t="s">
        <v>5060</v>
      </c>
      <c r="GMP1" s="3" t="s">
        <v>5061</v>
      </c>
      <c r="GMQ1" s="3" t="s">
        <v>5062</v>
      </c>
      <c r="GMR1" s="3" t="s">
        <v>5063</v>
      </c>
      <c r="GMS1" s="3" t="s">
        <v>5064</v>
      </c>
      <c r="GMT1" s="3" t="s">
        <v>5065</v>
      </c>
      <c r="GMU1" s="3" t="s">
        <v>5066</v>
      </c>
      <c r="GMV1" s="3" t="s">
        <v>5067</v>
      </c>
      <c r="GMW1" s="3" t="s">
        <v>5068</v>
      </c>
      <c r="GMX1" s="3" t="s">
        <v>5069</v>
      </c>
      <c r="GMY1" s="3" t="s">
        <v>5070</v>
      </c>
      <c r="GMZ1" s="3" t="s">
        <v>5071</v>
      </c>
      <c r="GNA1" s="3" t="s">
        <v>5072</v>
      </c>
      <c r="GNB1" s="3" t="s">
        <v>5073</v>
      </c>
      <c r="GNC1" s="3" t="s">
        <v>5074</v>
      </c>
      <c r="GND1" s="3" t="s">
        <v>5075</v>
      </c>
      <c r="GNE1" s="3" t="s">
        <v>5076</v>
      </c>
      <c r="GNF1" s="3" t="s">
        <v>5077</v>
      </c>
      <c r="GNG1" s="3" t="s">
        <v>5078</v>
      </c>
      <c r="GNH1" s="3" t="s">
        <v>5079</v>
      </c>
      <c r="GNI1" s="3" t="s">
        <v>5080</v>
      </c>
      <c r="GNJ1" s="3" t="s">
        <v>5081</v>
      </c>
      <c r="GNK1" s="3" t="s">
        <v>5082</v>
      </c>
      <c r="GNL1" s="3" t="s">
        <v>5083</v>
      </c>
      <c r="GNM1" s="3" t="s">
        <v>5084</v>
      </c>
      <c r="GNN1" s="3" t="s">
        <v>5085</v>
      </c>
      <c r="GNO1" s="3" t="s">
        <v>5086</v>
      </c>
      <c r="GNP1" s="3" t="s">
        <v>5087</v>
      </c>
      <c r="GNQ1" s="3" t="s">
        <v>5088</v>
      </c>
      <c r="GNR1" s="3" t="s">
        <v>5089</v>
      </c>
      <c r="GNS1" s="3" t="s">
        <v>5090</v>
      </c>
      <c r="GNT1" s="3" t="s">
        <v>5091</v>
      </c>
      <c r="GNU1" s="3" t="s">
        <v>5092</v>
      </c>
      <c r="GNV1" s="3" t="s">
        <v>5093</v>
      </c>
      <c r="GNW1" s="3" t="s">
        <v>5094</v>
      </c>
      <c r="GNX1" s="3" t="s">
        <v>5095</v>
      </c>
      <c r="GNY1" s="3" t="s">
        <v>5096</v>
      </c>
      <c r="GNZ1" s="3" t="s">
        <v>5097</v>
      </c>
      <c r="GOA1" s="3" t="s">
        <v>5098</v>
      </c>
      <c r="GOB1" s="3" t="s">
        <v>5099</v>
      </c>
      <c r="GOC1" s="3" t="s">
        <v>5100</v>
      </c>
      <c r="GOD1" s="3" t="s">
        <v>5101</v>
      </c>
      <c r="GOE1" s="3" t="s">
        <v>5102</v>
      </c>
      <c r="GOF1" s="3" t="s">
        <v>5103</v>
      </c>
      <c r="GOG1" s="3" t="s">
        <v>5104</v>
      </c>
      <c r="GOH1" s="3" t="s">
        <v>5105</v>
      </c>
      <c r="GOI1" s="3" t="s">
        <v>5106</v>
      </c>
      <c r="GOJ1" s="3" t="s">
        <v>5107</v>
      </c>
      <c r="GOK1" s="3" t="s">
        <v>5108</v>
      </c>
      <c r="GOL1" s="3" t="s">
        <v>5109</v>
      </c>
      <c r="GOM1" s="3" t="s">
        <v>5110</v>
      </c>
      <c r="GON1" s="3" t="s">
        <v>5111</v>
      </c>
      <c r="GOO1" s="3" t="s">
        <v>5112</v>
      </c>
      <c r="GOP1" s="3" t="s">
        <v>5113</v>
      </c>
      <c r="GOQ1" s="3" t="s">
        <v>5114</v>
      </c>
      <c r="GOR1" s="3" t="s">
        <v>5115</v>
      </c>
      <c r="GOS1" s="3" t="s">
        <v>5116</v>
      </c>
      <c r="GOT1" s="3" t="s">
        <v>5117</v>
      </c>
      <c r="GOU1" s="3" t="s">
        <v>5118</v>
      </c>
      <c r="GOV1" s="3" t="s">
        <v>5119</v>
      </c>
      <c r="GOW1" s="3" t="s">
        <v>5120</v>
      </c>
      <c r="GOX1" s="3" t="s">
        <v>5121</v>
      </c>
      <c r="GOY1" s="3" t="s">
        <v>5122</v>
      </c>
      <c r="GOZ1" s="3" t="s">
        <v>5123</v>
      </c>
      <c r="GPA1" s="3" t="s">
        <v>5124</v>
      </c>
      <c r="GPB1" s="3" t="s">
        <v>5125</v>
      </c>
      <c r="GPC1" s="3" t="s">
        <v>5126</v>
      </c>
      <c r="GPD1" s="3" t="s">
        <v>5127</v>
      </c>
      <c r="GPE1" s="3" t="s">
        <v>5128</v>
      </c>
      <c r="GPF1" s="3" t="s">
        <v>5129</v>
      </c>
      <c r="GPG1" s="3" t="s">
        <v>5130</v>
      </c>
      <c r="GPH1" s="3" t="s">
        <v>5131</v>
      </c>
      <c r="GPI1" s="3" t="s">
        <v>5132</v>
      </c>
      <c r="GPJ1" s="3" t="s">
        <v>5133</v>
      </c>
      <c r="GPK1" s="3" t="s">
        <v>5134</v>
      </c>
      <c r="GPL1" s="3" t="s">
        <v>5135</v>
      </c>
      <c r="GPM1" s="3" t="s">
        <v>5136</v>
      </c>
      <c r="GPN1" s="3" t="s">
        <v>5137</v>
      </c>
      <c r="GPO1" s="3" t="s">
        <v>5138</v>
      </c>
      <c r="GPP1" s="3" t="s">
        <v>5139</v>
      </c>
      <c r="GPQ1" s="3" t="s">
        <v>5140</v>
      </c>
      <c r="GPR1" s="3" t="s">
        <v>5141</v>
      </c>
      <c r="GPS1" s="3" t="s">
        <v>5142</v>
      </c>
      <c r="GPT1" s="3" t="s">
        <v>5143</v>
      </c>
      <c r="GPU1" s="3" t="s">
        <v>5144</v>
      </c>
      <c r="GPV1" s="3" t="s">
        <v>5145</v>
      </c>
      <c r="GPW1" s="3" t="s">
        <v>5146</v>
      </c>
      <c r="GPX1" s="3" t="s">
        <v>5147</v>
      </c>
      <c r="GPY1" s="3" t="s">
        <v>5148</v>
      </c>
      <c r="GPZ1" s="3" t="s">
        <v>5149</v>
      </c>
      <c r="GQA1" s="3" t="s">
        <v>5150</v>
      </c>
      <c r="GQB1" s="3" t="s">
        <v>5151</v>
      </c>
      <c r="GQC1" s="3" t="s">
        <v>5152</v>
      </c>
      <c r="GQD1" s="3" t="s">
        <v>5153</v>
      </c>
      <c r="GQE1" s="3" t="s">
        <v>5154</v>
      </c>
      <c r="GQF1" s="3" t="s">
        <v>5155</v>
      </c>
      <c r="GQG1" s="3" t="s">
        <v>5156</v>
      </c>
      <c r="GQH1" s="3" t="s">
        <v>5157</v>
      </c>
      <c r="GQI1" s="3" t="s">
        <v>5158</v>
      </c>
      <c r="GQJ1" s="3" t="s">
        <v>5159</v>
      </c>
      <c r="GQK1" s="3" t="s">
        <v>5160</v>
      </c>
      <c r="GQL1" s="3" t="s">
        <v>5161</v>
      </c>
      <c r="GQM1" s="3" t="s">
        <v>5162</v>
      </c>
      <c r="GQN1" s="3" t="s">
        <v>5163</v>
      </c>
      <c r="GQO1" s="3" t="s">
        <v>5164</v>
      </c>
      <c r="GQP1" s="3" t="s">
        <v>5165</v>
      </c>
      <c r="GQQ1" s="3" t="s">
        <v>5166</v>
      </c>
      <c r="GQR1" s="3" t="s">
        <v>5167</v>
      </c>
      <c r="GQS1" s="3" t="s">
        <v>5168</v>
      </c>
      <c r="GQT1" s="3" t="s">
        <v>5169</v>
      </c>
      <c r="GQU1" s="3" t="s">
        <v>5170</v>
      </c>
      <c r="GQV1" s="3" t="s">
        <v>5171</v>
      </c>
      <c r="GQW1" s="3" t="s">
        <v>5172</v>
      </c>
      <c r="GQX1" s="3" t="s">
        <v>5173</v>
      </c>
      <c r="GQY1" s="3" t="s">
        <v>5174</v>
      </c>
      <c r="GQZ1" s="3" t="s">
        <v>5175</v>
      </c>
      <c r="GRA1" s="3" t="s">
        <v>5176</v>
      </c>
      <c r="GRB1" s="3" t="s">
        <v>5177</v>
      </c>
      <c r="GRC1" s="3" t="s">
        <v>5178</v>
      </c>
      <c r="GRD1" s="3" t="s">
        <v>5179</v>
      </c>
      <c r="GRE1" s="3" t="s">
        <v>5180</v>
      </c>
      <c r="GRF1" s="3" t="s">
        <v>5181</v>
      </c>
      <c r="GRG1" s="3" t="s">
        <v>5182</v>
      </c>
      <c r="GRH1" s="3" t="s">
        <v>5183</v>
      </c>
      <c r="GRI1" s="3" t="s">
        <v>5184</v>
      </c>
      <c r="GRJ1" s="3" t="s">
        <v>5185</v>
      </c>
      <c r="GRK1" s="3" t="s">
        <v>5186</v>
      </c>
      <c r="GRL1" s="3" t="s">
        <v>5187</v>
      </c>
      <c r="GRM1" s="3" t="s">
        <v>5188</v>
      </c>
      <c r="GRN1" s="3" t="s">
        <v>5189</v>
      </c>
      <c r="GRO1" s="3" t="s">
        <v>5190</v>
      </c>
      <c r="GRP1" s="3" t="s">
        <v>5191</v>
      </c>
      <c r="GRQ1" s="3" t="s">
        <v>5192</v>
      </c>
      <c r="GRR1" s="3" t="s">
        <v>5193</v>
      </c>
      <c r="GRS1" s="3" t="s">
        <v>5194</v>
      </c>
      <c r="GRT1" s="3" t="s">
        <v>5195</v>
      </c>
      <c r="GRU1" s="3" t="s">
        <v>5196</v>
      </c>
      <c r="GRV1" s="3" t="s">
        <v>5197</v>
      </c>
      <c r="GRW1" s="3" t="s">
        <v>5198</v>
      </c>
      <c r="GRX1" s="3" t="s">
        <v>5199</v>
      </c>
      <c r="GRY1" s="3" t="s">
        <v>5200</v>
      </c>
      <c r="GRZ1" s="3" t="s">
        <v>5201</v>
      </c>
      <c r="GSA1" s="3" t="s">
        <v>5202</v>
      </c>
      <c r="GSB1" s="3" t="s">
        <v>5203</v>
      </c>
      <c r="GSC1" s="3" t="s">
        <v>5204</v>
      </c>
      <c r="GSD1" s="3" t="s">
        <v>5205</v>
      </c>
      <c r="GSE1" s="3" t="s">
        <v>5206</v>
      </c>
      <c r="GSF1" s="3" t="s">
        <v>5207</v>
      </c>
      <c r="GSG1" s="3" t="s">
        <v>5208</v>
      </c>
      <c r="GSH1" s="3" t="s">
        <v>5209</v>
      </c>
      <c r="GSI1" s="3" t="s">
        <v>5210</v>
      </c>
      <c r="GSJ1" s="3" t="s">
        <v>5211</v>
      </c>
      <c r="GSK1" s="3" t="s">
        <v>5212</v>
      </c>
      <c r="GSL1" s="3" t="s">
        <v>5213</v>
      </c>
      <c r="GSM1" s="3" t="s">
        <v>5214</v>
      </c>
      <c r="GSN1" s="3" t="s">
        <v>5215</v>
      </c>
      <c r="GSO1" s="3" t="s">
        <v>5216</v>
      </c>
      <c r="GSP1" s="3" t="s">
        <v>5217</v>
      </c>
      <c r="GSQ1" s="3" t="s">
        <v>5218</v>
      </c>
      <c r="GSR1" s="3" t="s">
        <v>5219</v>
      </c>
      <c r="GSS1" s="3" t="s">
        <v>5220</v>
      </c>
      <c r="GST1" s="3" t="s">
        <v>5221</v>
      </c>
      <c r="GSU1" s="3" t="s">
        <v>5222</v>
      </c>
      <c r="GSV1" s="3" t="s">
        <v>5223</v>
      </c>
      <c r="GSW1" s="3" t="s">
        <v>5224</v>
      </c>
      <c r="GSX1" s="3" t="s">
        <v>5225</v>
      </c>
      <c r="GSY1" s="3" t="s">
        <v>5226</v>
      </c>
      <c r="GSZ1" s="3" t="s">
        <v>5227</v>
      </c>
      <c r="GTA1" s="3" t="s">
        <v>5228</v>
      </c>
      <c r="GTB1" s="3" t="s">
        <v>5229</v>
      </c>
      <c r="GTC1" s="3" t="s">
        <v>5230</v>
      </c>
      <c r="GTD1" s="3" t="s">
        <v>5231</v>
      </c>
      <c r="GTE1" s="3" t="s">
        <v>5232</v>
      </c>
      <c r="GTF1" s="3" t="s">
        <v>5233</v>
      </c>
      <c r="GTG1" s="3" t="s">
        <v>5234</v>
      </c>
      <c r="GTH1" s="3" t="s">
        <v>5235</v>
      </c>
      <c r="GTI1" s="3" t="s">
        <v>5236</v>
      </c>
      <c r="GTJ1" s="3" t="s">
        <v>5237</v>
      </c>
      <c r="GTK1" s="3" t="s">
        <v>5238</v>
      </c>
      <c r="GTL1" s="3" t="s">
        <v>5239</v>
      </c>
      <c r="GTM1" s="3" t="s">
        <v>5240</v>
      </c>
      <c r="GTN1" s="3" t="s">
        <v>5241</v>
      </c>
      <c r="GTO1" s="3" t="s">
        <v>5242</v>
      </c>
      <c r="GTP1" s="3" t="s">
        <v>5243</v>
      </c>
      <c r="GTQ1" s="3" t="s">
        <v>5244</v>
      </c>
      <c r="GTR1" s="3" t="s">
        <v>5245</v>
      </c>
      <c r="GTS1" s="3" t="s">
        <v>5246</v>
      </c>
      <c r="GTT1" s="3" t="s">
        <v>5247</v>
      </c>
      <c r="GTU1" s="3" t="s">
        <v>5248</v>
      </c>
      <c r="GTV1" s="3" t="s">
        <v>5249</v>
      </c>
      <c r="GTW1" s="3" t="s">
        <v>5250</v>
      </c>
      <c r="GTX1" s="3" t="s">
        <v>5251</v>
      </c>
      <c r="GTY1" s="3" t="s">
        <v>5252</v>
      </c>
      <c r="GTZ1" s="3" t="s">
        <v>5253</v>
      </c>
      <c r="GUA1" s="3" t="s">
        <v>5254</v>
      </c>
      <c r="GUB1" s="3" t="s">
        <v>5255</v>
      </c>
      <c r="GUC1" s="3" t="s">
        <v>5256</v>
      </c>
      <c r="GUD1" s="3" t="s">
        <v>5257</v>
      </c>
      <c r="GUE1" s="3" t="s">
        <v>5258</v>
      </c>
      <c r="GUF1" s="3" t="s">
        <v>5259</v>
      </c>
      <c r="GUG1" s="3" t="s">
        <v>5260</v>
      </c>
      <c r="GUH1" s="3" t="s">
        <v>5261</v>
      </c>
      <c r="GUI1" s="3" t="s">
        <v>5262</v>
      </c>
      <c r="GUJ1" s="3" t="s">
        <v>5263</v>
      </c>
      <c r="GUK1" s="3" t="s">
        <v>5264</v>
      </c>
      <c r="GUL1" s="3" t="s">
        <v>5265</v>
      </c>
      <c r="GUM1" s="3" t="s">
        <v>5266</v>
      </c>
      <c r="GUN1" s="3" t="s">
        <v>5267</v>
      </c>
      <c r="GUO1" s="3" t="s">
        <v>5268</v>
      </c>
      <c r="GUP1" s="3" t="s">
        <v>5269</v>
      </c>
      <c r="GUQ1" s="3" t="s">
        <v>5270</v>
      </c>
      <c r="GUR1" s="3" t="s">
        <v>5271</v>
      </c>
      <c r="GUS1" s="3" t="s">
        <v>5272</v>
      </c>
      <c r="GUT1" s="3" t="s">
        <v>5273</v>
      </c>
      <c r="GUU1" s="3" t="s">
        <v>5274</v>
      </c>
      <c r="GUV1" s="3" t="s">
        <v>5275</v>
      </c>
      <c r="GUW1" s="3" t="s">
        <v>5276</v>
      </c>
      <c r="GUX1" s="3" t="s">
        <v>5277</v>
      </c>
      <c r="GUY1" s="3" t="s">
        <v>5278</v>
      </c>
      <c r="GUZ1" s="3" t="s">
        <v>5279</v>
      </c>
      <c r="GVA1" s="3" t="s">
        <v>5280</v>
      </c>
      <c r="GVB1" s="3" t="s">
        <v>5281</v>
      </c>
      <c r="GVC1" s="3" t="s">
        <v>5282</v>
      </c>
      <c r="GVD1" s="3" t="s">
        <v>5283</v>
      </c>
      <c r="GVE1" s="3" t="s">
        <v>5284</v>
      </c>
      <c r="GVF1" s="3" t="s">
        <v>5285</v>
      </c>
      <c r="GVG1" s="3" t="s">
        <v>5286</v>
      </c>
      <c r="GVH1" s="3" t="s">
        <v>5287</v>
      </c>
      <c r="GVI1" s="3" t="s">
        <v>5288</v>
      </c>
      <c r="GVJ1" s="3" t="s">
        <v>5289</v>
      </c>
      <c r="GVK1" s="3" t="s">
        <v>5290</v>
      </c>
      <c r="GVL1" s="3" t="s">
        <v>5291</v>
      </c>
      <c r="GVM1" s="3" t="s">
        <v>5292</v>
      </c>
      <c r="GVN1" s="3" t="s">
        <v>5293</v>
      </c>
      <c r="GVO1" s="3" t="s">
        <v>5294</v>
      </c>
      <c r="GVP1" s="3" t="s">
        <v>5295</v>
      </c>
      <c r="GVQ1" s="3" t="s">
        <v>5296</v>
      </c>
      <c r="GVR1" s="3" t="s">
        <v>5297</v>
      </c>
      <c r="GVS1" s="3" t="s">
        <v>5298</v>
      </c>
      <c r="GVT1" s="3" t="s">
        <v>5299</v>
      </c>
      <c r="GVU1" s="3" t="s">
        <v>5300</v>
      </c>
      <c r="GVV1" s="3" t="s">
        <v>5301</v>
      </c>
      <c r="GVW1" s="3" t="s">
        <v>5302</v>
      </c>
      <c r="GVX1" s="3" t="s">
        <v>5303</v>
      </c>
      <c r="GVY1" s="3" t="s">
        <v>5304</v>
      </c>
      <c r="GVZ1" s="3" t="s">
        <v>5305</v>
      </c>
      <c r="GWA1" s="3" t="s">
        <v>5306</v>
      </c>
      <c r="GWB1" s="3" t="s">
        <v>5307</v>
      </c>
      <c r="GWC1" s="3" t="s">
        <v>5308</v>
      </c>
      <c r="GWD1" s="3" t="s">
        <v>5309</v>
      </c>
      <c r="GWE1" s="3" t="s">
        <v>5310</v>
      </c>
      <c r="GWF1" s="3" t="s">
        <v>5311</v>
      </c>
      <c r="GWG1" s="3" t="s">
        <v>5312</v>
      </c>
      <c r="GWH1" s="3" t="s">
        <v>5313</v>
      </c>
      <c r="GWI1" s="3" t="s">
        <v>5314</v>
      </c>
      <c r="GWJ1" s="3" t="s">
        <v>5315</v>
      </c>
      <c r="GWK1" s="3" t="s">
        <v>5316</v>
      </c>
      <c r="GWL1" s="3" t="s">
        <v>5317</v>
      </c>
      <c r="GWM1" s="3" t="s">
        <v>5318</v>
      </c>
      <c r="GWN1" s="3" t="s">
        <v>5319</v>
      </c>
      <c r="GWO1" s="3" t="s">
        <v>5320</v>
      </c>
      <c r="GWP1" s="3" t="s">
        <v>5321</v>
      </c>
      <c r="GWQ1" s="3" t="s">
        <v>5322</v>
      </c>
      <c r="GWR1" s="3" t="s">
        <v>5323</v>
      </c>
      <c r="GWS1" s="3" t="s">
        <v>5324</v>
      </c>
      <c r="GWT1" s="3" t="s">
        <v>5325</v>
      </c>
      <c r="GWU1" s="3" t="s">
        <v>5326</v>
      </c>
      <c r="GWV1" s="3" t="s">
        <v>5327</v>
      </c>
      <c r="GWW1" s="3" t="s">
        <v>5328</v>
      </c>
      <c r="GWX1" s="3" t="s">
        <v>5329</v>
      </c>
      <c r="GWY1" s="3" t="s">
        <v>5330</v>
      </c>
      <c r="GWZ1" s="3" t="s">
        <v>5331</v>
      </c>
      <c r="GXA1" s="3" t="s">
        <v>5332</v>
      </c>
      <c r="GXB1" s="3" t="s">
        <v>5333</v>
      </c>
      <c r="GXC1" s="3" t="s">
        <v>5334</v>
      </c>
      <c r="GXD1" s="3" t="s">
        <v>5335</v>
      </c>
      <c r="GXE1" s="3" t="s">
        <v>5336</v>
      </c>
      <c r="GXF1" s="3" t="s">
        <v>5337</v>
      </c>
      <c r="GXG1" s="3" t="s">
        <v>5338</v>
      </c>
      <c r="GXH1" s="3" t="s">
        <v>5339</v>
      </c>
      <c r="GXI1" s="3" t="s">
        <v>5340</v>
      </c>
      <c r="GXJ1" s="3" t="s">
        <v>5341</v>
      </c>
      <c r="GXK1" s="3" t="s">
        <v>5342</v>
      </c>
      <c r="GXL1" s="3" t="s">
        <v>5343</v>
      </c>
      <c r="GXM1" s="3" t="s">
        <v>5344</v>
      </c>
      <c r="GXN1" s="3" t="s">
        <v>5345</v>
      </c>
      <c r="GXO1" s="3" t="s">
        <v>5346</v>
      </c>
      <c r="GXP1" s="3" t="s">
        <v>5347</v>
      </c>
      <c r="GXQ1" s="3" t="s">
        <v>5348</v>
      </c>
      <c r="GXR1" s="3" t="s">
        <v>5349</v>
      </c>
      <c r="GXS1" s="3" t="s">
        <v>5350</v>
      </c>
      <c r="GXT1" s="3" t="s">
        <v>5351</v>
      </c>
      <c r="GXU1" s="3" t="s">
        <v>5352</v>
      </c>
      <c r="GXV1" s="3" t="s">
        <v>5353</v>
      </c>
      <c r="GXW1" s="3" t="s">
        <v>5354</v>
      </c>
      <c r="GXX1" s="3" t="s">
        <v>5355</v>
      </c>
      <c r="GXY1" s="3" t="s">
        <v>5356</v>
      </c>
      <c r="GXZ1" s="3" t="s">
        <v>5357</v>
      </c>
      <c r="GYA1" s="3" t="s">
        <v>5358</v>
      </c>
      <c r="GYB1" s="3" t="s">
        <v>5359</v>
      </c>
      <c r="GYC1" s="3" t="s">
        <v>5360</v>
      </c>
      <c r="GYD1" s="3" t="s">
        <v>5361</v>
      </c>
      <c r="GYE1" s="3" t="s">
        <v>5362</v>
      </c>
      <c r="GYF1" s="3" t="s">
        <v>5363</v>
      </c>
      <c r="GYG1" s="3" t="s">
        <v>5364</v>
      </c>
      <c r="GYH1" s="3" t="s">
        <v>5365</v>
      </c>
      <c r="GYI1" s="3" t="s">
        <v>5366</v>
      </c>
      <c r="GYJ1" s="3" t="s">
        <v>5367</v>
      </c>
      <c r="GYK1" s="3" t="s">
        <v>5368</v>
      </c>
      <c r="GYL1" s="3" t="s">
        <v>5369</v>
      </c>
      <c r="GYM1" s="3" t="s">
        <v>5370</v>
      </c>
      <c r="GYN1" s="3" t="s">
        <v>5371</v>
      </c>
      <c r="GYO1" s="3" t="s">
        <v>5372</v>
      </c>
      <c r="GYP1" s="3" t="s">
        <v>5373</v>
      </c>
      <c r="GYQ1" s="3" t="s">
        <v>5374</v>
      </c>
      <c r="GYR1" s="3" t="s">
        <v>5375</v>
      </c>
      <c r="GYS1" s="3" t="s">
        <v>5376</v>
      </c>
      <c r="GYT1" s="3" t="s">
        <v>5377</v>
      </c>
      <c r="GYU1" s="3" t="s">
        <v>5378</v>
      </c>
      <c r="GYV1" s="3" t="s">
        <v>5379</v>
      </c>
      <c r="GYW1" s="3" t="s">
        <v>5380</v>
      </c>
      <c r="GYX1" s="3" t="s">
        <v>5381</v>
      </c>
      <c r="GYY1" s="3" t="s">
        <v>5382</v>
      </c>
      <c r="GYZ1" s="3" t="s">
        <v>5383</v>
      </c>
      <c r="GZA1" s="3" t="s">
        <v>5384</v>
      </c>
      <c r="GZB1" s="3" t="s">
        <v>5385</v>
      </c>
      <c r="GZC1" s="3" t="s">
        <v>5386</v>
      </c>
      <c r="GZD1" s="3" t="s">
        <v>5387</v>
      </c>
      <c r="GZE1" s="3" t="s">
        <v>5388</v>
      </c>
      <c r="GZF1" s="3" t="s">
        <v>5389</v>
      </c>
      <c r="GZG1" s="3" t="s">
        <v>5390</v>
      </c>
      <c r="GZH1" s="3" t="s">
        <v>5391</v>
      </c>
      <c r="GZI1" s="3" t="s">
        <v>5392</v>
      </c>
      <c r="GZJ1" s="3" t="s">
        <v>5393</v>
      </c>
      <c r="GZK1" s="3" t="s">
        <v>5394</v>
      </c>
      <c r="GZL1" s="3" t="s">
        <v>5395</v>
      </c>
      <c r="GZM1" s="3" t="s">
        <v>5396</v>
      </c>
      <c r="GZN1" s="3" t="s">
        <v>5397</v>
      </c>
      <c r="GZO1" s="3" t="s">
        <v>5398</v>
      </c>
      <c r="GZP1" s="3" t="s">
        <v>5399</v>
      </c>
      <c r="GZQ1" s="3" t="s">
        <v>5400</v>
      </c>
      <c r="GZR1" s="3" t="s">
        <v>5401</v>
      </c>
      <c r="GZS1" s="3" t="s">
        <v>5402</v>
      </c>
      <c r="GZT1" s="3" t="s">
        <v>5403</v>
      </c>
      <c r="GZU1" s="3" t="s">
        <v>5404</v>
      </c>
      <c r="GZV1" s="3" t="s">
        <v>5405</v>
      </c>
      <c r="GZW1" s="3" t="s">
        <v>5406</v>
      </c>
      <c r="GZX1" s="3" t="s">
        <v>5407</v>
      </c>
      <c r="GZY1" s="3" t="s">
        <v>5408</v>
      </c>
      <c r="GZZ1" s="3" t="s">
        <v>5409</v>
      </c>
      <c r="HAA1" s="3" t="s">
        <v>5410</v>
      </c>
      <c r="HAB1" s="3" t="s">
        <v>5411</v>
      </c>
      <c r="HAC1" s="3" t="s">
        <v>5412</v>
      </c>
      <c r="HAD1" s="3" t="s">
        <v>5413</v>
      </c>
      <c r="HAE1" s="3" t="s">
        <v>5414</v>
      </c>
      <c r="HAF1" s="3" t="s">
        <v>5415</v>
      </c>
      <c r="HAG1" s="3" t="s">
        <v>5416</v>
      </c>
      <c r="HAH1" s="3" t="s">
        <v>5417</v>
      </c>
      <c r="HAI1" s="3" t="s">
        <v>5418</v>
      </c>
      <c r="HAJ1" s="3" t="s">
        <v>5419</v>
      </c>
      <c r="HAK1" s="3" t="s">
        <v>5420</v>
      </c>
      <c r="HAL1" s="3" t="s">
        <v>5421</v>
      </c>
      <c r="HAM1" s="3" t="s">
        <v>5422</v>
      </c>
      <c r="HAN1" s="3" t="s">
        <v>5423</v>
      </c>
      <c r="HAO1" s="3" t="s">
        <v>5424</v>
      </c>
      <c r="HAP1" s="3" t="s">
        <v>5425</v>
      </c>
      <c r="HAQ1" s="3" t="s">
        <v>5426</v>
      </c>
      <c r="HAR1" s="3" t="s">
        <v>5427</v>
      </c>
      <c r="HAS1" s="3" t="s">
        <v>5428</v>
      </c>
      <c r="HAT1" s="3" t="s">
        <v>5429</v>
      </c>
      <c r="HAU1" s="3" t="s">
        <v>5430</v>
      </c>
      <c r="HAV1" s="3" t="s">
        <v>5431</v>
      </c>
      <c r="HAW1" s="3" t="s">
        <v>5432</v>
      </c>
      <c r="HAX1" s="3" t="s">
        <v>5433</v>
      </c>
      <c r="HAY1" s="3" t="s">
        <v>5434</v>
      </c>
      <c r="HAZ1" s="3" t="s">
        <v>5435</v>
      </c>
      <c r="HBA1" s="3" t="s">
        <v>5436</v>
      </c>
      <c r="HBB1" s="3" t="s">
        <v>5437</v>
      </c>
      <c r="HBC1" s="3" t="s">
        <v>5438</v>
      </c>
      <c r="HBD1" s="3" t="s">
        <v>5439</v>
      </c>
      <c r="HBE1" s="3" t="s">
        <v>5440</v>
      </c>
      <c r="HBF1" s="3" t="s">
        <v>5441</v>
      </c>
      <c r="HBG1" s="3" t="s">
        <v>5442</v>
      </c>
      <c r="HBH1" s="3" t="s">
        <v>5443</v>
      </c>
      <c r="HBI1" s="3" t="s">
        <v>5444</v>
      </c>
      <c r="HBJ1" s="3" t="s">
        <v>5445</v>
      </c>
      <c r="HBK1" s="3" t="s">
        <v>5446</v>
      </c>
      <c r="HBL1" s="3" t="s">
        <v>5447</v>
      </c>
      <c r="HBM1" s="3" t="s">
        <v>5448</v>
      </c>
      <c r="HBN1" s="3" t="s">
        <v>5449</v>
      </c>
      <c r="HBO1" s="3" t="s">
        <v>5450</v>
      </c>
      <c r="HBP1" s="3" t="s">
        <v>5451</v>
      </c>
      <c r="HBQ1" s="3" t="s">
        <v>5452</v>
      </c>
      <c r="HBR1" s="3" t="s">
        <v>5453</v>
      </c>
      <c r="HBS1" s="3" t="s">
        <v>5454</v>
      </c>
      <c r="HBT1" s="3" t="s">
        <v>5455</v>
      </c>
      <c r="HBU1" s="3" t="s">
        <v>5456</v>
      </c>
      <c r="HBV1" s="3" t="s">
        <v>5457</v>
      </c>
      <c r="HBW1" s="3" t="s">
        <v>5458</v>
      </c>
      <c r="HBX1" s="3" t="s">
        <v>5459</v>
      </c>
      <c r="HBY1" s="3" t="s">
        <v>5460</v>
      </c>
      <c r="HBZ1" s="3" t="s">
        <v>5461</v>
      </c>
      <c r="HCA1" s="3" t="s">
        <v>5462</v>
      </c>
      <c r="HCB1" s="3" t="s">
        <v>5463</v>
      </c>
      <c r="HCC1" s="3" t="s">
        <v>5464</v>
      </c>
      <c r="HCD1" s="3" t="s">
        <v>5465</v>
      </c>
      <c r="HCE1" s="3" t="s">
        <v>5466</v>
      </c>
      <c r="HCF1" s="3" t="s">
        <v>5467</v>
      </c>
      <c r="HCG1" s="3" t="s">
        <v>5468</v>
      </c>
      <c r="HCH1" s="3" t="s">
        <v>5469</v>
      </c>
      <c r="HCI1" s="3" t="s">
        <v>5470</v>
      </c>
      <c r="HCJ1" s="3" t="s">
        <v>5471</v>
      </c>
      <c r="HCK1" s="3" t="s">
        <v>5472</v>
      </c>
      <c r="HCL1" s="3" t="s">
        <v>5473</v>
      </c>
      <c r="HCM1" s="3" t="s">
        <v>5474</v>
      </c>
      <c r="HCN1" s="3" t="s">
        <v>5475</v>
      </c>
      <c r="HCO1" s="3" t="s">
        <v>5476</v>
      </c>
      <c r="HCP1" s="3" t="s">
        <v>5477</v>
      </c>
      <c r="HCQ1" s="3" t="s">
        <v>5478</v>
      </c>
      <c r="HCR1" s="3" t="s">
        <v>5479</v>
      </c>
      <c r="HCS1" s="3" t="s">
        <v>5480</v>
      </c>
      <c r="HCT1" s="3" t="s">
        <v>5481</v>
      </c>
      <c r="HCU1" s="3" t="s">
        <v>5482</v>
      </c>
      <c r="HCV1" s="3" t="s">
        <v>5483</v>
      </c>
      <c r="HCW1" s="3" t="s">
        <v>5484</v>
      </c>
      <c r="HCX1" s="3" t="s">
        <v>5485</v>
      </c>
      <c r="HCY1" s="3" t="s">
        <v>5486</v>
      </c>
      <c r="HCZ1" s="3" t="s">
        <v>5487</v>
      </c>
      <c r="HDA1" s="3" t="s">
        <v>5488</v>
      </c>
      <c r="HDB1" s="3" t="s">
        <v>5489</v>
      </c>
      <c r="HDC1" s="3" t="s">
        <v>5490</v>
      </c>
      <c r="HDD1" s="3" t="s">
        <v>5491</v>
      </c>
      <c r="HDE1" s="3" t="s">
        <v>5492</v>
      </c>
      <c r="HDF1" s="3" t="s">
        <v>5493</v>
      </c>
      <c r="HDG1" s="3" t="s">
        <v>5494</v>
      </c>
      <c r="HDH1" s="3" t="s">
        <v>5495</v>
      </c>
      <c r="HDI1" s="3" t="s">
        <v>5496</v>
      </c>
      <c r="HDJ1" s="3" t="s">
        <v>5497</v>
      </c>
      <c r="HDK1" s="3" t="s">
        <v>5498</v>
      </c>
      <c r="HDL1" s="3" t="s">
        <v>5499</v>
      </c>
      <c r="HDM1" s="3" t="s">
        <v>5500</v>
      </c>
      <c r="HDN1" s="3" t="s">
        <v>5501</v>
      </c>
      <c r="HDO1" s="3" t="s">
        <v>5502</v>
      </c>
      <c r="HDP1" s="3" t="s">
        <v>5503</v>
      </c>
      <c r="HDQ1" s="3" t="s">
        <v>5504</v>
      </c>
      <c r="HDR1" s="3" t="s">
        <v>5505</v>
      </c>
      <c r="HDS1" s="3" t="s">
        <v>5506</v>
      </c>
      <c r="HDT1" s="3" t="s">
        <v>5507</v>
      </c>
      <c r="HDU1" s="3" t="s">
        <v>5508</v>
      </c>
      <c r="HDV1" s="3" t="s">
        <v>5509</v>
      </c>
      <c r="HDW1" s="3" t="s">
        <v>5510</v>
      </c>
      <c r="HDX1" s="3" t="s">
        <v>5511</v>
      </c>
      <c r="HDY1" s="3" t="s">
        <v>5512</v>
      </c>
      <c r="HDZ1" s="3" t="s">
        <v>5513</v>
      </c>
      <c r="HEA1" s="3" t="s">
        <v>5514</v>
      </c>
      <c r="HEB1" s="3" t="s">
        <v>5515</v>
      </c>
      <c r="HEC1" s="3" t="s">
        <v>5516</v>
      </c>
      <c r="HED1" s="3" t="s">
        <v>5517</v>
      </c>
      <c r="HEE1" s="3" t="s">
        <v>5518</v>
      </c>
      <c r="HEF1" s="3" t="s">
        <v>5519</v>
      </c>
      <c r="HEG1" s="3" t="s">
        <v>5520</v>
      </c>
      <c r="HEH1" s="3" t="s">
        <v>5521</v>
      </c>
      <c r="HEI1" s="3" t="s">
        <v>5522</v>
      </c>
      <c r="HEJ1" s="3" t="s">
        <v>5523</v>
      </c>
      <c r="HEK1" s="3" t="s">
        <v>5524</v>
      </c>
      <c r="HEL1" s="3" t="s">
        <v>5525</v>
      </c>
      <c r="HEM1" s="3" t="s">
        <v>5526</v>
      </c>
      <c r="HEN1" s="3" t="s">
        <v>5527</v>
      </c>
      <c r="HEO1" s="3" t="s">
        <v>5528</v>
      </c>
      <c r="HEP1" s="3" t="s">
        <v>5529</v>
      </c>
      <c r="HEQ1" s="3" t="s">
        <v>5530</v>
      </c>
      <c r="HER1" s="3" t="s">
        <v>5531</v>
      </c>
      <c r="HES1" s="3" t="s">
        <v>5532</v>
      </c>
      <c r="HET1" s="3" t="s">
        <v>5533</v>
      </c>
      <c r="HEU1" s="3" t="s">
        <v>5534</v>
      </c>
      <c r="HEV1" s="3" t="s">
        <v>5535</v>
      </c>
      <c r="HEW1" s="3" t="s">
        <v>5536</v>
      </c>
      <c r="HEX1" s="3" t="s">
        <v>5537</v>
      </c>
      <c r="HEY1" s="3" t="s">
        <v>5538</v>
      </c>
      <c r="HEZ1" s="3" t="s">
        <v>5539</v>
      </c>
      <c r="HFA1" s="3" t="s">
        <v>5540</v>
      </c>
      <c r="HFB1" s="3" t="s">
        <v>5541</v>
      </c>
      <c r="HFC1" s="3" t="s">
        <v>5542</v>
      </c>
      <c r="HFD1" s="3" t="s">
        <v>5543</v>
      </c>
      <c r="HFE1" s="3" t="s">
        <v>5544</v>
      </c>
      <c r="HFF1" s="3" t="s">
        <v>5545</v>
      </c>
      <c r="HFG1" s="3" t="s">
        <v>5546</v>
      </c>
      <c r="HFH1" s="3" t="s">
        <v>5547</v>
      </c>
      <c r="HFI1" s="3" t="s">
        <v>5548</v>
      </c>
      <c r="HFJ1" s="3" t="s">
        <v>5549</v>
      </c>
      <c r="HFK1" s="3" t="s">
        <v>5550</v>
      </c>
      <c r="HFL1" s="3" t="s">
        <v>5551</v>
      </c>
      <c r="HFM1" s="3" t="s">
        <v>5552</v>
      </c>
      <c r="HFN1" s="3" t="s">
        <v>5553</v>
      </c>
      <c r="HFO1" s="3" t="s">
        <v>5554</v>
      </c>
      <c r="HFP1" s="3" t="s">
        <v>5555</v>
      </c>
      <c r="HFQ1" s="3" t="s">
        <v>5556</v>
      </c>
      <c r="HFR1" s="3" t="s">
        <v>5557</v>
      </c>
      <c r="HFS1" s="3" t="s">
        <v>5558</v>
      </c>
      <c r="HFT1" s="3" t="s">
        <v>5559</v>
      </c>
      <c r="HFU1" s="3" t="s">
        <v>5560</v>
      </c>
      <c r="HFV1" s="3" t="s">
        <v>5561</v>
      </c>
      <c r="HFW1" s="3" t="s">
        <v>5562</v>
      </c>
      <c r="HFX1" s="3" t="s">
        <v>5563</v>
      </c>
      <c r="HFY1" s="3" t="s">
        <v>5564</v>
      </c>
      <c r="HFZ1" s="3" t="s">
        <v>5565</v>
      </c>
      <c r="HGA1" s="3" t="s">
        <v>5566</v>
      </c>
      <c r="HGB1" s="3" t="s">
        <v>5567</v>
      </c>
      <c r="HGC1" s="3" t="s">
        <v>5568</v>
      </c>
      <c r="HGD1" s="3" t="s">
        <v>5569</v>
      </c>
      <c r="HGE1" s="3" t="s">
        <v>5570</v>
      </c>
      <c r="HGF1" s="3" t="s">
        <v>5571</v>
      </c>
      <c r="HGG1" s="3" t="s">
        <v>5572</v>
      </c>
      <c r="HGH1" s="3" t="s">
        <v>5573</v>
      </c>
      <c r="HGI1" s="3" t="s">
        <v>5574</v>
      </c>
      <c r="HGJ1" s="3" t="s">
        <v>5575</v>
      </c>
      <c r="HGK1" s="3" t="s">
        <v>5576</v>
      </c>
      <c r="HGL1" s="3" t="s">
        <v>5577</v>
      </c>
      <c r="HGM1" s="3" t="s">
        <v>5578</v>
      </c>
      <c r="HGN1" s="3" t="s">
        <v>5579</v>
      </c>
      <c r="HGO1" s="3" t="s">
        <v>5580</v>
      </c>
      <c r="HGP1" s="3" t="s">
        <v>5581</v>
      </c>
      <c r="HGQ1" s="3" t="s">
        <v>5582</v>
      </c>
      <c r="HGR1" s="3" t="s">
        <v>5583</v>
      </c>
      <c r="HGS1" s="3" t="s">
        <v>5584</v>
      </c>
      <c r="HGT1" s="3" t="s">
        <v>5585</v>
      </c>
      <c r="HGU1" s="3" t="s">
        <v>5586</v>
      </c>
      <c r="HGV1" s="3" t="s">
        <v>5587</v>
      </c>
      <c r="HGW1" s="3" t="s">
        <v>5588</v>
      </c>
      <c r="HGX1" s="3" t="s">
        <v>5589</v>
      </c>
      <c r="HGY1" s="3" t="s">
        <v>5590</v>
      </c>
      <c r="HGZ1" s="3" t="s">
        <v>5591</v>
      </c>
      <c r="HHA1" s="3" t="s">
        <v>5592</v>
      </c>
      <c r="HHB1" s="3" t="s">
        <v>5593</v>
      </c>
      <c r="HHC1" s="3" t="s">
        <v>5594</v>
      </c>
      <c r="HHD1" s="3" t="s">
        <v>5595</v>
      </c>
      <c r="HHE1" s="3" t="s">
        <v>5596</v>
      </c>
      <c r="HHF1" s="3" t="s">
        <v>5597</v>
      </c>
      <c r="HHG1" s="3" t="s">
        <v>5598</v>
      </c>
      <c r="HHH1" s="3" t="s">
        <v>5599</v>
      </c>
      <c r="HHI1" s="3" t="s">
        <v>5600</v>
      </c>
      <c r="HHJ1" s="3" t="s">
        <v>5601</v>
      </c>
      <c r="HHK1" s="3" t="s">
        <v>5602</v>
      </c>
      <c r="HHL1" s="3" t="s">
        <v>5603</v>
      </c>
      <c r="HHM1" s="3" t="s">
        <v>5604</v>
      </c>
      <c r="HHN1" s="3" t="s">
        <v>5605</v>
      </c>
      <c r="HHO1" s="3" t="s">
        <v>5606</v>
      </c>
      <c r="HHP1" s="3" t="s">
        <v>5607</v>
      </c>
      <c r="HHQ1" s="3" t="s">
        <v>5608</v>
      </c>
      <c r="HHR1" s="3" t="s">
        <v>5609</v>
      </c>
      <c r="HHS1" s="3" t="s">
        <v>5610</v>
      </c>
      <c r="HHT1" s="3" t="s">
        <v>5611</v>
      </c>
      <c r="HHU1" s="3" t="s">
        <v>5612</v>
      </c>
      <c r="HHV1" s="3" t="s">
        <v>5613</v>
      </c>
      <c r="HHW1" s="3" t="s">
        <v>5614</v>
      </c>
      <c r="HHX1" s="3" t="s">
        <v>5615</v>
      </c>
      <c r="HHY1" s="3" t="s">
        <v>5616</v>
      </c>
      <c r="HHZ1" s="3" t="s">
        <v>5617</v>
      </c>
      <c r="HIA1" s="3" t="s">
        <v>5618</v>
      </c>
      <c r="HIB1" s="3" t="s">
        <v>5619</v>
      </c>
      <c r="HIC1" s="3" t="s">
        <v>5620</v>
      </c>
      <c r="HID1" s="3" t="s">
        <v>5621</v>
      </c>
      <c r="HIE1" s="3" t="s">
        <v>5622</v>
      </c>
      <c r="HIF1" s="3" t="s">
        <v>5623</v>
      </c>
      <c r="HIG1" s="3" t="s">
        <v>5624</v>
      </c>
      <c r="HIH1" s="3" t="s">
        <v>5625</v>
      </c>
      <c r="HII1" s="3" t="s">
        <v>5626</v>
      </c>
      <c r="HIJ1" s="3" t="s">
        <v>5627</v>
      </c>
      <c r="HIK1" s="3" t="s">
        <v>5628</v>
      </c>
      <c r="HIL1" s="3" t="s">
        <v>5629</v>
      </c>
      <c r="HIM1" s="3" t="s">
        <v>5630</v>
      </c>
      <c r="HIN1" s="3" t="s">
        <v>5631</v>
      </c>
      <c r="HIO1" s="3" t="s">
        <v>5632</v>
      </c>
      <c r="HIP1" s="3" t="s">
        <v>5633</v>
      </c>
      <c r="HIQ1" s="3" t="s">
        <v>5634</v>
      </c>
      <c r="HIR1" s="3" t="s">
        <v>5635</v>
      </c>
      <c r="HIS1" s="3" t="s">
        <v>5636</v>
      </c>
      <c r="HIT1" s="3" t="s">
        <v>5637</v>
      </c>
      <c r="HIU1" s="3" t="s">
        <v>5638</v>
      </c>
      <c r="HIV1" s="3" t="s">
        <v>5639</v>
      </c>
      <c r="HIW1" s="3" t="s">
        <v>5640</v>
      </c>
      <c r="HIX1" s="3" t="s">
        <v>5641</v>
      </c>
      <c r="HIY1" s="3" t="s">
        <v>5642</v>
      </c>
      <c r="HIZ1" s="3" t="s">
        <v>5643</v>
      </c>
      <c r="HJA1" s="3" t="s">
        <v>5644</v>
      </c>
      <c r="HJB1" s="3" t="s">
        <v>5645</v>
      </c>
      <c r="HJC1" s="3" t="s">
        <v>5646</v>
      </c>
      <c r="HJD1" s="3" t="s">
        <v>5647</v>
      </c>
      <c r="HJE1" s="3" t="s">
        <v>5648</v>
      </c>
      <c r="HJF1" s="3" t="s">
        <v>5649</v>
      </c>
      <c r="HJG1" s="3" t="s">
        <v>5650</v>
      </c>
      <c r="HJH1" s="3" t="s">
        <v>5651</v>
      </c>
      <c r="HJI1" s="3" t="s">
        <v>5652</v>
      </c>
      <c r="HJJ1" s="3" t="s">
        <v>5653</v>
      </c>
      <c r="HJK1" s="3" t="s">
        <v>5654</v>
      </c>
      <c r="HJL1" s="3" t="s">
        <v>5655</v>
      </c>
      <c r="HJM1" s="3" t="s">
        <v>5656</v>
      </c>
      <c r="HJN1" s="3" t="s">
        <v>5657</v>
      </c>
      <c r="HJO1" s="3" t="s">
        <v>5658</v>
      </c>
      <c r="HJP1" s="3" t="s">
        <v>5659</v>
      </c>
      <c r="HJQ1" s="3" t="s">
        <v>5660</v>
      </c>
      <c r="HJR1" s="3" t="s">
        <v>5661</v>
      </c>
      <c r="HJS1" s="3" t="s">
        <v>5662</v>
      </c>
      <c r="HJT1" s="3" t="s">
        <v>5663</v>
      </c>
      <c r="HJU1" s="3" t="s">
        <v>5664</v>
      </c>
      <c r="HJV1" s="3" t="s">
        <v>5665</v>
      </c>
      <c r="HJW1" s="3" t="s">
        <v>5666</v>
      </c>
      <c r="HJX1" s="3" t="s">
        <v>5667</v>
      </c>
      <c r="HJY1" s="3" t="s">
        <v>5668</v>
      </c>
      <c r="HJZ1" s="3" t="s">
        <v>5669</v>
      </c>
      <c r="HKA1" s="3" t="s">
        <v>5670</v>
      </c>
      <c r="HKB1" s="3" t="s">
        <v>5671</v>
      </c>
      <c r="HKC1" s="3" t="s">
        <v>5672</v>
      </c>
      <c r="HKD1" s="3" t="s">
        <v>5673</v>
      </c>
      <c r="HKE1" s="3" t="s">
        <v>5674</v>
      </c>
      <c r="HKF1" s="3" t="s">
        <v>5675</v>
      </c>
      <c r="HKG1" s="3" t="s">
        <v>5676</v>
      </c>
      <c r="HKH1" s="3" t="s">
        <v>5677</v>
      </c>
      <c r="HKI1" s="3" t="s">
        <v>5678</v>
      </c>
      <c r="HKJ1" s="3" t="s">
        <v>5679</v>
      </c>
      <c r="HKK1" s="3" t="s">
        <v>5680</v>
      </c>
      <c r="HKL1" s="3" t="s">
        <v>5681</v>
      </c>
      <c r="HKM1" s="3" t="s">
        <v>5682</v>
      </c>
      <c r="HKN1" s="3" t="s">
        <v>5683</v>
      </c>
      <c r="HKO1" s="3" t="s">
        <v>5684</v>
      </c>
      <c r="HKP1" s="3" t="s">
        <v>5685</v>
      </c>
      <c r="HKQ1" s="3" t="s">
        <v>5686</v>
      </c>
      <c r="HKR1" s="3" t="s">
        <v>5687</v>
      </c>
      <c r="HKS1" s="3" t="s">
        <v>5688</v>
      </c>
      <c r="HKT1" s="3" t="s">
        <v>5689</v>
      </c>
      <c r="HKU1" s="3" t="s">
        <v>5690</v>
      </c>
      <c r="HKV1" s="3" t="s">
        <v>5691</v>
      </c>
      <c r="HKW1" s="3" t="s">
        <v>5692</v>
      </c>
      <c r="HKX1" s="3" t="s">
        <v>5693</v>
      </c>
      <c r="HKY1" s="3" t="s">
        <v>5694</v>
      </c>
      <c r="HKZ1" s="3" t="s">
        <v>5695</v>
      </c>
      <c r="HLA1" s="3" t="s">
        <v>5696</v>
      </c>
      <c r="HLB1" s="3" t="s">
        <v>5697</v>
      </c>
      <c r="HLC1" s="3" t="s">
        <v>5698</v>
      </c>
      <c r="HLD1" s="3" t="s">
        <v>5699</v>
      </c>
      <c r="HLE1" s="3" t="s">
        <v>5700</v>
      </c>
      <c r="HLF1" s="3" t="s">
        <v>5701</v>
      </c>
      <c r="HLG1" s="3" t="s">
        <v>5702</v>
      </c>
      <c r="HLH1" s="3" t="s">
        <v>5703</v>
      </c>
      <c r="HLI1" s="3" t="s">
        <v>5704</v>
      </c>
      <c r="HLJ1" s="3" t="s">
        <v>5705</v>
      </c>
      <c r="HLK1" s="3" t="s">
        <v>5706</v>
      </c>
      <c r="HLL1" s="3" t="s">
        <v>5707</v>
      </c>
      <c r="HLM1" s="3" t="s">
        <v>5708</v>
      </c>
      <c r="HLN1" s="3" t="s">
        <v>5709</v>
      </c>
      <c r="HLO1" s="3" t="s">
        <v>5710</v>
      </c>
      <c r="HLP1" s="3" t="s">
        <v>5711</v>
      </c>
      <c r="HLQ1" s="3" t="s">
        <v>5712</v>
      </c>
      <c r="HLR1" s="3" t="s">
        <v>5713</v>
      </c>
      <c r="HLS1" s="3" t="s">
        <v>5714</v>
      </c>
      <c r="HLT1" s="3" t="s">
        <v>5715</v>
      </c>
      <c r="HLU1" s="3" t="s">
        <v>5716</v>
      </c>
      <c r="HLV1" s="3" t="s">
        <v>5717</v>
      </c>
      <c r="HLW1" s="3" t="s">
        <v>5718</v>
      </c>
      <c r="HLX1" s="3" t="s">
        <v>5719</v>
      </c>
      <c r="HLY1" s="3" t="s">
        <v>5720</v>
      </c>
      <c r="HLZ1" s="3" t="s">
        <v>5721</v>
      </c>
      <c r="HMA1" s="3" t="s">
        <v>5722</v>
      </c>
      <c r="HMB1" s="3" t="s">
        <v>5723</v>
      </c>
      <c r="HMC1" s="3" t="s">
        <v>5724</v>
      </c>
      <c r="HMD1" s="3" t="s">
        <v>5725</v>
      </c>
      <c r="HME1" s="3" t="s">
        <v>5726</v>
      </c>
      <c r="HMF1" s="3" t="s">
        <v>5727</v>
      </c>
      <c r="HMG1" s="3" t="s">
        <v>5728</v>
      </c>
      <c r="HMH1" s="3" t="s">
        <v>5729</v>
      </c>
      <c r="HMI1" s="3" t="s">
        <v>5730</v>
      </c>
      <c r="HMJ1" s="3" t="s">
        <v>5731</v>
      </c>
      <c r="HMK1" s="3" t="s">
        <v>5732</v>
      </c>
      <c r="HML1" s="3" t="s">
        <v>5733</v>
      </c>
      <c r="HMM1" s="3" t="s">
        <v>5734</v>
      </c>
      <c r="HMN1" s="3" t="s">
        <v>5735</v>
      </c>
      <c r="HMO1" s="3" t="s">
        <v>5736</v>
      </c>
      <c r="HMP1" s="3" t="s">
        <v>5737</v>
      </c>
      <c r="HMQ1" s="3" t="s">
        <v>5738</v>
      </c>
      <c r="HMR1" s="3" t="s">
        <v>5739</v>
      </c>
      <c r="HMS1" s="3" t="s">
        <v>5740</v>
      </c>
      <c r="HMT1" s="3" t="s">
        <v>5741</v>
      </c>
      <c r="HMU1" s="3" t="s">
        <v>5742</v>
      </c>
      <c r="HMV1" s="3" t="s">
        <v>5743</v>
      </c>
      <c r="HMW1" s="3" t="s">
        <v>5744</v>
      </c>
      <c r="HMX1" s="3" t="s">
        <v>5745</v>
      </c>
      <c r="HMY1" s="3" t="s">
        <v>5746</v>
      </c>
      <c r="HMZ1" s="3" t="s">
        <v>5747</v>
      </c>
      <c r="HNA1" s="3" t="s">
        <v>5748</v>
      </c>
      <c r="HNB1" s="3" t="s">
        <v>5749</v>
      </c>
      <c r="HNC1" s="3" t="s">
        <v>5750</v>
      </c>
      <c r="HND1" s="3" t="s">
        <v>5751</v>
      </c>
      <c r="HNE1" s="3" t="s">
        <v>5752</v>
      </c>
      <c r="HNF1" s="3" t="s">
        <v>5753</v>
      </c>
      <c r="HNG1" s="3" t="s">
        <v>5754</v>
      </c>
      <c r="HNH1" s="3" t="s">
        <v>5755</v>
      </c>
      <c r="HNI1" s="3" t="s">
        <v>5756</v>
      </c>
      <c r="HNJ1" s="3" t="s">
        <v>5757</v>
      </c>
      <c r="HNK1" s="3" t="s">
        <v>5758</v>
      </c>
      <c r="HNL1" s="3" t="s">
        <v>5759</v>
      </c>
      <c r="HNM1" s="3" t="s">
        <v>5760</v>
      </c>
      <c r="HNN1" s="3" t="s">
        <v>5761</v>
      </c>
      <c r="HNO1" s="3" t="s">
        <v>5762</v>
      </c>
      <c r="HNP1" s="3" t="s">
        <v>5763</v>
      </c>
      <c r="HNQ1" s="3" t="s">
        <v>5764</v>
      </c>
      <c r="HNR1" s="3" t="s">
        <v>5765</v>
      </c>
      <c r="HNS1" s="3" t="s">
        <v>5766</v>
      </c>
      <c r="HNT1" s="3" t="s">
        <v>5767</v>
      </c>
      <c r="HNU1" s="3" t="s">
        <v>5768</v>
      </c>
      <c r="HNV1" s="3" t="s">
        <v>5769</v>
      </c>
      <c r="HNW1" s="3" t="s">
        <v>5770</v>
      </c>
      <c r="HNX1" s="3" t="s">
        <v>5771</v>
      </c>
      <c r="HNY1" s="3" t="s">
        <v>5772</v>
      </c>
      <c r="HNZ1" s="3" t="s">
        <v>5773</v>
      </c>
      <c r="HOA1" s="3" t="s">
        <v>5774</v>
      </c>
      <c r="HOB1" s="3" t="s">
        <v>5775</v>
      </c>
      <c r="HOC1" s="3" t="s">
        <v>5776</v>
      </c>
      <c r="HOD1" s="3" t="s">
        <v>5777</v>
      </c>
      <c r="HOE1" s="3" t="s">
        <v>5778</v>
      </c>
      <c r="HOF1" s="3" t="s">
        <v>5779</v>
      </c>
      <c r="HOG1" s="3" t="s">
        <v>5780</v>
      </c>
      <c r="HOH1" s="3" t="s">
        <v>5781</v>
      </c>
      <c r="HOI1" s="3" t="s">
        <v>5782</v>
      </c>
      <c r="HOJ1" s="3" t="s">
        <v>5783</v>
      </c>
      <c r="HOK1" s="3" t="s">
        <v>5784</v>
      </c>
      <c r="HOL1" s="3" t="s">
        <v>5785</v>
      </c>
      <c r="HOM1" s="3" t="s">
        <v>5786</v>
      </c>
      <c r="HON1" s="3" t="s">
        <v>5787</v>
      </c>
      <c r="HOO1" s="3" t="s">
        <v>5788</v>
      </c>
      <c r="HOP1" s="3" t="s">
        <v>5789</v>
      </c>
      <c r="HOQ1" s="3" t="s">
        <v>5790</v>
      </c>
      <c r="HOR1" s="3" t="s">
        <v>5791</v>
      </c>
      <c r="HOS1" s="3" t="s">
        <v>5792</v>
      </c>
      <c r="HOT1" s="3" t="s">
        <v>5793</v>
      </c>
      <c r="HOU1" s="3" t="s">
        <v>5794</v>
      </c>
      <c r="HOV1" s="3" t="s">
        <v>5795</v>
      </c>
      <c r="HOW1" s="3" t="s">
        <v>5796</v>
      </c>
      <c r="HOX1" s="3" t="s">
        <v>5797</v>
      </c>
      <c r="HOY1" s="3" t="s">
        <v>5798</v>
      </c>
      <c r="HOZ1" s="3" t="s">
        <v>5799</v>
      </c>
      <c r="HPA1" s="3" t="s">
        <v>5800</v>
      </c>
      <c r="HPB1" s="3" t="s">
        <v>5801</v>
      </c>
      <c r="HPC1" s="3" t="s">
        <v>5802</v>
      </c>
      <c r="HPD1" s="3" t="s">
        <v>5803</v>
      </c>
      <c r="HPE1" s="3" t="s">
        <v>5804</v>
      </c>
      <c r="HPF1" s="3" t="s">
        <v>5805</v>
      </c>
      <c r="HPG1" s="3" t="s">
        <v>5806</v>
      </c>
      <c r="HPH1" s="3" t="s">
        <v>5807</v>
      </c>
      <c r="HPI1" s="3" t="s">
        <v>5808</v>
      </c>
      <c r="HPJ1" s="3" t="s">
        <v>5809</v>
      </c>
      <c r="HPK1" s="3" t="s">
        <v>5810</v>
      </c>
      <c r="HPL1" s="3" t="s">
        <v>5811</v>
      </c>
      <c r="HPM1" s="3" t="s">
        <v>5812</v>
      </c>
      <c r="HPN1" s="3" t="s">
        <v>5813</v>
      </c>
      <c r="HPO1" s="3" t="s">
        <v>5814</v>
      </c>
      <c r="HPP1" s="3" t="s">
        <v>5815</v>
      </c>
      <c r="HPQ1" s="3" t="s">
        <v>5816</v>
      </c>
      <c r="HPR1" s="3" t="s">
        <v>5817</v>
      </c>
      <c r="HPS1" s="3" t="s">
        <v>5818</v>
      </c>
      <c r="HPT1" s="3" t="s">
        <v>5819</v>
      </c>
      <c r="HPU1" s="3" t="s">
        <v>5820</v>
      </c>
      <c r="HPV1" s="3" t="s">
        <v>5821</v>
      </c>
      <c r="HPW1" s="3" t="s">
        <v>5822</v>
      </c>
      <c r="HPX1" s="3" t="s">
        <v>5823</v>
      </c>
      <c r="HPY1" s="3" t="s">
        <v>5824</v>
      </c>
      <c r="HPZ1" s="3" t="s">
        <v>5825</v>
      </c>
      <c r="HQA1" s="3" t="s">
        <v>5826</v>
      </c>
      <c r="HQB1" s="3" t="s">
        <v>5827</v>
      </c>
      <c r="HQC1" s="3" t="s">
        <v>5828</v>
      </c>
      <c r="HQD1" s="3" t="s">
        <v>5829</v>
      </c>
      <c r="HQE1" s="3" t="s">
        <v>5830</v>
      </c>
      <c r="HQF1" s="3" t="s">
        <v>5831</v>
      </c>
      <c r="HQG1" s="3" t="s">
        <v>5832</v>
      </c>
      <c r="HQH1" s="3" t="s">
        <v>5833</v>
      </c>
      <c r="HQI1" s="3" t="s">
        <v>5834</v>
      </c>
      <c r="HQJ1" s="3" t="s">
        <v>5835</v>
      </c>
      <c r="HQK1" s="3" t="s">
        <v>5836</v>
      </c>
      <c r="HQL1" s="3" t="s">
        <v>5837</v>
      </c>
      <c r="HQM1" s="3" t="s">
        <v>5838</v>
      </c>
      <c r="HQN1" s="3" t="s">
        <v>5839</v>
      </c>
      <c r="HQO1" s="3" t="s">
        <v>5840</v>
      </c>
      <c r="HQP1" s="3" t="s">
        <v>5841</v>
      </c>
      <c r="HQQ1" s="3" t="s">
        <v>5842</v>
      </c>
      <c r="HQR1" s="3" t="s">
        <v>5843</v>
      </c>
      <c r="HQS1" s="3" t="s">
        <v>5844</v>
      </c>
      <c r="HQT1" s="3" t="s">
        <v>5845</v>
      </c>
      <c r="HQU1" s="3" t="s">
        <v>5846</v>
      </c>
      <c r="HQV1" s="3" t="s">
        <v>5847</v>
      </c>
      <c r="HQW1" s="3" t="s">
        <v>5848</v>
      </c>
      <c r="HQX1" s="3" t="s">
        <v>5849</v>
      </c>
      <c r="HQY1" s="3" t="s">
        <v>5850</v>
      </c>
      <c r="HQZ1" s="3" t="s">
        <v>5851</v>
      </c>
      <c r="HRA1" s="3" t="s">
        <v>5852</v>
      </c>
      <c r="HRB1" s="3" t="s">
        <v>5853</v>
      </c>
      <c r="HRC1" s="3" t="s">
        <v>5854</v>
      </c>
      <c r="HRD1" s="3" t="s">
        <v>5855</v>
      </c>
      <c r="HRE1" s="3" t="s">
        <v>5856</v>
      </c>
      <c r="HRF1" s="3" t="s">
        <v>5857</v>
      </c>
      <c r="HRG1" s="3" t="s">
        <v>5858</v>
      </c>
      <c r="HRH1" s="3" t="s">
        <v>5859</v>
      </c>
      <c r="HRI1" s="3" t="s">
        <v>5860</v>
      </c>
      <c r="HRJ1" s="3" t="s">
        <v>5861</v>
      </c>
      <c r="HRK1" s="3" t="s">
        <v>5862</v>
      </c>
      <c r="HRL1" s="3" t="s">
        <v>5863</v>
      </c>
      <c r="HRM1" s="3" t="s">
        <v>5864</v>
      </c>
      <c r="HRN1" s="3" t="s">
        <v>5865</v>
      </c>
      <c r="HRO1" s="3" t="s">
        <v>5866</v>
      </c>
      <c r="HRP1" s="3" t="s">
        <v>5867</v>
      </c>
      <c r="HRQ1" s="3" t="s">
        <v>5868</v>
      </c>
      <c r="HRR1" s="3" t="s">
        <v>5869</v>
      </c>
      <c r="HRS1" s="3" t="s">
        <v>5870</v>
      </c>
      <c r="HRT1" s="3" t="s">
        <v>5871</v>
      </c>
      <c r="HRU1" s="3" t="s">
        <v>5872</v>
      </c>
      <c r="HRV1" s="3" t="s">
        <v>5873</v>
      </c>
      <c r="HRW1" s="3" t="s">
        <v>5874</v>
      </c>
      <c r="HRX1" s="3" t="s">
        <v>5875</v>
      </c>
      <c r="HRY1" s="3" t="s">
        <v>5876</v>
      </c>
      <c r="HRZ1" s="3" t="s">
        <v>5877</v>
      </c>
      <c r="HSA1" s="3" t="s">
        <v>5878</v>
      </c>
      <c r="HSB1" s="3" t="s">
        <v>5879</v>
      </c>
      <c r="HSC1" s="3" t="s">
        <v>5880</v>
      </c>
      <c r="HSD1" s="3" t="s">
        <v>5881</v>
      </c>
      <c r="HSE1" s="3" t="s">
        <v>5882</v>
      </c>
      <c r="HSF1" s="3" t="s">
        <v>5883</v>
      </c>
      <c r="HSG1" s="3" t="s">
        <v>5884</v>
      </c>
      <c r="HSH1" s="3" t="s">
        <v>5885</v>
      </c>
      <c r="HSI1" s="3" t="s">
        <v>5886</v>
      </c>
      <c r="HSJ1" s="3" t="s">
        <v>5887</v>
      </c>
      <c r="HSK1" s="3" t="s">
        <v>5888</v>
      </c>
      <c r="HSL1" s="3" t="s">
        <v>5889</v>
      </c>
      <c r="HSM1" s="3" t="s">
        <v>5890</v>
      </c>
      <c r="HSN1" s="3" t="s">
        <v>5891</v>
      </c>
      <c r="HSO1" s="3" t="s">
        <v>5892</v>
      </c>
      <c r="HSP1" s="3" t="s">
        <v>5893</v>
      </c>
      <c r="HSQ1" s="3" t="s">
        <v>5894</v>
      </c>
      <c r="HSR1" s="3" t="s">
        <v>5895</v>
      </c>
      <c r="HSS1" s="3" t="s">
        <v>5896</v>
      </c>
      <c r="HST1" s="3" t="s">
        <v>5897</v>
      </c>
      <c r="HSU1" s="3" t="s">
        <v>5898</v>
      </c>
      <c r="HSV1" s="3" t="s">
        <v>5899</v>
      </c>
      <c r="HSW1" s="3" t="s">
        <v>5900</v>
      </c>
      <c r="HSX1" s="3" t="s">
        <v>5901</v>
      </c>
      <c r="HSY1" s="3" t="s">
        <v>5902</v>
      </c>
      <c r="HSZ1" s="3" t="s">
        <v>5903</v>
      </c>
      <c r="HTA1" s="3" t="s">
        <v>5904</v>
      </c>
      <c r="HTB1" s="3" t="s">
        <v>5905</v>
      </c>
      <c r="HTC1" s="3" t="s">
        <v>5906</v>
      </c>
      <c r="HTD1" s="3" t="s">
        <v>5907</v>
      </c>
      <c r="HTE1" s="3" t="s">
        <v>5908</v>
      </c>
      <c r="HTF1" s="3" t="s">
        <v>5909</v>
      </c>
      <c r="HTG1" s="3" t="s">
        <v>5910</v>
      </c>
      <c r="HTH1" s="3" t="s">
        <v>5911</v>
      </c>
      <c r="HTI1" s="3" t="s">
        <v>5912</v>
      </c>
      <c r="HTJ1" s="3" t="s">
        <v>5913</v>
      </c>
      <c r="HTK1" s="3" t="s">
        <v>5914</v>
      </c>
      <c r="HTL1" s="3" t="s">
        <v>5915</v>
      </c>
      <c r="HTM1" s="3" t="s">
        <v>5916</v>
      </c>
      <c r="HTN1" s="3" t="s">
        <v>5917</v>
      </c>
      <c r="HTO1" s="3" t="s">
        <v>5918</v>
      </c>
      <c r="HTP1" s="3" t="s">
        <v>5919</v>
      </c>
      <c r="HTQ1" s="3" t="s">
        <v>5920</v>
      </c>
      <c r="HTR1" s="3" t="s">
        <v>5921</v>
      </c>
      <c r="HTS1" s="3" t="s">
        <v>5922</v>
      </c>
      <c r="HTT1" s="3" t="s">
        <v>5923</v>
      </c>
      <c r="HTU1" s="3" t="s">
        <v>5924</v>
      </c>
      <c r="HTV1" s="3" t="s">
        <v>5925</v>
      </c>
      <c r="HTW1" s="3" t="s">
        <v>5926</v>
      </c>
      <c r="HTX1" s="3" t="s">
        <v>5927</v>
      </c>
      <c r="HTY1" s="3" t="s">
        <v>5928</v>
      </c>
      <c r="HTZ1" s="3" t="s">
        <v>5929</v>
      </c>
      <c r="HUA1" s="3" t="s">
        <v>5930</v>
      </c>
      <c r="HUB1" s="3" t="s">
        <v>5931</v>
      </c>
      <c r="HUC1" s="3" t="s">
        <v>5932</v>
      </c>
      <c r="HUD1" s="3" t="s">
        <v>5933</v>
      </c>
      <c r="HUE1" s="3" t="s">
        <v>5934</v>
      </c>
      <c r="HUF1" s="3" t="s">
        <v>5935</v>
      </c>
      <c r="HUG1" s="3" t="s">
        <v>5936</v>
      </c>
      <c r="HUH1" s="3" t="s">
        <v>5937</v>
      </c>
      <c r="HUI1" s="3" t="s">
        <v>5938</v>
      </c>
      <c r="HUJ1" s="3" t="s">
        <v>5939</v>
      </c>
      <c r="HUK1" s="3" t="s">
        <v>5940</v>
      </c>
      <c r="HUL1" s="3" t="s">
        <v>5941</v>
      </c>
      <c r="HUM1" s="3" t="s">
        <v>5942</v>
      </c>
      <c r="HUN1" s="3" t="s">
        <v>5943</v>
      </c>
      <c r="HUO1" s="3" t="s">
        <v>5944</v>
      </c>
      <c r="HUP1" s="3" t="s">
        <v>5945</v>
      </c>
      <c r="HUQ1" s="3" t="s">
        <v>5946</v>
      </c>
      <c r="HUR1" s="3" t="s">
        <v>5947</v>
      </c>
      <c r="HUS1" s="3" t="s">
        <v>5948</v>
      </c>
      <c r="HUT1" s="3" t="s">
        <v>5949</v>
      </c>
      <c r="HUU1" s="3" t="s">
        <v>5950</v>
      </c>
      <c r="HUV1" s="3" t="s">
        <v>5951</v>
      </c>
      <c r="HUW1" s="3" t="s">
        <v>5952</v>
      </c>
      <c r="HUX1" s="3" t="s">
        <v>5953</v>
      </c>
      <c r="HUY1" s="3" t="s">
        <v>5954</v>
      </c>
      <c r="HUZ1" s="3" t="s">
        <v>5955</v>
      </c>
      <c r="HVA1" s="3" t="s">
        <v>5956</v>
      </c>
      <c r="HVB1" s="3" t="s">
        <v>5957</v>
      </c>
      <c r="HVC1" s="3" t="s">
        <v>5958</v>
      </c>
      <c r="HVD1" s="3" t="s">
        <v>5959</v>
      </c>
      <c r="HVE1" s="3" t="s">
        <v>5960</v>
      </c>
      <c r="HVF1" s="3" t="s">
        <v>5961</v>
      </c>
      <c r="HVG1" s="3" t="s">
        <v>5962</v>
      </c>
      <c r="HVH1" s="3" t="s">
        <v>5963</v>
      </c>
      <c r="HVI1" s="3" t="s">
        <v>5964</v>
      </c>
      <c r="HVJ1" s="3" t="s">
        <v>5965</v>
      </c>
      <c r="HVK1" s="3" t="s">
        <v>5966</v>
      </c>
      <c r="HVL1" s="3" t="s">
        <v>5967</v>
      </c>
      <c r="HVM1" s="3" t="s">
        <v>5968</v>
      </c>
      <c r="HVN1" s="3" t="s">
        <v>5969</v>
      </c>
      <c r="HVO1" s="3" t="s">
        <v>5970</v>
      </c>
      <c r="HVP1" s="3" t="s">
        <v>5971</v>
      </c>
      <c r="HVQ1" s="3" t="s">
        <v>5972</v>
      </c>
      <c r="HVR1" s="3" t="s">
        <v>5973</v>
      </c>
      <c r="HVS1" s="3" t="s">
        <v>5974</v>
      </c>
      <c r="HVT1" s="3" t="s">
        <v>5975</v>
      </c>
      <c r="HVU1" s="3" t="s">
        <v>5976</v>
      </c>
      <c r="HVV1" s="3" t="s">
        <v>5977</v>
      </c>
      <c r="HVW1" s="3" t="s">
        <v>5978</v>
      </c>
      <c r="HVX1" s="3" t="s">
        <v>5979</v>
      </c>
      <c r="HVY1" s="3" t="s">
        <v>5980</v>
      </c>
      <c r="HVZ1" s="3" t="s">
        <v>5981</v>
      </c>
      <c r="HWA1" s="3" t="s">
        <v>5982</v>
      </c>
      <c r="HWB1" s="3" t="s">
        <v>5983</v>
      </c>
      <c r="HWC1" s="3" t="s">
        <v>5984</v>
      </c>
      <c r="HWD1" s="3" t="s">
        <v>5985</v>
      </c>
      <c r="HWE1" s="3" t="s">
        <v>5986</v>
      </c>
      <c r="HWF1" s="3" t="s">
        <v>5987</v>
      </c>
      <c r="HWG1" s="3" t="s">
        <v>5988</v>
      </c>
      <c r="HWH1" s="3" t="s">
        <v>5989</v>
      </c>
      <c r="HWI1" s="3" t="s">
        <v>5990</v>
      </c>
      <c r="HWJ1" s="3" t="s">
        <v>5991</v>
      </c>
      <c r="HWK1" s="3" t="s">
        <v>5992</v>
      </c>
      <c r="HWL1" s="3" t="s">
        <v>5993</v>
      </c>
      <c r="HWM1" s="3" t="s">
        <v>5994</v>
      </c>
      <c r="HWN1" s="3" t="s">
        <v>5995</v>
      </c>
      <c r="HWO1" s="3" t="s">
        <v>5996</v>
      </c>
      <c r="HWP1" s="3" t="s">
        <v>5997</v>
      </c>
      <c r="HWQ1" s="3" t="s">
        <v>5998</v>
      </c>
      <c r="HWR1" s="3" t="s">
        <v>5999</v>
      </c>
      <c r="HWS1" s="3" t="s">
        <v>6000</v>
      </c>
      <c r="HWT1" s="3" t="s">
        <v>6001</v>
      </c>
      <c r="HWU1" s="3" t="s">
        <v>6002</v>
      </c>
      <c r="HWV1" s="3" t="s">
        <v>6003</v>
      </c>
      <c r="HWW1" s="3" t="s">
        <v>6004</v>
      </c>
      <c r="HWX1" s="3" t="s">
        <v>6005</v>
      </c>
      <c r="HWY1" s="3" t="s">
        <v>6006</v>
      </c>
      <c r="HWZ1" s="3" t="s">
        <v>6007</v>
      </c>
      <c r="HXA1" s="3" t="s">
        <v>6008</v>
      </c>
      <c r="HXB1" s="3" t="s">
        <v>6009</v>
      </c>
      <c r="HXC1" s="3" t="s">
        <v>6010</v>
      </c>
      <c r="HXD1" s="3" t="s">
        <v>6011</v>
      </c>
      <c r="HXE1" s="3" t="s">
        <v>6012</v>
      </c>
      <c r="HXF1" s="3" t="s">
        <v>6013</v>
      </c>
      <c r="HXG1" s="3" t="s">
        <v>6014</v>
      </c>
      <c r="HXH1" s="3" t="s">
        <v>6015</v>
      </c>
      <c r="HXI1" s="3" t="s">
        <v>6016</v>
      </c>
      <c r="HXJ1" s="3" t="s">
        <v>6017</v>
      </c>
      <c r="HXK1" s="3" t="s">
        <v>6018</v>
      </c>
      <c r="HXL1" s="3" t="s">
        <v>6019</v>
      </c>
      <c r="HXM1" s="3" t="s">
        <v>6020</v>
      </c>
      <c r="HXN1" s="3" t="s">
        <v>6021</v>
      </c>
      <c r="HXO1" s="3" t="s">
        <v>6022</v>
      </c>
      <c r="HXP1" s="3" t="s">
        <v>6023</v>
      </c>
      <c r="HXQ1" s="3" t="s">
        <v>6024</v>
      </c>
      <c r="HXR1" s="3" t="s">
        <v>6025</v>
      </c>
      <c r="HXS1" s="3" t="s">
        <v>6026</v>
      </c>
      <c r="HXT1" s="3" t="s">
        <v>6027</v>
      </c>
      <c r="HXU1" s="3" t="s">
        <v>6028</v>
      </c>
      <c r="HXV1" s="3" t="s">
        <v>6029</v>
      </c>
      <c r="HXW1" s="3" t="s">
        <v>6030</v>
      </c>
      <c r="HXX1" s="3" t="s">
        <v>6031</v>
      </c>
      <c r="HXY1" s="3" t="s">
        <v>6032</v>
      </c>
      <c r="HXZ1" s="3" t="s">
        <v>6033</v>
      </c>
      <c r="HYA1" s="3" t="s">
        <v>6034</v>
      </c>
      <c r="HYB1" s="3" t="s">
        <v>6035</v>
      </c>
      <c r="HYC1" s="3" t="s">
        <v>6036</v>
      </c>
      <c r="HYD1" s="3" t="s">
        <v>6037</v>
      </c>
      <c r="HYE1" s="3" t="s">
        <v>6038</v>
      </c>
      <c r="HYF1" s="3" t="s">
        <v>6039</v>
      </c>
      <c r="HYG1" s="3" t="s">
        <v>6040</v>
      </c>
      <c r="HYH1" s="3" t="s">
        <v>6041</v>
      </c>
      <c r="HYI1" s="3" t="s">
        <v>6042</v>
      </c>
      <c r="HYJ1" s="3" t="s">
        <v>6043</v>
      </c>
      <c r="HYK1" s="3" t="s">
        <v>6044</v>
      </c>
      <c r="HYL1" s="3" t="s">
        <v>6045</v>
      </c>
      <c r="HYM1" s="3" t="s">
        <v>6046</v>
      </c>
      <c r="HYN1" s="3" t="s">
        <v>6047</v>
      </c>
      <c r="HYO1" s="3" t="s">
        <v>6048</v>
      </c>
      <c r="HYP1" s="3" t="s">
        <v>6049</v>
      </c>
      <c r="HYQ1" s="3" t="s">
        <v>6050</v>
      </c>
      <c r="HYR1" s="3" t="s">
        <v>6051</v>
      </c>
      <c r="HYS1" s="3" t="s">
        <v>6052</v>
      </c>
      <c r="HYT1" s="3" t="s">
        <v>6053</v>
      </c>
      <c r="HYU1" s="3" t="s">
        <v>6054</v>
      </c>
      <c r="HYV1" s="3" t="s">
        <v>6055</v>
      </c>
      <c r="HYW1" s="3" t="s">
        <v>6056</v>
      </c>
      <c r="HYX1" s="3" t="s">
        <v>6057</v>
      </c>
      <c r="HYY1" s="3" t="s">
        <v>6058</v>
      </c>
      <c r="HYZ1" s="3" t="s">
        <v>6059</v>
      </c>
      <c r="HZA1" s="3" t="s">
        <v>6060</v>
      </c>
      <c r="HZB1" s="3" t="s">
        <v>6061</v>
      </c>
      <c r="HZC1" s="3" t="s">
        <v>6062</v>
      </c>
      <c r="HZD1" s="3" t="s">
        <v>6063</v>
      </c>
      <c r="HZE1" s="3" t="s">
        <v>6064</v>
      </c>
      <c r="HZF1" s="3" t="s">
        <v>6065</v>
      </c>
      <c r="HZG1" s="3" t="s">
        <v>6066</v>
      </c>
      <c r="HZH1" s="3" t="s">
        <v>6067</v>
      </c>
      <c r="HZI1" s="3" t="s">
        <v>6068</v>
      </c>
      <c r="HZJ1" s="3" t="s">
        <v>6069</v>
      </c>
      <c r="HZK1" s="3" t="s">
        <v>6070</v>
      </c>
      <c r="HZL1" s="3" t="s">
        <v>6071</v>
      </c>
      <c r="HZM1" s="3" t="s">
        <v>6072</v>
      </c>
      <c r="HZN1" s="3" t="s">
        <v>6073</v>
      </c>
      <c r="HZO1" s="3" t="s">
        <v>6074</v>
      </c>
      <c r="HZP1" s="3" t="s">
        <v>6075</v>
      </c>
      <c r="HZQ1" s="3" t="s">
        <v>6076</v>
      </c>
      <c r="HZR1" s="3" t="s">
        <v>6077</v>
      </c>
      <c r="HZS1" s="3" t="s">
        <v>6078</v>
      </c>
      <c r="HZT1" s="3" t="s">
        <v>6079</v>
      </c>
      <c r="HZU1" s="3" t="s">
        <v>6080</v>
      </c>
      <c r="HZV1" s="3" t="s">
        <v>6081</v>
      </c>
      <c r="HZW1" s="3" t="s">
        <v>6082</v>
      </c>
      <c r="HZX1" s="3" t="s">
        <v>6083</v>
      </c>
      <c r="HZY1" s="3" t="s">
        <v>6084</v>
      </c>
      <c r="HZZ1" s="3" t="s">
        <v>6085</v>
      </c>
      <c r="IAA1" s="3" t="s">
        <v>6086</v>
      </c>
      <c r="IAB1" s="3" t="s">
        <v>6087</v>
      </c>
      <c r="IAC1" s="3" t="s">
        <v>6088</v>
      </c>
      <c r="IAD1" s="3" t="s">
        <v>6089</v>
      </c>
      <c r="IAE1" s="3" t="s">
        <v>6090</v>
      </c>
      <c r="IAF1" s="3" t="s">
        <v>6091</v>
      </c>
      <c r="IAG1" s="3" t="s">
        <v>6092</v>
      </c>
      <c r="IAH1" s="3" t="s">
        <v>6093</v>
      </c>
      <c r="IAI1" s="3" t="s">
        <v>6094</v>
      </c>
      <c r="IAJ1" s="3" t="s">
        <v>6095</v>
      </c>
      <c r="IAK1" s="3" t="s">
        <v>6096</v>
      </c>
      <c r="IAL1" s="3" t="s">
        <v>6097</v>
      </c>
      <c r="IAM1" s="3" t="s">
        <v>6098</v>
      </c>
      <c r="IAN1" s="3" t="s">
        <v>6099</v>
      </c>
      <c r="IAO1" s="3" t="s">
        <v>6100</v>
      </c>
      <c r="IAP1" s="3" t="s">
        <v>6101</v>
      </c>
      <c r="IAQ1" s="3" t="s">
        <v>6102</v>
      </c>
      <c r="IAR1" s="3" t="s">
        <v>6103</v>
      </c>
      <c r="IAS1" s="3" t="s">
        <v>6104</v>
      </c>
      <c r="IAT1" s="3" t="s">
        <v>6105</v>
      </c>
      <c r="IAU1" s="3" t="s">
        <v>6106</v>
      </c>
      <c r="IAV1" s="3" t="s">
        <v>6107</v>
      </c>
      <c r="IAW1" s="3" t="s">
        <v>6108</v>
      </c>
      <c r="IAX1" s="3" t="s">
        <v>6109</v>
      </c>
      <c r="IAY1" s="3" t="s">
        <v>6110</v>
      </c>
      <c r="IAZ1" s="3" t="s">
        <v>6111</v>
      </c>
      <c r="IBA1" s="3" t="s">
        <v>6112</v>
      </c>
      <c r="IBB1" s="3" t="s">
        <v>6113</v>
      </c>
      <c r="IBC1" s="3" t="s">
        <v>6114</v>
      </c>
      <c r="IBD1" s="3" t="s">
        <v>6115</v>
      </c>
      <c r="IBE1" s="3" t="s">
        <v>6116</v>
      </c>
      <c r="IBF1" s="3" t="s">
        <v>6117</v>
      </c>
      <c r="IBG1" s="3" t="s">
        <v>6118</v>
      </c>
      <c r="IBH1" s="3" t="s">
        <v>6119</v>
      </c>
      <c r="IBI1" s="3" t="s">
        <v>6120</v>
      </c>
      <c r="IBJ1" s="3" t="s">
        <v>6121</v>
      </c>
      <c r="IBK1" s="3" t="s">
        <v>6122</v>
      </c>
      <c r="IBL1" s="3" t="s">
        <v>6123</v>
      </c>
      <c r="IBM1" s="3" t="s">
        <v>6124</v>
      </c>
      <c r="IBN1" s="3" t="s">
        <v>6125</v>
      </c>
      <c r="IBO1" s="3" t="s">
        <v>6126</v>
      </c>
      <c r="IBP1" s="3" t="s">
        <v>6127</v>
      </c>
      <c r="IBQ1" s="3" t="s">
        <v>6128</v>
      </c>
      <c r="IBR1" s="3" t="s">
        <v>6129</v>
      </c>
      <c r="IBS1" s="3" t="s">
        <v>6130</v>
      </c>
      <c r="IBT1" s="3" t="s">
        <v>6131</v>
      </c>
      <c r="IBU1" s="3" t="s">
        <v>6132</v>
      </c>
      <c r="IBV1" s="3" t="s">
        <v>6133</v>
      </c>
      <c r="IBW1" s="3" t="s">
        <v>6134</v>
      </c>
      <c r="IBX1" s="3" t="s">
        <v>6135</v>
      </c>
      <c r="IBY1" s="3" t="s">
        <v>6136</v>
      </c>
      <c r="IBZ1" s="3" t="s">
        <v>6137</v>
      </c>
      <c r="ICA1" s="3" t="s">
        <v>6138</v>
      </c>
      <c r="ICB1" s="3" t="s">
        <v>6139</v>
      </c>
      <c r="ICC1" s="3" t="s">
        <v>6140</v>
      </c>
      <c r="ICD1" s="3" t="s">
        <v>6141</v>
      </c>
      <c r="ICE1" s="3" t="s">
        <v>6142</v>
      </c>
      <c r="ICF1" s="3" t="s">
        <v>6143</v>
      </c>
      <c r="ICG1" s="3" t="s">
        <v>6144</v>
      </c>
      <c r="ICH1" s="3" t="s">
        <v>6145</v>
      </c>
      <c r="ICI1" s="3" t="s">
        <v>6146</v>
      </c>
      <c r="ICJ1" s="3" t="s">
        <v>6147</v>
      </c>
      <c r="ICK1" s="3" t="s">
        <v>6148</v>
      </c>
      <c r="ICL1" s="3" t="s">
        <v>6149</v>
      </c>
      <c r="ICM1" s="3" t="s">
        <v>6150</v>
      </c>
      <c r="ICN1" s="3" t="s">
        <v>6151</v>
      </c>
      <c r="ICO1" s="3" t="s">
        <v>6152</v>
      </c>
      <c r="ICP1" s="3" t="s">
        <v>6153</v>
      </c>
      <c r="ICQ1" s="3" t="s">
        <v>6154</v>
      </c>
      <c r="ICR1" s="3" t="s">
        <v>6155</v>
      </c>
      <c r="ICS1" s="3" t="s">
        <v>6156</v>
      </c>
      <c r="ICT1" s="3" t="s">
        <v>6157</v>
      </c>
      <c r="ICU1" s="3" t="s">
        <v>6158</v>
      </c>
      <c r="ICV1" s="3" t="s">
        <v>6159</v>
      </c>
      <c r="ICW1" s="3" t="s">
        <v>6160</v>
      </c>
      <c r="ICX1" s="3" t="s">
        <v>6161</v>
      </c>
      <c r="ICY1" s="3" t="s">
        <v>6162</v>
      </c>
      <c r="ICZ1" s="3" t="s">
        <v>6163</v>
      </c>
      <c r="IDA1" s="3" t="s">
        <v>6164</v>
      </c>
      <c r="IDB1" s="3" t="s">
        <v>6165</v>
      </c>
      <c r="IDC1" s="3" t="s">
        <v>6166</v>
      </c>
      <c r="IDD1" s="3" t="s">
        <v>6167</v>
      </c>
      <c r="IDE1" s="3" t="s">
        <v>6168</v>
      </c>
      <c r="IDF1" s="3" t="s">
        <v>6169</v>
      </c>
      <c r="IDG1" s="3" t="s">
        <v>6170</v>
      </c>
      <c r="IDH1" s="3" t="s">
        <v>6171</v>
      </c>
      <c r="IDI1" s="3" t="s">
        <v>6172</v>
      </c>
      <c r="IDJ1" s="3" t="s">
        <v>6173</v>
      </c>
      <c r="IDK1" s="3" t="s">
        <v>6174</v>
      </c>
      <c r="IDL1" s="3" t="s">
        <v>6175</v>
      </c>
      <c r="IDM1" s="3" t="s">
        <v>6176</v>
      </c>
      <c r="IDN1" s="3" t="s">
        <v>6177</v>
      </c>
      <c r="IDO1" s="3" t="s">
        <v>6178</v>
      </c>
      <c r="IDP1" s="3" t="s">
        <v>6179</v>
      </c>
      <c r="IDQ1" s="3" t="s">
        <v>6180</v>
      </c>
      <c r="IDR1" s="3" t="s">
        <v>6181</v>
      </c>
      <c r="IDS1" s="3" t="s">
        <v>6182</v>
      </c>
      <c r="IDT1" s="3" t="s">
        <v>6183</v>
      </c>
      <c r="IDU1" s="3" t="s">
        <v>6184</v>
      </c>
      <c r="IDV1" s="3" t="s">
        <v>6185</v>
      </c>
      <c r="IDW1" s="3" t="s">
        <v>6186</v>
      </c>
      <c r="IDX1" s="3" t="s">
        <v>6187</v>
      </c>
      <c r="IDY1" s="3" t="s">
        <v>6188</v>
      </c>
      <c r="IDZ1" s="3" t="s">
        <v>6189</v>
      </c>
      <c r="IEA1" s="3" t="s">
        <v>6190</v>
      </c>
      <c r="IEB1" s="3" t="s">
        <v>6191</v>
      </c>
      <c r="IEC1" s="3" t="s">
        <v>6192</v>
      </c>
      <c r="IED1" s="3" t="s">
        <v>6193</v>
      </c>
      <c r="IEE1" s="3" t="s">
        <v>6194</v>
      </c>
      <c r="IEF1" s="3" t="s">
        <v>6195</v>
      </c>
      <c r="IEG1" s="3" t="s">
        <v>6196</v>
      </c>
      <c r="IEH1" s="3" t="s">
        <v>6197</v>
      </c>
      <c r="IEI1" s="3" t="s">
        <v>6198</v>
      </c>
      <c r="IEJ1" s="3" t="s">
        <v>6199</v>
      </c>
      <c r="IEK1" s="3" t="s">
        <v>6200</v>
      </c>
      <c r="IEL1" s="3" t="s">
        <v>6201</v>
      </c>
      <c r="IEM1" s="3" t="s">
        <v>6202</v>
      </c>
      <c r="IEN1" s="3" t="s">
        <v>6203</v>
      </c>
      <c r="IEO1" s="3" t="s">
        <v>6204</v>
      </c>
      <c r="IEP1" s="3" t="s">
        <v>6205</v>
      </c>
      <c r="IEQ1" s="3" t="s">
        <v>6206</v>
      </c>
      <c r="IER1" s="3" t="s">
        <v>6207</v>
      </c>
      <c r="IES1" s="3" t="s">
        <v>6208</v>
      </c>
      <c r="IET1" s="3" t="s">
        <v>6209</v>
      </c>
      <c r="IEU1" s="3" t="s">
        <v>6210</v>
      </c>
      <c r="IEV1" s="3" t="s">
        <v>6211</v>
      </c>
      <c r="IEW1" s="3" t="s">
        <v>6212</v>
      </c>
      <c r="IEX1" s="3" t="s">
        <v>6213</v>
      </c>
      <c r="IEY1" s="3" t="s">
        <v>6214</v>
      </c>
      <c r="IEZ1" s="3" t="s">
        <v>6215</v>
      </c>
      <c r="IFA1" s="3" t="s">
        <v>6216</v>
      </c>
      <c r="IFB1" s="3" t="s">
        <v>6217</v>
      </c>
      <c r="IFC1" s="3" t="s">
        <v>6218</v>
      </c>
      <c r="IFD1" s="3" t="s">
        <v>6219</v>
      </c>
      <c r="IFE1" s="3" t="s">
        <v>6220</v>
      </c>
      <c r="IFF1" s="3" t="s">
        <v>6221</v>
      </c>
      <c r="IFG1" s="3" t="s">
        <v>6222</v>
      </c>
      <c r="IFH1" s="3" t="s">
        <v>6223</v>
      </c>
      <c r="IFI1" s="3" t="s">
        <v>6224</v>
      </c>
      <c r="IFJ1" s="3" t="s">
        <v>6225</v>
      </c>
      <c r="IFK1" s="3" t="s">
        <v>6226</v>
      </c>
      <c r="IFL1" s="3" t="s">
        <v>6227</v>
      </c>
      <c r="IFM1" s="3" t="s">
        <v>6228</v>
      </c>
      <c r="IFN1" s="3" t="s">
        <v>6229</v>
      </c>
      <c r="IFO1" s="3" t="s">
        <v>6230</v>
      </c>
      <c r="IFP1" s="3" t="s">
        <v>6231</v>
      </c>
      <c r="IFQ1" s="3" t="s">
        <v>6232</v>
      </c>
      <c r="IFR1" s="3" t="s">
        <v>6233</v>
      </c>
      <c r="IFS1" s="3" t="s">
        <v>6234</v>
      </c>
      <c r="IFT1" s="3" t="s">
        <v>6235</v>
      </c>
      <c r="IFU1" s="3" t="s">
        <v>6236</v>
      </c>
      <c r="IFV1" s="3" t="s">
        <v>6237</v>
      </c>
      <c r="IFW1" s="3" t="s">
        <v>6238</v>
      </c>
      <c r="IFX1" s="3" t="s">
        <v>6239</v>
      </c>
      <c r="IFY1" s="3" t="s">
        <v>6240</v>
      </c>
      <c r="IFZ1" s="3" t="s">
        <v>6241</v>
      </c>
      <c r="IGA1" s="3" t="s">
        <v>6242</v>
      </c>
      <c r="IGB1" s="3" t="s">
        <v>6243</v>
      </c>
      <c r="IGC1" s="3" t="s">
        <v>6244</v>
      </c>
      <c r="IGD1" s="3" t="s">
        <v>6245</v>
      </c>
      <c r="IGE1" s="3" t="s">
        <v>6246</v>
      </c>
      <c r="IGF1" s="3" t="s">
        <v>6247</v>
      </c>
      <c r="IGG1" s="3" t="s">
        <v>6248</v>
      </c>
      <c r="IGH1" s="3" t="s">
        <v>6249</v>
      </c>
      <c r="IGI1" s="3" t="s">
        <v>6250</v>
      </c>
      <c r="IGJ1" s="3" t="s">
        <v>6251</v>
      </c>
      <c r="IGK1" s="3" t="s">
        <v>6252</v>
      </c>
      <c r="IGL1" s="3" t="s">
        <v>6253</v>
      </c>
      <c r="IGM1" s="3" t="s">
        <v>6254</v>
      </c>
      <c r="IGN1" s="3" t="s">
        <v>6255</v>
      </c>
      <c r="IGO1" s="3" t="s">
        <v>6256</v>
      </c>
      <c r="IGP1" s="3" t="s">
        <v>6257</v>
      </c>
      <c r="IGQ1" s="3" t="s">
        <v>6258</v>
      </c>
      <c r="IGR1" s="3" t="s">
        <v>6259</v>
      </c>
      <c r="IGS1" s="3" t="s">
        <v>6260</v>
      </c>
      <c r="IGT1" s="3" t="s">
        <v>6261</v>
      </c>
      <c r="IGU1" s="3" t="s">
        <v>6262</v>
      </c>
      <c r="IGV1" s="3" t="s">
        <v>6263</v>
      </c>
      <c r="IGW1" s="3" t="s">
        <v>6264</v>
      </c>
      <c r="IGX1" s="3" t="s">
        <v>6265</v>
      </c>
      <c r="IGY1" s="3" t="s">
        <v>6266</v>
      </c>
      <c r="IGZ1" s="3" t="s">
        <v>6267</v>
      </c>
      <c r="IHA1" s="3" t="s">
        <v>6268</v>
      </c>
      <c r="IHB1" s="3" t="s">
        <v>6269</v>
      </c>
      <c r="IHC1" s="3" t="s">
        <v>6270</v>
      </c>
      <c r="IHD1" s="3" t="s">
        <v>6271</v>
      </c>
      <c r="IHE1" s="3" t="s">
        <v>6272</v>
      </c>
      <c r="IHF1" s="3" t="s">
        <v>6273</v>
      </c>
      <c r="IHG1" s="3" t="s">
        <v>6274</v>
      </c>
      <c r="IHH1" s="3" t="s">
        <v>6275</v>
      </c>
      <c r="IHI1" s="3" t="s">
        <v>6276</v>
      </c>
      <c r="IHJ1" s="3" t="s">
        <v>6277</v>
      </c>
      <c r="IHK1" s="3" t="s">
        <v>6278</v>
      </c>
      <c r="IHL1" s="3" t="s">
        <v>6279</v>
      </c>
      <c r="IHM1" s="3" t="s">
        <v>6280</v>
      </c>
      <c r="IHN1" s="3" t="s">
        <v>6281</v>
      </c>
      <c r="IHO1" s="3" t="s">
        <v>6282</v>
      </c>
      <c r="IHP1" s="3" t="s">
        <v>6283</v>
      </c>
      <c r="IHQ1" s="3" t="s">
        <v>6284</v>
      </c>
      <c r="IHR1" s="3" t="s">
        <v>6285</v>
      </c>
      <c r="IHS1" s="3" t="s">
        <v>6286</v>
      </c>
      <c r="IHT1" s="3" t="s">
        <v>6287</v>
      </c>
      <c r="IHU1" s="3" t="s">
        <v>6288</v>
      </c>
      <c r="IHV1" s="3" t="s">
        <v>6289</v>
      </c>
      <c r="IHW1" s="3" t="s">
        <v>6290</v>
      </c>
      <c r="IHX1" s="3" t="s">
        <v>6291</v>
      </c>
      <c r="IHY1" s="3" t="s">
        <v>6292</v>
      </c>
      <c r="IHZ1" s="3" t="s">
        <v>6293</v>
      </c>
      <c r="IIA1" s="3" t="s">
        <v>6294</v>
      </c>
      <c r="IIB1" s="3" t="s">
        <v>6295</v>
      </c>
      <c r="IIC1" s="3" t="s">
        <v>6296</v>
      </c>
      <c r="IID1" s="3" t="s">
        <v>6297</v>
      </c>
      <c r="IIE1" s="3" t="s">
        <v>6298</v>
      </c>
      <c r="IIF1" s="3" t="s">
        <v>6299</v>
      </c>
      <c r="IIG1" s="3" t="s">
        <v>6300</v>
      </c>
      <c r="IIH1" s="3" t="s">
        <v>6301</v>
      </c>
      <c r="III1" s="3" t="s">
        <v>6302</v>
      </c>
      <c r="IIJ1" s="3" t="s">
        <v>6303</v>
      </c>
      <c r="IIK1" s="3" t="s">
        <v>6304</v>
      </c>
      <c r="IIL1" s="3" t="s">
        <v>6305</v>
      </c>
      <c r="IIM1" s="3" t="s">
        <v>6306</v>
      </c>
      <c r="IIN1" s="3" t="s">
        <v>6307</v>
      </c>
      <c r="IIO1" s="3" t="s">
        <v>6308</v>
      </c>
      <c r="IIP1" s="3" t="s">
        <v>6309</v>
      </c>
      <c r="IIQ1" s="3" t="s">
        <v>6310</v>
      </c>
      <c r="IIR1" s="3" t="s">
        <v>6311</v>
      </c>
      <c r="IIS1" s="3" t="s">
        <v>6312</v>
      </c>
      <c r="IIT1" s="3" t="s">
        <v>6313</v>
      </c>
      <c r="IIU1" s="3" t="s">
        <v>6314</v>
      </c>
      <c r="IIV1" s="3" t="s">
        <v>6315</v>
      </c>
      <c r="IIW1" s="3" t="s">
        <v>6316</v>
      </c>
      <c r="IIX1" s="3" t="s">
        <v>6317</v>
      </c>
      <c r="IIY1" s="3" t="s">
        <v>6318</v>
      </c>
      <c r="IIZ1" s="3" t="s">
        <v>6319</v>
      </c>
      <c r="IJA1" s="3" t="s">
        <v>6320</v>
      </c>
      <c r="IJB1" s="3" t="s">
        <v>6321</v>
      </c>
      <c r="IJC1" s="3" t="s">
        <v>6322</v>
      </c>
      <c r="IJD1" s="3" t="s">
        <v>6323</v>
      </c>
      <c r="IJE1" s="3" t="s">
        <v>6324</v>
      </c>
      <c r="IJF1" s="3" t="s">
        <v>6325</v>
      </c>
      <c r="IJG1" s="3" t="s">
        <v>6326</v>
      </c>
      <c r="IJH1" s="3" t="s">
        <v>6327</v>
      </c>
      <c r="IJI1" s="3" t="s">
        <v>6328</v>
      </c>
      <c r="IJJ1" s="3" t="s">
        <v>6329</v>
      </c>
      <c r="IJK1" s="3" t="s">
        <v>6330</v>
      </c>
      <c r="IJL1" s="3" t="s">
        <v>6331</v>
      </c>
      <c r="IJM1" s="3" t="s">
        <v>6332</v>
      </c>
      <c r="IJN1" s="3" t="s">
        <v>6333</v>
      </c>
      <c r="IJO1" s="3" t="s">
        <v>6334</v>
      </c>
      <c r="IJP1" s="3" t="s">
        <v>6335</v>
      </c>
      <c r="IJQ1" s="3" t="s">
        <v>6336</v>
      </c>
      <c r="IJR1" s="3" t="s">
        <v>6337</v>
      </c>
      <c r="IJS1" s="3" t="s">
        <v>6338</v>
      </c>
      <c r="IJT1" s="3" t="s">
        <v>6339</v>
      </c>
      <c r="IJU1" s="3" t="s">
        <v>6340</v>
      </c>
      <c r="IJV1" s="3" t="s">
        <v>6341</v>
      </c>
      <c r="IJW1" s="3" t="s">
        <v>6342</v>
      </c>
      <c r="IJX1" s="3" t="s">
        <v>6343</v>
      </c>
      <c r="IJY1" s="3" t="s">
        <v>6344</v>
      </c>
      <c r="IJZ1" s="3" t="s">
        <v>6345</v>
      </c>
      <c r="IKA1" s="3" t="s">
        <v>6346</v>
      </c>
      <c r="IKB1" s="3" t="s">
        <v>6347</v>
      </c>
      <c r="IKC1" s="3" t="s">
        <v>6348</v>
      </c>
      <c r="IKD1" s="3" t="s">
        <v>6349</v>
      </c>
      <c r="IKE1" s="3" t="s">
        <v>6350</v>
      </c>
      <c r="IKF1" s="3" t="s">
        <v>6351</v>
      </c>
      <c r="IKG1" s="3" t="s">
        <v>6352</v>
      </c>
      <c r="IKH1" s="3" t="s">
        <v>6353</v>
      </c>
      <c r="IKI1" s="3" t="s">
        <v>6354</v>
      </c>
      <c r="IKJ1" s="3" t="s">
        <v>6355</v>
      </c>
      <c r="IKK1" s="3" t="s">
        <v>6356</v>
      </c>
      <c r="IKL1" s="3" t="s">
        <v>6357</v>
      </c>
      <c r="IKM1" s="3" t="s">
        <v>6358</v>
      </c>
      <c r="IKN1" s="3" t="s">
        <v>6359</v>
      </c>
      <c r="IKO1" s="3" t="s">
        <v>6360</v>
      </c>
      <c r="IKP1" s="3" t="s">
        <v>6361</v>
      </c>
      <c r="IKQ1" s="3" t="s">
        <v>6362</v>
      </c>
      <c r="IKR1" s="3" t="s">
        <v>6363</v>
      </c>
      <c r="IKS1" s="3" t="s">
        <v>6364</v>
      </c>
      <c r="IKT1" s="3" t="s">
        <v>6365</v>
      </c>
      <c r="IKU1" s="3" t="s">
        <v>6366</v>
      </c>
      <c r="IKV1" s="3" t="s">
        <v>6367</v>
      </c>
      <c r="IKW1" s="3" t="s">
        <v>6368</v>
      </c>
      <c r="IKX1" s="3" t="s">
        <v>6369</v>
      </c>
      <c r="IKY1" s="3" t="s">
        <v>6370</v>
      </c>
      <c r="IKZ1" s="3" t="s">
        <v>6371</v>
      </c>
      <c r="ILA1" s="3" t="s">
        <v>6372</v>
      </c>
      <c r="ILB1" s="3" t="s">
        <v>6373</v>
      </c>
      <c r="ILC1" s="3" t="s">
        <v>6374</v>
      </c>
      <c r="ILD1" s="3" t="s">
        <v>6375</v>
      </c>
      <c r="ILE1" s="3" t="s">
        <v>6376</v>
      </c>
      <c r="ILF1" s="3" t="s">
        <v>6377</v>
      </c>
      <c r="ILG1" s="3" t="s">
        <v>6378</v>
      </c>
      <c r="ILH1" s="3" t="s">
        <v>6379</v>
      </c>
      <c r="ILI1" s="3" t="s">
        <v>6380</v>
      </c>
      <c r="ILJ1" s="3" t="s">
        <v>6381</v>
      </c>
      <c r="ILK1" s="3" t="s">
        <v>6382</v>
      </c>
      <c r="ILL1" s="3" t="s">
        <v>6383</v>
      </c>
      <c r="ILM1" s="3" t="s">
        <v>6384</v>
      </c>
      <c r="ILN1" s="3" t="s">
        <v>6385</v>
      </c>
      <c r="ILO1" s="3" t="s">
        <v>6386</v>
      </c>
      <c r="ILP1" s="3" t="s">
        <v>6387</v>
      </c>
      <c r="ILQ1" s="3" t="s">
        <v>6388</v>
      </c>
      <c r="ILR1" s="3" t="s">
        <v>6389</v>
      </c>
      <c r="ILS1" s="3" t="s">
        <v>6390</v>
      </c>
      <c r="ILT1" s="3" t="s">
        <v>6391</v>
      </c>
      <c r="ILU1" s="3" t="s">
        <v>6392</v>
      </c>
      <c r="ILV1" s="3" t="s">
        <v>6393</v>
      </c>
      <c r="ILW1" s="3" t="s">
        <v>6394</v>
      </c>
      <c r="ILX1" s="3" t="s">
        <v>6395</v>
      </c>
      <c r="ILY1" s="3" t="s">
        <v>6396</v>
      </c>
      <c r="ILZ1" s="3" t="s">
        <v>6397</v>
      </c>
      <c r="IMA1" s="3" t="s">
        <v>6398</v>
      </c>
      <c r="IMB1" s="3" t="s">
        <v>6399</v>
      </c>
      <c r="IMC1" s="3" t="s">
        <v>6400</v>
      </c>
      <c r="IMD1" s="3" t="s">
        <v>6401</v>
      </c>
      <c r="IME1" s="3" t="s">
        <v>6402</v>
      </c>
      <c r="IMF1" s="3" t="s">
        <v>6403</v>
      </c>
      <c r="IMG1" s="3" t="s">
        <v>6404</v>
      </c>
      <c r="IMH1" s="3" t="s">
        <v>6405</v>
      </c>
      <c r="IMI1" s="3" t="s">
        <v>6406</v>
      </c>
      <c r="IMJ1" s="3" t="s">
        <v>6407</v>
      </c>
      <c r="IMK1" s="3" t="s">
        <v>6408</v>
      </c>
      <c r="IML1" s="3" t="s">
        <v>6409</v>
      </c>
      <c r="IMM1" s="3" t="s">
        <v>6410</v>
      </c>
      <c r="IMN1" s="3" t="s">
        <v>6411</v>
      </c>
      <c r="IMO1" s="3" t="s">
        <v>6412</v>
      </c>
      <c r="IMP1" s="3" t="s">
        <v>6413</v>
      </c>
      <c r="IMQ1" s="3" t="s">
        <v>6414</v>
      </c>
      <c r="IMR1" s="3" t="s">
        <v>6415</v>
      </c>
      <c r="IMS1" s="3" t="s">
        <v>6416</v>
      </c>
      <c r="IMT1" s="3" t="s">
        <v>6417</v>
      </c>
      <c r="IMU1" s="3" t="s">
        <v>6418</v>
      </c>
      <c r="IMV1" s="3" t="s">
        <v>6419</v>
      </c>
      <c r="IMW1" s="3" t="s">
        <v>6420</v>
      </c>
      <c r="IMX1" s="3" t="s">
        <v>6421</v>
      </c>
      <c r="IMY1" s="3" t="s">
        <v>6422</v>
      </c>
      <c r="IMZ1" s="3" t="s">
        <v>6423</v>
      </c>
      <c r="INA1" s="3" t="s">
        <v>6424</v>
      </c>
      <c r="INB1" s="3" t="s">
        <v>6425</v>
      </c>
      <c r="INC1" s="3" t="s">
        <v>6426</v>
      </c>
      <c r="IND1" s="3" t="s">
        <v>6427</v>
      </c>
      <c r="INE1" s="3" t="s">
        <v>6428</v>
      </c>
      <c r="INF1" s="3" t="s">
        <v>6429</v>
      </c>
      <c r="ING1" s="3" t="s">
        <v>6430</v>
      </c>
      <c r="INH1" s="3" t="s">
        <v>6431</v>
      </c>
      <c r="INI1" s="3" t="s">
        <v>6432</v>
      </c>
      <c r="INJ1" s="3" t="s">
        <v>6433</v>
      </c>
      <c r="INK1" s="3" t="s">
        <v>6434</v>
      </c>
      <c r="INL1" s="3" t="s">
        <v>6435</v>
      </c>
      <c r="INM1" s="3" t="s">
        <v>6436</v>
      </c>
      <c r="INN1" s="3" t="s">
        <v>6437</v>
      </c>
      <c r="INO1" s="3" t="s">
        <v>6438</v>
      </c>
      <c r="INP1" s="3" t="s">
        <v>6439</v>
      </c>
      <c r="INQ1" s="3" t="s">
        <v>6440</v>
      </c>
      <c r="INR1" s="3" t="s">
        <v>6441</v>
      </c>
      <c r="INS1" s="3" t="s">
        <v>6442</v>
      </c>
      <c r="INT1" s="3" t="s">
        <v>6443</v>
      </c>
      <c r="INU1" s="3" t="s">
        <v>6444</v>
      </c>
      <c r="INV1" s="3" t="s">
        <v>6445</v>
      </c>
      <c r="INW1" s="3" t="s">
        <v>6446</v>
      </c>
      <c r="INX1" s="3" t="s">
        <v>6447</v>
      </c>
      <c r="INY1" s="3" t="s">
        <v>6448</v>
      </c>
      <c r="INZ1" s="3" t="s">
        <v>6449</v>
      </c>
      <c r="IOA1" s="3" t="s">
        <v>6450</v>
      </c>
      <c r="IOB1" s="3" t="s">
        <v>6451</v>
      </c>
      <c r="IOC1" s="3" t="s">
        <v>6452</v>
      </c>
      <c r="IOD1" s="3" t="s">
        <v>6453</v>
      </c>
      <c r="IOE1" s="3" t="s">
        <v>6454</v>
      </c>
      <c r="IOF1" s="3" t="s">
        <v>6455</v>
      </c>
      <c r="IOG1" s="3" t="s">
        <v>6456</v>
      </c>
      <c r="IOH1" s="3" t="s">
        <v>6457</v>
      </c>
      <c r="IOI1" s="3" t="s">
        <v>6458</v>
      </c>
      <c r="IOJ1" s="3" t="s">
        <v>6459</v>
      </c>
      <c r="IOK1" s="3" t="s">
        <v>6460</v>
      </c>
      <c r="IOL1" s="3" t="s">
        <v>6461</v>
      </c>
      <c r="IOM1" s="3" t="s">
        <v>6462</v>
      </c>
      <c r="ION1" s="3" t="s">
        <v>6463</v>
      </c>
      <c r="IOO1" s="3" t="s">
        <v>6464</v>
      </c>
      <c r="IOP1" s="3" t="s">
        <v>6465</v>
      </c>
      <c r="IOQ1" s="3" t="s">
        <v>6466</v>
      </c>
      <c r="IOR1" s="3" t="s">
        <v>6467</v>
      </c>
      <c r="IOS1" s="3" t="s">
        <v>6468</v>
      </c>
      <c r="IOT1" s="3" t="s">
        <v>6469</v>
      </c>
      <c r="IOU1" s="3" t="s">
        <v>6470</v>
      </c>
      <c r="IOV1" s="3" t="s">
        <v>6471</v>
      </c>
      <c r="IOW1" s="3" t="s">
        <v>6472</v>
      </c>
      <c r="IOX1" s="3" t="s">
        <v>6473</v>
      </c>
      <c r="IOY1" s="3" t="s">
        <v>6474</v>
      </c>
      <c r="IOZ1" s="3" t="s">
        <v>6475</v>
      </c>
      <c r="IPA1" s="3" t="s">
        <v>6476</v>
      </c>
      <c r="IPB1" s="3" t="s">
        <v>6477</v>
      </c>
      <c r="IPC1" s="3" t="s">
        <v>6478</v>
      </c>
      <c r="IPD1" s="3" t="s">
        <v>6479</v>
      </c>
      <c r="IPE1" s="3" t="s">
        <v>6480</v>
      </c>
      <c r="IPF1" s="3" t="s">
        <v>6481</v>
      </c>
      <c r="IPG1" s="3" t="s">
        <v>6482</v>
      </c>
      <c r="IPH1" s="3" t="s">
        <v>6483</v>
      </c>
      <c r="IPI1" s="3" t="s">
        <v>6484</v>
      </c>
      <c r="IPJ1" s="3" t="s">
        <v>6485</v>
      </c>
      <c r="IPK1" s="3" t="s">
        <v>6486</v>
      </c>
      <c r="IPL1" s="3" t="s">
        <v>6487</v>
      </c>
      <c r="IPM1" s="3" t="s">
        <v>6488</v>
      </c>
      <c r="IPN1" s="3" t="s">
        <v>6489</v>
      </c>
      <c r="IPO1" s="3" t="s">
        <v>6490</v>
      </c>
      <c r="IPP1" s="3" t="s">
        <v>6491</v>
      </c>
      <c r="IPQ1" s="3" t="s">
        <v>6492</v>
      </c>
      <c r="IPR1" s="3" t="s">
        <v>6493</v>
      </c>
      <c r="IPS1" s="3" t="s">
        <v>6494</v>
      </c>
      <c r="IPT1" s="3" t="s">
        <v>6495</v>
      </c>
      <c r="IPU1" s="3" t="s">
        <v>6496</v>
      </c>
      <c r="IPV1" s="3" t="s">
        <v>6497</v>
      </c>
      <c r="IPW1" s="3" t="s">
        <v>6498</v>
      </c>
      <c r="IPX1" s="3" t="s">
        <v>6499</v>
      </c>
      <c r="IPY1" s="3" t="s">
        <v>6500</v>
      </c>
      <c r="IPZ1" s="3" t="s">
        <v>6501</v>
      </c>
      <c r="IQA1" s="3" t="s">
        <v>6502</v>
      </c>
      <c r="IQB1" s="3" t="s">
        <v>6503</v>
      </c>
      <c r="IQC1" s="3" t="s">
        <v>6504</v>
      </c>
      <c r="IQD1" s="3" t="s">
        <v>6505</v>
      </c>
      <c r="IQE1" s="3" t="s">
        <v>6506</v>
      </c>
      <c r="IQF1" s="3" t="s">
        <v>6507</v>
      </c>
      <c r="IQG1" s="3" t="s">
        <v>6508</v>
      </c>
      <c r="IQH1" s="3" t="s">
        <v>6509</v>
      </c>
      <c r="IQI1" s="3" t="s">
        <v>6510</v>
      </c>
      <c r="IQJ1" s="3" t="s">
        <v>6511</v>
      </c>
      <c r="IQK1" s="3" t="s">
        <v>6512</v>
      </c>
      <c r="IQL1" s="3" t="s">
        <v>6513</v>
      </c>
      <c r="IQM1" s="3" t="s">
        <v>6514</v>
      </c>
      <c r="IQN1" s="3" t="s">
        <v>6515</v>
      </c>
      <c r="IQO1" s="3" t="s">
        <v>6516</v>
      </c>
      <c r="IQP1" s="3" t="s">
        <v>6517</v>
      </c>
      <c r="IQQ1" s="3" t="s">
        <v>6518</v>
      </c>
      <c r="IQR1" s="3" t="s">
        <v>6519</v>
      </c>
      <c r="IQS1" s="3" t="s">
        <v>6520</v>
      </c>
      <c r="IQT1" s="3" t="s">
        <v>6521</v>
      </c>
      <c r="IQU1" s="3" t="s">
        <v>6522</v>
      </c>
      <c r="IQV1" s="3" t="s">
        <v>6523</v>
      </c>
      <c r="IQW1" s="3" t="s">
        <v>6524</v>
      </c>
      <c r="IQX1" s="3" t="s">
        <v>6525</v>
      </c>
      <c r="IQY1" s="3" t="s">
        <v>6526</v>
      </c>
      <c r="IQZ1" s="3" t="s">
        <v>6527</v>
      </c>
      <c r="IRA1" s="3" t="s">
        <v>6528</v>
      </c>
      <c r="IRB1" s="3" t="s">
        <v>6529</v>
      </c>
      <c r="IRC1" s="3" t="s">
        <v>6530</v>
      </c>
      <c r="IRD1" s="3" t="s">
        <v>6531</v>
      </c>
      <c r="IRE1" s="3" t="s">
        <v>6532</v>
      </c>
      <c r="IRF1" s="3" t="s">
        <v>6533</v>
      </c>
      <c r="IRG1" s="3" t="s">
        <v>6534</v>
      </c>
      <c r="IRH1" s="3" t="s">
        <v>6535</v>
      </c>
      <c r="IRI1" s="3" t="s">
        <v>6536</v>
      </c>
      <c r="IRJ1" s="3" t="s">
        <v>6537</v>
      </c>
      <c r="IRK1" s="3" t="s">
        <v>6538</v>
      </c>
      <c r="IRL1" s="3" t="s">
        <v>6539</v>
      </c>
      <c r="IRM1" s="3" t="s">
        <v>6540</v>
      </c>
      <c r="IRN1" s="3" t="s">
        <v>6541</v>
      </c>
      <c r="IRO1" s="3" t="s">
        <v>6542</v>
      </c>
      <c r="IRP1" s="3" t="s">
        <v>6543</v>
      </c>
      <c r="IRQ1" s="3" t="s">
        <v>6544</v>
      </c>
      <c r="IRR1" s="3" t="s">
        <v>6545</v>
      </c>
      <c r="IRS1" s="3" t="s">
        <v>6546</v>
      </c>
      <c r="IRT1" s="3" t="s">
        <v>6547</v>
      </c>
      <c r="IRU1" s="3" t="s">
        <v>6548</v>
      </c>
      <c r="IRV1" s="3" t="s">
        <v>6549</v>
      </c>
      <c r="IRW1" s="3" t="s">
        <v>6550</v>
      </c>
      <c r="IRX1" s="3" t="s">
        <v>6551</v>
      </c>
      <c r="IRY1" s="3" t="s">
        <v>6552</v>
      </c>
      <c r="IRZ1" s="3" t="s">
        <v>6553</v>
      </c>
      <c r="ISA1" s="3" t="s">
        <v>6554</v>
      </c>
      <c r="ISB1" s="3" t="s">
        <v>6555</v>
      </c>
      <c r="ISC1" s="3" t="s">
        <v>6556</v>
      </c>
      <c r="ISD1" s="3" t="s">
        <v>6557</v>
      </c>
      <c r="ISE1" s="3" t="s">
        <v>6558</v>
      </c>
      <c r="ISF1" s="3" t="s">
        <v>6559</v>
      </c>
      <c r="ISG1" s="3" t="s">
        <v>6560</v>
      </c>
      <c r="ISH1" s="3" t="s">
        <v>6561</v>
      </c>
      <c r="ISI1" s="3" t="s">
        <v>6562</v>
      </c>
      <c r="ISJ1" s="3" t="s">
        <v>6563</v>
      </c>
      <c r="ISK1" s="3" t="s">
        <v>6564</v>
      </c>
      <c r="ISL1" s="3" t="s">
        <v>6565</v>
      </c>
      <c r="ISM1" s="3" t="s">
        <v>6566</v>
      </c>
      <c r="ISN1" s="3" t="s">
        <v>6567</v>
      </c>
      <c r="ISO1" s="3" t="s">
        <v>6568</v>
      </c>
      <c r="ISP1" s="3" t="s">
        <v>6569</v>
      </c>
      <c r="ISQ1" s="3" t="s">
        <v>6570</v>
      </c>
      <c r="ISR1" s="3" t="s">
        <v>6571</v>
      </c>
      <c r="ISS1" s="3" t="s">
        <v>6572</v>
      </c>
      <c r="IST1" s="3" t="s">
        <v>6573</v>
      </c>
      <c r="ISU1" s="3" t="s">
        <v>6574</v>
      </c>
      <c r="ISV1" s="3" t="s">
        <v>6575</v>
      </c>
      <c r="ISW1" s="3" t="s">
        <v>6576</v>
      </c>
      <c r="ISX1" s="3" t="s">
        <v>6577</v>
      </c>
      <c r="ISY1" s="3" t="s">
        <v>6578</v>
      </c>
      <c r="ISZ1" s="3" t="s">
        <v>6579</v>
      </c>
      <c r="ITA1" s="3" t="s">
        <v>6580</v>
      </c>
      <c r="ITB1" s="3" t="s">
        <v>6581</v>
      </c>
      <c r="ITC1" s="3" t="s">
        <v>6582</v>
      </c>
      <c r="ITD1" s="3" t="s">
        <v>6583</v>
      </c>
      <c r="ITE1" s="3" t="s">
        <v>6584</v>
      </c>
      <c r="ITF1" s="3" t="s">
        <v>6585</v>
      </c>
      <c r="ITG1" s="3" t="s">
        <v>6586</v>
      </c>
      <c r="ITH1" s="3" t="s">
        <v>6587</v>
      </c>
      <c r="ITI1" s="3" t="s">
        <v>6588</v>
      </c>
      <c r="ITJ1" s="3" t="s">
        <v>6589</v>
      </c>
      <c r="ITK1" s="3" t="s">
        <v>6590</v>
      </c>
      <c r="ITL1" s="3" t="s">
        <v>6591</v>
      </c>
      <c r="ITM1" s="3" t="s">
        <v>6592</v>
      </c>
      <c r="ITN1" s="3" t="s">
        <v>6593</v>
      </c>
      <c r="ITO1" s="3" t="s">
        <v>6594</v>
      </c>
      <c r="ITP1" s="3" t="s">
        <v>6595</v>
      </c>
      <c r="ITQ1" s="3" t="s">
        <v>6596</v>
      </c>
      <c r="ITR1" s="3" t="s">
        <v>6597</v>
      </c>
      <c r="ITS1" s="3" t="s">
        <v>6598</v>
      </c>
      <c r="ITT1" s="3" t="s">
        <v>6599</v>
      </c>
      <c r="ITU1" s="3" t="s">
        <v>6600</v>
      </c>
      <c r="ITV1" s="3" t="s">
        <v>6601</v>
      </c>
      <c r="ITW1" s="3" t="s">
        <v>6602</v>
      </c>
      <c r="ITX1" s="3" t="s">
        <v>6603</v>
      </c>
      <c r="ITY1" s="3" t="s">
        <v>6604</v>
      </c>
      <c r="ITZ1" s="3" t="s">
        <v>6605</v>
      </c>
      <c r="IUA1" s="3" t="s">
        <v>6606</v>
      </c>
      <c r="IUB1" s="3" t="s">
        <v>6607</v>
      </c>
      <c r="IUC1" s="3" t="s">
        <v>6608</v>
      </c>
      <c r="IUD1" s="3" t="s">
        <v>6609</v>
      </c>
      <c r="IUE1" s="3" t="s">
        <v>6610</v>
      </c>
      <c r="IUF1" s="3" t="s">
        <v>6611</v>
      </c>
      <c r="IUG1" s="3" t="s">
        <v>6612</v>
      </c>
      <c r="IUH1" s="3" t="s">
        <v>6613</v>
      </c>
      <c r="IUI1" s="3" t="s">
        <v>6614</v>
      </c>
      <c r="IUJ1" s="3" t="s">
        <v>6615</v>
      </c>
      <c r="IUK1" s="3" t="s">
        <v>6616</v>
      </c>
      <c r="IUL1" s="3" t="s">
        <v>6617</v>
      </c>
      <c r="IUM1" s="3" t="s">
        <v>6618</v>
      </c>
      <c r="IUN1" s="3" t="s">
        <v>6619</v>
      </c>
      <c r="IUO1" s="3" t="s">
        <v>6620</v>
      </c>
      <c r="IUP1" s="3" t="s">
        <v>6621</v>
      </c>
      <c r="IUQ1" s="3" t="s">
        <v>6622</v>
      </c>
      <c r="IUR1" s="3" t="s">
        <v>6623</v>
      </c>
      <c r="IUS1" s="3" t="s">
        <v>6624</v>
      </c>
      <c r="IUT1" s="3" t="s">
        <v>6625</v>
      </c>
      <c r="IUU1" s="3" t="s">
        <v>6626</v>
      </c>
      <c r="IUV1" s="3" t="s">
        <v>6627</v>
      </c>
      <c r="IUW1" s="3" t="s">
        <v>6628</v>
      </c>
      <c r="IUX1" s="3" t="s">
        <v>6629</v>
      </c>
      <c r="IUY1" s="3" t="s">
        <v>6630</v>
      </c>
      <c r="IUZ1" s="3" t="s">
        <v>6631</v>
      </c>
      <c r="IVA1" s="3" t="s">
        <v>6632</v>
      </c>
      <c r="IVB1" s="3" t="s">
        <v>6633</v>
      </c>
      <c r="IVC1" s="3" t="s">
        <v>6634</v>
      </c>
      <c r="IVD1" s="3" t="s">
        <v>6635</v>
      </c>
      <c r="IVE1" s="3" t="s">
        <v>6636</v>
      </c>
      <c r="IVF1" s="3" t="s">
        <v>6637</v>
      </c>
      <c r="IVG1" s="3" t="s">
        <v>6638</v>
      </c>
      <c r="IVH1" s="3" t="s">
        <v>6639</v>
      </c>
      <c r="IVI1" s="3" t="s">
        <v>6640</v>
      </c>
      <c r="IVJ1" s="3" t="s">
        <v>6641</v>
      </c>
      <c r="IVK1" s="3" t="s">
        <v>6642</v>
      </c>
      <c r="IVL1" s="3" t="s">
        <v>6643</v>
      </c>
      <c r="IVM1" s="3" t="s">
        <v>6644</v>
      </c>
      <c r="IVN1" s="3" t="s">
        <v>6645</v>
      </c>
      <c r="IVO1" s="3" t="s">
        <v>6646</v>
      </c>
      <c r="IVP1" s="3" t="s">
        <v>6647</v>
      </c>
      <c r="IVQ1" s="3" t="s">
        <v>6648</v>
      </c>
      <c r="IVR1" s="3" t="s">
        <v>6649</v>
      </c>
      <c r="IVS1" s="3" t="s">
        <v>6650</v>
      </c>
      <c r="IVT1" s="3" t="s">
        <v>6651</v>
      </c>
      <c r="IVU1" s="3" t="s">
        <v>6652</v>
      </c>
      <c r="IVV1" s="3" t="s">
        <v>6653</v>
      </c>
      <c r="IVW1" s="3" t="s">
        <v>6654</v>
      </c>
      <c r="IVX1" s="3" t="s">
        <v>6655</v>
      </c>
      <c r="IVY1" s="3" t="s">
        <v>6656</v>
      </c>
      <c r="IVZ1" s="3" t="s">
        <v>6657</v>
      </c>
      <c r="IWA1" s="3" t="s">
        <v>6658</v>
      </c>
      <c r="IWB1" s="3" t="s">
        <v>6659</v>
      </c>
      <c r="IWC1" s="3" t="s">
        <v>6660</v>
      </c>
      <c r="IWD1" s="3" t="s">
        <v>6661</v>
      </c>
      <c r="IWE1" s="3" t="s">
        <v>6662</v>
      </c>
      <c r="IWF1" s="3" t="s">
        <v>6663</v>
      </c>
      <c r="IWG1" s="3" t="s">
        <v>6664</v>
      </c>
      <c r="IWH1" s="3" t="s">
        <v>6665</v>
      </c>
      <c r="IWI1" s="3" t="s">
        <v>6666</v>
      </c>
      <c r="IWJ1" s="3" t="s">
        <v>6667</v>
      </c>
      <c r="IWK1" s="3" t="s">
        <v>6668</v>
      </c>
      <c r="IWL1" s="3" t="s">
        <v>6669</v>
      </c>
      <c r="IWM1" s="3" t="s">
        <v>6670</v>
      </c>
      <c r="IWN1" s="3" t="s">
        <v>6671</v>
      </c>
      <c r="IWO1" s="3" t="s">
        <v>6672</v>
      </c>
      <c r="IWP1" s="3" t="s">
        <v>6673</v>
      </c>
      <c r="IWQ1" s="3" t="s">
        <v>6674</v>
      </c>
      <c r="IWR1" s="3" t="s">
        <v>6675</v>
      </c>
      <c r="IWS1" s="3" t="s">
        <v>6676</v>
      </c>
      <c r="IWT1" s="3" t="s">
        <v>6677</v>
      </c>
      <c r="IWU1" s="3" t="s">
        <v>6678</v>
      </c>
      <c r="IWV1" s="3" t="s">
        <v>6679</v>
      </c>
      <c r="IWW1" s="3" t="s">
        <v>6680</v>
      </c>
      <c r="IWX1" s="3" t="s">
        <v>6681</v>
      </c>
      <c r="IWY1" s="3" t="s">
        <v>6682</v>
      </c>
      <c r="IWZ1" s="3" t="s">
        <v>6683</v>
      </c>
      <c r="IXA1" s="3" t="s">
        <v>6684</v>
      </c>
      <c r="IXB1" s="3" t="s">
        <v>6685</v>
      </c>
      <c r="IXC1" s="3" t="s">
        <v>6686</v>
      </c>
      <c r="IXD1" s="3" t="s">
        <v>6687</v>
      </c>
      <c r="IXE1" s="3" t="s">
        <v>6688</v>
      </c>
      <c r="IXF1" s="3" t="s">
        <v>6689</v>
      </c>
      <c r="IXG1" s="3" t="s">
        <v>6690</v>
      </c>
      <c r="IXH1" s="3" t="s">
        <v>6691</v>
      </c>
      <c r="IXI1" s="3" t="s">
        <v>6692</v>
      </c>
      <c r="IXJ1" s="3" t="s">
        <v>6693</v>
      </c>
      <c r="IXK1" s="3" t="s">
        <v>6694</v>
      </c>
      <c r="IXL1" s="3" t="s">
        <v>6695</v>
      </c>
      <c r="IXM1" s="3" t="s">
        <v>6696</v>
      </c>
      <c r="IXN1" s="3" t="s">
        <v>6697</v>
      </c>
      <c r="IXO1" s="3" t="s">
        <v>6698</v>
      </c>
      <c r="IXP1" s="3" t="s">
        <v>6699</v>
      </c>
      <c r="IXQ1" s="3" t="s">
        <v>6700</v>
      </c>
      <c r="IXR1" s="3" t="s">
        <v>6701</v>
      </c>
      <c r="IXS1" s="3" t="s">
        <v>6702</v>
      </c>
      <c r="IXT1" s="3" t="s">
        <v>6703</v>
      </c>
      <c r="IXU1" s="3" t="s">
        <v>6704</v>
      </c>
      <c r="IXV1" s="3" t="s">
        <v>6705</v>
      </c>
      <c r="IXW1" s="3" t="s">
        <v>6706</v>
      </c>
      <c r="IXX1" s="3" t="s">
        <v>6707</v>
      </c>
      <c r="IXY1" s="3" t="s">
        <v>6708</v>
      </c>
      <c r="IXZ1" s="3" t="s">
        <v>6709</v>
      </c>
      <c r="IYA1" s="3" t="s">
        <v>6710</v>
      </c>
      <c r="IYB1" s="3" t="s">
        <v>6711</v>
      </c>
      <c r="IYC1" s="3" t="s">
        <v>6712</v>
      </c>
      <c r="IYD1" s="3" t="s">
        <v>6713</v>
      </c>
      <c r="IYE1" s="3" t="s">
        <v>6714</v>
      </c>
      <c r="IYF1" s="3" t="s">
        <v>6715</v>
      </c>
      <c r="IYG1" s="3" t="s">
        <v>6716</v>
      </c>
      <c r="IYH1" s="3" t="s">
        <v>6717</v>
      </c>
      <c r="IYI1" s="3" t="s">
        <v>6718</v>
      </c>
      <c r="IYJ1" s="3" t="s">
        <v>6719</v>
      </c>
      <c r="IYK1" s="3" t="s">
        <v>6720</v>
      </c>
      <c r="IYL1" s="3" t="s">
        <v>6721</v>
      </c>
      <c r="IYM1" s="3" t="s">
        <v>6722</v>
      </c>
      <c r="IYN1" s="3" t="s">
        <v>6723</v>
      </c>
      <c r="IYO1" s="3" t="s">
        <v>6724</v>
      </c>
      <c r="IYP1" s="3" t="s">
        <v>6725</v>
      </c>
      <c r="IYQ1" s="3" t="s">
        <v>6726</v>
      </c>
      <c r="IYR1" s="3" t="s">
        <v>6727</v>
      </c>
      <c r="IYS1" s="3" t="s">
        <v>6728</v>
      </c>
      <c r="IYT1" s="3" t="s">
        <v>6729</v>
      </c>
      <c r="IYU1" s="3" t="s">
        <v>6730</v>
      </c>
      <c r="IYV1" s="3" t="s">
        <v>6731</v>
      </c>
      <c r="IYW1" s="3" t="s">
        <v>6732</v>
      </c>
      <c r="IYX1" s="3" t="s">
        <v>6733</v>
      </c>
      <c r="IYY1" s="3" t="s">
        <v>6734</v>
      </c>
      <c r="IYZ1" s="3" t="s">
        <v>6735</v>
      </c>
      <c r="IZA1" s="3" t="s">
        <v>6736</v>
      </c>
      <c r="IZB1" s="3" t="s">
        <v>6737</v>
      </c>
      <c r="IZC1" s="3" t="s">
        <v>6738</v>
      </c>
      <c r="IZD1" s="3" t="s">
        <v>6739</v>
      </c>
      <c r="IZE1" s="3" t="s">
        <v>6740</v>
      </c>
      <c r="IZF1" s="3" t="s">
        <v>6741</v>
      </c>
      <c r="IZG1" s="3" t="s">
        <v>6742</v>
      </c>
      <c r="IZH1" s="3" t="s">
        <v>6743</v>
      </c>
      <c r="IZI1" s="3" t="s">
        <v>6744</v>
      </c>
      <c r="IZJ1" s="3" t="s">
        <v>6745</v>
      </c>
      <c r="IZK1" s="3" t="s">
        <v>6746</v>
      </c>
      <c r="IZL1" s="3" t="s">
        <v>6747</v>
      </c>
      <c r="IZM1" s="3" t="s">
        <v>6748</v>
      </c>
      <c r="IZN1" s="3" t="s">
        <v>6749</v>
      </c>
      <c r="IZO1" s="3" t="s">
        <v>6750</v>
      </c>
      <c r="IZP1" s="3" t="s">
        <v>6751</v>
      </c>
      <c r="IZQ1" s="3" t="s">
        <v>6752</v>
      </c>
      <c r="IZR1" s="3" t="s">
        <v>6753</v>
      </c>
      <c r="IZS1" s="3" t="s">
        <v>6754</v>
      </c>
      <c r="IZT1" s="3" t="s">
        <v>6755</v>
      </c>
      <c r="IZU1" s="3" t="s">
        <v>6756</v>
      </c>
      <c r="IZV1" s="3" t="s">
        <v>6757</v>
      </c>
      <c r="IZW1" s="3" t="s">
        <v>6758</v>
      </c>
      <c r="IZX1" s="3" t="s">
        <v>6759</v>
      </c>
      <c r="IZY1" s="3" t="s">
        <v>6760</v>
      </c>
      <c r="IZZ1" s="3" t="s">
        <v>6761</v>
      </c>
      <c r="JAA1" s="3" t="s">
        <v>6762</v>
      </c>
      <c r="JAB1" s="3" t="s">
        <v>6763</v>
      </c>
      <c r="JAC1" s="3" t="s">
        <v>6764</v>
      </c>
      <c r="JAD1" s="3" t="s">
        <v>6765</v>
      </c>
      <c r="JAE1" s="3" t="s">
        <v>6766</v>
      </c>
      <c r="JAF1" s="3" t="s">
        <v>6767</v>
      </c>
      <c r="JAG1" s="3" t="s">
        <v>6768</v>
      </c>
      <c r="JAH1" s="3" t="s">
        <v>6769</v>
      </c>
      <c r="JAI1" s="3" t="s">
        <v>6770</v>
      </c>
      <c r="JAJ1" s="3" t="s">
        <v>6771</v>
      </c>
      <c r="JAK1" s="3" t="s">
        <v>6772</v>
      </c>
      <c r="JAL1" s="3" t="s">
        <v>6773</v>
      </c>
      <c r="JAM1" s="3" t="s">
        <v>6774</v>
      </c>
      <c r="JAN1" s="3" t="s">
        <v>6775</v>
      </c>
      <c r="JAO1" s="3" t="s">
        <v>6776</v>
      </c>
      <c r="JAP1" s="3" t="s">
        <v>6777</v>
      </c>
      <c r="JAQ1" s="3" t="s">
        <v>6778</v>
      </c>
      <c r="JAR1" s="3" t="s">
        <v>6779</v>
      </c>
      <c r="JAS1" s="3" t="s">
        <v>6780</v>
      </c>
      <c r="JAT1" s="3" t="s">
        <v>6781</v>
      </c>
      <c r="JAU1" s="3" t="s">
        <v>6782</v>
      </c>
      <c r="JAV1" s="3" t="s">
        <v>6783</v>
      </c>
      <c r="JAW1" s="3" t="s">
        <v>6784</v>
      </c>
      <c r="JAX1" s="3" t="s">
        <v>6785</v>
      </c>
      <c r="JAY1" s="3" t="s">
        <v>6786</v>
      </c>
      <c r="JAZ1" s="3" t="s">
        <v>6787</v>
      </c>
      <c r="JBA1" s="3" t="s">
        <v>6788</v>
      </c>
      <c r="JBB1" s="3" t="s">
        <v>6789</v>
      </c>
      <c r="JBC1" s="3" t="s">
        <v>6790</v>
      </c>
      <c r="JBD1" s="3" t="s">
        <v>6791</v>
      </c>
      <c r="JBE1" s="3" t="s">
        <v>6792</v>
      </c>
      <c r="JBF1" s="3" t="s">
        <v>6793</v>
      </c>
      <c r="JBG1" s="3" t="s">
        <v>6794</v>
      </c>
      <c r="JBH1" s="3" t="s">
        <v>6795</v>
      </c>
      <c r="JBI1" s="3" t="s">
        <v>6796</v>
      </c>
      <c r="JBJ1" s="3" t="s">
        <v>6797</v>
      </c>
      <c r="JBK1" s="3" t="s">
        <v>6798</v>
      </c>
      <c r="JBL1" s="3" t="s">
        <v>6799</v>
      </c>
      <c r="JBM1" s="3" t="s">
        <v>6800</v>
      </c>
      <c r="JBN1" s="3" t="s">
        <v>6801</v>
      </c>
      <c r="JBO1" s="3" t="s">
        <v>6802</v>
      </c>
      <c r="JBP1" s="3" t="s">
        <v>6803</v>
      </c>
      <c r="JBQ1" s="3" t="s">
        <v>6804</v>
      </c>
      <c r="JBR1" s="3" t="s">
        <v>6805</v>
      </c>
      <c r="JBS1" s="3" t="s">
        <v>6806</v>
      </c>
      <c r="JBT1" s="3" t="s">
        <v>6807</v>
      </c>
      <c r="JBU1" s="3" t="s">
        <v>6808</v>
      </c>
      <c r="JBV1" s="3" t="s">
        <v>6809</v>
      </c>
      <c r="JBW1" s="3" t="s">
        <v>6810</v>
      </c>
      <c r="JBX1" s="3" t="s">
        <v>6811</v>
      </c>
      <c r="JBY1" s="3" t="s">
        <v>6812</v>
      </c>
      <c r="JBZ1" s="3" t="s">
        <v>6813</v>
      </c>
      <c r="JCA1" s="3" t="s">
        <v>6814</v>
      </c>
      <c r="JCB1" s="3" t="s">
        <v>6815</v>
      </c>
      <c r="JCC1" s="3" t="s">
        <v>6816</v>
      </c>
      <c r="JCD1" s="3" t="s">
        <v>6817</v>
      </c>
      <c r="JCE1" s="3" t="s">
        <v>6818</v>
      </c>
      <c r="JCF1" s="3" t="s">
        <v>6819</v>
      </c>
      <c r="JCG1" s="3" t="s">
        <v>6820</v>
      </c>
      <c r="JCH1" s="3" t="s">
        <v>6821</v>
      </c>
      <c r="JCI1" s="3" t="s">
        <v>6822</v>
      </c>
      <c r="JCJ1" s="3" t="s">
        <v>6823</v>
      </c>
      <c r="JCK1" s="3" t="s">
        <v>6824</v>
      </c>
      <c r="JCL1" s="3" t="s">
        <v>6825</v>
      </c>
      <c r="JCM1" s="3" t="s">
        <v>6826</v>
      </c>
      <c r="JCN1" s="3" t="s">
        <v>6827</v>
      </c>
      <c r="JCO1" s="3" t="s">
        <v>6828</v>
      </c>
      <c r="JCP1" s="3" t="s">
        <v>6829</v>
      </c>
      <c r="JCQ1" s="3" t="s">
        <v>6830</v>
      </c>
      <c r="JCR1" s="3" t="s">
        <v>6831</v>
      </c>
      <c r="JCS1" s="3" t="s">
        <v>6832</v>
      </c>
      <c r="JCT1" s="3" t="s">
        <v>6833</v>
      </c>
      <c r="JCU1" s="3" t="s">
        <v>6834</v>
      </c>
      <c r="JCV1" s="3" t="s">
        <v>6835</v>
      </c>
      <c r="JCW1" s="3" t="s">
        <v>6836</v>
      </c>
      <c r="JCX1" s="3" t="s">
        <v>6837</v>
      </c>
      <c r="JCY1" s="3" t="s">
        <v>6838</v>
      </c>
      <c r="JCZ1" s="3" t="s">
        <v>6839</v>
      </c>
      <c r="JDA1" s="3" t="s">
        <v>6840</v>
      </c>
      <c r="JDB1" s="3" t="s">
        <v>6841</v>
      </c>
      <c r="JDC1" s="3" t="s">
        <v>6842</v>
      </c>
      <c r="JDD1" s="3" t="s">
        <v>6843</v>
      </c>
      <c r="JDE1" s="3" t="s">
        <v>6844</v>
      </c>
      <c r="JDF1" s="3" t="s">
        <v>6845</v>
      </c>
      <c r="JDG1" s="3" t="s">
        <v>6846</v>
      </c>
      <c r="JDH1" s="3" t="s">
        <v>6847</v>
      </c>
      <c r="JDI1" s="3" t="s">
        <v>6848</v>
      </c>
      <c r="JDJ1" s="3" t="s">
        <v>6849</v>
      </c>
      <c r="JDK1" s="3" t="s">
        <v>6850</v>
      </c>
      <c r="JDL1" s="3" t="s">
        <v>6851</v>
      </c>
      <c r="JDM1" s="3" t="s">
        <v>6852</v>
      </c>
      <c r="JDN1" s="3" t="s">
        <v>6853</v>
      </c>
      <c r="JDO1" s="3" t="s">
        <v>6854</v>
      </c>
      <c r="JDP1" s="3" t="s">
        <v>6855</v>
      </c>
      <c r="JDQ1" s="3" t="s">
        <v>6856</v>
      </c>
      <c r="JDR1" s="3" t="s">
        <v>6857</v>
      </c>
      <c r="JDS1" s="3" t="s">
        <v>6858</v>
      </c>
      <c r="JDT1" s="3" t="s">
        <v>6859</v>
      </c>
      <c r="JDU1" s="3" t="s">
        <v>6860</v>
      </c>
      <c r="JDV1" s="3" t="s">
        <v>6861</v>
      </c>
      <c r="JDW1" s="3" t="s">
        <v>6862</v>
      </c>
      <c r="JDX1" s="3" t="s">
        <v>6863</v>
      </c>
      <c r="JDY1" s="3" t="s">
        <v>6864</v>
      </c>
      <c r="JDZ1" s="3" t="s">
        <v>6865</v>
      </c>
      <c r="JEA1" s="3" t="s">
        <v>6866</v>
      </c>
      <c r="JEB1" s="3" t="s">
        <v>6867</v>
      </c>
      <c r="JEC1" s="3" t="s">
        <v>6868</v>
      </c>
      <c r="JED1" s="3" t="s">
        <v>6869</v>
      </c>
      <c r="JEE1" s="3" t="s">
        <v>6870</v>
      </c>
      <c r="JEF1" s="3" t="s">
        <v>6871</v>
      </c>
      <c r="JEG1" s="3" t="s">
        <v>6872</v>
      </c>
      <c r="JEH1" s="3" t="s">
        <v>6873</v>
      </c>
      <c r="JEI1" s="3" t="s">
        <v>6874</v>
      </c>
      <c r="JEJ1" s="3" t="s">
        <v>6875</v>
      </c>
      <c r="JEK1" s="3" t="s">
        <v>6876</v>
      </c>
      <c r="JEL1" s="3" t="s">
        <v>6877</v>
      </c>
      <c r="JEM1" s="3" t="s">
        <v>6878</v>
      </c>
      <c r="JEN1" s="3" t="s">
        <v>6879</v>
      </c>
      <c r="JEO1" s="3" t="s">
        <v>6880</v>
      </c>
      <c r="JEP1" s="3" t="s">
        <v>6881</v>
      </c>
      <c r="JEQ1" s="3" t="s">
        <v>6882</v>
      </c>
      <c r="JER1" s="3" t="s">
        <v>6883</v>
      </c>
      <c r="JES1" s="3" t="s">
        <v>6884</v>
      </c>
      <c r="JET1" s="3" t="s">
        <v>6885</v>
      </c>
      <c r="JEU1" s="3" t="s">
        <v>6886</v>
      </c>
      <c r="JEV1" s="3" t="s">
        <v>6887</v>
      </c>
      <c r="JEW1" s="3" t="s">
        <v>6888</v>
      </c>
      <c r="JEX1" s="3" t="s">
        <v>6889</v>
      </c>
      <c r="JEY1" s="3" t="s">
        <v>6890</v>
      </c>
      <c r="JEZ1" s="3" t="s">
        <v>6891</v>
      </c>
      <c r="JFA1" s="3" t="s">
        <v>6892</v>
      </c>
      <c r="JFB1" s="3" t="s">
        <v>6893</v>
      </c>
      <c r="JFC1" s="3" t="s">
        <v>6894</v>
      </c>
      <c r="JFD1" s="3" t="s">
        <v>6895</v>
      </c>
      <c r="JFE1" s="3" t="s">
        <v>6896</v>
      </c>
      <c r="JFF1" s="3" t="s">
        <v>6897</v>
      </c>
      <c r="JFG1" s="3" t="s">
        <v>6898</v>
      </c>
      <c r="JFH1" s="3" t="s">
        <v>6899</v>
      </c>
      <c r="JFI1" s="3" t="s">
        <v>6900</v>
      </c>
      <c r="JFJ1" s="3" t="s">
        <v>6901</v>
      </c>
      <c r="JFK1" s="3" t="s">
        <v>6902</v>
      </c>
      <c r="JFL1" s="3" t="s">
        <v>6903</v>
      </c>
      <c r="JFM1" s="3" t="s">
        <v>6904</v>
      </c>
      <c r="JFN1" s="3" t="s">
        <v>6905</v>
      </c>
      <c r="JFO1" s="3" t="s">
        <v>6906</v>
      </c>
      <c r="JFP1" s="3" t="s">
        <v>6907</v>
      </c>
      <c r="JFQ1" s="3" t="s">
        <v>6908</v>
      </c>
      <c r="JFR1" s="3" t="s">
        <v>6909</v>
      </c>
      <c r="JFS1" s="3" t="s">
        <v>6910</v>
      </c>
      <c r="JFT1" s="3" t="s">
        <v>6911</v>
      </c>
      <c r="JFU1" s="3" t="s">
        <v>6912</v>
      </c>
      <c r="JFV1" s="3" t="s">
        <v>6913</v>
      </c>
      <c r="JFW1" s="3" t="s">
        <v>6914</v>
      </c>
      <c r="JFX1" s="3" t="s">
        <v>6915</v>
      </c>
      <c r="JFY1" s="3" t="s">
        <v>6916</v>
      </c>
      <c r="JFZ1" s="3" t="s">
        <v>6917</v>
      </c>
      <c r="JGA1" s="3" t="s">
        <v>6918</v>
      </c>
      <c r="JGB1" s="3" t="s">
        <v>6919</v>
      </c>
      <c r="JGC1" s="3" t="s">
        <v>6920</v>
      </c>
      <c r="JGD1" s="3" t="s">
        <v>6921</v>
      </c>
      <c r="JGE1" s="3" t="s">
        <v>6922</v>
      </c>
      <c r="JGF1" s="3" t="s">
        <v>6923</v>
      </c>
      <c r="JGG1" s="3" t="s">
        <v>6924</v>
      </c>
      <c r="JGH1" s="3" t="s">
        <v>6925</v>
      </c>
      <c r="JGI1" s="3" t="s">
        <v>6926</v>
      </c>
      <c r="JGJ1" s="3" t="s">
        <v>6927</v>
      </c>
      <c r="JGK1" s="3" t="s">
        <v>6928</v>
      </c>
      <c r="JGL1" s="3" t="s">
        <v>6929</v>
      </c>
      <c r="JGM1" s="3" t="s">
        <v>6930</v>
      </c>
      <c r="JGN1" s="3" t="s">
        <v>6931</v>
      </c>
      <c r="JGO1" s="3" t="s">
        <v>6932</v>
      </c>
      <c r="JGP1" s="3" t="s">
        <v>6933</v>
      </c>
      <c r="JGQ1" s="3" t="s">
        <v>6934</v>
      </c>
      <c r="JGR1" s="3" t="s">
        <v>6935</v>
      </c>
      <c r="JGS1" s="3" t="s">
        <v>6936</v>
      </c>
      <c r="JGT1" s="3" t="s">
        <v>6937</v>
      </c>
      <c r="JGU1" s="3" t="s">
        <v>6938</v>
      </c>
      <c r="JGV1" s="3" t="s">
        <v>6939</v>
      </c>
      <c r="JGW1" s="3" t="s">
        <v>6940</v>
      </c>
      <c r="JGX1" s="3" t="s">
        <v>6941</v>
      </c>
      <c r="JGY1" s="3" t="s">
        <v>6942</v>
      </c>
      <c r="JGZ1" s="3" t="s">
        <v>6943</v>
      </c>
      <c r="JHA1" s="3" t="s">
        <v>6944</v>
      </c>
      <c r="JHB1" s="3" t="s">
        <v>6945</v>
      </c>
      <c r="JHC1" s="3" t="s">
        <v>6946</v>
      </c>
      <c r="JHD1" s="3" t="s">
        <v>6947</v>
      </c>
      <c r="JHE1" s="3" t="s">
        <v>6948</v>
      </c>
      <c r="JHF1" s="3" t="s">
        <v>6949</v>
      </c>
      <c r="JHG1" s="3" t="s">
        <v>6950</v>
      </c>
      <c r="JHH1" s="3" t="s">
        <v>6951</v>
      </c>
      <c r="JHI1" s="3" t="s">
        <v>6952</v>
      </c>
      <c r="JHJ1" s="3" t="s">
        <v>6953</v>
      </c>
      <c r="JHK1" s="3" t="s">
        <v>6954</v>
      </c>
      <c r="JHL1" s="3" t="s">
        <v>6955</v>
      </c>
      <c r="JHM1" s="3" t="s">
        <v>6956</v>
      </c>
      <c r="JHN1" s="3" t="s">
        <v>6957</v>
      </c>
      <c r="JHO1" s="3" t="s">
        <v>6958</v>
      </c>
      <c r="JHP1" s="3" t="s">
        <v>6959</v>
      </c>
      <c r="JHQ1" s="3" t="s">
        <v>6960</v>
      </c>
      <c r="JHR1" s="3" t="s">
        <v>6961</v>
      </c>
      <c r="JHS1" s="3" t="s">
        <v>6962</v>
      </c>
      <c r="JHT1" s="3" t="s">
        <v>6963</v>
      </c>
      <c r="JHU1" s="3" t="s">
        <v>6964</v>
      </c>
      <c r="JHV1" s="3" t="s">
        <v>6965</v>
      </c>
      <c r="JHW1" s="3" t="s">
        <v>6966</v>
      </c>
      <c r="JHX1" s="3" t="s">
        <v>6967</v>
      </c>
      <c r="JHY1" s="3" t="s">
        <v>6968</v>
      </c>
      <c r="JHZ1" s="3" t="s">
        <v>6969</v>
      </c>
      <c r="JIA1" s="3" t="s">
        <v>6970</v>
      </c>
      <c r="JIB1" s="3" t="s">
        <v>6971</v>
      </c>
      <c r="JIC1" s="3" t="s">
        <v>6972</v>
      </c>
      <c r="JID1" s="3" t="s">
        <v>6973</v>
      </c>
      <c r="JIE1" s="3" t="s">
        <v>6974</v>
      </c>
      <c r="JIF1" s="3" t="s">
        <v>6975</v>
      </c>
      <c r="JIG1" s="3" t="s">
        <v>6976</v>
      </c>
      <c r="JIH1" s="3" t="s">
        <v>6977</v>
      </c>
      <c r="JII1" s="3" t="s">
        <v>6978</v>
      </c>
      <c r="JIJ1" s="3" t="s">
        <v>6979</v>
      </c>
      <c r="JIK1" s="3" t="s">
        <v>6980</v>
      </c>
      <c r="JIL1" s="3" t="s">
        <v>6981</v>
      </c>
      <c r="JIM1" s="3" t="s">
        <v>6982</v>
      </c>
      <c r="JIN1" s="3" t="s">
        <v>6983</v>
      </c>
      <c r="JIO1" s="3" t="s">
        <v>6984</v>
      </c>
      <c r="JIP1" s="3" t="s">
        <v>6985</v>
      </c>
      <c r="JIQ1" s="3" t="s">
        <v>6986</v>
      </c>
      <c r="JIR1" s="3" t="s">
        <v>6987</v>
      </c>
      <c r="JIS1" s="3" t="s">
        <v>6988</v>
      </c>
      <c r="JIT1" s="3" t="s">
        <v>6989</v>
      </c>
      <c r="JIU1" s="3" t="s">
        <v>6990</v>
      </c>
      <c r="JIV1" s="3" t="s">
        <v>6991</v>
      </c>
      <c r="JIW1" s="3" t="s">
        <v>6992</v>
      </c>
      <c r="JIX1" s="3" t="s">
        <v>6993</v>
      </c>
      <c r="JIY1" s="3" t="s">
        <v>6994</v>
      </c>
      <c r="JIZ1" s="3" t="s">
        <v>6995</v>
      </c>
      <c r="JJA1" s="3" t="s">
        <v>6996</v>
      </c>
      <c r="JJB1" s="3" t="s">
        <v>6997</v>
      </c>
      <c r="JJC1" s="3" t="s">
        <v>6998</v>
      </c>
      <c r="JJD1" s="3" t="s">
        <v>6999</v>
      </c>
      <c r="JJE1" s="3" t="s">
        <v>7000</v>
      </c>
      <c r="JJF1" s="3" t="s">
        <v>7001</v>
      </c>
      <c r="JJG1" s="3" t="s">
        <v>7002</v>
      </c>
      <c r="JJH1" s="3" t="s">
        <v>7003</v>
      </c>
      <c r="JJI1" s="3" t="s">
        <v>7004</v>
      </c>
      <c r="JJJ1" s="3" t="s">
        <v>7005</v>
      </c>
      <c r="JJK1" s="3" t="s">
        <v>7006</v>
      </c>
      <c r="JJL1" s="3" t="s">
        <v>7007</v>
      </c>
      <c r="JJM1" s="3" t="s">
        <v>7008</v>
      </c>
      <c r="JJN1" s="3" t="s">
        <v>7009</v>
      </c>
      <c r="JJO1" s="3" t="s">
        <v>7010</v>
      </c>
      <c r="JJP1" s="3" t="s">
        <v>7011</v>
      </c>
      <c r="JJQ1" s="3" t="s">
        <v>7012</v>
      </c>
      <c r="JJR1" s="3" t="s">
        <v>7013</v>
      </c>
      <c r="JJS1" s="3" t="s">
        <v>7014</v>
      </c>
      <c r="JJT1" s="3" t="s">
        <v>7015</v>
      </c>
      <c r="JJU1" s="3" t="s">
        <v>7016</v>
      </c>
      <c r="JJV1" s="3" t="s">
        <v>7017</v>
      </c>
      <c r="JJW1" s="3" t="s">
        <v>7018</v>
      </c>
      <c r="JJX1" s="3" t="s">
        <v>7019</v>
      </c>
      <c r="JJY1" s="3" t="s">
        <v>7020</v>
      </c>
      <c r="JJZ1" s="3" t="s">
        <v>7021</v>
      </c>
      <c r="JKA1" s="3" t="s">
        <v>7022</v>
      </c>
      <c r="JKB1" s="3" t="s">
        <v>7023</v>
      </c>
      <c r="JKC1" s="3" t="s">
        <v>7024</v>
      </c>
      <c r="JKD1" s="3" t="s">
        <v>7025</v>
      </c>
      <c r="JKE1" s="3" t="s">
        <v>7026</v>
      </c>
      <c r="JKF1" s="3" t="s">
        <v>7027</v>
      </c>
      <c r="JKG1" s="3" t="s">
        <v>7028</v>
      </c>
      <c r="JKH1" s="3" t="s">
        <v>7029</v>
      </c>
      <c r="JKI1" s="3" t="s">
        <v>7030</v>
      </c>
      <c r="JKJ1" s="3" t="s">
        <v>7031</v>
      </c>
      <c r="JKK1" s="3" t="s">
        <v>7032</v>
      </c>
      <c r="JKL1" s="3" t="s">
        <v>7033</v>
      </c>
      <c r="JKM1" s="3" t="s">
        <v>7034</v>
      </c>
      <c r="JKN1" s="3" t="s">
        <v>7035</v>
      </c>
      <c r="JKO1" s="3" t="s">
        <v>7036</v>
      </c>
      <c r="JKP1" s="3" t="s">
        <v>7037</v>
      </c>
      <c r="JKQ1" s="3" t="s">
        <v>7038</v>
      </c>
      <c r="JKR1" s="3" t="s">
        <v>7039</v>
      </c>
      <c r="JKS1" s="3" t="s">
        <v>7040</v>
      </c>
      <c r="JKT1" s="3" t="s">
        <v>7041</v>
      </c>
      <c r="JKU1" s="3" t="s">
        <v>7042</v>
      </c>
      <c r="JKV1" s="3" t="s">
        <v>7043</v>
      </c>
      <c r="JKW1" s="3" t="s">
        <v>7044</v>
      </c>
      <c r="JKX1" s="3" t="s">
        <v>7045</v>
      </c>
      <c r="JKY1" s="3" t="s">
        <v>7046</v>
      </c>
      <c r="JKZ1" s="3" t="s">
        <v>7047</v>
      </c>
      <c r="JLA1" s="3" t="s">
        <v>7048</v>
      </c>
      <c r="JLB1" s="3" t="s">
        <v>7049</v>
      </c>
      <c r="JLC1" s="3" t="s">
        <v>7050</v>
      </c>
      <c r="JLD1" s="3" t="s">
        <v>7051</v>
      </c>
      <c r="JLE1" s="3" t="s">
        <v>7052</v>
      </c>
      <c r="JLF1" s="3" t="s">
        <v>7053</v>
      </c>
      <c r="JLG1" s="3" t="s">
        <v>7054</v>
      </c>
      <c r="JLH1" s="3" t="s">
        <v>7055</v>
      </c>
      <c r="JLI1" s="3" t="s">
        <v>7056</v>
      </c>
      <c r="JLJ1" s="3" t="s">
        <v>7057</v>
      </c>
      <c r="JLK1" s="3" t="s">
        <v>7058</v>
      </c>
      <c r="JLL1" s="3" t="s">
        <v>7059</v>
      </c>
      <c r="JLM1" s="3" t="s">
        <v>7060</v>
      </c>
      <c r="JLN1" s="3" t="s">
        <v>7061</v>
      </c>
      <c r="JLO1" s="3" t="s">
        <v>7062</v>
      </c>
      <c r="JLP1" s="3" t="s">
        <v>7063</v>
      </c>
      <c r="JLQ1" s="3" t="s">
        <v>7064</v>
      </c>
      <c r="JLR1" s="3" t="s">
        <v>7065</v>
      </c>
      <c r="JLS1" s="3" t="s">
        <v>7066</v>
      </c>
      <c r="JLT1" s="3" t="s">
        <v>7067</v>
      </c>
      <c r="JLU1" s="3" t="s">
        <v>7068</v>
      </c>
      <c r="JLV1" s="3" t="s">
        <v>7069</v>
      </c>
      <c r="JLW1" s="3" t="s">
        <v>7070</v>
      </c>
      <c r="JLX1" s="3" t="s">
        <v>7071</v>
      </c>
      <c r="JLY1" s="3" t="s">
        <v>7072</v>
      </c>
      <c r="JLZ1" s="3" t="s">
        <v>7073</v>
      </c>
      <c r="JMA1" s="3" t="s">
        <v>7074</v>
      </c>
      <c r="JMB1" s="3" t="s">
        <v>7075</v>
      </c>
      <c r="JMC1" s="3" t="s">
        <v>7076</v>
      </c>
      <c r="JMD1" s="3" t="s">
        <v>7077</v>
      </c>
      <c r="JME1" s="3" t="s">
        <v>7078</v>
      </c>
      <c r="JMF1" s="3" t="s">
        <v>7079</v>
      </c>
      <c r="JMG1" s="3" t="s">
        <v>7080</v>
      </c>
      <c r="JMH1" s="3" t="s">
        <v>7081</v>
      </c>
      <c r="JMI1" s="3" t="s">
        <v>7082</v>
      </c>
      <c r="JMJ1" s="3" t="s">
        <v>7083</v>
      </c>
      <c r="JMK1" s="3" t="s">
        <v>7084</v>
      </c>
      <c r="JML1" s="3" t="s">
        <v>7085</v>
      </c>
      <c r="JMM1" s="3" t="s">
        <v>7086</v>
      </c>
      <c r="JMN1" s="3" t="s">
        <v>7087</v>
      </c>
      <c r="JMO1" s="3" t="s">
        <v>7088</v>
      </c>
      <c r="JMP1" s="3" t="s">
        <v>7089</v>
      </c>
      <c r="JMQ1" s="3" t="s">
        <v>7090</v>
      </c>
      <c r="JMR1" s="3" t="s">
        <v>7091</v>
      </c>
      <c r="JMS1" s="3" t="s">
        <v>7092</v>
      </c>
      <c r="JMT1" s="3" t="s">
        <v>7093</v>
      </c>
      <c r="JMU1" s="3" t="s">
        <v>7094</v>
      </c>
      <c r="JMV1" s="3" t="s">
        <v>7095</v>
      </c>
      <c r="JMW1" s="3" t="s">
        <v>7096</v>
      </c>
      <c r="JMX1" s="3" t="s">
        <v>7097</v>
      </c>
      <c r="JMY1" s="3" t="s">
        <v>7098</v>
      </c>
      <c r="JMZ1" s="3" t="s">
        <v>7099</v>
      </c>
      <c r="JNA1" s="3" t="s">
        <v>7100</v>
      </c>
      <c r="JNB1" s="3" t="s">
        <v>7101</v>
      </c>
      <c r="JNC1" s="3" t="s">
        <v>7102</v>
      </c>
      <c r="JND1" s="3" t="s">
        <v>7103</v>
      </c>
      <c r="JNE1" s="3" t="s">
        <v>7104</v>
      </c>
      <c r="JNF1" s="3" t="s">
        <v>7105</v>
      </c>
      <c r="JNG1" s="3" t="s">
        <v>7106</v>
      </c>
      <c r="JNH1" s="3" t="s">
        <v>7107</v>
      </c>
      <c r="JNI1" s="3" t="s">
        <v>7108</v>
      </c>
      <c r="JNJ1" s="3" t="s">
        <v>7109</v>
      </c>
      <c r="JNK1" s="3" t="s">
        <v>7110</v>
      </c>
      <c r="JNL1" s="3" t="s">
        <v>7111</v>
      </c>
      <c r="JNM1" s="3" t="s">
        <v>7112</v>
      </c>
      <c r="JNN1" s="3" t="s">
        <v>7113</v>
      </c>
      <c r="JNO1" s="3" t="s">
        <v>7114</v>
      </c>
      <c r="JNP1" s="3" t="s">
        <v>7115</v>
      </c>
      <c r="JNQ1" s="3" t="s">
        <v>7116</v>
      </c>
      <c r="JNR1" s="3" t="s">
        <v>7117</v>
      </c>
      <c r="JNS1" s="3" t="s">
        <v>7118</v>
      </c>
      <c r="JNT1" s="3" t="s">
        <v>7119</v>
      </c>
      <c r="JNU1" s="3" t="s">
        <v>7120</v>
      </c>
      <c r="JNV1" s="3" t="s">
        <v>7121</v>
      </c>
      <c r="JNW1" s="3" t="s">
        <v>7122</v>
      </c>
      <c r="JNX1" s="3" t="s">
        <v>7123</v>
      </c>
      <c r="JNY1" s="3" t="s">
        <v>7124</v>
      </c>
      <c r="JNZ1" s="3" t="s">
        <v>7125</v>
      </c>
      <c r="JOA1" s="3" t="s">
        <v>7126</v>
      </c>
      <c r="JOB1" s="3" t="s">
        <v>7127</v>
      </c>
      <c r="JOC1" s="3" t="s">
        <v>7128</v>
      </c>
      <c r="JOD1" s="3" t="s">
        <v>7129</v>
      </c>
      <c r="JOE1" s="3" t="s">
        <v>7130</v>
      </c>
      <c r="JOF1" s="3" t="s">
        <v>7131</v>
      </c>
      <c r="JOG1" s="3" t="s">
        <v>7132</v>
      </c>
      <c r="JOH1" s="3" t="s">
        <v>7133</v>
      </c>
      <c r="JOI1" s="3" t="s">
        <v>7134</v>
      </c>
      <c r="JOJ1" s="3" t="s">
        <v>7135</v>
      </c>
      <c r="JOK1" s="3" t="s">
        <v>7136</v>
      </c>
      <c r="JOL1" s="3" t="s">
        <v>7137</v>
      </c>
      <c r="JOM1" s="3" t="s">
        <v>7138</v>
      </c>
      <c r="JON1" s="3" t="s">
        <v>7139</v>
      </c>
      <c r="JOO1" s="3" t="s">
        <v>7140</v>
      </c>
      <c r="JOP1" s="3" t="s">
        <v>7141</v>
      </c>
      <c r="JOQ1" s="3" t="s">
        <v>7142</v>
      </c>
      <c r="JOR1" s="3" t="s">
        <v>7143</v>
      </c>
      <c r="JOS1" s="3" t="s">
        <v>7144</v>
      </c>
      <c r="JOT1" s="3" t="s">
        <v>7145</v>
      </c>
      <c r="JOU1" s="3" t="s">
        <v>7146</v>
      </c>
      <c r="JOV1" s="3" t="s">
        <v>7147</v>
      </c>
      <c r="JOW1" s="3" t="s">
        <v>7148</v>
      </c>
      <c r="JOX1" s="3" t="s">
        <v>7149</v>
      </c>
      <c r="JOY1" s="3" t="s">
        <v>7150</v>
      </c>
      <c r="JOZ1" s="3" t="s">
        <v>7151</v>
      </c>
      <c r="JPA1" s="3" t="s">
        <v>7152</v>
      </c>
      <c r="JPB1" s="3" t="s">
        <v>7153</v>
      </c>
      <c r="JPC1" s="3" t="s">
        <v>7154</v>
      </c>
      <c r="JPD1" s="3" t="s">
        <v>7155</v>
      </c>
      <c r="JPE1" s="3" t="s">
        <v>7156</v>
      </c>
      <c r="JPF1" s="3" t="s">
        <v>7157</v>
      </c>
      <c r="JPG1" s="3" t="s">
        <v>7158</v>
      </c>
      <c r="JPH1" s="3" t="s">
        <v>7159</v>
      </c>
      <c r="JPI1" s="3" t="s">
        <v>7160</v>
      </c>
      <c r="JPJ1" s="3" t="s">
        <v>7161</v>
      </c>
      <c r="JPK1" s="3" t="s">
        <v>7162</v>
      </c>
      <c r="JPL1" s="3" t="s">
        <v>7163</v>
      </c>
      <c r="JPM1" s="3" t="s">
        <v>7164</v>
      </c>
      <c r="JPN1" s="3" t="s">
        <v>7165</v>
      </c>
      <c r="JPO1" s="3" t="s">
        <v>7166</v>
      </c>
      <c r="JPP1" s="3" t="s">
        <v>7167</v>
      </c>
      <c r="JPQ1" s="3" t="s">
        <v>7168</v>
      </c>
      <c r="JPR1" s="3" t="s">
        <v>7169</v>
      </c>
      <c r="JPS1" s="3" t="s">
        <v>7170</v>
      </c>
      <c r="JPT1" s="3" t="s">
        <v>7171</v>
      </c>
      <c r="JPU1" s="3" t="s">
        <v>7172</v>
      </c>
      <c r="JPV1" s="3" t="s">
        <v>7173</v>
      </c>
      <c r="JPW1" s="3" t="s">
        <v>7174</v>
      </c>
      <c r="JPX1" s="3" t="s">
        <v>7175</v>
      </c>
      <c r="JPY1" s="3" t="s">
        <v>7176</v>
      </c>
      <c r="JPZ1" s="3" t="s">
        <v>7177</v>
      </c>
      <c r="JQA1" s="3" t="s">
        <v>7178</v>
      </c>
      <c r="JQB1" s="3" t="s">
        <v>7179</v>
      </c>
      <c r="JQC1" s="3" t="s">
        <v>7180</v>
      </c>
      <c r="JQD1" s="3" t="s">
        <v>7181</v>
      </c>
      <c r="JQE1" s="3" t="s">
        <v>7182</v>
      </c>
      <c r="JQF1" s="3" t="s">
        <v>7183</v>
      </c>
      <c r="JQG1" s="3" t="s">
        <v>7184</v>
      </c>
      <c r="JQH1" s="3" t="s">
        <v>7185</v>
      </c>
      <c r="JQI1" s="3" t="s">
        <v>7186</v>
      </c>
      <c r="JQJ1" s="3" t="s">
        <v>7187</v>
      </c>
      <c r="JQK1" s="3" t="s">
        <v>7188</v>
      </c>
      <c r="JQL1" s="3" t="s">
        <v>7189</v>
      </c>
      <c r="JQM1" s="3" t="s">
        <v>7190</v>
      </c>
      <c r="JQN1" s="3" t="s">
        <v>7191</v>
      </c>
      <c r="JQO1" s="3" t="s">
        <v>7192</v>
      </c>
      <c r="JQP1" s="3" t="s">
        <v>7193</v>
      </c>
      <c r="JQQ1" s="3" t="s">
        <v>7194</v>
      </c>
      <c r="JQR1" s="3" t="s">
        <v>7195</v>
      </c>
      <c r="JQS1" s="3" t="s">
        <v>7196</v>
      </c>
      <c r="JQT1" s="3" t="s">
        <v>7197</v>
      </c>
      <c r="JQU1" s="3" t="s">
        <v>7198</v>
      </c>
      <c r="JQV1" s="3" t="s">
        <v>7199</v>
      </c>
      <c r="JQW1" s="3" t="s">
        <v>7200</v>
      </c>
      <c r="JQX1" s="3" t="s">
        <v>7201</v>
      </c>
      <c r="JQY1" s="3" t="s">
        <v>7202</v>
      </c>
      <c r="JQZ1" s="3" t="s">
        <v>7203</v>
      </c>
      <c r="JRA1" s="3" t="s">
        <v>7204</v>
      </c>
      <c r="JRB1" s="3" t="s">
        <v>7205</v>
      </c>
      <c r="JRC1" s="3" t="s">
        <v>7206</v>
      </c>
      <c r="JRD1" s="3" t="s">
        <v>7207</v>
      </c>
      <c r="JRE1" s="3" t="s">
        <v>7208</v>
      </c>
      <c r="JRF1" s="3" t="s">
        <v>7209</v>
      </c>
      <c r="JRG1" s="3" t="s">
        <v>7210</v>
      </c>
      <c r="JRH1" s="3" t="s">
        <v>7211</v>
      </c>
      <c r="JRI1" s="3" t="s">
        <v>7212</v>
      </c>
      <c r="JRJ1" s="3" t="s">
        <v>7213</v>
      </c>
      <c r="JRK1" s="3" t="s">
        <v>7214</v>
      </c>
      <c r="JRL1" s="3" t="s">
        <v>7215</v>
      </c>
      <c r="JRM1" s="3" t="s">
        <v>7216</v>
      </c>
      <c r="JRN1" s="3" t="s">
        <v>7217</v>
      </c>
      <c r="JRO1" s="3" t="s">
        <v>7218</v>
      </c>
      <c r="JRP1" s="3" t="s">
        <v>7219</v>
      </c>
      <c r="JRQ1" s="3" t="s">
        <v>7220</v>
      </c>
      <c r="JRR1" s="3" t="s">
        <v>7221</v>
      </c>
      <c r="JRS1" s="3" t="s">
        <v>7222</v>
      </c>
      <c r="JRT1" s="3" t="s">
        <v>7223</v>
      </c>
      <c r="JRU1" s="3" t="s">
        <v>7224</v>
      </c>
      <c r="JRV1" s="3" t="s">
        <v>7225</v>
      </c>
      <c r="JRW1" s="3" t="s">
        <v>7226</v>
      </c>
      <c r="JRX1" s="3" t="s">
        <v>7227</v>
      </c>
      <c r="JRY1" s="3" t="s">
        <v>7228</v>
      </c>
      <c r="JRZ1" s="3" t="s">
        <v>7229</v>
      </c>
      <c r="JSA1" s="3" t="s">
        <v>7230</v>
      </c>
      <c r="JSB1" s="3" t="s">
        <v>7231</v>
      </c>
      <c r="JSC1" s="3" t="s">
        <v>7232</v>
      </c>
      <c r="JSD1" s="3" t="s">
        <v>7233</v>
      </c>
      <c r="JSE1" s="3" t="s">
        <v>7234</v>
      </c>
      <c r="JSF1" s="3" t="s">
        <v>7235</v>
      </c>
      <c r="JSG1" s="3" t="s">
        <v>7236</v>
      </c>
      <c r="JSH1" s="3" t="s">
        <v>7237</v>
      </c>
      <c r="JSI1" s="3" t="s">
        <v>7238</v>
      </c>
      <c r="JSJ1" s="3" t="s">
        <v>7239</v>
      </c>
      <c r="JSK1" s="3" t="s">
        <v>7240</v>
      </c>
      <c r="JSL1" s="3" t="s">
        <v>7241</v>
      </c>
      <c r="JSM1" s="3" t="s">
        <v>7242</v>
      </c>
      <c r="JSN1" s="3" t="s">
        <v>7243</v>
      </c>
      <c r="JSO1" s="3" t="s">
        <v>7244</v>
      </c>
      <c r="JSP1" s="3" t="s">
        <v>7245</v>
      </c>
      <c r="JSQ1" s="3" t="s">
        <v>7246</v>
      </c>
      <c r="JSR1" s="3" t="s">
        <v>7247</v>
      </c>
      <c r="JSS1" s="3" t="s">
        <v>7248</v>
      </c>
      <c r="JST1" s="3" t="s">
        <v>7249</v>
      </c>
      <c r="JSU1" s="3" t="s">
        <v>7250</v>
      </c>
      <c r="JSV1" s="3" t="s">
        <v>7251</v>
      </c>
      <c r="JSW1" s="3" t="s">
        <v>7252</v>
      </c>
      <c r="JSX1" s="3" t="s">
        <v>7253</v>
      </c>
      <c r="JSY1" s="3" t="s">
        <v>7254</v>
      </c>
      <c r="JSZ1" s="3" t="s">
        <v>7255</v>
      </c>
      <c r="JTA1" s="3" t="s">
        <v>7256</v>
      </c>
      <c r="JTB1" s="3" t="s">
        <v>7257</v>
      </c>
      <c r="JTC1" s="3" t="s">
        <v>7258</v>
      </c>
      <c r="JTD1" s="3" t="s">
        <v>7259</v>
      </c>
      <c r="JTE1" s="3" t="s">
        <v>7260</v>
      </c>
      <c r="JTF1" s="3" t="s">
        <v>7261</v>
      </c>
      <c r="JTG1" s="3" t="s">
        <v>7262</v>
      </c>
      <c r="JTH1" s="3" t="s">
        <v>7263</v>
      </c>
      <c r="JTI1" s="3" t="s">
        <v>7264</v>
      </c>
      <c r="JTJ1" s="3" t="s">
        <v>7265</v>
      </c>
      <c r="JTK1" s="3" t="s">
        <v>7266</v>
      </c>
      <c r="JTL1" s="3" t="s">
        <v>7267</v>
      </c>
      <c r="JTM1" s="3" t="s">
        <v>7268</v>
      </c>
      <c r="JTN1" s="3" t="s">
        <v>7269</v>
      </c>
      <c r="JTO1" s="3" t="s">
        <v>7270</v>
      </c>
      <c r="JTP1" s="3" t="s">
        <v>7271</v>
      </c>
      <c r="JTQ1" s="3" t="s">
        <v>7272</v>
      </c>
      <c r="JTR1" s="3" t="s">
        <v>7273</v>
      </c>
      <c r="JTS1" s="3" t="s">
        <v>7274</v>
      </c>
      <c r="JTT1" s="3" t="s">
        <v>7275</v>
      </c>
      <c r="JTU1" s="3" t="s">
        <v>7276</v>
      </c>
      <c r="JTV1" s="3" t="s">
        <v>7277</v>
      </c>
      <c r="JTW1" s="3" t="s">
        <v>7278</v>
      </c>
      <c r="JTX1" s="3" t="s">
        <v>7279</v>
      </c>
      <c r="JTY1" s="3" t="s">
        <v>7280</v>
      </c>
      <c r="JTZ1" s="3" t="s">
        <v>7281</v>
      </c>
      <c r="JUA1" s="3" t="s">
        <v>7282</v>
      </c>
      <c r="JUB1" s="3" t="s">
        <v>7283</v>
      </c>
      <c r="JUC1" s="3" t="s">
        <v>7284</v>
      </c>
      <c r="JUD1" s="3" t="s">
        <v>7285</v>
      </c>
      <c r="JUE1" s="3" t="s">
        <v>7286</v>
      </c>
      <c r="JUF1" s="3" t="s">
        <v>7287</v>
      </c>
      <c r="JUG1" s="3" t="s">
        <v>7288</v>
      </c>
      <c r="JUH1" s="3" t="s">
        <v>7289</v>
      </c>
      <c r="JUI1" s="3" t="s">
        <v>7290</v>
      </c>
      <c r="JUJ1" s="3" t="s">
        <v>7291</v>
      </c>
      <c r="JUK1" s="3" t="s">
        <v>7292</v>
      </c>
      <c r="JUL1" s="3" t="s">
        <v>7293</v>
      </c>
      <c r="JUM1" s="3" t="s">
        <v>7294</v>
      </c>
      <c r="JUN1" s="3" t="s">
        <v>7295</v>
      </c>
      <c r="JUO1" s="3" t="s">
        <v>7296</v>
      </c>
      <c r="JUP1" s="3" t="s">
        <v>7297</v>
      </c>
      <c r="JUQ1" s="3" t="s">
        <v>7298</v>
      </c>
      <c r="JUR1" s="3" t="s">
        <v>7299</v>
      </c>
      <c r="JUS1" s="3" t="s">
        <v>7300</v>
      </c>
      <c r="JUT1" s="3" t="s">
        <v>7301</v>
      </c>
      <c r="JUU1" s="3" t="s">
        <v>7302</v>
      </c>
      <c r="JUV1" s="3" t="s">
        <v>7303</v>
      </c>
      <c r="JUW1" s="3" t="s">
        <v>7304</v>
      </c>
      <c r="JUX1" s="3" t="s">
        <v>7305</v>
      </c>
      <c r="JUY1" s="3" t="s">
        <v>7306</v>
      </c>
      <c r="JUZ1" s="3" t="s">
        <v>7307</v>
      </c>
      <c r="JVA1" s="3" t="s">
        <v>7308</v>
      </c>
      <c r="JVB1" s="3" t="s">
        <v>7309</v>
      </c>
      <c r="JVC1" s="3" t="s">
        <v>7310</v>
      </c>
      <c r="JVD1" s="3" t="s">
        <v>7311</v>
      </c>
      <c r="JVE1" s="3" t="s">
        <v>7312</v>
      </c>
      <c r="JVF1" s="3" t="s">
        <v>7313</v>
      </c>
      <c r="JVG1" s="3" t="s">
        <v>7314</v>
      </c>
      <c r="JVH1" s="3" t="s">
        <v>7315</v>
      </c>
      <c r="JVI1" s="3" t="s">
        <v>7316</v>
      </c>
      <c r="JVJ1" s="3" t="s">
        <v>7317</v>
      </c>
      <c r="JVK1" s="3" t="s">
        <v>7318</v>
      </c>
      <c r="JVL1" s="3" t="s">
        <v>7319</v>
      </c>
      <c r="JVM1" s="3" t="s">
        <v>7320</v>
      </c>
      <c r="JVN1" s="3" t="s">
        <v>7321</v>
      </c>
      <c r="JVO1" s="3" t="s">
        <v>7322</v>
      </c>
      <c r="JVP1" s="3" t="s">
        <v>7323</v>
      </c>
      <c r="JVQ1" s="3" t="s">
        <v>7324</v>
      </c>
      <c r="JVR1" s="3" t="s">
        <v>7325</v>
      </c>
      <c r="JVS1" s="3" t="s">
        <v>7326</v>
      </c>
      <c r="JVT1" s="3" t="s">
        <v>7327</v>
      </c>
      <c r="JVU1" s="3" t="s">
        <v>7328</v>
      </c>
      <c r="JVV1" s="3" t="s">
        <v>7329</v>
      </c>
      <c r="JVW1" s="3" t="s">
        <v>7330</v>
      </c>
      <c r="JVX1" s="3" t="s">
        <v>7331</v>
      </c>
      <c r="JVY1" s="3" t="s">
        <v>7332</v>
      </c>
      <c r="JVZ1" s="3" t="s">
        <v>7333</v>
      </c>
      <c r="JWA1" s="3" t="s">
        <v>7334</v>
      </c>
      <c r="JWB1" s="3" t="s">
        <v>7335</v>
      </c>
      <c r="JWC1" s="3" t="s">
        <v>7336</v>
      </c>
      <c r="JWD1" s="3" t="s">
        <v>7337</v>
      </c>
      <c r="JWE1" s="3" t="s">
        <v>7338</v>
      </c>
      <c r="JWF1" s="3" t="s">
        <v>7339</v>
      </c>
      <c r="JWG1" s="3" t="s">
        <v>7340</v>
      </c>
      <c r="JWH1" s="3" t="s">
        <v>7341</v>
      </c>
      <c r="JWI1" s="3" t="s">
        <v>7342</v>
      </c>
      <c r="JWJ1" s="3" t="s">
        <v>7343</v>
      </c>
      <c r="JWK1" s="3" t="s">
        <v>7344</v>
      </c>
      <c r="JWL1" s="3" t="s">
        <v>7345</v>
      </c>
      <c r="JWM1" s="3" t="s">
        <v>7346</v>
      </c>
      <c r="JWN1" s="3" t="s">
        <v>7347</v>
      </c>
      <c r="JWO1" s="3" t="s">
        <v>7348</v>
      </c>
      <c r="JWP1" s="3" t="s">
        <v>7349</v>
      </c>
      <c r="JWQ1" s="3" t="s">
        <v>7350</v>
      </c>
      <c r="JWR1" s="3" t="s">
        <v>7351</v>
      </c>
      <c r="JWS1" s="3" t="s">
        <v>7352</v>
      </c>
      <c r="JWT1" s="3" t="s">
        <v>7353</v>
      </c>
      <c r="JWU1" s="3" t="s">
        <v>7354</v>
      </c>
      <c r="JWV1" s="3" t="s">
        <v>7355</v>
      </c>
      <c r="JWW1" s="3" t="s">
        <v>7356</v>
      </c>
      <c r="JWX1" s="3" t="s">
        <v>7357</v>
      </c>
      <c r="JWY1" s="3" t="s">
        <v>7358</v>
      </c>
      <c r="JWZ1" s="3" t="s">
        <v>7359</v>
      </c>
      <c r="JXA1" s="3" t="s">
        <v>7360</v>
      </c>
      <c r="JXB1" s="3" t="s">
        <v>7361</v>
      </c>
      <c r="JXC1" s="3" t="s">
        <v>7362</v>
      </c>
      <c r="JXD1" s="3" t="s">
        <v>7363</v>
      </c>
      <c r="JXE1" s="3" t="s">
        <v>7364</v>
      </c>
      <c r="JXF1" s="3" t="s">
        <v>7365</v>
      </c>
      <c r="JXG1" s="3" t="s">
        <v>7366</v>
      </c>
      <c r="JXH1" s="3" t="s">
        <v>7367</v>
      </c>
      <c r="JXI1" s="3" t="s">
        <v>7368</v>
      </c>
      <c r="JXJ1" s="3" t="s">
        <v>7369</v>
      </c>
      <c r="JXK1" s="3" t="s">
        <v>7370</v>
      </c>
      <c r="JXL1" s="3" t="s">
        <v>7371</v>
      </c>
      <c r="JXM1" s="3" t="s">
        <v>7372</v>
      </c>
      <c r="JXN1" s="3" t="s">
        <v>7373</v>
      </c>
      <c r="JXO1" s="3" t="s">
        <v>7374</v>
      </c>
      <c r="JXP1" s="3" t="s">
        <v>7375</v>
      </c>
      <c r="JXQ1" s="3" t="s">
        <v>7376</v>
      </c>
      <c r="JXR1" s="3" t="s">
        <v>7377</v>
      </c>
      <c r="JXS1" s="3" t="s">
        <v>7378</v>
      </c>
      <c r="JXT1" s="3" t="s">
        <v>7379</v>
      </c>
      <c r="JXU1" s="3" t="s">
        <v>7380</v>
      </c>
      <c r="JXV1" s="3" t="s">
        <v>7381</v>
      </c>
      <c r="JXW1" s="3" t="s">
        <v>7382</v>
      </c>
      <c r="JXX1" s="3" t="s">
        <v>7383</v>
      </c>
      <c r="JXY1" s="3" t="s">
        <v>7384</v>
      </c>
      <c r="JXZ1" s="3" t="s">
        <v>7385</v>
      </c>
      <c r="JYA1" s="3" t="s">
        <v>7386</v>
      </c>
      <c r="JYB1" s="3" t="s">
        <v>7387</v>
      </c>
      <c r="JYC1" s="3" t="s">
        <v>7388</v>
      </c>
      <c r="JYD1" s="3" t="s">
        <v>7389</v>
      </c>
      <c r="JYE1" s="3" t="s">
        <v>7390</v>
      </c>
      <c r="JYF1" s="3" t="s">
        <v>7391</v>
      </c>
      <c r="JYG1" s="3" t="s">
        <v>7392</v>
      </c>
      <c r="JYH1" s="3" t="s">
        <v>7393</v>
      </c>
      <c r="JYI1" s="3" t="s">
        <v>7394</v>
      </c>
      <c r="JYJ1" s="3" t="s">
        <v>7395</v>
      </c>
      <c r="JYK1" s="3" t="s">
        <v>7396</v>
      </c>
      <c r="JYL1" s="3" t="s">
        <v>7397</v>
      </c>
      <c r="JYM1" s="3" t="s">
        <v>7398</v>
      </c>
      <c r="JYN1" s="3" t="s">
        <v>7399</v>
      </c>
      <c r="JYO1" s="3" t="s">
        <v>7400</v>
      </c>
      <c r="JYP1" s="3" t="s">
        <v>7401</v>
      </c>
      <c r="JYQ1" s="3" t="s">
        <v>7402</v>
      </c>
      <c r="JYR1" s="3" t="s">
        <v>7403</v>
      </c>
      <c r="JYS1" s="3" t="s">
        <v>7404</v>
      </c>
      <c r="JYT1" s="3" t="s">
        <v>7405</v>
      </c>
      <c r="JYU1" s="3" t="s">
        <v>7406</v>
      </c>
      <c r="JYV1" s="3" t="s">
        <v>7407</v>
      </c>
      <c r="JYW1" s="3" t="s">
        <v>7408</v>
      </c>
      <c r="JYX1" s="3" t="s">
        <v>7409</v>
      </c>
      <c r="JYY1" s="3" t="s">
        <v>7410</v>
      </c>
      <c r="JYZ1" s="3" t="s">
        <v>7411</v>
      </c>
      <c r="JZA1" s="3" t="s">
        <v>7412</v>
      </c>
      <c r="JZB1" s="3" t="s">
        <v>7413</v>
      </c>
      <c r="JZC1" s="3" t="s">
        <v>7414</v>
      </c>
      <c r="JZD1" s="3" t="s">
        <v>7415</v>
      </c>
      <c r="JZE1" s="3" t="s">
        <v>7416</v>
      </c>
      <c r="JZF1" s="3" t="s">
        <v>7417</v>
      </c>
      <c r="JZG1" s="3" t="s">
        <v>7418</v>
      </c>
      <c r="JZH1" s="3" t="s">
        <v>7419</v>
      </c>
      <c r="JZI1" s="3" t="s">
        <v>7420</v>
      </c>
      <c r="JZJ1" s="3" t="s">
        <v>7421</v>
      </c>
      <c r="JZK1" s="3" t="s">
        <v>7422</v>
      </c>
      <c r="JZL1" s="3" t="s">
        <v>7423</v>
      </c>
      <c r="JZM1" s="3" t="s">
        <v>7424</v>
      </c>
      <c r="JZN1" s="3" t="s">
        <v>7425</v>
      </c>
      <c r="JZO1" s="3" t="s">
        <v>7426</v>
      </c>
      <c r="JZP1" s="3" t="s">
        <v>7427</v>
      </c>
      <c r="JZQ1" s="3" t="s">
        <v>7428</v>
      </c>
      <c r="JZR1" s="3" t="s">
        <v>7429</v>
      </c>
      <c r="JZS1" s="3" t="s">
        <v>7430</v>
      </c>
      <c r="JZT1" s="3" t="s">
        <v>7431</v>
      </c>
      <c r="JZU1" s="3" t="s">
        <v>7432</v>
      </c>
      <c r="JZV1" s="3" t="s">
        <v>7433</v>
      </c>
      <c r="JZW1" s="3" t="s">
        <v>7434</v>
      </c>
      <c r="JZX1" s="3" t="s">
        <v>7435</v>
      </c>
      <c r="JZY1" s="3" t="s">
        <v>7436</v>
      </c>
      <c r="JZZ1" s="3" t="s">
        <v>7437</v>
      </c>
      <c r="KAA1" s="3" t="s">
        <v>7438</v>
      </c>
      <c r="KAB1" s="3" t="s">
        <v>7439</v>
      </c>
      <c r="KAC1" s="3" t="s">
        <v>7440</v>
      </c>
      <c r="KAD1" s="3" t="s">
        <v>7441</v>
      </c>
      <c r="KAE1" s="3" t="s">
        <v>7442</v>
      </c>
      <c r="KAF1" s="3" t="s">
        <v>7443</v>
      </c>
      <c r="KAG1" s="3" t="s">
        <v>7444</v>
      </c>
      <c r="KAH1" s="3" t="s">
        <v>7445</v>
      </c>
      <c r="KAI1" s="3" t="s">
        <v>7446</v>
      </c>
      <c r="KAJ1" s="3" t="s">
        <v>7447</v>
      </c>
      <c r="KAK1" s="3" t="s">
        <v>7448</v>
      </c>
      <c r="KAL1" s="3" t="s">
        <v>7449</v>
      </c>
      <c r="KAM1" s="3" t="s">
        <v>7450</v>
      </c>
      <c r="KAN1" s="3" t="s">
        <v>7451</v>
      </c>
      <c r="KAO1" s="3" t="s">
        <v>7452</v>
      </c>
      <c r="KAP1" s="3" t="s">
        <v>7453</v>
      </c>
      <c r="KAQ1" s="3" t="s">
        <v>7454</v>
      </c>
      <c r="KAR1" s="3" t="s">
        <v>7455</v>
      </c>
      <c r="KAS1" s="3" t="s">
        <v>7456</v>
      </c>
      <c r="KAT1" s="3" t="s">
        <v>7457</v>
      </c>
      <c r="KAU1" s="3" t="s">
        <v>7458</v>
      </c>
      <c r="KAV1" s="3" t="s">
        <v>7459</v>
      </c>
      <c r="KAW1" s="3" t="s">
        <v>7460</v>
      </c>
      <c r="KAX1" s="3" t="s">
        <v>7461</v>
      </c>
      <c r="KAY1" s="3" t="s">
        <v>7462</v>
      </c>
      <c r="KAZ1" s="3" t="s">
        <v>7463</v>
      </c>
      <c r="KBA1" s="3" t="s">
        <v>7464</v>
      </c>
      <c r="KBB1" s="3" t="s">
        <v>7465</v>
      </c>
      <c r="KBC1" s="3" t="s">
        <v>7466</v>
      </c>
      <c r="KBD1" s="3" t="s">
        <v>7467</v>
      </c>
      <c r="KBE1" s="3" t="s">
        <v>7468</v>
      </c>
      <c r="KBF1" s="3" t="s">
        <v>7469</v>
      </c>
      <c r="KBG1" s="3" t="s">
        <v>7470</v>
      </c>
      <c r="KBH1" s="3" t="s">
        <v>7471</v>
      </c>
      <c r="KBI1" s="3" t="s">
        <v>7472</v>
      </c>
      <c r="KBJ1" s="3" t="s">
        <v>7473</v>
      </c>
      <c r="KBK1" s="3" t="s">
        <v>7474</v>
      </c>
      <c r="KBL1" s="3" t="s">
        <v>7475</v>
      </c>
      <c r="KBM1" s="3" t="s">
        <v>7476</v>
      </c>
      <c r="KBN1" s="3" t="s">
        <v>7477</v>
      </c>
      <c r="KBO1" s="3" t="s">
        <v>7478</v>
      </c>
      <c r="KBP1" s="3" t="s">
        <v>7479</v>
      </c>
      <c r="KBQ1" s="3" t="s">
        <v>7480</v>
      </c>
      <c r="KBR1" s="3" t="s">
        <v>7481</v>
      </c>
      <c r="KBS1" s="3" t="s">
        <v>7482</v>
      </c>
      <c r="KBT1" s="3" t="s">
        <v>7483</v>
      </c>
      <c r="KBU1" s="3" t="s">
        <v>7484</v>
      </c>
      <c r="KBV1" s="3" t="s">
        <v>7485</v>
      </c>
      <c r="KBW1" s="3" t="s">
        <v>7486</v>
      </c>
      <c r="KBX1" s="3" t="s">
        <v>7487</v>
      </c>
      <c r="KBY1" s="3" t="s">
        <v>7488</v>
      </c>
      <c r="KBZ1" s="3" t="s">
        <v>7489</v>
      </c>
      <c r="KCA1" s="3" t="s">
        <v>7490</v>
      </c>
      <c r="KCB1" s="3" t="s">
        <v>7491</v>
      </c>
      <c r="KCC1" s="3" t="s">
        <v>7492</v>
      </c>
      <c r="KCD1" s="3" t="s">
        <v>7493</v>
      </c>
      <c r="KCE1" s="3" t="s">
        <v>7494</v>
      </c>
      <c r="KCF1" s="3" t="s">
        <v>7495</v>
      </c>
      <c r="KCG1" s="3" t="s">
        <v>7496</v>
      </c>
      <c r="KCH1" s="3" t="s">
        <v>7497</v>
      </c>
      <c r="KCI1" s="3" t="s">
        <v>7498</v>
      </c>
      <c r="KCJ1" s="3" t="s">
        <v>7499</v>
      </c>
      <c r="KCK1" s="3" t="s">
        <v>7500</v>
      </c>
      <c r="KCL1" s="3" t="s">
        <v>7501</v>
      </c>
      <c r="KCM1" s="3" t="s">
        <v>7502</v>
      </c>
      <c r="KCN1" s="3" t="s">
        <v>7503</v>
      </c>
      <c r="KCO1" s="3" t="s">
        <v>7504</v>
      </c>
      <c r="KCP1" s="3" t="s">
        <v>7505</v>
      </c>
      <c r="KCQ1" s="3" t="s">
        <v>7506</v>
      </c>
      <c r="KCR1" s="3" t="s">
        <v>7507</v>
      </c>
      <c r="KCS1" s="3" t="s">
        <v>7508</v>
      </c>
      <c r="KCT1" s="3" t="s">
        <v>7509</v>
      </c>
      <c r="KCU1" s="3" t="s">
        <v>7510</v>
      </c>
      <c r="KCV1" s="3" t="s">
        <v>7511</v>
      </c>
      <c r="KCW1" s="3" t="s">
        <v>7512</v>
      </c>
      <c r="KCX1" s="3" t="s">
        <v>7513</v>
      </c>
      <c r="KCY1" s="3" t="s">
        <v>7514</v>
      </c>
      <c r="KCZ1" s="3" t="s">
        <v>7515</v>
      </c>
      <c r="KDA1" s="3" t="s">
        <v>7516</v>
      </c>
      <c r="KDB1" s="3" t="s">
        <v>7517</v>
      </c>
      <c r="KDC1" s="3" t="s">
        <v>7518</v>
      </c>
      <c r="KDD1" s="3" t="s">
        <v>7519</v>
      </c>
      <c r="KDE1" s="3" t="s">
        <v>7520</v>
      </c>
      <c r="KDF1" s="3" t="s">
        <v>7521</v>
      </c>
      <c r="KDG1" s="3" t="s">
        <v>7522</v>
      </c>
      <c r="KDH1" s="3" t="s">
        <v>7523</v>
      </c>
      <c r="KDI1" s="3" t="s">
        <v>7524</v>
      </c>
      <c r="KDJ1" s="3" t="s">
        <v>7525</v>
      </c>
      <c r="KDK1" s="3" t="s">
        <v>7526</v>
      </c>
      <c r="KDL1" s="3" t="s">
        <v>7527</v>
      </c>
      <c r="KDM1" s="3" t="s">
        <v>7528</v>
      </c>
      <c r="KDN1" s="3" t="s">
        <v>7529</v>
      </c>
      <c r="KDO1" s="3" t="s">
        <v>7530</v>
      </c>
      <c r="KDP1" s="3" t="s">
        <v>7531</v>
      </c>
      <c r="KDQ1" s="3" t="s">
        <v>7532</v>
      </c>
      <c r="KDR1" s="3" t="s">
        <v>7533</v>
      </c>
      <c r="KDS1" s="3" t="s">
        <v>7534</v>
      </c>
      <c r="KDT1" s="3" t="s">
        <v>7535</v>
      </c>
      <c r="KDU1" s="3" t="s">
        <v>7536</v>
      </c>
      <c r="KDV1" s="3" t="s">
        <v>7537</v>
      </c>
      <c r="KDW1" s="3" t="s">
        <v>7538</v>
      </c>
      <c r="KDX1" s="3" t="s">
        <v>7539</v>
      </c>
      <c r="KDY1" s="3" t="s">
        <v>7540</v>
      </c>
      <c r="KDZ1" s="3" t="s">
        <v>7541</v>
      </c>
      <c r="KEA1" s="3" t="s">
        <v>7542</v>
      </c>
      <c r="KEB1" s="3" t="s">
        <v>7543</v>
      </c>
      <c r="KEC1" s="3" t="s">
        <v>7544</v>
      </c>
      <c r="KED1" s="3" t="s">
        <v>7545</v>
      </c>
      <c r="KEE1" s="3" t="s">
        <v>7546</v>
      </c>
      <c r="KEF1" s="3" t="s">
        <v>7547</v>
      </c>
      <c r="KEG1" s="3" t="s">
        <v>7552</v>
      </c>
      <c r="KEH1" s="3" t="s">
        <v>7553</v>
      </c>
      <c r="KEI1" s="3" t="s">
        <v>7554</v>
      </c>
      <c r="KEJ1" s="3" t="s">
        <v>7555</v>
      </c>
      <c r="KEK1" s="3" t="s">
        <v>7556</v>
      </c>
      <c r="KEL1" s="3" t="s">
        <v>7557</v>
      </c>
      <c r="KEM1" s="3" t="s">
        <v>7558</v>
      </c>
      <c r="KEN1" s="3" t="s">
        <v>7559</v>
      </c>
      <c r="KEO1" s="3" t="s">
        <v>7560</v>
      </c>
      <c r="KEP1" s="3" t="s">
        <v>7561</v>
      </c>
      <c r="KEQ1" s="3" t="s">
        <v>7562</v>
      </c>
      <c r="KER1" s="3" t="s">
        <v>7563</v>
      </c>
      <c r="KES1" s="3" t="s">
        <v>7564</v>
      </c>
      <c r="KET1" s="3" t="s">
        <v>7565</v>
      </c>
      <c r="KEU1" s="3" t="s">
        <v>7566</v>
      </c>
      <c r="KEV1" s="3" t="s">
        <v>7567</v>
      </c>
      <c r="KEW1" s="3" t="s">
        <v>7568</v>
      </c>
      <c r="KEX1" s="3" t="s">
        <v>7569</v>
      </c>
      <c r="KEY1" s="3" t="s">
        <v>7570</v>
      </c>
      <c r="KEZ1" s="3" t="s">
        <v>7571</v>
      </c>
      <c r="KFA1" s="3" t="s">
        <v>7572</v>
      </c>
      <c r="KFB1" s="3" t="s">
        <v>7573</v>
      </c>
      <c r="KFC1" s="3" t="s">
        <v>7574</v>
      </c>
      <c r="KFD1" s="3" t="s">
        <v>7575</v>
      </c>
      <c r="KFE1" s="3" t="s">
        <v>7576</v>
      </c>
      <c r="KFF1" s="3" t="s">
        <v>7577</v>
      </c>
      <c r="KFG1" s="3" t="s">
        <v>7578</v>
      </c>
      <c r="KFH1" s="3" t="s">
        <v>7579</v>
      </c>
      <c r="KFI1" s="3" t="s">
        <v>7580</v>
      </c>
      <c r="KFJ1" s="3" t="s">
        <v>7581</v>
      </c>
      <c r="KFK1" s="3" t="s">
        <v>7582</v>
      </c>
      <c r="KFL1" s="3" t="s">
        <v>7583</v>
      </c>
      <c r="KFM1" s="3" t="s">
        <v>7584</v>
      </c>
      <c r="KFN1" s="3" t="s">
        <v>7585</v>
      </c>
      <c r="KFO1" s="3" t="s">
        <v>7586</v>
      </c>
      <c r="KFP1" s="3" t="s">
        <v>7587</v>
      </c>
      <c r="KFQ1" s="3" t="s">
        <v>7588</v>
      </c>
      <c r="KFR1" s="3" t="s">
        <v>7589</v>
      </c>
      <c r="KFS1" s="3" t="s">
        <v>7590</v>
      </c>
      <c r="KFT1" s="3" t="s">
        <v>7591</v>
      </c>
      <c r="KFU1" s="3" t="s">
        <v>7596</v>
      </c>
      <c r="KFV1" s="3" t="s">
        <v>7597</v>
      </c>
      <c r="KFW1" s="1">
        <v>1</v>
      </c>
      <c r="KFX1">
        <v>2</v>
      </c>
      <c r="KFY1">
        <v>3</v>
      </c>
      <c r="KFZ1">
        <v>4</v>
      </c>
      <c r="KGA1">
        <v>5</v>
      </c>
      <c r="KGB1">
        <v>6</v>
      </c>
      <c r="KGC1">
        <v>7</v>
      </c>
      <c r="KGD1">
        <v>8</v>
      </c>
      <c r="KGE1">
        <v>9</v>
      </c>
      <c r="KGF1">
        <v>10</v>
      </c>
      <c r="KGG1">
        <v>11</v>
      </c>
      <c r="KGH1">
        <v>12</v>
      </c>
      <c r="KGI1">
        <v>13</v>
      </c>
      <c r="KGJ1">
        <v>14</v>
      </c>
      <c r="KGK1">
        <v>15</v>
      </c>
      <c r="KGL1">
        <v>16</v>
      </c>
      <c r="KGM1">
        <v>17</v>
      </c>
      <c r="KGN1">
        <v>18</v>
      </c>
      <c r="KGO1">
        <v>19</v>
      </c>
      <c r="KGP1">
        <v>20</v>
      </c>
      <c r="KGQ1">
        <v>21</v>
      </c>
      <c r="KGR1">
        <v>22</v>
      </c>
      <c r="KGS1">
        <v>23</v>
      </c>
      <c r="KGT1">
        <v>24</v>
      </c>
      <c r="KGU1">
        <v>25</v>
      </c>
      <c r="KGV1">
        <v>26</v>
      </c>
      <c r="KGW1">
        <v>27</v>
      </c>
      <c r="KGX1">
        <v>28</v>
      </c>
      <c r="KGY1">
        <v>29</v>
      </c>
      <c r="KGZ1">
        <v>30</v>
      </c>
      <c r="KHA1">
        <v>31</v>
      </c>
      <c r="KHB1">
        <v>32</v>
      </c>
      <c r="KHC1">
        <v>33</v>
      </c>
      <c r="KHD1">
        <v>34</v>
      </c>
      <c r="KHE1">
        <v>35</v>
      </c>
      <c r="KHF1">
        <v>36</v>
      </c>
      <c r="KHG1">
        <v>37</v>
      </c>
      <c r="KHH1">
        <v>38</v>
      </c>
      <c r="KHI1">
        <v>39</v>
      </c>
      <c r="KHJ1">
        <v>40</v>
      </c>
      <c r="KHK1">
        <v>41</v>
      </c>
      <c r="KHL1">
        <v>42</v>
      </c>
      <c r="KHM1">
        <v>43</v>
      </c>
      <c r="KHN1">
        <v>44</v>
      </c>
      <c r="KHO1">
        <v>45</v>
      </c>
      <c r="KHP1">
        <v>46</v>
      </c>
      <c r="KHQ1">
        <v>47</v>
      </c>
      <c r="KHR1">
        <v>48</v>
      </c>
      <c r="KHS1">
        <v>49</v>
      </c>
      <c r="KHT1">
        <v>50</v>
      </c>
      <c r="KHU1">
        <v>51</v>
      </c>
      <c r="KHV1">
        <v>52</v>
      </c>
      <c r="KHW1">
        <v>53</v>
      </c>
      <c r="KHX1">
        <v>54</v>
      </c>
      <c r="KHY1">
        <v>55</v>
      </c>
      <c r="KHZ1">
        <v>56</v>
      </c>
      <c r="KIA1">
        <v>57</v>
      </c>
      <c r="KIB1">
        <v>58</v>
      </c>
      <c r="KIC1">
        <v>59</v>
      </c>
      <c r="KID1">
        <v>60</v>
      </c>
      <c r="KIE1">
        <v>61</v>
      </c>
      <c r="KIF1">
        <v>62</v>
      </c>
      <c r="KIG1">
        <v>63</v>
      </c>
      <c r="KIH1">
        <v>64</v>
      </c>
      <c r="KII1">
        <v>65</v>
      </c>
      <c r="KIJ1">
        <v>66</v>
      </c>
      <c r="KIK1">
        <v>67</v>
      </c>
      <c r="KIL1">
        <v>68</v>
      </c>
      <c r="KIM1">
        <v>69</v>
      </c>
      <c r="KIN1">
        <v>70</v>
      </c>
      <c r="KIO1">
        <v>71</v>
      </c>
      <c r="KIP1">
        <v>72</v>
      </c>
      <c r="KIQ1">
        <v>73</v>
      </c>
      <c r="KIR1">
        <v>74</v>
      </c>
      <c r="KIS1">
        <v>75</v>
      </c>
      <c r="KIT1">
        <v>76</v>
      </c>
      <c r="KIU1">
        <v>77</v>
      </c>
      <c r="KIV1">
        <v>78</v>
      </c>
      <c r="KIW1">
        <v>79</v>
      </c>
      <c r="KIX1">
        <v>80</v>
      </c>
      <c r="KIY1">
        <v>81</v>
      </c>
      <c r="KIZ1">
        <v>82</v>
      </c>
      <c r="KJA1">
        <v>83</v>
      </c>
      <c r="KJB1">
        <v>84</v>
      </c>
      <c r="KJC1">
        <v>85</v>
      </c>
      <c r="KJD1">
        <v>86</v>
      </c>
      <c r="KJE1">
        <v>87</v>
      </c>
      <c r="KJF1">
        <v>88</v>
      </c>
      <c r="KJG1">
        <v>89</v>
      </c>
      <c r="KJH1">
        <v>90</v>
      </c>
      <c r="KJI1">
        <v>91</v>
      </c>
      <c r="KJJ1">
        <v>92</v>
      </c>
      <c r="KJK1">
        <v>93</v>
      </c>
      <c r="KJL1">
        <v>94</v>
      </c>
      <c r="KJM1">
        <v>95</v>
      </c>
      <c r="KJN1">
        <v>96</v>
      </c>
      <c r="KJO1">
        <v>97</v>
      </c>
      <c r="KJP1">
        <v>98</v>
      </c>
      <c r="KJQ1">
        <v>99</v>
      </c>
      <c r="KJR1">
        <v>100</v>
      </c>
      <c r="KJS1">
        <v>101</v>
      </c>
      <c r="KJT1" t="s">
        <v>7548</v>
      </c>
      <c r="KJU1" t="s">
        <v>7592</v>
      </c>
      <c r="KJV1" t="s">
        <v>7551</v>
      </c>
      <c r="KJW1" t="s">
        <v>7549</v>
      </c>
      <c r="KJX1" t="s">
        <v>7550</v>
      </c>
      <c r="KJY1" t="s">
        <v>7551</v>
      </c>
    </row>
    <row r="2" spans="1:7721">
      <c r="A2" t="s">
        <v>1</v>
      </c>
      <c r="B2">
        <v>9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ASB2">
        <v>2</v>
      </c>
      <c r="ASC2">
        <v>2</v>
      </c>
      <c r="ASD2">
        <v>2</v>
      </c>
      <c r="ASE2">
        <v>2</v>
      </c>
      <c r="ASF2">
        <v>2</v>
      </c>
      <c r="ASG2">
        <v>2</v>
      </c>
      <c r="ASH2">
        <v>2</v>
      </c>
      <c r="ASI2">
        <v>2</v>
      </c>
      <c r="ASJ2">
        <v>2</v>
      </c>
      <c r="ASK2">
        <v>2</v>
      </c>
      <c r="ASL2">
        <v>2</v>
      </c>
      <c r="ASM2">
        <v>2</v>
      </c>
      <c r="ASN2">
        <v>2</v>
      </c>
      <c r="ASO2">
        <v>2</v>
      </c>
      <c r="ASP2">
        <v>2</v>
      </c>
      <c r="ASQ2">
        <v>2</v>
      </c>
      <c r="ASR2">
        <v>2</v>
      </c>
      <c r="ASS2">
        <v>2</v>
      </c>
      <c r="AST2">
        <v>2</v>
      </c>
      <c r="ASU2">
        <v>2</v>
      </c>
      <c r="ASV2">
        <v>2</v>
      </c>
      <c r="ASW2">
        <v>2</v>
      </c>
      <c r="ASX2">
        <v>2</v>
      </c>
      <c r="ASY2">
        <v>2</v>
      </c>
      <c r="ASZ2">
        <v>2</v>
      </c>
      <c r="ATA2">
        <v>2</v>
      </c>
      <c r="ATB2">
        <v>2</v>
      </c>
      <c r="ATC2">
        <v>2</v>
      </c>
      <c r="ATD2">
        <v>2</v>
      </c>
      <c r="ATE2">
        <v>2</v>
      </c>
      <c r="ATF2">
        <v>2</v>
      </c>
      <c r="ATG2">
        <v>2</v>
      </c>
      <c r="ATH2">
        <v>2</v>
      </c>
      <c r="ATI2">
        <v>2</v>
      </c>
      <c r="ATJ2">
        <v>2</v>
      </c>
      <c r="ATK2">
        <v>2</v>
      </c>
      <c r="ATL2">
        <v>2</v>
      </c>
      <c r="ATM2">
        <v>2</v>
      </c>
      <c r="ATN2">
        <v>2</v>
      </c>
      <c r="ATO2">
        <v>2</v>
      </c>
      <c r="ATP2">
        <v>2</v>
      </c>
      <c r="ATQ2">
        <v>2</v>
      </c>
      <c r="ATR2">
        <v>2</v>
      </c>
      <c r="ATS2">
        <v>2</v>
      </c>
      <c r="ATT2">
        <v>2</v>
      </c>
      <c r="ATU2">
        <v>2</v>
      </c>
      <c r="ATV2">
        <v>2</v>
      </c>
      <c r="ATW2">
        <v>2</v>
      </c>
      <c r="ATX2">
        <v>2</v>
      </c>
      <c r="ATY2">
        <v>2</v>
      </c>
      <c r="ATZ2">
        <v>2</v>
      </c>
      <c r="AUA2">
        <v>2</v>
      </c>
      <c r="AUB2">
        <v>2</v>
      </c>
      <c r="AUC2">
        <v>2</v>
      </c>
      <c r="AUD2">
        <v>2</v>
      </c>
      <c r="AUE2">
        <v>2</v>
      </c>
      <c r="AUF2">
        <v>2</v>
      </c>
      <c r="AUG2">
        <v>2</v>
      </c>
      <c r="AUH2">
        <v>2</v>
      </c>
      <c r="AUI2">
        <v>2</v>
      </c>
      <c r="AUJ2">
        <v>2</v>
      </c>
      <c r="AUK2">
        <v>2</v>
      </c>
      <c r="AUL2">
        <v>2</v>
      </c>
      <c r="AUM2">
        <v>2</v>
      </c>
      <c r="AUN2">
        <v>2</v>
      </c>
      <c r="AUO2">
        <v>2</v>
      </c>
      <c r="AUP2">
        <v>2</v>
      </c>
      <c r="AUQ2">
        <v>2</v>
      </c>
      <c r="AUR2">
        <v>2</v>
      </c>
      <c r="AUS2">
        <v>2</v>
      </c>
      <c r="AUT2">
        <v>2</v>
      </c>
      <c r="AUU2">
        <v>2</v>
      </c>
      <c r="AUV2">
        <v>2</v>
      </c>
      <c r="AUW2">
        <v>2</v>
      </c>
      <c r="AUX2">
        <v>2</v>
      </c>
      <c r="AUY2">
        <v>2</v>
      </c>
      <c r="AUZ2">
        <v>2</v>
      </c>
      <c r="AVA2">
        <v>2</v>
      </c>
      <c r="AVB2">
        <v>2</v>
      </c>
      <c r="AVC2">
        <v>2</v>
      </c>
      <c r="AVD2">
        <v>2</v>
      </c>
      <c r="AVE2">
        <v>2</v>
      </c>
      <c r="AVF2">
        <v>2</v>
      </c>
      <c r="AVG2">
        <v>2</v>
      </c>
      <c r="AVH2">
        <v>2</v>
      </c>
      <c r="AVI2">
        <v>2</v>
      </c>
      <c r="AVJ2">
        <v>2</v>
      </c>
      <c r="AVK2">
        <v>2</v>
      </c>
      <c r="AVL2">
        <v>2</v>
      </c>
      <c r="AVM2">
        <v>2</v>
      </c>
      <c r="AVN2">
        <v>2</v>
      </c>
      <c r="AVO2">
        <v>2</v>
      </c>
      <c r="AVP2">
        <v>2</v>
      </c>
      <c r="AVQ2">
        <v>2</v>
      </c>
      <c r="AVR2">
        <v>2</v>
      </c>
      <c r="AVS2">
        <v>2</v>
      </c>
      <c r="AVT2">
        <v>2</v>
      </c>
      <c r="AVU2">
        <v>2</v>
      </c>
      <c r="AVV2">
        <v>2</v>
      </c>
      <c r="AVW2">
        <v>2</v>
      </c>
      <c r="AVX2">
        <v>2</v>
      </c>
      <c r="AVY2">
        <v>2</v>
      </c>
      <c r="AVZ2">
        <v>2</v>
      </c>
      <c r="AWA2">
        <v>2</v>
      </c>
      <c r="AWB2">
        <v>2</v>
      </c>
      <c r="AWC2">
        <v>2</v>
      </c>
      <c r="AWD2">
        <v>2</v>
      </c>
      <c r="AWE2">
        <v>2</v>
      </c>
      <c r="AWF2">
        <v>2</v>
      </c>
      <c r="AWG2">
        <v>2</v>
      </c>
      <c r="AWH2">
        <v>2</v>
      </c>
      <c r="AWI2">
        <v>2</v>
      </c>
      <c r="AWJ2">
        <v>2</v>
      </c>
      <c r="AWK2">
        <v>2</v>
      </c>
      <c r="AWL2">
        <v>2</v>
      </c>
      <c r="AWM2">
        <v>2</v>
      </c>
      <c r="AWN2">
        <v>2</v>
      </c>
      <c r="AWO2">
        <v>2</v>
      </c>
      <c r="AWP2">
        <v>2</v>
      </c>
      <c r="AWQ2">
        <v>2</v>
      </c>
      <c r="AWR2">
        <v>2</v>
      </c>
      <c r="AWS2">
        <v>2</v>
      </c>
      <c r="AWT2">
        <v>2</v>
      </c>
      <c r="AWU2">
        <v>2</v>
      </c>
      <c r="AWV2">
        <v>2</v>
      </c>
      <c r="AWW2">
        <v>2</v>
      </c>
      <c r="AWX2">
        <v>2</v>
      </c>
      <c r="AWY2">
        <v>2</v>
      </c>
      <c r="AWZ2">
        <v>2</v>
      </c>
      <c r="AXA2">
        <v>2</v>
      </c>
      <c r="AXB2">
        <v>2</v>
      </c>
      <c r="AXC2">
        <v>2</v>
      </c>
      <c r="AXD2">
        <v>2</v>
      </c>
      <c r="AXE2">
        <v>2</v>
      </c>
      <c r="AXF2">
        <v>2</v>
      </c>
      <c r="AXG2">
        <v>2</v>
      </c>
      <c r="AXH2">
        <v>2</v>
      </c>
      <c r="AXI2">
        <v>2</v>
      </c>
      <c r="AXJ2">
        <v>2</v>
      </c>
      <c r="AXK2">
        <v>2</v>
      </c>
      <c r="AXL2">
        <v>2</v>
      </c>
      <c r="AXM2">
        <v>2</v>
      </c>
      <c r="AXN2">
        <v>2</v>
      </c>
      <c r="AXO2">
        <v>2</v>
      </c>
      <c r="AXP2">
        <v>2</v>
      </c>
      <c r="AXQ2">
        <v>2</v>
      </c>
      <c r="AXR2">
        <v>2</v>
      </c>
      <c r="AXS2">
        <v>2</v>
      </c>
      <c r="AXT2">
        <v>2</v>
      </c>
      <c r="AXU2">
        <v>2</v>
      </c>
      <c r="AXV2">
        <v>2</v>
      </c>
      <c r="AXW2">
        <v>2</v>
      </c>
      <c r="AXX2">
        <v>2</v>
      </c>
      <c r="AXY2">
        <v>2</v>
      </c>
      <c r="AXZ2">
        <v>2</v>
      </c>
      <c r="AYA2">
        <v>2</v>
      </c>
      <c r="AYB2">
        <v>2</v>
      </c>
      <c r="AYC2">
        <v>2</v>
      </c>
      <c r="AYD2">
        <v>2</v>
      </c>
      <c r="AYE2">
        <v>2</v>
      </c>
      <c r="AYF2">
        <v>2</v>
      </c>
      <c r="AYG2">
        <v>2</v>
      </c>
      <c r="AYH2">
        <v>2</v>
      </c>
      <c r="AYI2">
        <v>2</v>
      </c>
      <c r="AYJ2">
        <v>2</v>
      </c>
      <c r="AYK2">
        <v>2</v>
      </c>
      <c r="AYL2">
        <v>2</v>
      </c>
      <c r="AYM2">
        <v>2</v>
      </c>
      <c r="AYN2">
        <v>2</v>
      </c>
      <c r="AYO2">
        <v>2</v>
      </c>
      <c r="AYP2">
        <v>2</v>
      </c>
      <c r="AYQ2">
        <v>2</v>
      </c>
      <c r="AYR2">
        <v>2</v>
      </c>
      <c r="AYS2">
        <v>2</v>
      </c>
      <c r="AYT2">
        <v>2</v>
      </c>
      <c r="AYU2">
        <v>2</v>
      </c>
      <c r="AYV2">
        <v>2</v>
      </c>
      <c r="AYW2">
        <v>2</v>
      </c>
      <c r="AYX2">
        <v>2</v>
      </c>
      <c r="AYY2">
        <v>2</v>
      </c>
      <c r="AYZ2">
        <v>2</v>
      </c>
      <c r="AZA2">
        <v>2</v>
      </c>
      <c r="AZB2">
        <v>2</v>
      </c>
      <c r="AZC2">
        <v>2</v>
      </c>
      <c r="AZD2">
        <v>2</v>
      </c>
      <c r="AZE2">
        <v>2</v>
      </c>
      <c r="AZF2">
        <v>2</v>
      </c>
      <c r="AZG2">
        <v>2</v>
      </c>
      <c r="AZH2">
        <v>2</v>
      </c>
      <c r="AZI2">
        <v>2</v>
      </c>
      <c r="AZJ2">
        <v>2</v>
      </c>
      <c r="AZK2">
        <v>2</v>
      </c>
      <c r="AZL2">
        <v>2</v>
      </c>
      <c r="AZM2">
        <v>2</v>
      </c>
      <c r="AZN2">
        <v>2</v>
      </c>
      <c r="AZO2">
        <v>2</v>
      </c>
      <c r="AZP2">
        <v>2</v>
      </c>
      <c r="CGA2">
        <v>3</v>
      </c>
      <c r="CGB2">
        <v>3</v>
      </c>
      <c r="CGC2">
        <v>3</v>
      </c>
      <c r="CGD2">
        <v>3</v>
      </c>
      <c r="CGE2">
        <v>3</v>
      </c>
      <c r="CGF2">
        <v>3</v>
      </c>
      <c r="CGG2">
        <v>3</v>
      </c>
      <c r="CGH2">
        <v>3</v>
      </c>
      <c r="CGI2">
        <v>3</v>
      </c>
      <c r="CGJ2">
        <v>3</v>
      </c>
      <c r="CGK2">
        <v>3</v>
      </c>
      <c r="CGL2">
        <v>3</v>
      </c>
      <c r="CGM2">
        <v>3</v>
      </c>
      <c r="CGN2">
        <v>3</v>
      </c>
      <c r="CGO2">
        <v>3</v>
      </c>
      <c r="CGP2">
        <v>3</v>
      </c>
      <c r="CGQ2">
        <v>3</v>
      </c>
      <c r="CGR2">
        <v>3</v>
      </c>
      <c r="CGS2">
        <v>3</v>
      </c>
      <c r="CGT2">
        <v>3</v>
      </c>
      <c r="CGU2">
        <v>3</v>
      </c>
      <c r="CGV2">
        <v>3</v>
      </c>
      <c r="CGW2">
        <v>3</v>
      </c>
      <c r="CGX2">
        <v>3</v>
      </c>
      <c r="CGY2">
        <v>3</v>
      </c>
      <c r="CGZ2">
        <v>3</v>
      </c>
      <c r="CHA2">
        <v>3</v>
      </c>
      <c r="CHB2">
        <v>3</v>
      </c>
      <c r="CHC2">
        <v>3</v>
      </c>
      <c r="CHD2">
        <v>3</v>
      </c>
      <c r="CHE2">
        <v>3</v>
      </c>
      <c r="CHF2">
        <v>3</v>
      </c>
      <c r="CHG2">
        <v>3</v>
      </c>
      <c r="CHH2">
        <v>3</v>
      </c>
      <c r="CHI2">
        <v>3</v>
      </c>
      <c r="CHJ2">
        <v>3</v>
      </c>
      <c r="CHK2">
        <v>3</v>
      </c>
      <c r="CHL2">
        <v>3</v>
      </c>
      <c r="CHM2">
        <v>3</v>
      </c>
      <c r="CHN2">
        <v>3</v>
      </c>
      <c r="CHO2">
        <v>3</v>
      </c>
      <c r="CHP2">
        <v>3</v>
      </c>
      <c r="CHQ2">
        <v>3</v>
      </c>
      <c r="CHR2">
        <v>3</v>
      </c>
      <c r="CHS2">
        <v>3</v>
      </c>
      <c r="CHT2">
        <v>3</v>
      </c>
      <c r="CHU2">
        <v>3</v>
      </c>
      <c r="CHV2">
        <v>3</v>
      </c>
      <c r="CHW2">
        <v>3</v>
      </c>
      <c r="CHX2">
        <v>3</v>
      </c>
      <c r="CHY2">
        <v>3</v>
      </c>
      <c r="CHZ2">
        <v>3</v>
      </c>
      <c r="CIA2">
        <v>3</v>
      </c>
      <c r="CIB2">
        <v>3</v>
      </c>
      <c r="CIC2">
        <v>3</v>
      </c>
      <c r="CID2">
        <v>3</v>
      </c>
      <c r="CIE2">
        <v>3</v>
      </c>
      <c r="CIF2">
        <v>3</v>
      </c>
      <c r="CIG2">
        <v>3</v>
      </c>
      <c r="CIH2">
        <v>3</v>
      </c>
      <c r="CII2">
        <v>3</v>
      </c>
      <c r="CIJ2">
        <v>3</v>
      </c>
      <c r="CIK2">
        <v>3</v>
      </c>
      <c r="CIL2">
        <v>3</v>
      </c>
      <c r="CIM2">
        <v>3</v>
      </c>
      <c r="CIN2">
        <v>3</v>
      </c>
      <c r="CIO2">
        <v>3</v>
      </c>
      <c r="CIP2">
        <v>3</v>
      </c>
      <c r="CIQ2">
        <v>3</v>
      </c>
      <c r="CIR2">
        <v>3</v>
      </c>
      <c r="CIS2">
        <v>3</v>
      </c>
      <c r="CIT2">
        <v>3</v>
      </c>
      <c r="CIU2">
        <v>3</v>
      </c>
      <c r="CIV2">
        <v>3</v>
      </c>
      <c r="CIW2">
        <v>3</v>
      </c>
      <c r="CIX2">
        <v>3</v>
      </c>
      <c r="CIY2">
        <v>3</v>
      </c>
      <c r="CIZ2">
        <v>3</v>
      </c>
      <c r="CJA2">
        <v>3</v>
      </c>
      <c r="CJB2">
        <v>3</v>
      </c>
      <c r="CJC2">
        <v>3</v>
      </c>
      <c r="CJD2">
        <v>3</v>
      </c>
      <c r="CJE2">
        <v>3</v>
      </c>
      <c r="CJF2">
        <v>3</v>
      </c>
      <c r="CJG2">
        <v>3</v>
      </c>
      <c r="CJH2">
        <v>3</v>
      </c>
      <c r="CJI2">
        <v>3</v>
      </c>
      <c r="CJJ2">
        <v>3</v>
      </c>
      <c r="CJK2">
        <v>3</v>
      </c>
      <c r="CJL2">
        <v>3</v>
      </c>
      <c r="CJM2">
        <v>3</v>
      </c>
      <c r="CJN2">
        <v>3</v>
      </c>
      <c r="CJO2">
        <v>3</v>
      </c>
      <c r="CJP2">
        <v>3</v>
      </c>
      <c r="CJQ2">
        <v>3</v>
      </c>
      <c r="CJR2">
        <v>3</v>
      </c>
      <c r="CJS2">
        <v>3</v>
      </c>
      <c r="CJT2">
        <v>3</v>
      </c>
      <c r="CJU2">
        <v>3</v>
      </c>
      <c r="CJV2">
        <v>3</v>
      </c>
      <c r="CJW2">
        <v>3</v>
      </c>
      <c r="CJX2">
        <v>3</v>
      </c>
      <c r="CJY2">
        <v>3</v>
      </c>
      <c r="CJZ2">
        <v>3</v>
      </c>
      <c r="CKA2">
        <v>3</v>
      </c>
      <c r="CKB2">
        <v>3</v>
      </c>
      <c r="CKC2">
        <v>3</v>
      </c>
      <c r="CKD2">
        <v>3</v>
      </c>
      <c r="CKE2">
        <v>3</v>
      </c>
      <c r="CKF2">
        <v>3</v>
      </c>
      <c r="CKG2">
        <v>3</v>
      </c>
      <c r="CKH2">
        <v>3</v>
      </c>
      <c r="CKI2">
        <v>3</v>
      </c>
      <c r="CKJ2">
        <v>3</v>
      </c>
      <c r="CKK2">
        <v>3</v>
      </c>
      <c r="CKL2">
        <v>3</v>
      </c>
      <c r="CKM2">
        <v>3</v>
      </c>
      <c r="CKN2">
        <v>3</v>
      </c>
      <c r="CKO2">
        <v>3</v>
      </c>
      <c r="CKP2">
        <v>3</v>
      </c>
      <c r="CKQ2">
        <v>3</v>
      </c>
      <c r="CKR2">
        <v>3</v>
      </c>
      <c r="CKS2">
        <v>3</v>
      </c>
      <c r="CKT2">
        <v>3</v>
      </c>
      <c r="CKU2">
        <v>3</v>
      </c>
      <c r="CKV2">
        <v>3</v>
      </c>
      <c r="CKW2">
        <v>3</v>
      </c>
      <c r="CKX2">
        <v>3</v>
      </c>
      <c r="CKY2">
        <v>3</v>
      </c>
      <c r="CKZ2">
        <v>3</v>
      </c>
      <c r="CLA2">
        <v>3</v>
      </c>
      <c r="CLB2">
        <v>3</v>
      </c>
      <c r="CLC2">
        <v>3</v>
      </c>
      <c r="CLD2">
        <v>3</v>
      </c>
      <c r="CLE2">
        <v>3</v>
      </c>
      <c r="CLF2">
        <v>3</v>
      </c>
      <c r="CLG2">
        <v>3</v>
      </c>
      <c r="CLH2">
        <v>3</v>
      </c>
      <c r="CLI2">
        <v>3</v>
      </c>
      <c r="CLJ2">
        <v>3</v>
      </c>
      <c r="CLK2">
        <v>3</v>
      </c>
      <c r="CLL2">
        <v>3</v>
      </c>
      <c r="CLM2">
        <v>3</v>
      </c>
      <c r="CLN2">
        <v>3</v>
      </c>
      <c r="CLO2">
        <v>3</v>
      </c>
      <c r="CLP2">
        <v>3</v>
      </c>
      <c r="CLQ2">
        <v>3</v>
      </c>
      <c r="CLR2">
        <v>3</v>
      </c>
      <c r="CLS2">
        <v>3</v>
      </c>
      <c r="CLT2">
        <v>3</v>
      </c>
      <c r="CLU2">
        <v>3</v>
      </c>
      <c r="CLV2">
        <v>3</v>
      </c>
      <c r="CLW2">
        <v>3</v>
      </c>
      <c r="CLX2">
        <v>3</v>
      </c>
      <c r="CLY2">
        <v>3</v>
      </c>
      <c r="CLZ2">
        <v>3</v>
      </c>
      <c r="CMA2">
        <v>3</v>
      </c>
      <c r="CMB2">
        <v>3</v>
      </c>
      <c r="CMC2">
        <v>3</v>
      </c>
      <c r="CMD2">
        <v>3</v>
      </c>
      <c r="CME2">
        <v>3</v>
      </c>
      <c r="CZV2">
        <v>4</v>
      </c>
      <c r="CZW2">
        <v>4</v>
      </c>
      <c r="CZX2">
        <v>4</v>
      </c>
      <c r="CZY2">
        <v>4</v>
      </c>
      <c r="CZZ2">
        <v>4</v>
      </c>
      <c r="DAA2">
        <v>4</v>
      </c>
      <c r="DAB2">
        <v>4</v>
      </c>
      <c r="DAC2">
        <v>4</v>
      </c>
      <c r="DAD2">
        <v>4</v>
      </c>
      <c r="DAE2">
        <v>4</v>
      </c>
      <c r="DAF2">
        <v>4</v>
      </c>
      <c r="DAG2">
        <v>4</v>
      </c>
      <c r="DAH2">
        <v>4</v>
      </c>
      <c r="DAI2">
        <v>4</v>
      </c>
      <c r="DAJ2">
        <v>4</v>
      </c>
      <c r="DAK2">
        <v>4</v>
      </c>
      <c r="DAL2">
        <v>4</v>
      </c>
      <c r="DAM2">
        <v>4</v>
      </c>
      <c r="DAN2">
        <v>4</v>
      </c>
      <c r="DAO2">
        <v>4</v>
      </c>
      <c r="DAP2">
        <v>4</v>
      </c>
      <c r="DAQ2">
        <v>4</v>
      </c>
      <c r="DAR2">
        <v>4</v>
      </c>
      <c r="DAS2">
        <v>4</v>
      </c>
      <c r="DAT2">
        <v>4</v>
      </c>
      <c r="DAU2">
        <v>4</v>
      </c>
      <c r="DAV2">
        <v>4</v>
      </c>
      <c r="DAW2">
        <v>4</v>
      </c>
      <c r="DAX2">
        <v>4</v>
      </c>
      <c r="DAY2">
        <v>4</v>
      </c>
      <c r="DAZ2">
        <v>4</v>
      </c>
      <c r="DBA2">
        <v>4</v>
      </c>
      <c r="DBB2">
        <v>4</v>
      </c>
      <c r="DBC2">
        <v>4</v>
      </c>
      <c r="DBD2">
        <v>4</v>
      </c>
      <c r="DBE2">
        <v>4</v>
      </c>
      <c r="DBF2">
        <v>4</v>
      </c>
      <c r="DBG2">
        <v>4</v>
      </c>
      <c r="DBH2">
        <v>4</v>
      </c>
      <c r="DBI2">
        <v>4</v>
      </c>
      <c r="DBJ2">
        <v>4</v>
      </c>
      <c r="DBK2">
        <v>4</v>
      </c>
      <c r="DBL2">
        <v>4</v>
      </c>
      <c r="DBM2">
        <v>4</v>
      </c>
      <c r="DBN2">
        <v>4</v>
      </c>
      <c r="DBO2">
        <v>4</v>
      </c>
      <c r="DBP2">
        <v>4</v>
      </c>
      <c r="DBQ2">
        <v>4</v>
      </c>
      <c r="DBR2">
        <v>4</v>
      </c>
      <c r="DBS2">
        <v>4</v>
      </c>
      <c r="DBT2">
        <v>4</v>
      </c>
      <c r="DBU2">
        <v>4</v>
      </c>
      <c r="DBV2">
        <v>4</v>
      </c>
      <c r="DBW2">
        <v>4</v>
      </c>
      <c r="DBX2">
        <v>4</v>
      </c>
      <c r="DBY2">
        <v>4</v>
      </c>
      <c r="DBZ2">
        <v>4</v>
      </c>
      <c r="DCA2">
        <v>4</v>
      </c>
      <c r="DCB2">
        <v>4</v>
      </c>
      <c r="DCC2">
        <v>4</v>
      </c>
      <c r="DCD2">
        <v>4</v>
      </c>
      <c r="DCE2">
        <v>4</v>
      </c>
      <c r="DCF2">
        <v>4</v>
      </c>
      <c r="DCG2">
        <v>4</v>
      </c>
      <c r="DCH2">
        <v>4</v>
      </c>
      <c r="DCI2">
        <v>4</v>
      </c>
      <c r="DCJ2">
        <v>4</v>
      </c>
      <c r="DCK2">
        <v>4</v>
      </c>
      <c r="DCL2">
        <v>4</v>
      </c>
      <c r="DCM2">
        <v>4</v>
      </c>
      <c r="DCN2">
        <v>4</v>
      </c>
      <c r="DCO2">
        <v>4</v>
      </c>
      <c r="DCP2">
        <v>4</v>
      </c>
      <c r="DCQ2">
        <v>4</v>
      </c>
      <c r="DCR2">
        <v>4</v>
      </c>
      <c r="DCS2">
        <v>4</v>
      </c>
      <c r="DCT2">
        <v>4</v>
      </c>
      <c r="DCU2">
        <v>4</v>
      </c>
      <c r="DCV2">
        <v>4</v>
      </c>
      <c r="DCW2">
        <v>4</v>
      </c>
      <c r="DCX2">
        <v>4</v>
      </c>
      <c r="DCY2">
        <v>4</v>
      </c>
      <c r="DCZ2">
        <v>4</v>
      </c>
      <c r="DDA2">
        <v>4</v>
      </c>
      <c r="DDB2">
        <v>4</v>
      </c>
      <c r="DDC2">
        <v>4</v>
      </c>
      <c r="DDD2">
        <v>4</v>
      </c>
      <c r="DDE2">
        <v>4</v>
      </c>
      <c r="DDF2">
        <v>4</v>
      </c>
      <c r="DDG2">
        <v>4</v>
      </c>
      <c r="DDH2">
        <v>4</v>
      </c>
      <c r="DDI2">
        <v>4</v>
      </c>
      <c r="DDJ2">
        <v>4</v>
      </c>
      <c r="DDK2">
        <v>4</v>
      </c>
      <c r="DDL2">
        <v>4</v>
      </c>
      <c r="DDM2">
        <v>4</v>
      </c>
      <c r="DDN2">
        <v>4</v>
      </c>
      <c r="DDO2">
        <v>4</v>
      </c>
      <c r="DDP2">
        <v>4</v>
      </c>
      <c r="DDQ2">
        <v>4</v>
      </c>
      <c r="DDR2">
        <v>4</v>
      </c>
      <c r="DDS2">
        <v>4</v>
      </c>
      <c r="DDT2">
        <v>4</v>
      </c>
      <c r="DDU2">
        <v>4</v>
      </c>
      <c r="DDV2">
        <v>4</v>
      </c>
      <c r="DDW2">
        <v>4</v>
      </c>
      <c r="DDX2">
        <v>4</v>
      </c>
      <c r="DDY2">
        <v>4</v>
      </c>
      <c r="DDZ2">
        <v>4</v>
      </c>
      <c r="DEA2">
        <v>4</v>
      </c>
      <c r="DEB2">
        <v>4</v>
      </c>
      <c r="DEC2">
        <v>4</v>
      </c>
      <c r="DED2">
        <v>4</v>
      </c>
      <c r="DEE2">
        <v>4</v>
      </c>
      <c r="DEF2">
        <v>4</v>
      </c>
      <c r="DEG2">
        <v>4</v>
      </c>
      <c r="DEH2">
        <v>4</v>
      </c>
      <c r="DEI2">
        <v>4</v>
      </c>
      <c r="DEJ2">
        <v>4</v>
      </c>
      <c r="DEK2">
        <v>4</v>
      </c>
      <c r="DEL2">
        <v>4</v>
      </c>
      <c r="DEM2">
        <v>4</v>
      </c>
      <c r="DEN2">
        <v>4</v>
      </c>
      <c r="DEO2">
        <v>4</v>
      </c>
      <c r="DEP2">
        <v>4</v>
      </c>
      <c r="DEQ2">
        <v>4</v>
      </c>
      <c r="DER2">
        <v>4</v>
      </c>
      <c r="DES2">
        <v>4</v>
      </c>
      <c r="DET2">
        <v>4</v>
      </c>
      <c r="DEU2">
        <v>4</v>
      </c>
      <c r="DEV2">
        <v>4</v>
      </c>
      <c r="DEW2">
        <v>4</v>
      </c>
      <c r="DEX2">
        <v>4</v>
      </c>
      <c r="DEY2">
        <v>4</v>
      </c>
      <c r="DEZ2">
        <v>4</v>
      </c>
      <c r="DFA2">
        <v>4</v>
      </c>
      <c r="DFB2">
        <v>4</v>
      </c>
      <c r="DFC2">
        <v>4</v>
      </c>
      <c r="DFD2">
        <v>4</v>
      </c>
      <c r="DFE2">
        <v>4</v>
      </c>
      <c r="DFF2">
        <v>4</v>
      </c>
      <c r="DFG2">
        <v>4</v>
      </c>
      <c r="DFH2">
        <v>4</v>
      </c>
      <c r="DFI2">
        <v>4</v>
      </c>
      <c r="DFJ2">
        <v>4</v>
      </c>
      <c r="DFK2">
        <v>4</v>
      </c>
      <c r="DFL2">
        <v>4</v>
      </c>
      <c r="DFM2">
        <v>4</v>
      </c>
      <c r="DFN2">
        <v>4</v>
      </c>
      <c r="DFO2">
        <v>4</v>
      </c>
      <c r="DFP2">
        <v>4</v>
      </c>
      <c r="DFQ2">
        <v>4</v>
      </c>
      <c r="DFR2">
        <v>4</v>
      </c>
      <c r="DFS2">
        <v>4</v>
      </c>
      <c r="DFT2">
        <v>4</v>
      </c>
      <c r="DFU2">
        <v>4</v>
      </c>
      <c r="DFV2">
        <v>4</v>
      </c>
      <c r="DFW2">
        <v>4</v>
      </c>
      <c r="DFX2">
        <v>4</v>
      </c>
      <c r="DFY2">
        <v>4</v>
      </c>
      <c r="DFZ2">
        <v>4</v>
      </c>
      <c r="DGA2">
        <v>4</v>
      </c>
      <c r="DGB2">
        <v>4</v>
      </c>
      <c r="DGC2">
        <v>4</v>
      </c>
      <c r="DGD2">
        <v>4</v>
      </c>
      <c r="DGE2">
        <v>4</v>
      </c>
      <c r="DGF2">
        <v>4</v>
      </c>
      <c r="DGG2">
        <v>4</v>
      </c>
      <c r="DGH2">
        <v>4</v>
      </c>
      <c r="DGI2">
        <v>4</v>
      </c>
      <c r="DGJ2">
        <v>4</v>
      </c>
      <c r="DGK2">
        <v>4</v>
      </c>
      <c r="DGL2">
        <v>4</v>
      </c>
      <c r="DGM2">
        <v>4</v>
      </c>
      <c r="DGN2">
        <v>4</v>
      </c>
      <c r="DGO2">
        <v>4</v>
      </c>
      <c r="DGP2">
        <v>4</v>
      </c>
      <c r="DGQ2">
        <v>4</v>
      </c>
      <c r="DGR2">
        <v>4</v>
      </c>
      <c r="DGS2">
        <v>4</v>
      </c>
      <c r="DGT2">
        <v>4</v>
      </c>
      <c r="DGU2">
        <v>4</v>
      </c>
      <c r="DGV2">
        <v>4</v>
      </c>
      <c r="DGW2">
        <v>4</v>
      </c>
      <c r="DGX2">
        <v>4</v>
      </c>
      <c r="DGY2">
        <v>4</v>
      </c>
      <c r="DGZ2">
        <v>4</v>
      </c>
      <c r="DHA2">
        <v>4</v>
      </c>
      <c r="DHB2">
        <v>4</v>
      </c>
      <c r="DHC2">
        <v>4</v>
      </c>
      <c r="DHD2">
        <v>4</v>
      </c>
      <c r="DHE2">
        <v>4</v>
      </c>
      <c r="DHF2">
        <v>4</v>
      </c>
      <c r="DHG2">
        <v>4</v>
      </c>
      <c r="DHH2">
        <v>4</v>
      </c>
      <c r="DHI2">
        <v>4</v>
      </c>
      <c r="DHJ2">
        <v>4</v>
      </c>
      <c r="DHK2">
        <v>4</v>
      </c>
      <c r="DHL2">
        <v>4</v>
      </c>
      <c r="DHM2">
        <v>4</v>
      </c>
      <c r="DHN2">
        <v>4</v>
      </c>
      <c r="DHO2">
        <v>4</v>
      </c>
      <c r="DHP2">
        <v>4</v>
      </c>
      <c r="DHQ2">
        <v>4</v>
      </c>
      <c r="DHR2">
        <v>4</v>
      </c>
      <c r="DHS2">
        <v>4</v>
      </c>
      <c r="DHT2">
        <v>4</v>
      </c>
      <c r="DHU2">
        <v>4</v>
      </c>
      <c r="DHV2">
        <v>4</v>
      </c>
      <c r="DHW2">
        <v>4</v>
      </c>
      <c r="DHX2">
        <v>4</v>
      </c>
      <c r="DHY2">
        <v>4</v>
      </c>
      <c r="DHZ2">
        <v>4</v>
      </c>
      <c r="DIA2">
        <v>4</v>
      </c>
      <c r="DIB2">
        <v>4</v>
      </c>
      <c r="DIC2">
        <v>4</v>
      </c>
      <c r="DID2">
        <v>4</v>
      </c>
      <c r="DIE2">
        <v>4</v>
      </c>
      <c r="DIF2">
        <v>4</v>
      </c>
      <c r="DIG2">
        <v>4</v>
      </c>
      <c r="DIH2">
        <v>4</v>
      </c>
      <c r="DII2">
        <v>4</v>
      </c>
      <c r="DIJ2">
        <v>4</v>
      </c>
      <c r="DIK2">
        <v>4</v>
      </c>
      <c r="DIL2">
        <v>4</v>
      </c>
      <c r="DIM2">
        <v>4</v>
      </c>
      <c r="DIN2">
        <v>4</v>
      </c>
      <c r="DIO2">
        <v>4</v>
      </c>
      <c r="DIP2">
        <v>4</v>
      </c>
      <c r="DIQ2">
        <v>4</v>
      </c>
      <c r="DIR2">
        <v>4</v>
      </c>
      <c r="DIS2">
        <v>4</v>
      </c>
      <c r="DIT2">
        <v>4</v>
      </c>
      <c r="DIU2">
        <v>4</v>
      </c>
      <c r="DIV2">
        <v>4</v>
      </c>
      <c r="DIW2">
        <v>4</v>
      </c>
      <c r="DIX2">
        <v>4</v>
      </c>
      <c r="DIY2">
        <v>4</v>
      </c>
      <c r="DIZ2">
        <v>4</v>
      </c>
      <c r="DJA2">
        <v>4</v>
      </c>
      <c r="DJB2">
        <v>4</v>
      </c>
      <c r="DJC2">
        <v>4</v>
      </c>
      <c r="DJD2">
        <v>4</v>
      </c>
      <c r="DZW2">
        <v>5</v>
      </c>
      <c r="DZX2">
        <v>5</v>
      </c>
      <c r="DZY2">
        <v>5</v>
      </c>
      <c r="DZZ2">
        <v>5</v>
      </c>
      <c r="EAA2">
        <v>5</v>
      </c>
      <c r="EAB2">
        <v>5</v>
      </c>
      <c r="EAC2">
        <v>5</v>
      </c>
      <c r="EAD2">
        <v>5</v>
      </c>
      <c r="EAE2">
        <v>5</v>
      </c>
      <c r="EAF2">
        <v>5</v>
      </c>
      <c r="EAG2">
        <v>5</v>
      </c>
      <c r="EAH2">
        <v>5</v>
      </c>
      <c r="EAI2">
        <v>5</v>
      </c>
      <c r="EAJ2">
        <v>5</v>
      </c>
      <c r="EAK2">
        <v>5</v>
      </c>
      <c r="EAL2">
        <v>5</v>
      </c>
      <c r="EAM2">
        <v>5</v>
      </c>
      <c r="EAN2">
        <v>5</v>
      </c>
      <c r="EAO2">
        <v>5</v>
      </c>
      <c r="EAP2">
        <v>5</v>
      </c>
      <c r="EAQ2">
        <v>5</v>
      </c>
      <c r="EAR2">
        <v>5</v>
      </c>
      <c r="EAS2">
        <v>5</v>
      </c>
      <c r="EAT2">
        <v>5</v>
      </c>
      <c r="EAU2">
        <v>5</v>
      </c>
      <c r="EAV2">
        <v>5</v>
      </c>
      <c r="EAW2">
        <v>5</v>
      </c>
      <c r="EAX2">
        <v>5</v>
      </c>
      <c r="EAY2">
        <v>5</v>
      </c>
      <c r="EAZ2">
        <v>5</v>
      </c>
      <c r="EBA2">
        <v>5</v>
      </c>
      <c r="EBB2">
        <v>5</v>
      </c>
      <c r="EBC2">
        <v>5</v>
      </c>
      <c r="EBD2">
        <v>5</v>
      </c>
      <c r="EBE2">
        <v>5</v>
      </c>
      <c r="EBF2">
        <v>5</v>
      </c>
      <c r="EBG2">
        <v>5</v>
      </c>
      <c r="EBH2">
        <v>5</v>
      </c>
      <c r="EBI2">
        <v>5</v>
      </c>
      <c r="EBJ2">
        <v>5</v>
      </c>
      <c r="EBK2">
        <v>5</v>
      </c>
      <c r="EBL2">
        <v>5</v>
      </c>
      <c r="EBM2">
        <v>5</v>
      </c>
      <c r="EBN2">
        <v>5</v>
      </c>
      <c r="EBO2">
        <v>5</v>
      </c>
      <c r="EBP2">
        <v>5</v>
      </c>
      <c r="EBQ2">
        <v>5</v>
      </c>
      <c r="EBR2">
        <v>5</v>
      </c>
      <c r="EBS2">
        <v>5</v>
      </c>
      <c r="EBT2">
        <v>5</v>
      </c>
      <c r="EBU2">
        <v>5</v>
      </c>
      <c r="EBV2">
        <v>5</v>
      </c>
      <c r="EBW2">
        <v>5</v>
      </c>
      <c r="EBX2">
        <v>5</v>
      </c>
      <c r="EBY2">
        <v>5</v>
      </c>
      <c r="EBZ2">
        <v>5</v>
      </c>
      <c r="ECA2">
        <v>5</v>
      </c>
      <c r="ECB2">
        <v>5</v>
      </c>
      <c r="ECC2">
        <v>5</v>
      </c>
      <c r="ECD2">
        <v>5</v>
      </c>
      <c r="ECE2">
        <v>5</v>
      </c>
      <c r="ECF2">
        <v>5</v>
      </c>
      <c r="ECG2">
        <v>5</v>
      </c>
      <c r="ECH2">
        <v>5</v>
      </c>
      <c r="ECI2">
        <v>5</v>
      </c>
      <c r="ECJ2">
        <v>5</v>
      </c>
      <c r="ECK2">
        <v>5</v>
      </c>
      <c r="ECL2">
        <v>5</v>
      </c>
      <c r="ECM2">
        <v>5</v>
      </c>
      <c r="ECN2">
        <v>5</v>
      </c>
      <c r="ECO2">
        <v>5</v>
      </c>
      <c r="ECP2">
        <v>5</v>
      </c>
      <c r="ECQ2">
        <v>5</v>
      </c>
      <c r="ECR2">
        <v>5</v>
      </c>
      <c r="ECS2">
        <v>5</v>
      </c>
      <c r="ECT2">
        <v>5</v>
      </c>
      <c r="ECU2">
        <v>5</v>
      </c>
      <c r="ECV2">
        <v>5</v>
      </c>
      <c r="ECW2">
        <v>5</v>
      </c>
      <c r="ECX2">
        <v>5</v>
      </c>
      <c r="ECY2">
        <v>5</v>
      </c>
      <c r="ECZ2">
        <v>5</v>
      </c>
      <c r="EDA2">
        <v>5</v>
      </c>
      <c r="EDB2">
        <v>5</v>
      </c>
      <c r="EDC2">
        <v>5</v>
      </c>
      <c r="EDD2">
        <v>5</v>
      </c>
      <c r="EDE2">
        <v>5</v>
      </c>
      <c r="EDF2">
        <v>5</v>
      </c>
      <c r="EDG2">
        <v>5</v>
      </c>
      <c r="EDH2">
        <v>5</v>
      </c>
      <c r="EDI2">
        <v>5</v>
      </c>
      <c r="EDJ2">
        <v>5</v>
      </c>
      <c r="EDK2">
        <v>5</v>
      </c>
      <c r="EDL2">
        <v>5</v>
      </c>
      <c r="EDM2">
        <v>5</v>
      </c>
      <c r="EDN2">
        <v>5</v>
      </c>
      <c r="EDO2">
        <v>5</v>
      </c>
      <c r="EDP2">
        <v>5</v>
      </c>
      <c r="EDQ2">
        <v>5</v>
      </c>
      <c r="EDR2">
        <v>5</v>
      </c>
      <c r="EDS2">
        <v>5</v>
      </c>
      <c r="EDT2">
        <v>5</v>
      </c>
      <c r="EDU2">
        <v>5</v>
      </c>
      <c r="EDV2">
        <v>5</v>
      </c>
      <c r="EDW2">
        <v>5</v>
      </c>
      <c r="EDX2">
        <v>5</v>
      </c>
      <c r="EDY2">
        <v>5</v>
      </c>
      <c r="EDZ2">
        <v>5</v>
      </c>
      <c r="EEA2">
        <v>5</v>
      </c>
      <c r="EEB2">
        <v>5</v>
      </c>
      <c r="EEC2">
        <v>5</v>
      </c>
      <c r="EED2">
        <v>5</v>
      </c>
      <c r="EEE2">
        <v>5</v>
      </c>
      <c r="EEF2">
        <v>5</v>
      </c>
      <c r="EEG2">
        <v>5</v>
      </c>
      <c r="EEH2">
        <v>5</v>
      </c>
      <c r="EEI2">
        <v>5</v>
      </c>
      <c r="EEJ2">
        <v>5</v>
      </c>
      <c r="EEK2">
        <v>5</v>
      </c>
      <c r="EEL2">
        <v>5</v>
      </c>
      <c r="EEM2">
        <v>5</v>
      </c>
      <c r="EEN2">
        <v>5</v>
      </c>
      <c r="EEO2">
        <v>5</v>
      </c>
      <c r="EEP2">
        <v>5</v>
      </c>
      <c r="EEQ2">
        <v>5</v>
      </c>
      <c r="EER2">
        <v>5</v>
      </c>
      <c r="EES2">
        <v>5</v>
      </c>
      <c r="EET2">
        <v>5</v>
      </c>
      <c r="EEU2">
        <v>5</v>
      </c>
      <c r="EEV2">
        <v>5</v>
      </c>
      <c r="EEW2">
        <v>5</v>
      </c>
      <c r="EEX2">
        <v>5</v>
      </c>
      <c r="EEY2">
        <v>5</v>
      </c>
      <c r="EEZ2">
        <v>5</v>
      </c>
      <c r="EFA2">
        <v>5</v>
      </c>
      <c r="EFB2">
        <v>5</v>
      </c>
      <c r="EFC2">
        <v>5</v>
      </c>
      <c r="EFD2">
        <v>5</v>
      </c>
      <c r="EFE2">
        <v>5</v>
      </c>
      <c r="EFF2">
        <v>5</v>
      </c>
      <c r="EFG2">
        <v>5</v>
      </c>
      <c r="EFH2">
        <v>5</v>
      </c>
      <c r="EFI2">
        <v>5</v>
      </c>
      <c r="EFJ2">
        <v>5</v>
      </c>
      <c r="EFK2">
        <v>5</v>
      </c>
      <c r="EFL2">
        <v>5</v>
      </c>
      <c r="EFM2">
        <v>5</v>
      </c>
      <c r="EFN2">
        <v>5</v>
      </c>
      <c r="EFO2">
        <v>5</v>
      </c>
      <c r="EFP2">
        <v>5</v>
      </c>
      <c r="EFQ2">
        <v>5</v>
      </c>
      <c r="EFR2">
        <v>5</v>
      </c>
      <c r="EFS2">
        <v>5</v>
      </c>
      <c r="EFT2">
        <v>5</v>
      </c>
      <c r="EFU2">
        <v>5</v>
      </c>
      <c r="EFV2">
        <v>5</v>
      </c>
      <c r="EFW2">
        <v>5</v>
      </c>
      <c r="EFX2">
        <v>5</v>
      </c>
      <c r="EFY2">
        <v>5</v>
      </c>
      <c r="EFZ2">
        <v>5</v>
      </c>
      <c r="EGA2">
        <v>5</v>
      </c>
      <c r="EGB2">
        <v>5</v>
      </c>
      <c r="EGC2">
        <v>5</v>
      </c>
      <c r="EGD2">
        <v>5</v>
      </c>
      <c r="EGE2">
        <v>5</v>
      </c>
      <c r="EGF2">
        <v>5</v>
      </c>
      <c r="EGG2">
        <v>5</v>
      </c>
      <c r="EGH2">
        <v>5</v>
      </c>
      <c r="EGI2">
        <v>5</v>
      </c>
      <c r="EGJ2">
        <v>5</v>
      </c>
      <c r="EGK2">
        <v>5</v>
      </c>
      <c r="EGL2">
        <v>5</v>
      </c>
      <c r="EGM2">
        <v>5</v>
      </c>
      <c r="EGN2">
        <v>5</v>
      </c>
      <c r="EGO2">
        <v>5</v>
      </c>
      <c r="EGP2">
        <v>5</v>
      </c>
      <c r="EGQ2">
        <v>5</v>
      </c>
      <c r="EGR2">
        <v>5</v>
      </c>
      <c r="EGS2">
        <v>5</v>
      </c>
      <c r="EGT2">
        <v>5</v>
      </c>
      <c r="EGU2">
        <v>5</v>
      </c>
      <c r="EGV2">
        <v>5</v>
      </c>
      <c r="EGW2">
        <v>5</v>
      </c>
      <c r="EGX2">
        <v>5</v>
      </c>
      <c r="EGY2">
        <v>5</v>
      </c>
      <c r="EGZ2">
        <v>5</v>
      </c>
      <c r="EHA2">
        <v>5</v>
      </c>
      <c r="EHB2">
        <v>5</v>
      </c>
      <c r="EHC2">
        <v>5</v>
      </c>
      <c r="EHD2">
        <v>5</v>
      </c>
      <c r="EHE2">
        <v>5</v>
      </c>
      <c r="EHF2">
        <v>5</v>
      </c>
      <c r="EHG2">
        <v>5</v>
      </c>
      <c r="EHH2">
        <v>5</v>
      </c>
      <c r="EHI2">
        <v>5</v>
      </c>
      <c r="EHJ2">
        <v>5</v>
      </c>
      <c r="EHK2">
        <v>5</v>
      </c>
      <c r="EHL2">
        <v>5</v>
      </c>
      <c r="EHM2">
        <v>5</v>
      </c>
      <c r="EHN2">
        <v>5</v>
      </c>
      <c r="EHO2">
        <v>5</v>
      </c>
      <c r="EHP2">
        <v>5</v>
      </c>
      <c r="EHQ2">
        <v>5</v>
      </c>
      <c r="EHR2">
        <v>5</v>
      </c>
      <c r="FOH2">
        <v>6</v>
      </c>
      <c r="FOI2">
        <v>6</v>
      </c>
      <c r="FOJ2">
        <v>6</v>
      </c>
      <c r="FOK2">
        <v>6</v>
      </c>
      <c r="FOL2">
        <v>6</v>
      </c>
      <c r="FOM2">
        <v>6</v>
      </c>
      <c r="FON2">
        <v>6</v>
      </c>
      <c r="FOO2">
        <v>6</v>
      </c>
      <c r="FOP2">
        <v>6</v>
      </c>
      <c r="FOQ2">
        <v>6</v>
      </c>
      <c r="FOR2">
        <v>6</v>
      </c>
      <c r="FOS2">
        <v>6</v>
      </c>
      <c r="FOT2">
        <v>6</v>
      </c>
      <c r="FOU2">
        <v>6</v>
      </c>
      <c r="FOV2">
        <v>6</v>
      </c>
      <c r="FOW2">
        <v>6</v>
      </c>
      <c r="FOX2">
        <v>6</v>
      </c>
      <c r="FOY2">
        <v>6</v>
      </c>
      <c r="FOZ2">
        <v>6</v>
      </c>
      <c r="FPA2">
        <v>6</v>
      </c>
      <c r="FPB2">
        <v>6</v>
      </c>
      <c r="FPC2">
        <v>6</v>
      </c>
      <c r="FPD2">
        <v>6</v>
      </c>
      <c r="FPE2">
        <v>6</v>
      </c>
      <c r="FPF2">
        <v>6</v>
      </c>
      <c r="FPG2">
        <v>6</v>
      </c>
      <c r="FPH2">
        <v>6</v>
      </c>
      <c r="FPI2">
        <v>6</v>
      </c>
      <c r="FPJ2">
        <v>6</v>
      </c>
      <c r="FPK2">
        <v>6</v>
      </c>
      <c r="FPL2">
        <v>6</v>
      </c>
      <c r="FPM2">
        <v>6</v>
      </c>
      <c r="FPN2">
        <v>6</v>
      </c>
      <c r="FPO2">
        <v>6</v>
      </c>
      <c r="FPP2">
        <v>6</v>
      </c>
      <c r="FPQ2">
        <v>6</v>
      </c>
      <c r="FPR2">
        <v>6</v>
      </c>
      <c r="FPS2">
        <v>6</v>
      </c>
      <c r="FPT2">
        <v>6</v>
      </c>
      <c r="FPU2">
        <v>6</v>
      </c>
      <c r="FPV2">
        <v>6</v>
      </c>
      <c r="FPW2">
        <v>6</v>
      </c>
      <c r="FPX2">
        <v>6</v>
      </c>
      <c r="FPY2">
        <v>6</v>
      </c>
      <c r="FPZ2">
        <v>6</v>
      </c>
      <c r="FQA2">
        <v>6</v>
      </c>
      <c r="FQB2">
        <v>6</v>
      </c>
      <c r="FQC2">
        <v>6</v>
      </c>
      <c r="FQD2">
        <v>6</v>
      </c>
      <c r="FQE2">
        <v>6</v>
      </c>
      <c r="FQF2">
        <v>6</v>
      </c>
      <c r="FQG2">
        <v>6</v>
      </c>
      <c r="FQH2">
        <v>6</v>
      </c>
      <c r="FQI2">
        <v>6</v>
      </c>
      <c r="FQJ2">
        <v>6</v>
      </c>
      <c r="FQK2">
        <v>6</v>
      </c>
      <c r="FQL2">
        <v>6</v>
      </c>
      <c r="FQM2">
        <v>6</v>
      </c>
      <c r="FQN2">
        <v>6</v>
      </c>
      <c r="FQO2">
        <v>6</v>
      </c>
      <c r="FQP2">
        <v>6</v>
      </c>
      <c r="FQQ2">
        <v>6</v>
      </c>
      <c r="FQR2">
        <v>6</v>
      </c>
      <c r="FQS2">
        <v>6</v>
      </c>
      <c r="FQT2">
        <v>6</v>
      </c>
      <c r="FQU2">
        <v>6</v>
      </c>
      <c r="FQV2">
        <v>6</v>
      </c>
      <c r="FQW2">
        <v>6</v>
      </c>
      <c r="FQX2">
        <v>6</v>
      </c>
      <c r="FQY2">
        <v>6</v>
      </c>
      <c r="FQZ2">
        <v>6</v>
      </c>
      <c r="FRA2">
        <v>6</v>
      </c>
      <c r="FRB2">
        <v>6</v>
      </c>
      <c r="FRC2">
        <v>6</v>
      </c>
      <c r="FRD2">
        <v>6</v>
      </c>
      <c r="FRE2">
        <v>6</v>
      </c>
      <c r="FRF2">
        <v>6</v>
      </c>
      <c r="FRG2">
        <v>6</v>
      </c>
      <c r="FRH2">
        <v>6</v>
      </c>
      <c r="FRI2">
        <v>6</v>
      </c>
      <c r="FRJ2">
        <v>6</v>
      </c>
      <c r="FRK2">
        <v>6</v>
      </c>
      <c r="FRL2">
        <v>6</v>
      </c>
      <c r="FRM2">
        <v>6</v>
      </c>
      <c r="FRN2">
        <v>6</v>
      </c>
      <c r="FRO2">
        <v>6</v>
      </c>
      <c r="FRP2">
        <v>6</v>
      </c>
      <c r="FRQ2">
        <v>6</v>
      </c>
      <c r="FRR2">
        <v>6</v>
      </c>
      <c r="FRS2">
        <v>6</v>
      </c>
      <c r="FRT2">
        <v>6</v>
      </c>
      <c r="FRU2">
        <v>6</v>
      </c>
      <c r="FRV2">
        <v>6</v>
      </c>
      <c r="FRW2">
        <v>6</v>
      </c>
      <c r="FRX2">
        <v>6</v>
      </c>
      <c r="FRY2">
        <v>6</v>
      </c>
      <c r="FRZ2">
        <v>6</v>
      </c>
      <c r="FSA2">
        <v>6</v>
      </c>
      <c r="FSB2">
        <v>6</v>
      </c>
      <c r="FSC2">
        <v>6</v>
      </c>
      <c r="FSD2">
        <v>6</v>
      </c>
      <c r="FSE2">
        <v>6</v>
      </c>
      <c r="FSF2">
        <v>6</v>
      </c>
      <c r="FSG2">
        <v>6</v>
      </c>
      <c r="FSH2">
        <v>6</v>
      </c>
      <c r="FSI2">
        <v>6</v>
      </c>
      <c r="FSJ2">
        <v>6</v>
      </c>
      <c r="FSK2">
        <v>6</v>
      </c>
      <c r="FSL2">
        <v>6</v>
      </c>
      <c r="FSM2">
        <v>6</v>
      </c>
      <c r="FSN2">
        <v>6</v>
      </c>
      <c r="FSO2">
        <v>6</v>
      </c>
      <c r="FSP2">
        <v>6</v>
      </c>
      <c r="FSQ2">
        <v>6</v>
      </c>
      <c r="FSR2">
        <v>6</v>
      </c>
      <c r="FSS2">
        <v>6</v>
      </c>
      <c r="FST2">
        <v>6</v>
      </c>
      <c r="FSU2">
        <v>6</v>
      </c>
      <c r="FSV2">
        <v>6</v>
      </c>
      <c r="FSW2">
        <v>6</v>
      </c>
      <c r="FSX2">
        <v>6</v>
      </c>
      <c r="FSY2">
        <v>6</v>
      </c>
      <c r="FSZ2">
        <v>6</v>
      </c>
      <c r="FTA2">
        <v>6</v>
      </c>
      <c r="FTB2">
        <v>6</v>
      </c>
      <c r="FTC2">
        <v>6</v>
      </c>
      <c r="FTD2">
        <v>6</v>
      </c>
      <c r="FTE2">
        <v>6</v>
      </c>
      <c r="FTF2">
        <v>6</v>
      </c>
      <c r="FTG2">
        <v>6</v>
      </c>
      <c r="FTH2">
        <v>6</v>
      </c>
      <c r="FTI2">
        <v>6</v>
      </c>
      <c r="FTJ2">
        <v>6</v>
      </c>
      <c r="FTK2">
        <v>6</v>
      </c>
      <c r="FTL2">
        <v>6</v>
      </c>
      <c r="FTM2">
        <v>6</v>
      </c>
      <c r="FTN2">
        <v>6</v>
      </c>
      <c r="FTO2">
        <v>6</v>
      </c>
      <c r="FTP2">
        <v>6</v>
      </c>
      <c r="FTQ2">
        <v>6</v>
      </c>
      <c r="FTR2">
        <v>6</v>
      </c>
      <c r="FTS2">
        <v>6</v>
      </c>
      <c r="FTT2">
        <v>6</v>
      </c>
      <c r="FTU2">
        <v>6</v>
      </c>
      <c r="FTV2">
        <v>6</v>
      </c>
      <c r="FTW2">
        <v>6</v>
      </c>
      <c r="FTX2">
        <v>6</v>
      </c>
      <c r="FTY2">
        <v>6</v>
      </c>
      <c r="FTZ2">
        <v>6</v>
      </c>
      <c r="FUA2">
        <v>6</v>
      </c>
      <c r="FUB2">
        <v>6</v>
      </c>
      <c r="FUC2">
        <v>6</v>
      </c>
      <c r="FUD2">
        <v>6</v>
      </c>
      <c r="FUE2">
        <v>6</v>
      </c>
      <c r="FUF2">
        <v>6</v>
      </c>
      <c r="FUG2">
        <v>6</v>
      </c>
      <c r="FUH2">
        <v>6</v>
      </c>
      <c r="FUI2">
        <v>6</v>
      </c>
      <c r="FUJ2">
        <v>6</v>
      </c>
      <c r="FUK2">
        <v>6</v>
      </c>
      <c r="FUL2">
        <v>6</v>
      </c>
      <c r="FUM2">
        <v>6</v>
      </c>
      <c r="FUN2">
        <v>6</v>
      </c>
      <c r="FUO2">
        <v>6</v>
      </c>
      <c r="FUP2">
        <v>6</v>
      </c>
      <c r="FUQ2">
        <v>6</v>
      </c>
      <c r="FUR2">
        <v>6</v>
      </c>
      <c r="FUS2">
        <v>6</v>
      </c>
      <c r="FUT2">
        <v>6</v>
      </c>
      <c r="FUU2">
        <v>6</v>
      </c>
      <c r="FUV2">
        <v>6</v>
      </c>
      <c r="FUW2">
        <v>6</v>
      </c>
      <c r="FUX2">
        <v>6</v>
      </c>
      <c r="FUY2">
        <v>6</v>
      </c>
      <c r="FUZ2">
        <v>6</v>
      </c>
      <c r="FVA2">
        <v>6</v>
      </c>
      <c r="FVB2">
        <v>6</v>
      </c>
      <c r="FVC2">
        <v>6</v>
      </c>
      <c r="FVD2">
        <v>6</v>
      </c>
      <c r="FVE2">
        <v>6</v>
      </c>
      <c r="FVF2">
        <v>6</v>
      </c>
      <c r="FVG2">
        <v>6</v>
      </c>
      <c r="FVH2">
        <v>6</v>
      </c>
      <c r="FVI2">
        <v>6</v>
      </c>
      <c r="FVJ2">
        <v>6</v>
      </c>
      <c r="FVK2">
        <v>6</v>
      </c>
      <c r="FVL2">
        <v>6</v>
      </c>
      <c r="FVM2">
        <v>6</v>
      </c>
      <c r="FVN2">
        <v>6</v>
      </c>
      <c r="FVO2">
        <v>6</v>
      </c>
      <c r="FVP2">
        <v>6</v>
      </c>
      <c r="FVQ2">
        <v>6</v>
      </c>
      <c r="FVR2">
        <v>6</v>
      </c>
      <c r="FVS2">
        <v>6</v>
      </c>
      <c r="FVT2">
        <v>6</v>
      </c>
      <c r="FVU2">
        <v>6</v>
      </c>
      <c r="FVV2">
        <v>6</v>
      </c>
      <c r="FVW2">
        <v>6</v>
      </c>
      <c r="FVX2">
        <v>6</v>
      </c>
      <c r="FVY2">
        <v>6</v>
      </c>
      <c r="FVZ2">
        <v>6</v>
      </c>
      <c r="FWA2">
        <v>6</v>
      </c>
      <c r="FWB2">
        <v>6</v>
      </c>
      <c r="FWC2">
        <v>6</v>
      </c>
      <c r="FWD2">
        <v>6</v>
      </c>
      <c r="FWE2">
        <v>6</v>
      </c>
      <c r="FWF2">
        <v>6</v>
      </c>
      <c r="FWG2">
        <v>6</v>
      </c>
      <c r="FWH2">
        <v>6</v>
      </c>
      <c r="FWI2">
        <v>6</v>
      </c>
      <c r="FWJ2">
        <v>6</v>
      </c>
      <c r="FWK2">
        <v>6</v>
      </c>
      <c r="FWL2">
        <v>6</v>
      </c>
      <c r="FWM2">
        <v>6</v>
      </c>
      <c r="FWN2">
        <v>6</v>
      </c>
      <c r="FWO2">
        <v>6</v>
      </c>
      <c r="FWP2">
        <v>6</v>
      </c>
      <c r="FWQ2">
        <v>6</v>
      </c>
      <c r="FWR2">
        <v>6</v>
      </c>
      <c r="FWS2">
        <v>6</v>
      </c>
      <c r="FWT2">
        <v>6</v>
      </c>
      <c r="FWU2">
        <v>6</v>
      </c>
      <c r="FWV2">
        <v>6</v>
      </c>
      <c r="FWW2">
        <v>6</v>
      </c>
      <c r="FWX2">
        <v>6</v>
      </c>
      <c r="FWY2">
        <v>6</v>
      </c>
      <c r="FWZ2">
        <v>6</v>
      </c>
      <c r="FXA2">
        <v>6</v>
      </c>
      <c r="FXB2">
        <v>6</v>
      </c>
      <c r="FXC2">
        <v>6</v>
      </c>
      <c r="FXD2">
        <v>6</v>
      </c>
      <c r="FXE2">
        <v>6</v>
      </c>
      <c r="FXF2">
        <v>6</v>
      </c>
      <c r="FXG2">
        <v>6</v>
      </c>
      <c r="FXH2">
        <v>6</v>
      </c>
      <c r="FXI2">
        <v>6</v>
      </c>
      <c r="FXJ2">
        <v>6</v>
      </c>
      <c r="FXK2">
        <v>6</v>
      </c>
      <c r="FXL2">
        <v>6</v>
      </c>
      <c r="FXM2">
        <v>6</v>
      </c>
      <c r="FXN2">
        <v>6</v>
      </c>
      <c r="FXO2">
        <v>6</v>
      </c>
      <c r="FXP2">
        <v>6</v>
      </c>
      <c r="FXQ2">
        <v>6</v>
      </c>
      <c r="FXR2">
        <v>6</v>
      </c>
      <c r="FXS2">
        <v>6</v>
      </c>
      <c r="FXT2">
        <v>6</v>
      </c>
      <c r="FXU2">
        <v>6</v>
      </c>
      <c r="FXV2">
        <v>6</v>
      </c>
      <c r="FXW2">
        <v>6</v>
      </c>
      <c r="FXX2">
        <v>6</v>
      </c>
      <c r="FXY2">
        <v>6</v>
      </c>
      <c r="FXZ2">
        <v>6</v>
      </c>
      <c r="FYA2">
        <v>6</v>
      </c>
      <c r="FYB2">
        <v>6</v>
      </c>
      <c r="FYC2">
        <v>6</v>
      </c>
      <c r="FYD2">
        <v>6</v>
      </c>
      <c r="FYE2">
        <v>6</v>
      </c>
      <c r="FYF2">
        <v>6</v>
      </c>
      <c r="FYG2">
        <v>6</v>
      </c>
      <c r="FYH2">
        <v>6</v>
      </c>
      <c r="FYI2">
        <v>6</v>
      </c>
      <c r="FYJ2">
        <v>6</v>
      </c>
      <c r="FYK2">
        <v>6</v>
      </c>
      <c r="FYL2">
        <v>6</v>
      </c>
      <c r="FYM2">
        <v>6</v>
      </c>
      <c r="FYN2">
        <v>6</v>
      </c>
      <c r="FYO2">
        <v>6</v>
      </c>
      <c r="FYP2">
        <v>6</v>
      </c>
      <c r="FYQ2">
        <v>6</v>
      </c>
      <c r="FYR2">
        <v>6</v>
      </c>
      <c r="FYS2">
        <v>6</v>
      </c>
      <c r="FYT2">
        <v>6</v>
      </c>
      <c r="FYU2">
        <v>6</v>
      </c>
      <c r="FYV2">
        <v>6</v>
      </c>
      <c r="FYW2">
        <v>6</v>
      </c>
      <c r="FYX2">
        <v>6</v>
      </c>
      <c r="FYY2">
        <v>6</v>
      </c>
      <c r="FYZ2">
        <v>6</v>
      </c>
      <c r="FZA2">
        <v>6</v>
      </c>
      <c r="FZB2">
        <v>6</v>
      </c>
      <c r="FZC2">
        <v>6</v>
      </c>
      <c r="FZD2">
        <v>6</v>
      </c>
      <c r="FZE2">
        <v>6</v>
      </c>
      <c r="FZF2">
        <v>6</v>
      </c>
      <c r="FZG2">
        <v>6</v>
      </c>
      <c r="FZH2">
        <v>6</v>
      </c>
      <c r="FZI2">
        <v>6</v>
      </c>
      <c r="FZJ2">
        <v>6</v>
      </c>
      <c r="FZK2">
        <v>6</v>
      </c>
      <c r="FZL2">
        <v>6</v>
      </c>
      <c r="FZM2">
        <v>6</v>
      </c>
      <c r="FZN2">
        <v>6</v>
      </c>
      <c r="FZO2">
        <v>6</v>
      </c>
      <c r="FZP2">
        <v>6</v>
      </c>
      <c r="FZQ2">
        <v>6</v>
      </c>
      <c r="FZR2">
        <v>6</v>
      </c>
      <c r="FZS2">
        <v>6</v>
      </c>
      <c r="FZT2">
        <v>6</v>
      </c>
      <c r="FZU2">
        <v>6</v>
      </c>
      <c r="FZV2">
        <v>6</v>
      </c>
      <c r="FZW2">
        <v>6</v>
      </c>
      <c r="FZX2">
        <v>6</v>
      </c>
      <c r="FZY2">
        <v>6</v>
      </c>
      <c r="FZZ2">
        <v>6</v>
      </c>
      <c r="GAA2">
        <v>6</v>
      </c>
      <c r="GXO2">
        <v>7</v>
      </c>
      <c r="GXP2">
        <v>7</v>
      </c>
      <c r="GXQ2">
        <v>7</v>
      </c>
      <c r="GXR2">
        <v>7</v>
      </c>
      <c r="GXS2">
        <v>7</v>
      </c>
      <c r="GXT2">
        <v>7</v>
      </c>
      <c r="GXU2">
        <v>7</v>
      </c>
      <c r="GXV2">
        <v>7</v>
      </c>
      <c r="GXW2">
        <v>7</v>
      </c>
      <c r="GXX2">
        <v>7</v>
      </c>
      <c r="GXY2">
        <v>7</v>
      </c>
      <c r="GXZ2">
        <v>7</v>
      </c>
      <c r="GYA2">
        <v>7</v>
      </c>
      <c r="GYB2">
        <v>7</v>
      </c>
      <c r="GYC2">
        <v>7</v>
      </c>
      <c r="GYD2">
        <v>7</v>
      </c>
      <c r="GYE2">
        <v>7</v>
      </c>
      <c r="GYF2">
        <v>7</v>
      </c>
      <c r="GYG2">
        <v>7</v>
      </c>
      <c r="GYH2">
        <v>7</v>
      </c>
      <c r="GYI2">
        <v>7</v>
      </c>
      <c r="GYJ2">
        <v>7</v>
      </c>
      <c r="GYK2">
        <v>7</v>
      </c>
      <c r="GYL2">
        <v>7</v>
      </c>
      <c r="GYM2">
        <v>7</v>
      </c>
      <c r="GYN2">
        <v>7</v>
      </c>
      <c r="GYO2">
        <v>7</v>
      </c>
      <c r="GYP2">
        <v>7</v>
      </c>
      <c r="GYQ2">
        <v>7</v>
      </c>
      <c r="GYR2">
        <v>7</v>
      </c>
      <c r="GYS2">
        <v>7</v>
      </c>
      <c r="GYT2">
        <v>7</v>
      </c>
      <c r="GYU2">
        <v>7</v>
      </c>
      <c r="GYV2">
        <v>7</v>
      </c>
      <c r="GYW2">
        <v>7</v>
      </c>
      <c r="GYX2">
        <v>7</v>
      </c>
      <c r="GYY2">
        <v>7</v>
      </c>
      <c r="GYZ2">
        <v>7</v>
      </c>
      <c r="GZA2">
        <v>7</v>
      </c>
      <c r="GZB2">
        <v>7</v>
      </c>
      <c r="GZC2">
        <v>7</v>
      </c>
      <c r="GZD2">
        <v>7</v>
      </c>
      <c r="GZE2">
        <v>7</v>
      </c>
      <c r="GZF2">
        <v>7</v>
      </c>
      <c r="GZG2">
        <v>7</v>
      </c>
      <c r="GZH2">
        <v>7</v>
      </c>
      <c r="GZI2">
        <v>7</v>
      </c>
      <c r="GZJ2">
        <v>7</v>
      </c>
      <c r="GZK2">
        <v>7</v>
      </c>
      <c r="GZL2">
        <v>7</v>
      </c>
      <c r="GZM2">
        <v>7</v>
      </c>
      <c r="GZN2">
        <v>7</v>
      </c>
      <c r="GZO2">
        <v>7</v>
      </c>
      <c r="GZP2">
        <v>7</v>
      </c>
      <c r="GZQ2">
        <v>7</v>
      </c>
      <c r="GZR2">
        <v>7</v>
      </c>
      <c r="GZS2">
        <v>7</v>
      </c>
      <c r="GZT2">
        <v>7</v>
      </c>
      <c r="GZU2">
        <v>7</v>
      </c>
      <c r="GZV2">
        <v>7</v>
      </c>
      <c r="GZW2">
        <v>7</v>
      </c>
      <c r="GZX2">
        <v>7</v>
      </c>
      <c r="GZY2">
        <v>7</v>
      </c>
      <c r="GZZ2">
        <v>7</v>
      </c>
      <c r="HAA2">
        <v>7</v>
      </c>
      <c r="HAB2">
        <v>7</v>
      </c>
      <c r="HAC2">
        <v>7</v>
      </c>
      <c r="HAD2">
        <v>7</v>
      </c>
      <c r="HAE2">
        <v>7</v>
      </c>
      <c r="HAF2">
        <v>7</v>
      </c>
      <c r="HAG2">
        <v>7</v>
      </c>
      <c r="HAH2">
        <v>7</v>
      </c>
      <c r="HAI2">
        <v>7</v>
      </c>
      <c r="HAJ2">
        <v>7</v>
      </c>
      <c r="HAK2">
        <v>7</v>
      </c>
      <c r="HAL2">
        <v>7</v>
      </c>
      <c r="HAM2">
        <v>7</v>
      </c>
      <c r="HAN2">
        <v>7</v>
      </c>
      <c r="HAO2">
        <v>7</v>
      </c>
      <c r="HAP2">
        <v>7</v>
      </c>
      <c r="HAQ2">
        <v>7</v>
      </c>
      <c r="HAR2">
        <v>7</v>
      </c>
      <c r="HAS2">
        <v>7</v>
      </c>
      <c r="HAT2">
        <v>7</v>
      </c>
      <c r="HAU2">
        <v>7</v>
      </c>
      <c r="HAV2">
        <v>7</v>
      </c>
      <c r="HAW2">
        <v>7</v>
      </c>
      <c r="HAX2">
        <v>7</v>
      </c>
      <c r="HAY2">
        <v>7</v>
      </c>
      <c r="HAZ2">
        <v>7</v>
      </c>
      <c r="HBA2">
        <v>7</v>
      </c>
      <c r="HBB2">
        <v>7</v>
      </c>
      <c r="HBC2">
        <v>7</v>
      </c>
      <c r="HBD2">
        <v>7</v>
      </c>
      <c r="HBE2">
        <v>7</v>
      </c>
      <c r="HBF2">
        <v>7</v>
      </c>
      <c r="HBG2">
        <v>7</v>
      </c>
      <c r="HBH2">
        <v>7</v>
      </c>
      <c r="HBI2">
        <v>7</v>
      </c>
      <c r="HBJ2">
        <v>7</v>
      </c>
      <c r="HBK2">
        <v>7</v>
      </c>
      <c r="HBL2">
        <v>7</v>
      </c>
      <c r="HBM2">
        <v>7</v>
      </c>
      <c r="HBN2">
        <v>7</v>
      </c>
      <c r="HBO2">
        <v>7</v>
      </c>
      <c r="HBP2">
        <v>7</v>
      </c>
      <c r="HBQ2">
        <v>7</v>
      </c>
      <c r="HBR2">
        <v>7</v>
      </c>
      <c r="HBS2">
        <v>7</v>
      </c>
      <c r="HBT2">
        <v>7</v>
      </c>
      <c r="HBU2">
        <v>7</v>
      </c>
      <c r="HBV2">
        <v>7</v>
      </c>
      <c r="HBW2">
        <v>7</v>
      </c>
      <c r="HBX2">
        <v>7</v>
      </c>
      <c r="HBY2">
        <v>7</v>
      </c>
      <c r="HBZ2">
        <v>7</v>
      </c>
      <c r="HCA2">
        <v>7</v>
      </c>
      <c r="HCB2">
        <v>7</v>
      </c>
      <c r="HCC2">
        <v>7</v>
      </c>
      <c r="HCD2">
        <v>7</v>
      </c>
      <c r="HCE2">
        <v>7</v>
      </c>
      <c r="HCF2">
        <v>7</v>
      </c>
      <c r="HCG2">
        <v>7</v>
      </c>
      <c r="HCH2">
        <v>7</v>
      </c>
      <c r="HCI2">
        <v>7</v>
      </c>
      <c r="HCJ2">
        <v>7</v>
      </c>
      <c r="HCK2">
        <v>7</v>
      </c>
      <c r="HCL2">
        <v>7</v>
      </c>
      <c r="HCM2">
        <v>7</v>
      </c>
      <c r="HCN2">
        <v>7</v>
      </c>
      <c r="HCO2">
        <v>7</v>
      </c>
      <c r="HCP2">
        <v>7</v>
      </c>
      <c r="HCQ2">
        <v>7</v>
      </c>
      <c r="HCR2">
        <v>7</v>
      </c>
      <c r="HCS2">
        <v>7</v>
      </c>
      <c r="HCT2">
        <v>7</v>
      </c>
      <c r="HCU2">
        <v>7</v>
      </c>
      <c r="HCV2">
        <v>7</v>
      </c>
      <c r="HCW2">
        <v>7</v>
      </c>
      <c r="HCX2">
        <v>7</v>
      </c>
      <c r="HCY2">
        <v>7</v>
      </c>
      <c r="HCZ2">
        <v>7</v>
      </c>
      <c r="HDA2">
        <v>7</v>
      </c>
      <c r="HDB2">
        <v>7</v>
      </c>
      <c r="HDC2">
        <v>7</v>
      </c>
      <c r="HDD2">
        <v>7</v>
      </c>
      <c r="HDE2">
        <v>7</v>
      </c>
      <c r="HDF2">
        <v>7</v>
      </c>
      <c r="HDG2">
        <v>7</v>
      </c>
      <c r="HDH2">
        <v>7</v>
      </c>
      <c r="HDI2">
        <v>7</v>
      </c>
      <c r="HDJ2">
        <v>7</v>
      </c>
      <c r="HDK2">
        <v>7</v>
      </c>
      <c r="HDL2">
        <v>7</v>
      </c>
      <c r="HDM2">
        <v>7</v>
      </c>
      <c r="HDN2">
        <v>7</v>
      </c>
      <c r="HDO2">
        <v>7</v>
      </c>
      <c r="HDP2">
        <v>7</v>
      </c>
      <c r="HDQ2">
        <v>7</v>
      </c>
      <c r="HDR2">
        <v>7</v>
      </c>
      <c r="HDS2">
        <v>7</v>
      </c>
      <c r="HDT2">
        <v>7</v>
      </c>
      <c r="HDU2">
        <v>7</v>
      </c>
      <c r="HDV2">
        <v>7</v>
      </c>
      <c r="HDW2">
        <v>7</v>
      </c>
      <c r="HDX2">
        <v>7</v>
      </c>
      <c r="HDY2">
        <v>7</v>
      </c>
      <c r="HDZ2">
        <v>7</v>
      </c>
      <c r="HEA2">
        <v>7</v>
      </c>
      <c r="HEB2">
        <v>7</v>
      </c>
      <c r="HEC2">
        <v>7</v>
      </c>
      <c r="HED2">
        <v>7</v>
      </c>
      <c r="HEE2">
        <v>7</v>
      </c>
      <c r="HEF2">
        <v>7</v>
      </c>
      <c r="HEG2">
        <v>7</v>
      </c>
      <c r="HEH2">
        <v>7</v>
      </c>
      <c r="HEI2">
        <v>7</v>
      </c>
      <c r="HEJ2">
        <v>7</v>
      </c>
      <c r="HEK2">
        <v>7</v>
      </c>
      <c r="HEL2">
        <v>7</v>
      </c>
      <c r="HEM2">
        <v>7</v>
      </c>
      <c r="HEN2">
        <v>7</v>
      </c>
      <c r="HEO2">
        <v>7</v>
      </c>
      <c r="HEP2">
        <v>7</v>
      </c>
      <c r="HEQ2">
        <v>7</v>
      </c>
      <c r="HER2">
        <v>7</v>
      </c>
      <c r="HES2">
        <v>7</v>
      </c>
      <c r="HET2">
        <v>7</v>
      </c>
      <c r="HEU2">
        <v>7</v>
      </c>
      <c r="HEV2">
        <v>7</v>
      </c>
      <c r="HEW2">
        <v>7</v>
      </c>
      <c r="HEX2">
        <v>7</v>
      </c>
      <c r="HEY2">
        <v>7</v>
      </c>
      <c r="HEZ2">
        <v>7</v>
      </c>
      <c r="HFA2">
        <v>7</v>
      </c>
      <c r="HFB2">
        <v>7</v>
      </c>
      <c r="HFC2">
        <v>7</v>
      </c>
      <c r="HFD2">
        <v>7</v>
      </c>
      <c r="HFE2">
        <v>7</v>
      </c>
      <c r="HFF2">
        <v>7</v>
      </c>
      <c r="HFG2">
        <v>7</v>
      </c>
      <c r="HFH2">
        <v>7</v>
      </c>
      <c r="HFI2">
        <v>7</v>
      </c>
      <c r="HFJ2">
        <v>7</v>
      </c>
      <c r="HFK2">
        <v>7</v>
      </c>
      <c r="HFL2">
        <v>7</v>
      </c>
      <c r="HFM2">
        <v>7</v>
      </c>
      <c r="HFN2">
        <v>7</v>
      </c>
      <c r="HFO2">
        <v>7</v>
      </c>
      <c r="HFP2">
        <v>7</v>
      </c>
      <c r="HFQ2">
        <v>7</v>
      </c>
      <c r="HFR2">
        <v>7</v>
      </c>
      <c r="HFS2">
        <v>7</v>
      </c>
      <c r="HFT2">
        <v>7</v>
      </c>
      <c r="HFU2">
        <v>7</v>
      </c>
      <c r="HFV2">
        <v>7</v>
      </c>
      <c r="HFW2">
        <v>7</v>
      </c>
      <c r="HFX2">
        <v>7</v>
      </c>
      <c r="HFY2">
        <v>7</v>
      </c>
      <c r="HFZ2">
        <v>7</v>
      </c>
      <c r="HGA2">
        <v>7</v>
      </c>
      <c r="HGB2">
        <v>7</v>
      </c>
      <c r="HGC2">
        <v>7</v>
      </c>
      <c r="HGD2">
        <v>7</v>
      </c>
      <c r="HGE2">
        <v>7</v>
      </c>
      <c r="HGF2">
        <v>7</v>
      </c>
      <c r="HGG2">
        <v>7</v>
      </c>
      <c r="HGH2">
        <v>7</v>
      </c>
      <c r="HGI2">
        <v>7</v>
      </c>
      <c r="HGJ2">
        <v>7</v>
      </c>
      <c r="HGK2">
        <v>7</v>
      </c>
      <c r="HGL2">
        <v>7</v>
      </c>
      <c r="HGM2">
        <v>7</v>
      </c>
      <c r="HGN2">
        <v>7</v>
      </c>
      <c r="HGO2">
        <v>7</v>
      </c>
      <c r="HGP2">
        <v>7</v>
      </c>
      <c r="HGQ2">
        <v>7</v>
      </c>
      <c r="HGR2">
        <v>7</v>
      </c>
      <c r="HGS2">
        <v>7</v>
      </c>
      <c r="HGT2">
        <v>7</v>
      </c>
      <c r="HGU2">
        <v>7</v>
      </c>
      <c r="HGV2">
        <v>7</v>
      </c>
      <c r="HGW2">
        <v>7</v>
      </c>
      <c r="HGX2">
        <v>7</v>
      </c>
      <c r="HGY2">
        <v>7</v>
      </c>
      <c r="HGZ2">
        <v>7</v>
      </c>
      <c r="HHA2">
        <v>7</v>
      </c>
      <c r="HHB2">
        <v>7</v>
      </c>
      <c r="HHC2">
        <v>7</v>
      </c>
      <c r="HHD2">
        <v>7</v>
      </c>
      <c r="HHE2">
        <v>7</v>
      </c>
      <c r="HHF2">
        <v>7</v>
      </c>
      <c r="HHG2">
        <v>7</v>
      </c>
      <c r="HHH2">
        <v>7</v>
      </c>
      <c r="HHI2">
        <v>7</v>
      </c>
      <c r="HHJ2">
        <v>7</v>
      </c>
      <c r="HHK2">
        <v>7</v>
      </c>
      <c r="HHL2">
        <v>7</v>
      </c>
      <c r="HHM2">
        <v>7</v>
      </c>
      <c r="HHN2">
        <v>7</v>
      </c>
      <c r="HHO2">
        <v>7</v>
      </c>
      <c r="HHP2">
        <v>7</v>
      </c>
      <c r="HHQ2">
        <v>7</v>
      </c>
      <c r="HHR2">
        <v>7</v>
      </c>
      <c r="HHS2">
        <v>7</v>
      </c>
      <c r="HHT2">
        <v>7</v>
      </c>
      <c r="HHU2">
        <v>7</v>
      </c>
      <c r="HHV2">
        <v>7</v>
      </c>
      <c r="HHW2">
        <v>7</v>
      </c>
      <c r="HHX2">
        <v>7</v>
      </c>
      <c r="HHY2">
        <v>7</v>
      </c>
      <c r="HHZ2">
        <v>7</v>
      </c>
      <c r="HIA2">
        <v>7</v>
      </c>
      <c r="HIB2">
        <v>7</v>
      </c>
      <c r="HIC2">
        <v>7</v>
      </c>
      <c r="HID2">
        <v>7</v>
      </c>
      <c r="HIE2">
        <v>7</v>
      </c>
      <c r="HIF2">
        <v>7</v>
      </c>
      <c r="HIG2">
        <v>7</v>
      </c>
      <c r="HIH2">
        <v>7</v>
      </c>
      <c r="HII2">
        <v>7</v>
      </c>
      <c r="HIJ2">
        <v>7</v>
      </c>
      <c r="HIK2">
        <v>7</v>
      </c>
      <c r="HIL2">
        <v>7</v>
      </c>
      <c r="HIM2">
        <v>7</v>
      </c>
      <c r="HIN2">
        <v>7</v>
      </c>
      <c r="HIO2">
        <v>7</v>
      </c>
      <c r="HIP2">
        <v>7</v>
      </c>
      <c r="HIQ2">
        <v>7</v>
      </c>
      <c r="HIR2">
        <v>7</v>
      </c>
      <c r="HIS2">
        <v>7</v>
      </c>
      <c r="HIT2">
        <v>7</v>
      </c>
      <c r="HIU2">
        <v>7</v>
      </c>
      <c r="HIV2">
        <v>7</v>
      </c>
      <c r="HIW2">
        <v>7</v>
      </c>
      <c r="HIX2">
        <v>7</v>
      </c>
      <c r="HIY2">
        <v>7</v>
      </c>
      <c r="HIZ2">
        <v>7</v>
      </c>
      <c r="HJA2">
        <v>7</v>
      </c>
      <c r="HJB2">
        <v>7</v>
      </c>
      <c r="HJC2">
        <v>7</v>
      </c>
      <c r="HJD2">
        <v>7</v>
      </c>
      <c r="HJE2">
        <v>7</v>
      </c>
      <c r="HJF2">
        <v>7</v>
      </c>
      <c r="HJG2">
        <v>7</v>
      </c>
      <c r="HJH2">
        <v>7</v>
      </c>
      <c r="HJI2">
        <v>7</v>
      </c>
      <c r="HJJ2">
        <v>7</v>
      </c>
      <c r="HJK2">
        <v>7</v>
      </c>
      <c r="HJL2">
        <v>7</v>
      </c>
      <c r="HJM2">
        <v>7</v>
      </c>
      <c r="HJN2">
        <v>7</v>
      </c>
      <c r="HJO2">
        <v>7</v>
      </c>
      <c r="HJP2">
        <v>7</v>
      </c>
      <c r="HJQ2">
        <v>7</v>
      </c>
      <c r="HJR2">
        <v>7</v>
      </c>
      <c r="HJS2">
        <v>7</v>
      </c>
      <c r="HJT2">
        <v>7</v>
      </c>
      <c r="HJU2">
        <v>7</v>
      </c>
      <c r="HJV2">
        <v>7</v>
      </c>
      <c r="HJW2">
        <v>7</v>
      </c>
      <c r="HJX2">
        <v>7</v>
      </c>
      <c r="HJY2">
        <v>7</v>
      </c>
      <c r="HJZ2">
        <v>7</v>
      </c>
      <c r="HKA2">
        <v>7</v>
      </c>
      <c r="HKB2">
        <v>7</v>
      </c>
      <c r="HKC2">
        <v>7</v>
      </c>
      <c r="HKD2">
        <v>7</v>
      </c>
      <c r="HKE2">
        <v>7</v>
      </c>
      <c r="HKF2">
        <v>7</v>
      </c>
      <c r="HKG2">
        <v>7</v>
      </c>
      <c r="HKH2">
        <v>7</v>
      </c>
      <c r="HKI2">
        <v>7</v>
      </c>
      <c r="HKJ2">
        <v>7</v>
      </c>
      <c r="HKK2">
        <v>7</v>
      </c>
      <c r="HKL2">
        <v>7</v>
      </c>
      <c r="HKM2">
        <v>7</v>
      </c>
      <c r="HKN2">
        <v>7</v>
      </c>
      <c r="HKO2">
        <v>7</v>
      </c>
      <c r="HKP2">
        <v>7</v>
      </c>
      <c r="HKQ2">
        <v>7</v>
      </c>
      <c r="HKR2">
        <v>7</v>
      </c>
      <c r="HKS2">
        <v>7</v>
      </c>
      <c r="HKT2">
        <v>7</v>
      </c>
      <c r="HKU2">
        <v>7</v>
      </c>
      <c r="HKV2">
        <v>7</v>
      </c>
      <c r="HKW2">
        <v>7</v>
      </c>
      <c r="HKX2">
        <v>7</v>
      </c>
      <c r="HKY2">
        <v>7</v>
      </c>
      <c r="HKZ2">
        <v>7</v>
      </c>
      <c r="HLA2">
        <v>7</v>
      </c>
      <c r="HLB2">
        <v>7</v>
      </c>
      <c r="HLC2">
        <v>7</v>
      </c>
      <c r="HLD2">
        <v>7</v>
      </c>
      <c r="HLE2">
        <v>7</v>
      </c>
      <c r="HLF2">
        <v>7</v>
      </c>
      <c r="HLG2">
        <v>7</v>
      </c>
      <c r="HLH2">
        <v>7</v>
      </c>
      <c r="HLI2">
        <v>7</v>
      </c>
      <c r="HLJ2">
        <v>7</v>
      </c>
      <c r="HLK2">
        <v>7</v>
      </c>
      <c r="HLL2">
        <v>7</v>
      </c>
      <c r="HLM2">
        <v>7</v>
      </c>
      <c r="HLN2">
        <v>7</v>
      </c>
      <c r="HLO2">
        <v>7</v>
      </c>
      <c r="HLP2">
        <v>7</v>
      </c>
      <c r="HLQ2">
        <v>7</v>
      </c>
      <c r="HLR2">
        <v>7</v>
      </c>
      <c r="HLS2">
        <v>7</v>
      </c>
      <c r="HLT2">
        <v>7</v>
      </c>
      <c r="HLU2">
        <v>7</v>
      </c>
      <c r="HLV2">
        <v>7</v>
      </c>
      <c r="HLW2">
        <v>7</v>
      </c>
      <c r="HLX2">
        <v>7</v>
      </c>
      <c r="HLY2">
        <v>7</v>
      </c>
      <c r="HLZ2">
        <v>7</v>
      </c>
      <c r="HMA2">
        <v>7</v>
      </c>
      <c r="HMB2">
        <v>7</v>
      </c>
      <c r="HMC2">
        <v>7</v>
      </c>
      <c r="HMD2">
        <v>7</v>
      </c>
      <c r="HME2">
        <v>7</v>
      </c>
      <c r="HMF2">
        <v>7</v>
      </c>
      <c r="HMG2">
        <v>7</v>
      </c>
      <c r="HMH2">
        <v>7</v>
      </c>
      <c r="HMI2">
        <v>7</v>
      </c>
      <c r="HMJ2">
        <v>7</v>
      </c>
      <c r="HMK2">
        <v>7</v>
      </c>
      <c r="HML2">
        <v>7</v>
      </c>
      <c r="HMM2">
        <v>7</v>
      </c>
      <c r="HMN2">
        <v>7</v>
      </c>
      <c r="HMO2">
        <v>7</v>
      </c>
      <c r="HMP2">
        <v>7</v>
      </c>
      <c r="HMQ2">
        <v>7</v>
      </c>
      <c r="HMR2">
        <v>7</v>
      </c>
      <c r="HMS2">
        <v>7</v>
      </c>
      <c r="HMT2">
        <v>7</v>
      </c>
      <c r="HMU2">
        <v>7</v>
      </c>
      <c r="HMV2">
        <v>7</v>
      </c>
      <c r="HMW2">
        <v>7</v>
      </c>
      <c r="HMX2">
        <v>7</v>
      </c>
      <c r="HMY2">
        <v>7</v>
      </c>
      <c r="HMZ2">
        <v>7</v>
      </c>
      <c r="HNA2">
        <v>7</v>
      </c>
      <c r="HNB2">
        <v>7</v>
      </c>
      <c r="HNC2">
        <v>7</v>
      </c>
      <c r="HND2">
        <v>7</v>
      </c>
      <c r="HNE2">
        <v>7</v>
      </c>
      <c r="HNF2">
        <v>7</v>
      </c>
      <c r="HNG2">
        <v>7</v>
      </c>
      <c r="HNH2">
        <v>7</v>
      </c>
      <c r="HNI2">
        <v>7</v>
      </c>
      <c r="HNJ2">
        <v>7</v>
      </c>
      <c r="HNK2">
        <v>7</v>
      </c>
      <c r="HNL2">
        <v>7</v>
      </c>
      <c r="HNM2">
        <v>7</v>
      </c>
      <c r="HNN2">
        <v>7</v>
      </c>
      <c r="HNO2">
        <v>7</v>
      </c>
      <c r="HNP2">
        <v>7</v>
      </c>
      <c r="HNQ2">
        <v>7</v>
      </c>
      <c r="HNR2">
        <v>7</v>
      </c>
      <c r="HNS2">
        <v>7</v>
      </c>
      <c r="HNT2">
        <v>7</v>
      </c>
      <c r="HNU2">
        <v>7</v>
      </c>
      <c r="HNV2">
        <v>7</v>
      </c>
      <c r="HNW2">
        <v>7</v>
      </c>
      <c r="HNX2">
        <v>7</v>
      </c>
      <c r="HNY2">
        <v>7</v>
      </c>
      <c r="HNZ2">
        <v>7</v>
      </c>
      <c r="HOA2">
        <v>7</v>
      </c>
      <c r="HOB2">
        <v>7</v>
      </c>
      <c r="HOC2">
        <v>7</v>
      </c>
      <c r="HOD2">
        <v>7</v>
      </c>
      <c r="HOE2">
        <v>7</v>
      </c>
      <c r="HOF2">
        <v>7</v>
      </c>
      <c r="HOG2">
        <v>7</v>
      </c>
      <c r="HOH2">
        <v>7</v>
      </c>
      <c r="HOI2">
        <v>7</v>
      </c>
      <c r="HOJ2">
        <v>7</v>
      </c>
      <c r="HOK2">
        <v>7</v>
      </c>
      <c r="HOL2">
        <v>7</v>
      </c>
      <c r="HOM2">
        <v>7</v>
      </c>
      <c r="HON2">
        <v>7</v>
      </c>
      <c r="HOO2">
        <v>7</v>
      </c>
      <c r="HOP2">
        <v>7</v>
      </c>
      <c r="HOQ2">
        <v>7</v>
      </c>
      <c r="HOR2">
        <v>7</v>
      </c>
      <c r="HOS2">
        <v>7</v>
      </c>
      <c r="HOT2">
        <v>7</v>
      </c>
      <c r="HOU2">
        <v>7</v>
      </c>
      <c r="HOV2">
        <v>7</v>
      </c>
      <c r="HOW2">
        <v>7</v>
      </c>
      <c r="HOX2">
        <v>7</v>
      </c>
      <c r="HOY2">
        <v>7</v>
      </c>
      <c r="HOZ2">
        <v>7</v>
      </c>
      <c r="HPA2">
        <v>7</v>
      </c>
      <c r="HPB2">
        <v>7</v>
      </c>
      <c r="HPC2">
        <v>7</v>
      </c>
      <c r="HPD2">
        <v>7</v>
      </c>
      <c r="HPE2">
        <v>7</v>
      </c>
      <c r="HPF2">
        <v>7</v>
      </c>
      <c r="HPG2">
        <v>7</v>
      </c>
      <c r="HPH2">
        <v>7</v>
      </c>
      <c r="HPI2">
        <v>7</v>
      </c>
      <c r="HPJ2">
        <v>7</v>
      </c>
      <c r="HPK2">
        <v>7</v>
      </c>
      <c r="HPL2">
        <v>7</v>
      </c>
      <c r="HPM2">
        <v>7</v>
      </c>
      <c r="HPN2">
        <v>7</v>
      </c>
      <c r="HPO2">
        <v>7</v>
      </c>
      <c r="HPP2">
        <v>7</v>
      </c>
      <c r="HPQ2">
        <v>7</v>
      </c>
      <c r="HPR2">
        <v>7</v>
      </c>
      <c r="HPS2">
        <v>7</v>
      </c>
      <c r="HPT2">
        <v>7</v>
      </c>
      <c r="HPU2">
        <v>7</v>
      </c>
      <c r="HPV2">
        <v>7</v>
      </c>
      <c r="HPW2">
        <v>7</v>
      </c>
      <c r="HPX2">
        <v>7</v>
      </c>
      <c r="HPY2">
        <v>7</v>
      </c>
      <c r="HPZ2">
        <v>7</v>
      </c>
      <c r="HQA2">
        <v>7</v>
      </c>
      <c r="HQB2">
        <v>7</v>
      </c>
      <c r="HQC2">
        <v>7</v>
      </c>
      <c r="HQD2">
        <v>7</v>
      </c>
      <c r="HQE2">
        <v>7</v>
      </c>
      <c r="HQF2">
        <v>7</v>
      </c>
      <c r="HQG2">
        <v>7</v>
      </c>
      <c r="HQH2">
        <v>7</v>
      </c>
      <c r="HQI2">
        <v>7</v>
      </c>
      <c r="HQJ2">
        <v>7</v>
      </c>
      <c r="HQK2">
        <v>7</v>
      </c>
      <c r="HQL2">
        <v>7</v>
      </c>
      <c r="HQM2">
        <v>7</v>
      </c>
      <c r="HQN2">
        <v>7</v>
      </c>
      <c r="HQO2">
        <v>7</v>
      </c>
      <c r="HQP2">
        <v>7</v>
      </c>
      <c r="HQQ2">
        <v>7</v>
      </c>
      <c r="HQR2">
        <v>7</v>
      </c>
      <c r="HQS2">
        <v>7</v>
      </c>
      <c r="HQT2">
        <v>7</v>
      </c>
      <c r="HQU2">
        <v>7</v>
      </c>
      <c r="HQV2">
        <v>7</v>
      </c>
      <c r="HQW2">
        <v>7</v>
      </c>
      <c r="HQX2">
        <v>7</v>
      </c>
      <c r="HQY2">
        <v>7</v>
      </c>
      <c r="HQZ2">
        <v>7</v>
      </c>
      <c r="HRA2">
        <v>7</v>
      </c>
      <c r="HRB2">
        <v>7</v>
      </c>
      <c r="HRC2">
        <v>7</v>
      </c>
      <c r="HRD2">
        <v>7</v>
      </c>
      <c r="HRE2">
        <v>7</v>
      </c>
      <c r="HRF2">
        <v>7</v>
      </c>
      <c r="HRG2">
        <v>7</v>
      </c>
      <c r="HRH2">
        <v>7</v>
      </c>
      <c r="HRI2">
        <v>7</v>
      </c>
      <c r="HRJ2">
        <v>7</v>
      </c>
      <c r="HRK2">
        <v>7</v>
      </c>
      <c r="HRL2">
        <v>7</v>
      </c>
      <c r="HRM2">
        <v>7</v>
      </c>
      <c r="HRN2">
        <v>7</v>
      </c>
      <c r="HRO2">
        <v>7</v>
      </c>
      <c r="HRP2">
        <v>7</v>
      </c>
      <c r="HRQ2">
        <v>7</v>
      </c>
      <c r="HRR2">
        <v>7</v>
      </c>
      <c r="HRS2">
        <v>7</v>
      </c>
      <c r="HRT2">
        <v>7</v>
      </c>
      <c r="HRU2">
        <v>7</v>
      </c>
      <c r="HRV2">
        <v>7</v>
      </c>
      <c r="HRW2">
        <v>7</v>
      </c>
      <c r="HRX2">
        <v>7</v>
      </c>
      <c r="HRY2">
        <v>7</v>
      </c>
      <c r="HRZ2">
        <v>7</v>
      </c>
      <c r="HSA2">
        <v>7</v>
      </c>
      <c r="HSB2">
        <v>7</v>
      </c>
      <c r="HSC2">
        <v>7</v>
      </c>
      <c r="HSD2">
        <v>7</v>
      </c>
      <c r="HSE2">
        <v>7</v>
      </c>
      <c r="HSF2">
        <v>7</v>
      </c>
      <c r="HSG2">
        <v>7</v>
      </c>
      <c r="HSH2">
        <v>7</v>
      </c>
      <c r="HSI2">
        <v>7</v>
      </c>
      <c r="HSJ2">
        <v>7</v>
      </c>
      <c r="HSK2">
        <v>7</v>
      </c>
      <c r="HSL2">
        <v>7</v>
      </c>
      <c r="HSM2">
        <v>7</v>
      </c>
      <c r="HSN2">
        <v>7</v>
      </c>
      <c r="HSO2">
        <v>7</v>
      </c>
      <c r="HSP2">
        <v>7</v>
      </c>
      <c r="HSQ2">
        <v>7</v>
      </c>
      <c r="HSR2">
        <v>7</v>
      </c>
      <c r="HSS2">
        <v>7</v>
      </c>
      <c r="HST2">
        <v>7</v>
      </c>
      <c r="HSU2">
        <v>7</v>
      </c>
      <c r="HSV2">
        <v>7</v>
      </c>
      <c r="HSW2">
        <v>7</v>
      </c>
      <c r="HSX2">
        <v>7</v>
      </c>
      <c r="HSY2">
        <v>7</v>
      </c>
      <c r="HSZ2">
        <v>7</v>
      </c>
      <c r="HTA2">
        <v>7</v>
      </c>
      <c r="HTB2">
        <v>7</v>
      </c>
      <c r="HTC2">
        <v>7</v>
      </c>
      <c r="HTD2">
        <v>7</v>
      </c>
      <c r="HTE2">
        <v>7</v>
      </c>
      <c r="HTF2">
        <v>7</v>
      </c>
      <c r="HTG2">
        <v>7</v>
      </c>
      <c r="HTH2">
        <v>7</v>
      </c>
      <c r="HTI2">
        <v>7</v>
      </c>
      <c r="HTJ2">
        <v>7</v>
      </c>
      <c r="HTK2">
        <v>7</v>
      </c>
      <c r="HTL2">
        <v>7</v>
      </c>
      <c r="HTM2">
        <v>7</v>
      </c>
      <c r="HTN2">
        <v>7</v>
      </c>
      <c r="HTO2">
        <v>7</v>
      </c>
      <c r="HTP2">
        <v>7</v>
      </c>
      <c r="HTQ2">
        <v>7</v>
      </c>
      <c r="HTR2">
        <v>7</v>
      </c>
      <c r="HTS2">
        <v>7</v>
      </c>
      <c r="HTT2">
        <v>7</v>
      </c>
      <c r="HTU2">
        <v>7</v>
      </c>
      <c r="HTV2">
        <v>7</v>
      </c>
      <c r="HTW2">
        <v>7</v>
      </c>
      <c r="HTX2">
        <v>7</v>
      </c>
      <c r="HTY2">
        <v>7</v>
      </c>
      <c r="HTZ2">
        <v>7</v>
      </c>
      <c r="HUA2">
        <v>7</v>
      </c>
      <c r="HUB2">
        <v>7</v>
      </c>
      <c r="HUC2">
        <v>7</v>
      </c>
      <c r="HUD2">
        <v>7</v>
      </c>
      <c r="HUE2">
        <v>7</v>
      </c>
      <c r="HUF2">
        <v>7</v>
      </c>
      <c r="HUG2">
        <v>7</v>
      </c>
      <c r="HUH2">
        <v>7</v>
      </c>
      <c r="HUI2">
        <v>7</v>
      </c>
      <c r="HUJ2">
        <v>7</v>
      </c>
      <c r="HUK2">
        <v>7</v>
      </c>
      <c r="HUL2">
        <v>7</v>
      </c>
      <c r="HUM2">
        <v>7</v>
      </c>
      <c r="HUN2">
        <v>7</v>
      </c>
      <c r="HUO2">
        <v>7</v>
      </c>
      <c r="HUP2">
        <v>7</v>
      </c>
      <c r="HUQ2">
        <v>7</v>
      </c>
      <c r="HUR2">
        <v>7</v>
      </c>
      <c r="HUS2">
        <v>7</v>
      </c>
      <c r="HUT2">
        <v>7</v>
      </c>
      <c r="HUU2">
        <v>7</v>
      </c>
      <c r="HUV2">
        <v>7</v>
      </c>
      <c r="HUW2">
        <v>7</v>
      </c>
      <c r="HUX2">
        <v>7</v>
      </c>
      <c r="HUY2">
        <v>7</v>
      </c>
      <c r="HUZ2">
        <v>7</v>
      </c>
      <c r="HVA2">
        <v>7</v>
      </c>
      <c r="HVB2">
        <v>7</v>
      </c>
      <c r="HVC2">
        <v>7</v>
      </c>
      <c r="HVD2">
        <v>7</v>
      </c>
      <c r="HVE2">
        <v>7</v>
      </c>
      <c r="HVF2">
        <v>7</v>
      </c>
      <c r="HVG2">
        <v>7</v>
      </c>
      <c r="HVH2">
        <v>7</v>
      </c>
      <c r="HVI2">
        <v>7</v>
      </c>
      <c r="HVJ2">
        <v>7</v>
      </c>
      <c r="IWW2">
        <v>8</v>
      </c>
      <c r="IWX2">
        <v>8</v>
      </c>
      <c r="IWY2">
        <v>8</v>
      </c>
      <c r="IWZ2">
        <v>8</v>
      </c>
      <c r="IXA2">
        <v>8</v>
      </c>
      <c r="IXB2">
        <v>8</v>
      </c>
      <c r="IXC2">
        <v>8</v>
      </c>
      <c r="IXD2">
        <v>8</v>
      </c>
      <c r="IXE2">
        <v>8</v>
      </c>
      <c r="IXF2">
        <v>8</v>
      </c>
      <c r="IXG2">
        <v>8</v>
      </c>
      <c r="IXH2">
        <v>8</v>
      </c>
      <c r="IXI2">
        <v>8</v>
      </c>
      <c r="IXJ2">
        <v>8</v>
      </c>
      <c r="IXK2">
        <v>8</v>
      </c>
      <c r="IXL2">
        <v>8</v>
      </c>
      <c r="IXM2">
        <v>8</v>
      </c>
      <c r="IXN2">
        <v>8</v>
      </c>
      <c r="IXO2">
        <v>8</v>
      </c>
      <c r="IXP2">
        <v>8</v>
      </c>
      <c r="IXQ2">
        <v>8</v>
      </c>
      <c r="IXR2">
        <v>8</v>
      </c>
      <c r="IXS2">
        <v>8</v>
      </c>
      <c r="IXT2">
        <v>8</v>
      </c>
      <c r="IXU2">
        <v>8</v>
      </c>
      <c r="IXV2">
        <v>8</v>
      </c>
      <c r="IXW2">
        <v>8</v>
      </c>
      <c r="IXX2">
        <v>8</v>
      </c>
      <c r="IXY2">
        <v>8</v>
      </c>
      <c r="IXZ2">
        <v>8</v>
      </c>
      <c r="IYA2">
        <v>8</v>
      </c>
      <c r="IYB2">
        <v>8</v>
      </c>
      <c r="IYC2">
        <v>8</v>
      </c>
      <c r="IYD2">
        <v>8</v>
      </c>
      <c r="IYE2">
        <v>8</v>
      </c>
      <c r="IYF2">
        <v>8</v>
      </c>
      <c r="IYG2">
        <v>8</v>
      </c>
      <c r="IYH2">
        <v>8</v>
      </c>
      <c r="IYI2">
        <v>8</v>
      </c>
      <c r="IYJ2">
        <v>8</v>
      </c>
      <c r="IYK2">
        <v>8</v>
      </c>
      <c r="IYL2">
        <v>8</v>
      </c>
      <c r="IYM2">
        <v>8</v>
      </c>
      <c r="IYN2">
        <v>8</v>
      </c>
      <c r="IYO2">
        <v>8</v>
      </c>
      <c r="IYP2">
        <v>8</v>
      </c>
      <c r="IYQ2">
        <v>8</v>
      </c>
      <c r="IYR2">
        <v>8</v>
      </c>
      <c r="IYS2">
        <v>8</v>
      </c>
      <c r="IYT2">
        <v>8</v>
      </c>
      <c r="IYU2">
        <v>8</v>
      </c>
      <c r="IYV2">
        <v>8</v>
      </c>
      <c r="IYW2">
        <v>8</v>
      </c>
      <c r="IYX2">
        <v>8</v>
      </c>
      <c r="IYY2">
        <v>8</v>
      </c>
      <c r="IYZ2">
        <v>8</v>
      </c>
      <c r="IZA2">
        <v>8</v>
      </c>
      <c r="IZB2">
        <v>8</v>
      </c>
      <c r="IZC2">
        <v>8</v>
      </c>
      <c r="IZD2">
        <v>8</v>
      </c>
      <c r="IZE2">
        <v>8</v>
      </c>
      <c r="IZF2">
        <v>8</v>
      </c>
      <c r="IZG2">
        <v>8</v>
      </c>
      <c r="IZH2">
        <v>8</v>
      </c>
      <c r="IZI2">
        <v>8</v>
      </c>
      <c r="IZJ2">
        <v>8</v>
      </c>
      <c r="IZK2">
        <v>8</v>
      </c>
      <c r="IZL2">
        <v>8</v>
      </c>
      <c r="IZM2">
        <v>8</v>
      </c>
      <c r="IZN2">
        <v>8</v>
      </c>
      <c r="IZO2">
        <v>8</v>
      </c>
      <c r="IZP2">
        <v>8</v>
      </c>
      <c r="IZQ2">
        <v>8</v>
      </c>
      <c r="IZR2">
        <v>8</v>
      </c>
      <c r="IZS2">
        <v>8</v>
      </c>
      <c r="IZT2">
        <v>8</v>
      </c>
      <c r="IZU2">
        <v>8</v>
      </c>
      <c r="IZV2">
        <v>8</v>
      </c>
      <c r="IZW2">
        <v>8</v>
      </c>
      <c r="IZX2">
        <v>8</v>
      </c>
      <c r="IZY2">
        <v>8</v>
      </c>
      <c r="IZZ2">
        <v>8</v>
      </c>
      <c r="JAA2">
        <v>8</v>
      </c>
      <c r="JAB2">
        <v>8</v>
      </c>
      <c r="JAC2">
        <v>8</v>
      </c>
      <c r="JAD2">
        <v>8</v>
      </c>
      <c r="JAE2">
        <v>8</v>
      </c>
      <c r="JAF2">
        <v>8</v>
      </c>
      <c r="JAG2">
        <v>8</v>
      </c>
      <c r="JAH2">
        <v>8</v>
      </c>
      <c r="JAI2">
        <v>8</v>
      </c>
      <c r="JAJ2">
        <v>8</v>
      </c>
      <c r="JAK2">
        <v>8</v>
      </c>
      <c r="JAL2">
        <v>8</v>
      </c>
      <c r="JAM2">
        <v>8</v>
      </c>
      <c r="JAN2">
        <v>8</v>
      </c>
      <c r="JAO2">
        <v>8</v>
      </c>
      <c r="JAP2">
        <v>8</v>
      </c>
      <c r="JAQ2">
        <v>8</v>
      </c>
      <c r="JAR2">
        <v>8</v>
      </c>
      <c r="JAS2">
        <v>8</v>
      </c>
      <c r="JAT2">
        <v>8</v>
      </c>
      <c r="JAU2">
        <v>8</v>
      </c>
      <c r="JAV2">
        <v>8</v>
      </c>
      <c r="JAW2">
        <v>8</v>
      </c>
      <c r="JAX2">
        <v>8</v>
      </c>
      <c r="JAY2">
        <v>8</v>
      </c>
      <c r="JAZ2">
        <v>8</v>
      </c>
      <c r="JBA2">
        <v>8</v>
      </c>
      <c r="JBB2">
        <v>8</v>
      </c>
      <c r="JBC2">
        <v>8</v>
      </c>
      <c r="JBD2">
        <v>8</v>
      </c>
      <c r="JBE2">
        <v>8</v>
      </c>
      <c r="JBF2">
        <v>8</v>
      </c>
      <c r="JBG2">
        <v>8</v>
      </c>
      <c r="JBH2">
        <v>8</v>
      </c>
      <c r="JBI2">
        <v>8</v>
      </c>
      <c r="JBJ2">
        <v>8</v>
      </c>
      <c r="JBK2">
        <v>8</v>
      </c>
      <c r="JBL2">
        <v>8</v>
      </c>
      <c r="JBM2">
        <v>8</v>
      </c>
      <c r="JBN2">
        <v>8</v>
      </c>
      <c r="JBO2">
        <v>8</v>
      </c>
      <c r="JBP2">
        <v>8</v>
      </c>
      <c r="JBQ2">
        <v>8</v>
      </c>
      <c r="JBR2">
        <v>8</v>
      </c>
      <c r="JBS2">
        <v>8</v>
      </c>
      <c r="JBT2">
        <v>8</v>
      </c>
      <c r="JBU2">
        <v>8</v>
      </c>
      <c r="JBV2">
        <v>8</v>
      </c>
      <c r="JBW2">
        <v>8</v>
      </c>
      <c r="JBX2">
        <v>8</v>
      </c>
      <c r="JBY2">
        <v>8</v>
      </c>
      <c r="JBZ2">
        <v>8</v>
      </c>
      <c r="JCA2">
        <v>8</v>
      </c>
      <c r="JCB2">
        <v>8</v>
      </c>
      <c r="JCC2">
        <v>8</v>
      </c>
      <c r="JCD2">
        <v>8</v>
      </c>
      <c r="JCE2">
        <v>8</v>
      </c>
      <c r="JCF2">
        <v>8</v>
      </c>
      <c r="JCG2">
        <v>8</v>
      </c>
      <c r="JCH2">
        <v>8</v>
      </c>
      <c r="JCI2">
        <v>8</v>
      </c>
      <c r="JCJ2">
        <v>8</v>
      </c>
      <c r="JCK2">
        <v>8</v>
      </c>
      <c r="JCL2">
        <v>8</v>
      </c>
      <c r="JCM2">
        <v>8</v>
      </c>
      <c r="JCN2">
        <v>8</v>
      </c>
      <c r="JCO2">
        <v>8</v>
      </c>
      <c r="JCP2">
        <v>8</v>
      </c>
      <c r="JCQ2">
        <v>8</v>
      </c>
      <c r="JCR2">
        <v>8</v>
      </c>
      <c r="JCS2">
        <v>8</v>
      </c>
      <c r="JCT2">
        <v>8</v>
      </c>
      <c r="JCU2">
        <v>8</v>
      </c>
      <c r="JCV2">
        <v>8</v>
      </c>
      <c r="JCW2">
        <v>8</v>
      </c>
      <c r="JCX2">
        <v>8</v>
      </c>
      <c r="JCY2">
        <v>8</v>
      </c>
      <c r="JCZ2">
        <v>8</v>
      </c>
      <c r="JDA2">
        <v>8</v>
      </c>
      <c r="JDB2">
        <v>8</v>
      </c>
      <c r="JDC2">
        <v>8</v>
      </c>
      <c r="JDD2">
        <v>8</v>
      </c>
      <c r="JDE2">
        <v>8</v>
      </c>
      <c r="JDF2">
        <v>8</v>
      </c>
      <c r="JDG2">
        <v>8</v>
      </c>
      <c r="JDH2">
        <v>8</v>
      </c>
      <c r="JDI2">
        <v>8</v>
      </c>
      <c r="JDJ2">
        <v>8</v>
      </c>
      <c r="JDK2">
        <v>8</v>
      </c>
      <c r="JDL2">
        <v>8</v>
      </c>
      <c r="JDM2">
        <v>8</v>
      </c>
      <c r="JDN2">
        <v>8</v>
      </c>
      <c r="JDO2">
        <v>8</v>
      </c>
      <c r="JDP2">
        <v>8</v>
      </c>
      <c r="JDQ2">
        <v>8</v>
      </c>
      <c r="JDR2">
        <v>8</v>
      </c>
      <c r="JDS2">
        <v>8</v>
      </c>
      <c r="JDT2">
        <v>8</v>
      </c>
      <c r="JDU2">
        <v>8</v>
      </c>
      <c r="JDV2">
        <v>8</v>
      </c>
      <c r="JSA2">
        <v>9</v>
      </c>
      <c r="JSB2">
        <v>9</v>
      </c>
      <c r="JSC2">
        <v>9</v>
      </c>
      <c r="JSD2">
        <v>9</v>
      </c>
      <c r="JSE2">
        <v>9</v>
      </c>
      <c r="JSF2">
        <v>9</v>
      </c>
      <c r="JSG2">
        <v>9</v>
      </c>
      <c r="JSH2">
        <v>9</v>
      </c>
      <c r="JSI2">
        <v>9</v>
      </c>
      <c r="JSJ2">
        <v>9</v>
      </c>
      <c r="JSK2">
        <v>9</v>
      </c>
      <c r="JSL2">
        <v>9</v>
      </c>
      <c r="JSM2">
        <v>9</v>
      </c>
      <c r="JSN2">
        <v>9</v>
      </c>
      <c r="JSO2">
        <v>9</v>
      </c>
      <c r="JSP2">
        <v>9</v>
      </c>
      <c r="JSQ2">
        <v>9</v>
      </c>
      <c r="JSR2">
        <v>9</v>
      </c>
      <c r="JSS2">
        <v>9</v>
      </c>
      <c r="JST2">
        <v>9</v>
      </c>
      <c r="JSU2">
        <v>9</v>
      </c>
      <c r="JSV2">
        <v>9</v>
      </c>
      <c r="JSW2">
        <v>9</v>
      </c>
      <c r="JSX2">
        <v>9</v>
      </c>
      <c r="JSY2">
        <v>9</v>
      </c>
      <c r="JSZ2">
        <v>9</v>
      </c>
      <c r="JTA2">
        <v>9</v>
      </c>
      <c r="JTB2">
        <v>9</v>
      </c>
      <c r="JTC2">
        <v>9</v>
      </c>
      <c r="JTD2">
        <v>9</v>
      </c>
      <c r="JTE2">
        <v>9</v>
      </c>
      <c r="JTF2">
        <v>9</v>
      </c>
      <c r="JTG2">
        <v>9</v>
      </c>
      <c r="JTH2">
        <v>9</v>
      </c>
      <c r="JTI2">
        <v>9</v>
      </c>
      <c r="JTJ2">
        <v>9</v>
      </c>
      <c r="JTK2">
        <v>9</v>
      </c>
      <c r="JTL2">
        <v>9</v>
      </c>
      <c r="JTM2">
        <v>9</v>
      </c>
      <c r="JTN2">
        <v>9</v>
      </c>
      <c r="JTO2">
        <v>9</v>
      </c>
      <c r="JTP2">
        <v>9</v>
      </c>
      <c r="JTQ2">
        <v>9</v>
      </c>
      <c r="JTR2">
        <v>9</v>
      </c>
      <c r="JTS2">
        <v>9</v>
      </c>
      <c r="JTT2">
        <v>9</v>
      </c>
      <c r="JTU2">
        <v>9</v>
      </c>
      <c r="JTV2">
        <v>9</v>
      </c>
      <c r="JTW2">
        <v>9</v>
      </c>
      <c r="JTX2">
        <v>9</v>
      </c>
      <c r="JTY2">
        <v>9</v>
      </c>
      <c r="JTZ2">
        <v>9</v>
      </c>
      <c r="JUA2">
        <v>9</v>
      </c>
      <c r="JUB2">
        <v>9</v>
      </c>
      <c r="JUC2">
        <v>9</v>
      </c>
      <c r="JUD2">
        <v>9</v>
      </c>
      <c r="JUE2">
        <v>9</v>
      </c>
      <c r="JUF2">
        <v>9</v>
      </c>
      <c r="JUG2">
        <v>9</v>
      </c>
      <c r="JUH2">
        <v>9</v>
      </c>
      <c r="JUI2">
        <v>9</v>
      </c>
      <c r="JUJ2">
        <v>9</v>
      </c>
      <c r="JUK2">
        <v>9</v>
      </c>
      <c r="JUL2">
        <v>9</v>
      </c>
      <c r="JUM2">
        <v>9</v>
      </c>
      <c r="JUN2">
        <v>9</v>
      </c>
      <c r="JUO2">
        <v>9</v>
      </c>
      <c r="JUP2">
        <v>9</v>
      </c>
      <c r="JUQ2">
        <v>9</v>
      </c>
      <c r="JUR2">
        <v>9</v>
      </c>
      <c r="JUS2">
        <v>9</v>
      </c>
      <c r="JUT2">
        <v>9</v>
      </c>
      <c r="JUU2">
        <v>9</v>
      </c>
      <c r="JUV2">
        <v>9</v>
      </c>
      <c r="JUW2">
        <v>9</v>
      </c>
      <c r="JUX2">
        <v>9</v>
      </c>
      <c r="JUY2">
        <v>9</v>
      </c>
      <c r="JUZ2">
        <v>9</v>
      </c>
      <c r="JVA2">
        <v>9</v>
      </c>
      <c r="JVB2">
        <v>9</v>
      </c>
      <c r="JVC2">
        <v>9</v>
      </c>
      <c r="JVD2">
        <v>9</v>
      </c>
      <c r="JVE2">
        <v>9</v>
      </c>
      <c r="JVF2">
        <v>9</v>
      </c>
      <c r="JVG2">
        <v>9</v>
      </c>
      <c r="JVH2">
        <v>9</v>
      </c>
      <c r="JVI2">
        <v>9</v>
      </c>
      <c r="JVJ2">
        <v>9</v>
      </c>
      <c r="JVK2">
        <v>9</v>
      </c>
      <c r="JVL2">
        <v>9</v>
      </c>
      <c r="JVM2">
        <v>9</v>
      </c>
      <c r="JVN2">
        <v>9</v>
      </c>
      <c r="JVO2">
        <v>9</v>
      </c>
      <c r="JVP2">
        <v>9</v>
      </c>
      <c r="JVQ2">
        <v>9</v>
      </c>
      <c r="JVR2">
        <v>9</v>
      </c>
      <c r="JVS2">
        <v>9</v>
      </c>
      <c r="JVT2">
        <v>9</v>
      </c>
      <c r="JVU2">
        <v>9</v>
      </c>
      <c r="JVV2">
        <v>9</v>
      </c>
      <c r="JVW2">
        <v>9</v>
      </c>
      <c r="JVX2">
        <v>9</v>
      </c>
      <c r="JVY2">
        <v>9</v>
      </c>
      <c r="JVZ2">
        <v>9</v>
      </c>
      <c r="JWA2">
        <v>9</v>
      </c>
      <c r="JWB2">
        <v>9</v>
      </c>
      <c r="JWC2">
        <v>9</v>
      </c>
      <c r="JWD2">
        <v>9</v>
      </c>
      <c r="JWE2">
        <v>9</v>
      </c>
      <c r="JWF2">
        <v>9</v>
      </c>
      <c r="JWG2">
        <v>9</v>
      </c>
      <c r="JWH2">
        <v>9</v>
      </c>
      <c r="JWI2">
        <v>9</v>
      </c>
      <c r="JWJ2">
        <v>9</v>
      </c>
      <c r="JWK2">
        <v>9</v>
      </c>
      <c r="JWL2">
        <v>9</v>
      </c>
      <c r="JWM2">
        <v>9</v>
      </c>
      <c r="JWN2">
        <v>9</v>
      </c>
      <c r="JWO2">
        <v>9</v>
      </c>
      <c r="JWP2">
        <v>9</v>
      </c>
      <c r="JWQ2">
        <v>9</v>
      </c>
      <c r="JWR2">
        <v>9</v>
      </c>
      <c r="JWS2">
        <v>9</v>
      </c>
      <c r="JWT2">
        <v>9</v>
      </c>
      <c r="JWU2">
        <v>9</v>
      </c>
      <c r="JWV2">
        <v>9</v>
      </c>
      <c r="JWW2">
        <v>9</v>
      </c>
      <c r="JWX2">
        <v>9</v>
      </c>
      <c r="JWY2">
        <v>9</v>
      </c>
      <c r="JWZ2">
        <v>9</v>
      </c>
      <c r="JXA2">
        <v>9</v>
      </c>
      <c r="JXB2">
        <v>9</v>
      </c>
      <c r="JXC2">
        <v>9</v>
      </c>
      <c r="JXD2">
        <v>9</v>
      </c>
      <c r="JXE2">
        <v>9</v>
      </c>
      <c r="JXF2">
        <v>9</v>
      </c>
      <c r="JXG2">
        <v>9</v>
      </c>
      <c r="JXH2">
        <v>9</v>
      </c>
      <c r="JXI2">
        <v>9</v>
      </c>
      <c r="JXJ2">
        <v>9</v>
      </c>
      <c r="JXK2">
        <v>9</v>
      </c>
      <c r="JXL2">
        <v>9</v>
      </c>
      <c r="JXM2">
        <v>9</v>
      </c>
      <c r="JXN2">
        <v>9</v>
      </c>
      <c r="JXO2">
        <v>9</v>
      </c>
      <c r="JXP2">
        <v>9</v>
      </c>
      <c r="JXQ2">
        <v>9</v>
      </c>
      <c r="JXR2">
        <v>9</v>
      </c>
      <c r="JXS2">
        <v>9</v>
      </c>
      <c r="JXT2">
        <v>9</v>
      </c>
      <c r="JXU2">
        <v>9</v>
      </c>
      <c r="JXV2">
        <v>9</v>
      </c>
      <c r="JXW2">
        <v>9</v>
      </c>
      <c r="JXX2">
        <v>9</v>
      </c>
      <c r="JXY2">
        <v>9</v>
      </c>
      <c r="JXZ2">
        <v>9</v>
      </c>
      <c r="JYA2">
        <v>9</v>
      </c>
      <c r="JYB2">
        <v>9</v>
      </c>
      <c r="JYC2">
        <v>9</v>
      </c>
      <c r="JYD2">
        <v>9</v>
      </c>
      <c r="JYE2">
        <v>9</v>
      </c>
      <c r="JYF2">
        <v>9</v>
      </c>
      <c r="JYG2">
        <v>9</v>
      </c>
      <c r="JYH2">
        <v>9</v>
      </c>
      <c r="JYI2">
        <v>9</v>
      </c>
      <c r="JYJ2">
        <v>9</v>
      </c>
      <c r="JYK2">
        <v>9</v>
      </c>
      <c r="JYL2">
        <v>9</v>
      </c>
      <c r="JYM2">
        <v>9</v>
      </c>
      <c r="JYN2">
        <v>9</v>
      </c>
      <c r="JYO2">
        <v>9</v>
      </c>
      <c r="JYP2">
        <v>9</v>
      </c>
      <c r="JYQ2">
        <v>9</v>
      </c>
      <c r="JYR2">
        <v>9</v>
      </c>
      <c r="JYS2">
        <v>9</v>
      </c>
      <c r="JYT2">
        <v>9</v>
      </c>
      <c r="JYU2">
        <v>9</v>
      </c>
      <c r="JYV2">
        <v>9</v>
      </c>
      <c r="JYW2">
        <v>9</v>
      </c>
      <c r="JYX2">
        <v>9</v>
      </c>
      <c r="JYY2">
        <v>9</v>
      </c>
      <c r="JYZ2">
        <v>9</v>
      </c>
      <c r="JZA2">
        <v>9</v>
      </c>
      <c r="JZB2">
        <v>9</v>
      </c>
      <c r="JZC2">
        <v>9</v>
      </c>
      <c r="JZD2">
        <v>9</v>
      </c>
      <c r="JZE2">
        <v>9</v>
      </c>
      <c r="JZF2">
        <v>9</v>
      </c>
      <c r="JZG2">
        <v>9</v>
      </c>
      <c r="JZH2">
        <v>9</v>
      </c>
      <c r="JZI2">
        <v>9</v>
      </c>
      <c r="JZJ2">
        <v>9</v>
      </c>
      <c r="JZK2">
        <v>9</v>
      </c>
      <c r="JZL2">
        <v>9</v>
      </c>
      <c r="JZM2">
        <v>9</v>
      </c>
      <c r="JZN2">
        <v>9</v>
      </c>
      <c r="JZO2">
        <v>9</v>
      </c>
      <c r="JZP2">
        <v>9</v>
      </c>
      <c r="JZQ2">
        <v>9</v>
      </c>
      <c r="JZR2">
        <v>9</v>
      </c>
      <c r="JZS2">
        <v>9</v>
      </c>
      <c r="JZT2">
        <v>9</v>
      </c>
      <c r="JZU2">
        <v>9</v>
      </c>
      <c r="JZV2">
        <v>9</v>
      </c>
      <c r="JZW2">
        <v>9</v>
      </c>
      <c r="JZX2">
        <v>9</v>
      </c>
      <c r="JZY2">
        <v>9</v>
      </c>
      <c r="JZZ2">
        <v>9</v>
      </c>
      <c r="KAA2">
        <v>9</v>
      </c>
      <c r="KAB2">
        <v>9</v>
      </c>
      <c r="KAC2">
        <v>9</v>
      </c>
      <c r="KAD2">
        <v>9</v>
      </c>
      <c r="KAE2">
        <v>9</v>
      </c>
      <c r="KAF2">
        <v>9</v>
      </c>
      <c r="KAG2">
        <v>9</v>
      </c>
      <c r="KAH2">
        <v>9</v>
      </c>
      <c r="KAI2">
        <v>9</v>
      </c>
      <c r="KAJ2">
        <v>9</v>
      </c>
      <c r="KAK2">
        <v>9</v>
      </c>
      <c r="KAL2">
        <v>9</v>
      </c>
      <c r="KAM2">
        <v>9</v>
      </c>
      <c r="KAN2">
        <v>9</v>
      </c>
      <c r="KAO2">
        <v>9</v>
      </c>
      <c r="KAP2">
        <v>9</v>
      </c>
      <c r="KAQ2">
        <v>9</v>
      </c>
      <c r="KAR2">
        <v>9</v>
      </c>
      <c r="KAS2">
        <v>9</v>
      </c>
      <c r="KAT2">
        <v>9</v>
      </c>
      <c r="KAU2">
        <v>9</v>
      </c>
      <c r="KAV2">
        <v>9</v>
      </c>
      <c r="KAW2">
        <v>9</v>
      </c>
      <c r="KAX2">
        <v>9</v>
      </c>
      <c r="KAY2">
        <v>9</v>
      </c>
      <c r="KAZ2">
        <v>9</v>
      </c>
      <c r="KBA2">
        <v>9</v>
      </c>
      <c r="KBB2">
        <v>9</v>
      </c>
      <c r="KBC2">
        <v>9</v>
      </c>
      <c r="KBD2">
        <v>9</v>
      </c>
      <c r="KBE2">
        <v>9</v>
      </c>
      <c r="KBF2">
        <v>9</v>
      </c>
      <c r="KBG2">
        <v>9</v>
      </c>
      <c r="KBH2">
        <v>9</v>
      </c>
      <c r="KBI2">
        <v>9</v>
      </c>
      <c r="KBJ2">
        <v>9</v>
      </c>
      <c r="KBK2">
        <v>9</v>
      </c>
      <c r="KBL2">
        <v>9</v>
      </c>
      <c r="KBM2">
        <v>9</v>
      </c>
      <c r="KBN2">
        <v>9</v>
      </c>
      <c r="KBO2">
        <v>9</v>
      </c>
      <c r="KBP2">
        <v>9</v>
      </c>
      <c r="KBQ2">
        <v>9</v>
      </c>
      <c r="KBR2">
        <v>9</v>
      </c>
      <c r="KBS2">
        <v>9</v>
      </c>
      <c r="KBT2">
        <v>9</v>
      </c>
      <c r="KBU2">
        <v>9</v>
      </c>
      <c r="KBV2">
        <v>9</v>
      </c>
      <c r="KBW2">
        <v>9</v>
      </c>
      <c r="KBX2">
        <v>9</v>
      </c>
      <c r="KBY2">
        <v>9</v>
      </c>
      <c r="KBZ2">
        <v>9</v>
      </c>
      <c r="KCA2">
        <v>9</v>
      </c>
      <c r="KCB2">
        <v>9</v>
      </c>
      <c r="KCC2">
        <v>9</v>
      </c>
      <c r="KCD2">
        <v>9</v>
      </c>
      <c r="KCE2">
        <v>9</v>
      </c>
      <c r="KCF2">
        <v>9</v>
      </c>
      <c r="KCG2">
        <v>9</v>
      </c>
      <c r="KCH2">
        <v>9</v>
      </c>
      <c r="KCI2">
        <v>9</v>
      </c>
      <c r="KCJ2">
        <v>9</v>
      </c>
      <c r="KCK2">
        <v>9</v>
      </c>
      <c r="KCL2">
        <v>9</v>
      </c>
      <c r="KCM2">
        <v>9</v>
      </c>
      <c r="KCN2">
        <v>9</v>
      </c>
      <c r="KCO2">
        <v>9</v>
      </c>
      <c r="KCP2">
        <v>9</v>
      </c>
      <c r="KCQ2">
        <v>9</v>
      </c>
      <c r="KCR2">
        <v>9</v>
      </c>
      <c r="KCS2">
        <v>9</v>
      </c>
      <c r="KCT2">
        <v>9</v>
      </c>
      <c r="KCU2">
        <v>9</v>
      </c>
      <c r="KCV2">
        <v>9</v>
      </c>
      <c r="KCW2">
        <v>9</v>
      </c>
      <c r="KFW2" s="1">
        <f t="shared" ref="KFW2:KFW49" si="0">COUNTIF($C2:$KEF2,"1")</f>
        <v>310</v>
      </c>
      <c r="KFX2">
        <f t="shared" ref="KFX2:KFX49" si="1">COUNTIF($C2:$KEF2,"2")</f>
        <v>197</v>
      </c>
      <c r="KFY2">
        <f t="shared" ref="KFY2:KFY49" si="2">COUNTIF($C2:$KEF2,"3")</f>
        <v>161</v>
      </c>
      <c r="KFZ2">
        <f t="shared" ref="KFZ2:KFZ49" si="3">COUNTIF($C2:$KEF2,"4")</f>
        <v>243</v>
      </c>
      <c r="KGA2">
        <f t="shared" ref="KGA2:KGA49" si="4">COUNTIF($C2:$KEF2,"5")</f>
        <v>204</v>
      </c>
      <c r="KGB2">
        <f t="shared" ref="KGB2:KGB49" si="5">COUNTIF($C2:$KEF2,"6")</f>
        <v>306</v>
      </c>
      <c r="KGC2">
        <f t="shared" ref="KGC2:KGC49" si="6">COUNTIF($C2:$KEF2,"7")</f>
        <v>620</v>
      </c>
      <c r="KGD2">
        <f t="shared" ref="KGD2:KGD49" si="7">COUNTIF($C2:$KEF2,"8")</f>
        <v>182</v>
      </c>
      <c r="KGE2">
        <f t="shared" ref="KGE2:KGE49" si="8">COUNTIF($C2:$KEF2,"9")</f>
        <v>283</v>
      </c>
      <c r="KGF2">
        <f t="shared" ref="KGF2:KGF49" si="9">COUNTIF($C2:$KEF2,"10")</f>
        <v>0</v>
      </c>
      <c r="KGG2">
        <f t="shared" ref="KGG2:KGG49" si="10">COUNTIF($C2:$KEF2,"11")</f>
        <v>0</v>
      </c>
      <c r="KGH2">
        <f t="shared" ref="KGH2:KGH49" si="11">COUNTIF($C2:$KEF2,"12")</f>
        <v>0</v>
      </c>
      <c r="KGI2">
        <f t="shared" ref="KGI2:KGI49" si="12">COUNTIF($C2:$KEF2,"13")</f>
        <v>0</v>
      </c>
      <c r="KGJ2">
        <f t="shared" ref="KGJ2:KGJ49" si="13">COUNTIF($C2:$KEF2,"14")</f>
        <v>0</v>
      </c>
      <c r="KGK2">
        <f t="shared" ref="KGK2:KGK49" si="14">COUNTIF($C2:$KEF2,"15")</f>
        <v>0</v>
      </c>
      <c r="KGL2">
        <f t="shared" ref="KGL2:KGL49" si="15">COUNTIF($C2:$KEF2,"16")</f>
        <v>0</v>
      </c>
      <c r="KGM2">
        <f t="shared" ref="KGM2:KGM49" si="16">COUNTIF($C2:$KEF2,"17")</f>
        <v>0</v>
      </c>
      <c r="KGN2">
        <f t="shared" ref="KGN2:KGN49" si="17">COUNTIF($C2:$KEF2,"18")</f>
        <v>0</v>
      </c>
      <c r="KGO2">
        <f t="shared" ref="KGO2:KGO49" si="18">COUNTIF($C2:$KEF2,"19")</f>
        <v>0</v>
      </c>
      <c r="KGP2">
        <f t="shared" ref="KGP2:KGP49" si="19">COUNTIF($C2:$KEF2,"20")</f>
        <v>0</v>
      </c>
      <c r="KGQ2">
        <f t="shared" ref="KGQ2:KGQ49" si="20">COUNTIF($C2:$KEF2,"21")</f>
        <v>0</v>
      </c>
      <c r="KGR2">
        <f t="shared" ref="KGR2:KGR49" si="21">COUNTIF($C2:$KEF2,"22")</f>
        <v>0</v>
      </c>
      <c r="KGS2">
        <f t="shared" ref="KGS2:KGS49" si="22">COUNTIF($C2:$KEF2,"23")</f>
        <v>0</v>
      </c>
      <c r="KGT2">
        <f t="shared" ref="KGT2:KGT49" si="23">COUNTIF($C2:$KEF2,"24")</f>
        <v>0</v>
      </c>
      <c r="KGU2">
        <f t="shared" ref="KGU2:KGU49" si="24">COUNTIF($C2:$KEF2,"25")</f>
        <v>0</v>
      </c>
      <c r="KGV2">
        <f t="shared" ref="KGV2:KGV49" si="25">COUNTIF($C2:$KEF2,"26")</f>
        <v>0</v>
      </c>
      <c r="KGW2">
        <f t="shared" ref="KGW2:KGW49" si="26">COUNTIF($C2:$KEF2,"27")</f>
        <v>0</v>
      </c>
      <c r="KGX2">
        <f t="shared" ref="KGX2:KGX49" si="27">COUNTIF($C2:$KEF2,"28")</f>
        <v>0</v>
      </c>
      <c r="KGY2">
        <f t="shared" ref="KGY2:KGY49" si="28">COUNTIF($C2:$KEF2,"29")</f>
        <v>0</v>
      </c>
      <c r="KGZ2">
        <f t="shared" ref="KGZ2:KGZ49" si="29">COUNTIF($C2:$KEF2,"30")</f>
        <v>0</v>
      </c>
      <c r="KHA2">
        <f t="shared" ref="KHA2:KHA49" si="30">COUNTIF($C2:$KEF2,"31")</f>
        <v>0</v>
      </c>
      <c r="KHB2">
        <f t="shared" ref="KHB2:KHB49" si="31">COUNTIF($C2:$KEF2,"32")</f>
        <v>0</v>
      </c>
      <c r="KHC2">
        <f t="shared" ref="KHC2:KHC49" si="32">COUNTIF($C2:$KEF2,"33")</f>
        <v>0</v>
      </c>
      <c r="KHD2">
        <f t="shared" ref="KHD2:KHD49" si="33">COUNTIF($C2:$KEF2,"34")</f>
        <v>0</v>
      </c>
      <c r="KHE2">
        <f t="shared" ref="KHE2:KHE49" si="34">COUNTIF($C2:$KEF2,"35")</f>
        <v>0</v>
      </c>
      <c r="KHF2">
        <f t="shared" ref="KHF2:KHF49" si="35">COUNTIF($C2:$KEF2,"36")</f>
        <v>0</v>
      </c>
      <c r="KHG2">
        <f t="shared" ref="KHG2:KHG49" si="36">COUNTIF($C2:$KEF2,"37")</f>
        <v>0</v>
      </c>
      <c r="KHH2">
        <f t="shared" ref="KHH2:KHH49" si="37">COUNTIF($C2:$KEF2,"38")</f>
        <v>0</v>
      </c>
      <c r="KHI2">
        <f t="shared" ref="KHI2:KHI49" si="38">COUNTIF($C2:$KEF2,"39")</f>
        <v>0</v>
      </c>
      <c r="KHJ2">
        <f t="shared" ref="KHJ2:KHJ49" si="39">COUNTIF($C2:$KEF2,"40")</f>
        <v>0</v>
      </c>
      <c r="KHK2">
        <f t="shared" ref="KHK2:KHK49" si="40">COUNTIF($C2:$KEF2,"41")</f>
        <v>0</v>
      </c>
      <c r="KHL2">
        <f t="shared" ref="KHL2:KHL49" si="41">COUNTIF($C2:$KEF2,"42")</f>
        <v>0</v>
      </c>
      <c r="KHM2">
        <f t="shared" ref="KHM2:KHM49" si="42">COUNTIF($C2:$KEF2,"43")</f>
        <v>0</v>
      </c>
      <c r="KHN2">
        <f t="shared" ref="KHN2:KHN49" si="43">COUNTIF($C2:$KEF2,"44")</f>
        <v>0</v>
      </c>
      <c r="KHO2">
        <f t="shared" ref="KHO2:KHO49" si="44">COUNTIF($C2:$KEF2,"45")</f>
        <v>0</v>
      </c>
      <c r="KHP2">
        <f t="shared" ref="KHP2:KHP49" si="45">COUNTIF($C2:$KEF2,"46")</f>
        <v>0</v>
      </c>
      <c r="KHQ2">
        <f t="shared" ref="KHQ2:KHQ49" si="46">COUNTIF($C2:$KEF2,"47")</f>
        <v>0</v>
      </c>
      <c r="KHR2">
        <f t="shared" ref="KHR2:KHR49" si="47">COUNTIF($C2:$KEF2,"48")</f>
        <v>0</v>
      </c>
      <c r="KHS2">
        <f t="shared" ref="KHS2:KHS49" si="48">COUNTIF($C2:$KEF2,"49")</f>
        <v>0</v>
      </c>
      <c r="KHT2">
        <f t="shared" ref="KHT2:KHT49" si="49">COUNTIF($C2:$KEF2,"50")</f>
        <v>0</v>
      </c>
      <c r="KHU2">
        <f t="shared" ref="KHU2:KHU49" si="50">COUNTIF($C2:$KEF2,"51")</f>
        <v>0</v>
      </c>
      <c r="KHV2">
        <f t="shared" ref="KHV2:KHV49" si="51">COUNTIF($C2:$KEF2,"52")</f>
        <v>0</v>
      </c>
      <c r="KHW2">
        <f t="shared" ref="KHW2:KHW49" si="52">COUNTIF($C2:$KEF2,"53")</f>
        <v>0</v>
      </c>
      <c r="KHX2">
        <f t="shared" ref="KHX2:KHX49" si="53">COUNTIF($C2:$KEF2,"54")</f>
        <v>0</v>
      </c>
      <c r="KHY2">
        <f t="shared" ref="KHY2:KHY49" si="54">COUNTIF($C2:$KEF2,"55")</f>
        <v>0</v>
      </c>
      <c r="KHZ2">
        <f t="shared" ref="KHZ2:KHZ49" si="55">COUNTIF($C2:$KEF2,"56")</f>
        <v>0</v>
      </c>
      <c r="KIA2">
        <f t="shared" ref="KIA2:KIA49" si="56">COUNTIF($C2:$KEF2,"57")</f>
        <v>0</v>
      </c>
      <c r="KIB2">
        <f t="shared" ref="KIB2:KIB49" si="57">COUNTIF($C2:$KEF2,"58")</f>
        <v>0</v>
      </c>
      <c r="KIC2">
        <f t="shared" ref="KIC2:KIC49" si="58">COUNTIF($C2:$KEF2,"59")</f>
        <v>0</v>
      </c>
      <c r="KID2">
        <f t="shared" ref="KID2:KID49" si="59">COUNTIF($C2:$KEF2,"60")</f>
        <v>0</v>
      </c>
      <c r="KIE2">
        <f t="shared" ref="KIE2:KIE49" si="60">COUNTIF($C2:$KEF2,"61")</f>
        <v>0</v>
      </c>
      <c r="KIF2">
        <f t="shared" ref="KIF2:KIF49" si="61">COUNTIF($C2:$KEF2,"62")</f>
        <v>0</v>
      </c>
      <c r="KIG2">
        <f t="shared" ref="KIG2:KIG49" si="62">COUNTIF($C2:$KEF2,"63")</f>
        <v>0</v>
      </c>
      <c r="KIH2">
        <f t="shared" ref="KIH2:KIH49" si="63">COUNTIF($C2:$KEF2,"64")</f>
        <v>0</v>
      </c>
      <c r="KII2">
        <f t="shared" ref="KII2:KII49" si="64">COUNTIF($C2:$KEF2,"65")</f>
        <v>0</v>
      </c>
      <c r="KIJ2">
        <f t="shared" ref="KIJ2:KIJ49" si="65">COUNTIF($C2:$KEF2,"66")</f>
        <v>0</v>
      </c>
      <c r="KIK2">
        <f t="shared" ref="KIK2:KIK49" si="66">COUNTIF($C2:$KEF2,"67")</f>
        <v>0</v>
      </c>
      <c r="KIL2">
        <f t="shared" ref="KIL2:KIL49" si="67">COUNTIF($C2:$KEF2,"68")</f>
        <v>0</v>
      </c>
      <c r="KIM2">
        <f t="shared" ref="KIM2:KIM49" si="68">COUNTIF($C2:$KEF2,"69")</f>
        <v>0</v>
      </c>
      <c r="KIN2">
        <f t="shared" ref="KIN2:KIN49" si="69">COUNTIF($C2:$KEF2,"70")</f>
        <v>0</v>
      </c>
      <c r="KIO2">
        <f t="shared" ref="KIO2:KIO49" si="70">COUNTIF($C2:$KEF2,"71")</f>
        <v>0</v>
      </c>
      <c r="KIP2">
        <f t="shared" ref="KIP2:KIP49" si="71">COUNTIF($C2:$KEF2,"72")</f>
        <v>0</v>
      </c>
      <c r="KIQ2">
        <f t="shared" ref="KIQ2:KIQ49" si="72">COUNTIF($C2:$KEF2,"73")</f>
        <v>0</v>
      </c>
      <c r="KIR2">
        <f t="shared" ref="KIR2:KIR49" si="73">COUNTIF($C2:$KEF2,"74")</f>
        <v>0</v>
      </c>
      <c r="KIS2">
        <f t="shared" ref="KIS2:KIS49" si="74">COUNTIF($C2:$KEF2,"75")</f>
        <v>0</v>
      </c>
      <c r="KIT2">
        <f t="shared" ref="KIT2:KIT49" si="75">COUNTIF($C2:$KEF2,"76")</f>
        <v>0</v>
      </c>
      <c r="KIU2">
        <f t="shared" ref="KIU2:KIU49" si="76">COUNTIF($C2:$KEF2,"70")</f>
        <v>0</v>
      </c>
      <c r="KIV2">
        <f t="shared" ref="KIV2:KIV49" si="77">COUNTIF($C2:$KEF2,"78")</f>
        <v>0</v>
      </c>
      <c r="KIW2">
        <f t="shared" ref="KIW2:KIW49" si="78">COUNTIF($C2:$KEF2,"79")</f>
        <v>0</v>
      </c>
      <c r="KIX2">
        <f t="shared" ref="KIX2:KIX49" si="79">COUNTIF($C2:$KEF2,"80")</f>
        <v>0</v>
      </c>
      <c r="KIY2">
        <f t="shared" ref="KIY2:KIY49" si="80">COUNTIF($C2:$KEF2,"81")</f>
        <v>0</v>
      </c>
      <c r="KIZ2">
        <f t="shared" ref="KIZ2:KIZ49" si="81">COUNTIF($C2:$KEF2,"82")</f>
        <v>0</v>
      </c>
      <c r="KJA2">
        <f t="shared" ref="KJA2:KJA49" si="82">COUNTIF($C2:$KEF2,"83")</f>
        <v>0</v>
      </c>
      <c r="KJB2">
        <f t="shared" ref="KJB2:KJB49" si="83">COUNTIF($C2:$KEF2,"84")</f>
        <v>0</v>
      </c>
      <c r="KJC2">
        <f t="shared" ref="KJC2:KJC49" si="84">COUNTIF($C2:$KEF2,"85")</f>
        <v>0</v>
      </c>
      <c r="KJD2">
        <f t="shared" ref="KJD2:KJD49" si="85">COUNTIF($C2:$KEF2,"86")</f>
        <v>0</v>
      </c>
      <c r="KJE2">
        <f t="shared" ref="KJE2:KJE49" si="86">COUNTIF($C2:$KEF2,"87")</f>
        <v>0</v>
      </c>
      <c r="KJF2">
        <f t="shared" ref="KJF2:KJF49" si="87">COUNTIF($C2:$KEF2,"88")</f>
        <v>0</v>
      </c>
      <c r="KJG2">
        <f t="shared" ref="KJG2:KJG49" si="88">COUNTIF($C2:$KEF2,"89")</f>
        <v>0</v>
      </c>
      <c r="KJH2">
        <f t="shared" ref="KJH2:KJH49" si="89">COUNTIF($C2:$KEF2,"90")</f>
        <v>0</v>
      </c>
      <c r="KJI2">
        <f t="shared" ref="KJI2:KJI49" si="90">COUNTIF($C2:$KEF2,"91")</f>
        <v>0</v>
      </c>
      <c r="KJJ2">
        <f t="shared" ref="KJJ2:KJJ49" si="91">COUNTIF($C2:$KEF2,"92")</f>
        <v>0</v>
      </c>
      <c r="KJK2">
        <f t="shared" ref="KJK2:KJK49" si="92">COUNTIF($C2:$KEF2,"93")</f>
        <v>0</v>
      </c>
      <c r="KJL2">
        <f t="shared" ref="KJL2:KJL49" si="93">COUNTIF($C2:$KEF2,"94")</f>
        <v>0</v>
      </c>
      <c r="KJM2">
        <f t="shared" ref="KJM2:KJM49" si="94">COUNTIF($C2:$KEF2,"95")</f>
        <v>0</v>
      </c>
      <c r="KJN2">
        <f t="shared" ref="KJN2:KJN49" si="95">COUNTIF($C2:$KEF2,"96")</f>
        <v>0</v>
      </c>
      <c r="KJO2">
        <f t="shared" ref="KJO2:KJO49" si="96">COUNTIF($C2:$KEF2,"97")</f>
        <v>0</v>
      </c>
      <c r="KJP2">
        <f t="shared" ref="KJP2:KJP49" si="97">COUNTIF($C2:$KEF2,"98")</f>
        <v>0</v>
      </c>
      <c r="KJQ2">
        <f t="shared" ref="KJQ2:KJQ49" si="98">COUNTIF($C2:$KEF2,"99")</f>
        <v>0</v>
      </c>
      <c r="KJR2">
        <f t="shared" ref="KJR2:KJR49" si="99">COUNTIF($C2:$KEF2,"100")</f>
        <v>0</v>
      </c>
      <c r="KJT2">
        <f>SUM($KFW2:$KJS2)</f>
        <v>2506</v>
      </c>
      <c r="KJU2">
        <f>SUM($KFW2:$KJS2)</f>
        <v>2506</v>
      </c>
      <c r="KJW2">
        <f>$KJT2*40/1000</f>
        <v>100.24</v>
      </c>
      <c r="KJX2">
        <f>$KJT2*40/1000</f>
        <v>100.24</v>
      </c>
    </row>
    <row r="3" spans="1:7721">
      <c r="A3" t="s">
        <v>2</v>
      </c>
      <c r="B3">
        <v>8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1</v>
      </c>
      <c r="ARE3">
        <v>1</v>
      </c>
      <c r="ARF3">
        <v>1</v>
      </c>
      <c r="ARG3">
        <v>1</v>
      </c>
      <c r="ARH3">
        <v>1</v>
      </c>
      <c r="ARI3">
        <v>1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1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1</v>
      </c>
      <c r="AUC3">
        <v>1</v>
      </c>
      <c r="AUD3">
        <v>1</v>
      </c>
      <c r="AUE3">
        <v>1</v>
      </c>
      <c r="AUF3">
        <v>1</v>
      </c>
      <c r="AUG3">
        <v>1</v>
      </c>
      <c r="AUH3">
        <v>1</v>
      </c>
      <c r="CKB3">
        <v>2</v>
      </c>
      <c r="CKC3">
        <v>2</v>
      </c>
      <c r="CKD3">
        <v>2</v>
      </c>
      <c r="CKE3">
        <v>2</v>
      </c>
      <c r="CKF3">
        <v>2</v>
      </c>
      <c r="CKG3">
        <v>2</v>
      </c>
      <c r="CKH3">
        <v>2</v>
      </c>
      <c r="CKI3">
        <v>2</v>
      </c>
      <c r="CKJ3">
        <v>2</v>
      </c>
      <c r="CKK3">
        <v>2</v>
      </c>
      <c r="CKL3">
        <v>2</v>
      </c>
      <c r="CKM3">
        <v>2</v>
      </c>
      <c r="CKN3">
        <v>2</v>
      </c>
      <c r="CKO3">
        <v>2</v>
      </c>
      <c r="CKP3">
        <v>2</v>
      </c>
      <c r="CKQ3">
        <v>2</v>
      </c>
      <c r="CKR3">
        <v>2</v>
      </c>
      <c r="CKS3">
        <v>2</v>
      </c>
      <c r="CKT3">
        <v>2</v>
      </c>
      <c r="CKU3">
        <v>2</v>
      </c>
      <c r="CKV3">
        <v>2</v>
      </c>
      <c r="CKW3">
        <v>2</v>
      </c>
      <c r="CKX3">
        <v>2</v>
      </c>
      <c r="CKY3">
        <v>2</v>
      </c>
      <c r="CKZ3">
        <v>2</v>
      </c>
      <c r="CLA3">
        <v>2</v>
      </c>
      <c r="CLB3">
        <v>2</v>
      </c>
      <c r="CLC3">
        <v>2</v>
      </c>
      <c r="CLD3">
        <v>2</v>
      </c>
      <c r="CLE3">
        <v>2</v>
      </c>
      <c r="CLF3">
        <v>2</v>
      </c>
      <c r="CLG3">
        <v>2</v>
      </c>
      <c r="CLH3">
        <v>2</v>
      </c>
      <c r="CLI3">
        <v>2</v>
      </c>
      <c r="CLJ3">
        <v>2</v>
      </c>
      <c r="CLK3">
        <v>2</v>
      </c>
      <c r="CLL3">
        <v>2</v>
      </c>
      <c r="CLM3">
        <v>2</v>
      </c>
      <c r="CLN3">
        <v>2</v>
      </c>
      <c r="CLO3">
        <v>2</v>
      </c>
      <c r="CLP3">
        <v>2</v>
      </c>
      <c r="CLQ3">
        <v>2</v>
      </c>
      <c r="CLR3">
        <v>2</v>
      </c>
      <c r="CLS3">
        <v>2</v>
      </c>
      <c r="CLT3">
        <v>2</v>
      </c>
      <c r="CLU3">
        <v>2</v>
      </c>
      <c r="CLV3">
        <v>2</v>
      </c>
      <c r="CLW3">
        <v>2</v>
      </c>
      <c r="CLX3">
        <v>2</v>
      </c>
      <c r="CLY3">
        <v>2</v>
      </c>
      <c r="CLZ3">
        <v>2</v>
      </c>
      <c r="CMA3">
        <v>2</v>
      </c>
      <c r="CMB3">
        <v>2</v>
      </c>
      <c r="CMC3">
        <v>2</v>
      </c>
      <c r="CMD3">
        <v>2</v>
      </c>
      <c r="CME3">
        <v>2</v>
      </c>
      <c r="CMF3">
        <v>2</v>
      </c>
      <c r="CMG3">
        <v>2</v>
      </c>
      <c r="CMH3">
        <v>2</v>
      </c>
      <c r="CMI3">
        <v>2</v>
      </c>
      <c r="CMJ3">
        <v>2</v>
      </c>
      <c r="CMK3">
        <v>2</v>
      </c>
      <c r="CML3">
        <v>2</v>
      </c>
      <c r="CMM3">
        <v>2</v>
      </c>
      <c r="CMN3">
        <v>2</v>
      </c>
      <c r="CMO3">
        <v>2</v>
      </c>
      <c r="CMP3">
        <v>2</v>
      </c>
      <c r="CMQ3">
        <v>2</v>
      </c>
      <c r="CMR3">
        <v>2</v>
      </c>
      <c r="CMS3">
        <v>2</v>
      </c>
      <c r="CMT3">
        <v>2</v>
      </c>
      <c r="CMU3">
        <v>2</v>
      </c>
      <c r="CMV3">
        <v>2</v>
      </c>
      <c r="CMW3">
        <v>2</v>
      </c>
      <c r="CMX3">
        <v>2</v>
      </c>
      <c r="CMY3">
        <v>2</v>
      </c>
      <c r="CMZ3">
        <v>2</v>
      </c>
      <c r="CNA3">
        <v>2</v>
      </c>
      <c r="CNB3">
        <v>2</v>
      </c>
      <c r="CNC3">
        <v>2</v>
      </c>
      <c r="CND3">
        <v>2</v>
      </c>
      <c r="CNE3">
        <v>2</v>
      </c>
      <c r="CNF3">
        <v>2</v>
      </c>
      <c r="CNG3">
        <v>2</v>
      </c>
      <c r="CNH3">
        <v>2</v>
      </c>
      <c r="CNI3">
        <v>2</v>
      </c>
      <c r="CNJ3">
        <v>2</v>
      </c>
      <c r="CNK3">
        <v>2</v>
      </c>
      <c r="CNL3">
        <v>2</v>
      </c>
      <c r="CNM3">
        <v>2</v>
      </c>
      <c r="CNN3">
        <v>2</v>
      </c>
      <c r="CNO3">
        <v>2</v>
      </c>
      <c r="CNP3">
        <v>2</v>
      </c>
      <c r="CNQ3">
        <v>2</v>
      </c>
      <c r="CNR3">
        <v>2</v>
      </c>
      <c r="CNS3">
        <v>2</v>
      </c>
      <c r="CNT3">
        <v>2</v>
      </c>
      <c r="CNU3">
        <v>2</v>
      </c>
      <c r="CNV3">
        <v>2</v>
      </c>
      <c r="CNW3">
        <v>2</v>
      </c>
      <c r="CNX3">
        <v>2</v>
      </c>
      <c r="CNY3">
        <v>2</v>
      </c>
      <c r="CNZ3">
        <v>2</v>
      </c>
      <c r="COA3">
        <v>2</v>
      </c>
      <c r="COB3">
        <v>2</v>
      </c>
      <c r="COC3">
        <v>2</v>
      </c>
      <c r="COD3">
        <v>2</v>
      </c>
      <c r="COE3">
        <v>2</v>
      </c>
      <c r="COF3">
        <v>2</v>
      </c>
      <c r="COG3">
        <v>2</v>
      </c>
      <c r="COH3">
        <v>2</v>
      </c>
      <c r="COI3">
        <v>2</v>
      </c>
      <c r="COJ3">
        <v>2</v>
      </c>
      <c r="COK3">
        <v>2</v>
      </c>
      <c r="COL3">
        <v>2</v>
      </c>
      <c r="COM3">
        <v>2</v>
      </c>
      <c r="CON3">
        <v>2</v>
      </c>
      <c r="COO3">
        <v>2</v>
      </c>
      <c r="COP3">
        <v>2</v>
      </c>
      <c r="COQ3">
        <v>2</v>
      </c>
      <c r="COR3">
        <v>2</v>
      </c>
      <c r="COS3">
        <v>2</v>
      </c>
      <c r="COT3">
        <v>2</v>
      </c>
      <c r="COU3">
        <v>2</v>
      </c>
      <c r="COV3">
        <v>2</v>
      </c>
      <c r="COW3">
        <v>2</v>
      </c>
      <c r="COX3">
        <v>2</v>
      </c>
      <c r="COY3">
        <v>2</v>
      </c>
      <c r="COZ3">
        <v>2</v>
      </c>
      <c r="CPA3">
        <v>2</v>
      </c>
      <c r="CPB3">
        <v>2</v>
      </c>
      <c r="CPC3">
        <v>2</v>
      </c>
      <c r="CPD3">
        <v>2</v>
      </c>
      <c r="CPE3">
        <v>2</v>
      </c>
      <c r="CPF3">
        <v>2</v>
      </c>
      <c r="CPG3">
        <v>2</v>
      </c>
      <c r="DEL3">
        <v>3</v>
      </c>
      <c r="DEM3">
        <v>3</v>
      </c>
      <c r="DEN3">
        <v>3</v>
      </c>
      <c r="DEO3">
        <v>3</v>
      </c>
      <c r="DEP3">
        <v>3</v>
      </c>
      <c r="DEQ3">
        <v>3</v>
      </c>
      <c r="DER3">
        <v>3</v>
      </c>
      <c r="DES3">
        <v>3</v>
      </c>
      <c r="DET3">
        <v>3</v>
      </c>
      <c r="DEU3">
        <v>3</v>
      </c>
      <c r="DEV3">
        <v>3</v>
      </c>
      <c r="DEW3">
        <v>3</v>
      </c>
      <c r="DEX3">
        <v>3</v>
      </c>
      <c r="DEY3">
        <v>3</v>
      </c>
      <c r="DEZ3">
        <v>3</v>
      </c>
      <c r="DFA3">
        <v>3</v>
      </c>
      <c r="DFB3">
        <v>3</v>
      </c>
      <c r="DFC3">
        <v>3</v>
      </c>
      <c r="DFD3">
        <v>3</v>
      </c>
      <c r="DFE3">
        <v>3</v>
      </c>
      <c r="DFF3">
        <v>3</v>
      </c>
      <c r="DFG3">
        <v>3</v>
      </c>
      <c r="DFH3">
        <v>3</v>
      </c>
      <c r="DFI3">
        <v>3</v>
      </c>
      <c r="DFJ3">
        <v>3</v>
      </c>
      <c r="DFK3">
        <v>3</v>
      </c>
      <c r="DFL3">
        <v>3</v>
      </c>
      <c r="DFM3">
        <v>3</v>
      </c>
      <c r="DFN3">
        <v>3</v>
      </c>
      <c r="DFO3">
        <v>3</v>
      </c>
      <c r="DFP3">
        <v>3</v>
      </c>
      <c r="DFQ3">
        <v>3</v>
      </c>
      <c r="DFR3">
        <v>3</v>
      </c>
      <c r="DFS3">
        <v>3</v>
      </c>
      <c r="DFT3">
        <v>3</v>
      </c>
      <c r="DFU3">
        <v>3</v>
      </c>
      <c r="DFV3">
        <v>3</v>
      </c>
      <c r="DFW3">
        <v>3</v>
      </c>
      <c r="DFX3">
        <v>3</v>
      </c>
      <c r="DFY3">
        <v>3</v>
      </c>
      <c r="DFZ3">
        <v>3</v>
      </c>
      <c r="DGA3">
        <v>3</v>
      </c>
      <c r="DGB3">
        <v>3</v>
      </c>
      <c r="DGC3">
        <v>3</v>
      </c>
      <c r="DGD3">
        <v>3</v>
      </c>
      <c r="DGE3">
        <v>3</v>
      </c>
      <c r="DGF3">
        <v>3</v>
      </c>
      <c r="DGG3">
        <v>3</v>
      </c>
      <c r="DGH3">
        <v>3</v>
      </c>
      <c r="DGI3">
        <v>3</v>
      </c>
      <c r="DGJ3">
        <v>3</v>
      </c>
      <c r="DGK3">
        <v>3</v>
      </c>
      <c r="DGL3">
        <v>3</v>
      </c>
      <c r="DGM3">
        <v>3</v>
      </c>
      <c r="DGN3">
        <v>3</v>
      </c>
      <c r="DGO3">
        <v>3</v>
      </c>
      <c r="DGP3">
        <v>3</v>
      </c>
      <c r="DGQ3">
        <v>3</v>
      </c>
      <c r="DGR3">
        <v>3</v>
      </c>
      <c r="DGS3">
        <v>3</v>
      </c>
      <c r="DGT3">
        <v>3</v>
      </c>
      <c r="DGU3">
        <v>3</v>
      </c>
      <c r="DGV3">
        <v>3</v>
      </c>
      <c r="DGW3">
        <v>3</v>
      </c>
      <c r="DGX3">
        <v>3</v>
      </c>
      <c r="DGY3">
        <v>3</v>
      </c>
      <c r="DGZ3">
        <v>3</v>
      </c>
      <c r="DHA3">
        <v>3</v>
      </c>
      <c r="DHB3">
        <v>3</v>
      </c>
      <c r="DHC3">
        <v>3</v>
      </c>
      <c r="DHD3">
        <v>3</v>
      </c>
      <c r="DHE3">
        <v>3</v>
      </c>
      <c r="DHF3">
        <v>3</v>
      </c>
      <c r="DHG3">
        <v>3</v>
      </c>
      <c r="DHH3">
        <v>3</v>
      </c>
      <c r="DHI3">
        <v>3</v>
      </c>
      <c r="DHJ3">
        <v>3</v>
      </c>
      <c r="DHK3">
        <v>3</v>
      </c>
      <c r="DHL3">
        <v>3</v>
      </c>
      <c r="DHM3">
        <v>3</v>
      </c>
      <c r="DHN3">
        <v>3</v>
      </c>
      <c r="DHO3">
        <v>3</v>
      </c>
      <c r="DHP3">
        <v>3</v>
      </c>
      <c r="DHQ3">
        <v>3</v>
      </c>
      <c r="DHR3">
        <v>3</v>
      </c>
      <c r="DHS3">
        <v>3</v>
      </c>
      <c r="DHT3">
        <v>3</v>
      </c>
      <c r="DHU3">
        <v>3</v>
      </c>
      <c r="DHV3">
        <v>3</v>
      </c>
      <c r="DHW3">
        <v>3</v>
      </c>
      <c r="DHX3">
        <v>3</v>
      </c>
      <c r="DHY3">
        <v>3</v>
      </c>
      <c r="DHZ3">
        <v>3</v>
      </c>
      <c r="DIA3">
        <v>3</v>
      </c>
      <c r="DIB3">
        <v>3</v>
      </c>
      <c r="DIC3">
        <v>3</v>
      </c>
      <c r="DID3">
        <v>3</v>
      </c>
      <c r="DIE3">
        <v>3</v>
      </c>
      <c r="DIF3">
        <v>3</v>
      </c>
      <c r="DIG3">
        <v>3</v>
      </c>
      <c r="DIH3">
        <v>3</v>
      </c>
      <c r="DII3">
        <v>3</v>
      </c>
      <c r="DIJ3">
        <v>3</v>
      </c>
      <c r="DIK3">
        <v>3</v>
      </c>
      <c r="DIL3">
        <v>3</v>
      </c>
      <c r="DIM3">
        <v>3</v>
      </c>
      <c r="DIN3">
        <v>3</v>
      </c>
      <c r="DIO3">
        <v>3</v>
      </c>
      <c r="DIP3">
        <v>3</v>
      </c>
      <c r="DIQ3">
        <v>3</v>
      </c>
      <c r="DIR3">
        <v>3</v>
      </c>
      <c r="DIS3">
        <v>3</v>
      </c>
      <c r="DIT3">
        <v>3</v>
      </c>
      <c r="DIU3">
        <v>3</v>
      </c>
      <c r="DIV3">
        <v>3</v>
      </c>
      <c r="DIW3">
        <v>3</v>
      </c>
      <c r="DIX3">
        <v>3</v>
      </c>
      <c r="DIY3">
        <v>3</v>
      </c>
      <c r="DIZ3">
        <v>3</v>
      </c>
      <c r="DJA3">
        <v>3</v>
      </c>
      <c r="DJB3">
        <v>3</v>
      </c>
      <c r="DJC3">
        <v>3</v>
      </c>
      <c r="DJD3">
        <v>3</v>
      </c>
      <c r="DJE3">
        <v>3</v>
      </c>
      <c r="DJF3">
        <v>3</v>
      </c>
      <c r="DJG3">
        <v>3</v>
      </c>
      <c r="DJH3">
        <v>3</v>
      </c>
      <c r="DJI3">
        <v>3</v>
      </c>
      <c r="DJJ3">
        <v>3</v>
      </c>
      <c r="DJK3">
        <v>3</v>
      </c>
      <c r="DJL3">
        <v>3</v>
      </c>
      <c r="DJM3">
        <v>3</v>
      </c>
      <c r="DJN3">
        <v>3</v>
      </c>
      <c r="DJO3">
        <v>3</v>
      </c>
      <c r="DJP3">
        <v>3</v>
      </c>
      <c r="DJQ3">
        <v>3</v>
      </c>
      <c r="DJR3">
        <v>3</v>
      </c>
      <c r="DJS3">
        <v>3</v>
      </c>
      <c r="DJT3">
        <v>3</v>
      </c>
      <c r="DJU3">
        <v>3</v>
      </c>
      <c r="DJV3">
        <v>3</v>
      </c>
      <c r="DJW3">
        <v>3</v>
      </c>
      <c r="DJX3">
        <v>3</v>
      </c>
      <c r="DJY3">
        <v>3</v>
      </c>
      <c r="DJZ3">
        <v>3</v>
      </c>
      <c r="DKA3">
        <v>3</v>
      </c>
      <c r="DKB3">
        <v>3</v>
      </c>
      <c r="DKC3">
        <v>3</v>
      </c>
      <c r="DKD3">
        <v>3</v>
      </c>
      <c r="DKE3">
        <v>3</v>
      </c>
      <c r="DKF3">
        <v>3</v>
      </c>
      <c r="DKG3">
        <v>3</v>
      </c>
      <c r="DKH3">
        <v>3</v>
      </c>
      <c r="DKI3">
        <v>3</v>
      </c>
      <c r="DKJ3">
        <v>3</v>
      </c>
      <c r="DKK3">
        <v>3</v>
      </c>
      <c r="DKL3">
        <v>3</v>
      </c>
      <c r="DKM3">
        <v>3</v>
      </c>
      <c r="DKN3">
        <v>3</v>
      </c>
      <c r="DKO3">
        <v>3</v>
      </c>
      <c r="DKP3">
        <v>3</v>
      </c>
      <c r="DKQ3">
        <v>3</v>
      </c>
      <c r="DKR3">
        <v>3</v>
      </c>
      <c r="DKS3">
        <v>3</v>
      </c>
      <c r="DKT3">
        <v>3</v>
      </c>
      <c r="DKU3">
        <v>3</v>
      </c>
      <c r="DKV3">
        <v>3</v>
      </c>
      <c r="DKW3">
        <v>3</v>
      </c>
      <c r="DKX3">
        <v>3</v>
      </c>
      <c r="DKY3">
        <v>3</v>
      </c>
      <c r="DKZ3">
        <v>3</v>
      </c>
      <c r="DLA3">
        <v>3</v>
      </c>
      <c r="DLB3">
        <v>3</v>
      </c>
      <c r="DLC3">
        <v>3</v>
      </c>
      <c r="DLD3">
        <v>3</v>
      </c>
      <c r="DLE3">
        <v>3</v>
      </c>
      <c r="DLF3">
        <v>3</v>
      </c>
      <c r="DLG3">
        <v>3</v>
      </c>
      <c r="DLH3">
        <v>3</v>
      </c>
      <c r="DLI3">
        <v>3</v>
      </c>
      <c r="DLJ3">
        <v>3</v>
      </c>
      <c r="DLK3">
        <v>3</v>
      </c>
      <c r="DLL3">
        <v>3</v>
      </c>
      <c r="DLM3">
        <v>3</v>
      </c>
      <c r="DLN3">
        <v>3</v>
      </c>
      <c r="DLO3">
        <v>3</v>
      </c>
      <c r="DLP3">
        <v>3</v>
      </c>
      <c r="DLQ3">
        <v>3</v>
      </c>
      <c r="DLR3">
        <v>3</v>
      </c>
      <c r="DLS3">
        <v>3</v>
      </c>
      <c r="DLT3">
        <v>3</v>
      </c>
      <c r="DLU3">
        <v>3</v>
      </c>
      <c r="DLV3">
        <v>3</v>
      </c>
      <c r="DLW3">
        <v>3</v>
      </c>
      <c r="DLX3">
        <v>3</v>
      </c>
      <c r="DLY3">
        <v>3</v>
      </c>
      <c r="DLZ3">
        <v>3</v>
      </c>
      <c r="DMA3">
        <v>3</v>
      </c>
      <c r="DMB3">
        <v>3</v>
      </c>
      <c r="DMC3">
        <v>3</v>
      </c>
      <c r="DMD3">
        <v>3</v>
      </c>
      <c r="DME3">
        <v>3</v>
      </c>
      <c r="DMF3">
        <v>3</v>
      </c>
      <c r="DMG3">
        <v>3</v>
      </c>
      <c r="DMH3">
        <v>3</v>
      </c>
      <c r="DMI3">
        <v>3</v>
      </c>
      <c r="DMJ3">
        <v>3</v>
      </c>
      <c r="DMK3">
        <v>3</v>
      </c>
      <c r="DML3">
        <v>3</v>
      </c>
      <c r="DMM3">
        <v>3</v>
      </c>
      <c r="DMN3">
        <v>3</v>
      </c>
      <c r="DMO3">
        <v>3</v>
      </c>
      <c r="DMP3">
        <v>3</v>
      </c>
      <c r="DMQ3">
        <v>3</v>
      </c>
      <c r="DMR3">
        <v>3</v>
      </c>
      <c r="DMS3">
        <v>3</v>
      </c>
      <c r="DMT3">
        <v>3</v>
      </c>
      <c r="DMU3">
        <v>3</v>
      </c>
      <c r="DMV3">
        <v>3</v>
      </c>
      <c r="DMW3">
        <v>3</v>
      </c>
      <c r="EGZ3">
        <v>4</v>
      </c>
      <c r="EHA3">
        <v>4</v>
      </c>
      <c r="EHB3">
        <v>4</v>
      </c>
      <c r="EHC3">
        <v>4</v>
      </c>
      <c r="EHD3">
        <v>4</v>
      </c>
      <c r="EHE3">
        <v>4</v>
      </c>
      <c r="EHF3">
        <v>4</v>
      </c>
      <c r="EHG3">
        <v>4</v>
      </c>
      <c r="EHH3">
        <v>4</v>
      </c>
      <c r="EHI3">
        <v>4</v>
      </c>
      <c r="EHJ3">
        <v>4</v>
      </c>
      <c r="EHK3">
        <v>4</v>
      </c>
      <c r="EHL3">
        <v>4</v>
      </c>
      <c r="EHM3">
        <v>4</v>
      </c>
      <c r="EHN3">
        <v>4</v>
      </c>
      <c r="EHO3">
        <v>4</v>
      </c>
      <c r="EHP3">
        <v>4</v>
      </c>
      <c r="EHQ3">
        <v>4</v>
      </c>
      <c r="EHR3">
        <v>4</v>
      </c>
      <c r="EHS3">
        <v>4</v>
      </c>
      <c r="EHT3">
        <v>4</v>
      </c>
      <c r="EHU3">
        <v>4</v>
      </c>
      <c r="EHV3">
        <v>4</v>
      </c>
      <c r="EHW3">
        <v>4</v>
      </c>
      <c r="EHX3">
        <v>4</v>
      </c>
      <c r="EHY3">
        <v>4</v>
      </c>
      <c r="EHZ3">
        <v>4</v>
      </c>
      <c r="EIA3">
        <v>4</v>
      </c>
      <c r="EIB3">
        <v>4</v>
      </c>
      <c r="EIC3">
        <v>4</v>
      </c>
      <c r="EID3">
        <v>4</v>
      </c>
      <c r="EIE3">
        <v>4</v>
      </c>
      <c r="EIF3">
        <v>4</v>
      </c>
      <c r="EIG3">
        <v>4</v>
      </c>
      <c r="EIH3">
        <v>4</v>
      </c>
      <c r="EII3">
        <v>4</v>
      </c>
      <c r="EIJ3">
        <v>4</v>
      </c>
      <c r="EIK3">
        <v>4</v>
      </c>
      <c r="EIL3">
        <v>4</v>
      </c>
      <c r="EIM3">
        <v>4</v>
      </c>
      <c r="EIN3">
        <v>4</v>
      </c>
      <c r="EIO3">
        <v>4</v>
      </c>
      <c r="EIP3">
        <v>4</v>
      </c>
      <c r="EIQ3">
        <v>4</v>
      </c>
      <c r="EIR3">
        <v>4</v>
      </c>
      <c r="EIS3">
        <v>4</v>
      </c>
      <c r="EIT3">
        <v>4</v>
      </c>
      <c r="EIU3">
        <v>4</v>
      </c>
      <c r="EIV3">
        <v>4</v>
      </c>
      <c r="EIW3">
        <v>4</v>
      </c>
      <c r="EIX3">
        <v>4</v>
      </c>
      <c r="EIY3">
        <v>4</v>
      </c>
      <c r="EIZ3">
        <v>4</v>
      </c>
      <c r="EJA3">
        <v>4</v>
      </c>
      <c r="EJB3">
        <v>4</v>
      </c>
      <c r="EJC3">
        <v>4</v>
      </c>
      <c r="EJD3">
        <v>4</v>
      </c>
      <c r="EJE3">
        <v>4</v>
      </c>
      <c r="EJF3">
        <v>4</v>
      </c>
      <c r="EJG3">
        <v>4</v>
      </c>
      <c r="EJH3">
        <v>4</v>
      </c>
      <c r="EJI3">
        <v>4</v>
      </c>
      <c r="EJJ3">
        <v>4</v>
      </c>
      <c r="EJK3">
        <v>4</v>
      </c>
      <c r="EJL3">
        <v>4</v>
      </c>
      <c r="EJM3">
        <v>4</v>
      </c>
      <c r="EJN3">
        <v>4</v>
      </c>
      <c r="EJO3">
        <v>4</v>
      </c>
      <c r="EJP3">
        <v>4</v>
      </c>
      <c r="EJQ3">
        <v>4</v>
      </c>
      <c r="EJR3">
        <v>4</v>
      </c>
      <c r="EJS3">
        <v>4</v>
      </c>
      <c r="EJT3">
        <v>4</v>
      </c>
      <c r="EJU3">
        <v>4</v>
      </c>
      <c r="EJV3">
        <v>4</v>
      </c>
      <c r="EJW3">
        <v>4</v>
      </c>
      <c r="EJX3">
        <v>4</v>
      </c>
      <c r="EJY3">
        <v>4</v>
      </c>
      <c r="EJZ3">
        <v>4</v>
      </c>
      <c r="EKA3">
        <v>4</v>
      </c>
      <c r="EKB3">
        <v>4</v>
      </c>
      <c r="EKC3">
        <v>4</v>
      </c>
      <c r="EKD3">
        <v>4</v>
      </c>
      <c r="EKE3">
        <v>4</v>
      </c>
      <c r="EKF3">
        <v>4</v>
      </c>
      <c r="EKG3">
        <v>4</v>
      </c>
      <c r="EKH3">
        <v>4</v>
      </c>
      <c r="EKI3">
        <v>4</v>
      </c>
      <c r="EKJ3">
        <v>4</v>
      </c>
      <c r="EKK3">
        <v>4</v>
      </c>
      <c r="EKL3">
        <v>4</v>
      </c>
      <c r="EKM3">
        <v>4</v>
      </c>
      <c r="EKN3">
        <v>4</v>
      </c>
      <c r="EKO3">
        <v>4</v>
      </c>
      <c r="EKP3">
        <v>4</v>
      </c>
      <c r="EKQ3">
        <v>4</v>
      </c>
      <c r="EKR3">
        <v>4</v>
      </c>
      <c r="EKS3">
        <v>4</v>
      </c>
      <c r="EKT3">
        <v>4</v>
      </c>
      <c r="EKU3">
        <v>4</v>
      </c>
      <c r="EKV3">
        <v>4</v>
      </c>
      <c r="EKW3">
        <v>4</v>
      </c>
      <c r="EKX3">
        <v>4</v>
      </c>
      <c r="EKY3">
        <v>4</v>
      </c>
      <c r="EKZ3">
        <v>4</v>
      </c>
      <c r="ELA3">
        <v>4</v>
      </c>
      <c r="ELB3">
        <v>4</v>
      </c>
      <c r="ELC3">
        <v>4</v>
      </c>
      <c r="ELD3">
        <v>4</v>
      </c>
      <c r="ELE3">
        <v>4</v>
      </c>
      <c r="ELF3">
        <v>4</v>
      </c>
      <c r="ELG3">
        <v>4</v>
      </c>
      <c r="ELH3">
        <v>4</v>
      </c>
      <c r="ELI3">
        <v>4</v>
      </c>
      <c r="ELJ3">
        <v>4</v>
      </c>
      <c r="ELK3">
        <v>4</v>
      </c>
      <c r="ELL3">
        <v>4</v>
      </c>
      <c r="ELM3">
        <v>4</v>
      </c>
      <c r="ELN3">
        <v>4</v>
      </c>
      <c r="ELO3">
        <v>4</v>
      </c>
      <c r="ELP3">
        <v>4</v>
      </c>
      <c r="ELQ3">
        <v>4</v>
      </c>
      <c r="ELR3">
        <v>4</v>
      </c>
      <c r="ELS3">
        <v>4</v>
      </c>
      <c r="ELT3">
        <v>4</v>
      </c>
      <c r="ELU3">
        <v>4</v>
      </c>
      <c r="ELV3">
        <v>4</v>
      </c>
      <c r="ELW3">
        <v>4</v>
      </c>
      <c r="ELX3">
        <v>4</v>
      </c>
      <c r="ELY3">
        <v>4</v>
      </c>
      <c r="ELZ3">
        <v>4</v>
      </c>
      <c r="EMA3">
        <v>4</v>
      </c>
      <c r="EMB3">
        <v>4</v>
      </c>
      <c r="EMC3">
        <v>4</v>
      </c>
      <c r="EMD3">
        <v>4</v>
      </c>
      <c r="EME3">
        <v>4</v>
      </c>
      <c r="EMF3">
        <v>4</v>
      </c>
      <c r="EMG3">
        <v>4</v>
      </c>
      <c r="EMH3">
        <v>4</v>
      </c>
      <c r="EMI3">
        <v>4</v>
      </c>
      <c r="EMJ3">
        <v>4</v>
      </c>
      <c r="EMK3">
        <v>4</v>
      </c>
      <c r="EML3">
        <v>4</v>
      </c>
      <c r="EMM3">
        <v>4</v>
      </c>
      <c r="EMN3">
        <v>4</v>
      </c>
      <c r="EMO3">
        <v>4</v>
      </c>
      <c r="EMP3">
        <v>4</v>
      </c>
      <c r="EMQ3">
        <v>4</v>
      </c>
      <c r="EMR3">
        <v>4</v>
      </c>
      <c r="EMS3">
        <v>4</v>
      </c>
      <c r="EMT3">
        <v>4</v>
      </c>
      <c r="EMU3">
        <v>4</v>
      </c>
      <c r="EMV3">
        <v>4</v>
      </c>
      <c r="EMW3">
        <v>4</v>
      </c>
      <c r="EMX3">
        <v>4</v>
      </c>
      <c r="EMY3">
        <v>4</v>
      </c>
      <c r="EMZ3">
        <v>4</v>
      </c>
      <c r="ENA3">
        <v>4</v>
      </c>
      <c r="ENB3">
        <v>4</v>
      </c>
      <c r="ENC3">
        <v>4</v>
      </c>
      <c r="END3">
        <v>4</v>
      </c>
      <c r="ENE3">
        <v>4</v>
      </c>
      <c r="ENF3">
        <v>4</v>
      </c>
      <c r="ENG3">
        <v>4</v>
      </c>
      <c r="ENH3">
        <v>4</v>
      </c>
      <c r="ENI3">
        <v>4</v>
      </c>
      <c r="ENJ3">
        <v>4</v>
      </c>
      <c r="ENK3">
        <v>4</v>
      </c>
      <c r="ENL3">
        <v>4</v>
      </c>
      <c r="ENM3">
        <v>4</v>
      </c>
      <c r="ENN3">
        <v>4</v>
      </c>
      <c r="ENO3">
        <v>4</v>
      </c>
      <c r="ENP3">
        <v>4</v>
      </c>
      <c r="ENQ3">
        <v>4</v>
      </c>
      <c r="ENR3">
        <v>4</v>
      </c>
      <c r="ENS3">
        <v>4</v>
      </c>
      <c r="ENT3">
        <v>4</v>
      </c>
      <c r="ENU3">
        <v>4</v>
      </c>
      <c r="ENV3">
        <v>4</v>
      </c>
      <c r="ENW3">
        <v>4</v>
      </c>
      <c r="ENX3">
        <v>4</v>
      </c>
      <c r="ENY3">
        <v>4</v>
      </c>
      <c r="ENZ3">
        <v>4</v>
      </c>
      <c r="EOA3">
        <v>4</v>
      </c>
      <c r="EOB3">
        <v>4</v>
      </c>
      <c r="EOC3">
        <v>4</v>
      </c>
      <c r="EOD3">
        <v>4</v>
      </c>
      <c r="EOE3">
        <v>4</v>
      </c>
      <c r="EOF3">
        <v>4</v>
      </c>
      <c r="EOG3">
        <v>4</v>
      </c>
      <c r="EOH3">
        <v>4</v>
      </c>
      <c r="EOI3">
        <v>4</v>
      </c>
      <c r="EOJ3">
        <v>4</v>
      </c>
      <c r="EOK3">
        <v>4</v>
      </c>
      <c r="EOL3">
        <v>4</v>
      </c>
      <c r="EOM3">
        <v>4</v>
      </c>
      <c r="EON3">
        <v>4</v>
      </c>
      <c r="EOO3">
        <v>4</v>
      </c>
      <c r="EOP3">
        <v>4</v>
      </c>
      <c r="EOQ3">
        <v>4</v>
      </c>
      <c r="EOR3">
        <v>4</v>
      </c>
      <c r="EOS3">
        <v>4</v>
      </c>
      <c r="EOT3">
        <v>4</v>
      </c>
      <c r="EOU3">
        <v>4</v>
      </c>
      <c r="EOV3">
        <v>4</v>
      </c>
      <c r="EOW3">
        <v>4</v>
      </c>
      <c r="EOX3">
        <v>4</v>
      </c>
      <c r="EOY3">
        <v>4</v>
      </c>
      <c r="EOZ3">
        <v>4</v>
      </c>
      <c r="EPA3">
        <v>4</v>
      </c>
      <c r="EPB3">
        <v>4</v>
      </c>
      <c r="EPC3">
        <v>4</v>
      </c>
      <c r="EPD3">
        <v>4</v>
      </c>
      <c r="EPE3">
        <v>4</v>
      </c>
      <c r="EPF3">
        <v>4</v>
      </c>
      <c r="EPG3">
        <v>4</v>
      </c>
      <c r="EPH3">
        <v>4</v>
      </c>
      <c r="EPI3">
        <v>4</v>
      </c>
      <c r="EPJ3">
        <v>4</v>
      </c>
      <c r="EPK3">
        <v>4</v>
      </c>
      <c r="EPL3">
        <v>4</v>
      </c>
      <c r="EPM3">
        <v>4</v>
      </c>
      <c r="EPN3">
        <v>4</v>
      </c>
      <c r="EPO3">
        <v>4</v>
      </c>
      <c r="EPP3">
        <v>4</v>
      </c>
      <c r="EPQ3">
        <v>4</v>
      </c>
      <c r="EPR3">
        <v>4</v>
      </c>
      <c r="EPS3">
        <v>4</v>
      </c>
      <c r="EPT3">
        <v>4</v>
      </c>
      <c r="EPU3">
        <v>4</v>
      </c>
      <c r="EPV3">
        <v>4</v>
      </c>
      <c r="EPW3">
        <v>4</v>
      </c>
      <c r="EPX3">
        <v>4</v>
      </c>
      <c r="EPY3">
        <v>4</v>
      </c>
      <c r="EPZ3">
        <v>4</v>
      </c>
      <c r="EQA3">
        <v>4</v>
      </c>
      <c r="EQB3">
        <v>4</v>
      </c>
      <c r="EQC3">
        <v>4</v>
      </c>
      <c r="EQD3">
        <v>4</v>
      </c>
      <c r="EQE3">
        <v>4</v>
      </c>
      <c r="EQF3">
        <v>4</v>
      </c>
      <c r="EQG3">
        <v>4</v>
      </c>
      <c r="EQH3">
        <v>4</v>
      </c>
      <c r="EQI3">
        <v>4</v>
      </c>
      <c r="EQJ3">
        <v>4</v>
      </c>
      <c r="EQK3">
        <v>4</v>
      </c>
      <c r="EQL3">
        <v>4</v>
      </c>
      <c r="EQM3">
        <v>4</v>
      </c>
      <c r="EQN3">
        <v>4</v>
      </c>
      <c r="EQO3">
        <v>4</v>
      </c>
      <c r="EQP3">
        <v>4</v>
      </c>
      <c r="FYZ3">
        <v>5</v>
      </c>
      <c r="FZA3">
        <v>5</v>
      </c>
      <c r="FZB3">
        <v>5</v>
      </c>
      <c r="FZC3">
        <v>5</v>
      </c>
      <c r="FZD3">
        <v>5</v>
      </c>
      <c r="FZE3">
        <v>5</v>
      </c>
      <c r="FZF3">
        <v>5</v>
      </c>
      <c r="FZG3">
        <v>5</v>
      </c>
      <c r="FZH3">
        <v>5</v>
      </c>
      <c r="FZI3">
        <v>5</v>
      </c>
      <c r="FZJ3">
        <v>5</v>
      </c>
      <c r="FZK3">
        <v>5</v>
      </c>
      <c r="FZL3">
        <v>5</v>
      </c>
      <c r="FZM3">
        <v>5</v>
      </c>
      <c r="FZN3">
        <v>5</v>
      </c>
      <c r="FZO3">
        <v>5</v>
      </c>
      <c r="FZP3">
        <v>5</v>
      </c>
      <c r="FZQ3">
        <v>5</v>
      </c>
      <c r="FZR3">
        <v>5</v>
      </c>
      <c r="FZS3">
        <v>5</v>
      </c>
      <c r="FZT3">
        <v>5</v>
      </c>
      <c r="FZU3">
        <v>5</v>
      </c>
      <c r="FZV3">
        <v>5</v>
      </c>
      <c r="FZW3">
        <v>5</v>
      </c>
      <c r="FZX3">
        <v>5</v>
      </c>
      <c r="FZY3">
        <v>5</v>
      </c>
      <c r="FZZ3">
        <v>5</v>
      </c>
      <c r="GAA3">
        <v>5</v>
      </c>
      <c r="GAB3">
        <v>5</v>
      </c>
      <c r="GAC3">
        <v>5</v>
      </c>
      <c r="GAD3">
        <v>5</v>
      </c>
      <c r="GAE3">
        <v>5</v>
      </c>
      <c r="GAF3">
        <v>5</v>
      </c>
      <c r="GAG3">
        <v>5</v>
      </c>
      <c r="GAH3">
        <v>5</v>
      </c>
      <c r="GAI3">
        <v>5</v>
      </c>
      <c r="GAJ3">
        <v>5</v>
      </c>
      <c r="GAK3">
        <v>5</v>
      </c>
      <c r="GAL3">
        <v>5</v>
      </c>
      <c r="GAM3">
        <v>5</v>
      </c>
      <c r="GAN3">
        <v>5</v>
      </c>
      <c r="GAO3">
        <v>5</v>
      </c>
      <c r="GAP3">
        <v>5</v>
      </c>
      <c r="GAQ3">
        <v>5</v>
      </c>
      <c r="GAR3">
        <v>5</v>
      </c>
      <c r="GAS3">
        <v>5</v>
      </c>
      <c r="GAT3">
        <v>5</v>
      </c>
      <c r="GAU3">
        <v>5</v>
      </c>
      <c r="GAV3">
        <v>5</v>
      </c>
      <c r="GAW3">
        <v>5</v>
      </c>
      <c r="GAX3">
        <v>5</v>
      </c>
      <c r="GAY3">
        <v>5</v>
      </c>
      <c r="GAZ3">
        <v>5</v>
      </c>
      <c r="GBA3">
        <v>5</v>
      </c>
      <c r="GBB3">
        <v>5</v>
      </c>
      <c r="GBC3">
        <v>5</v>
      </c>
      <c r="GBD3">
        <v>5</v>
      </c>
      <c r="GBE3">
        <v>5</v>
      </c>
      <c r="GBF3">
        <v>5</v>
      </c>
      <c r="GBG3">
        <v>5</v>
      </c>
      <c r="GBH3">
        <v>5</v>
      </c>
      <c r="GBI3">
        <v>5</v>
      </c>
      <c r="GBJ3">
        <v>5</v>
      </c>
      <c r="GBK3">
        <v>5</v>
      </c>
      <c r="GBL3">
        <v>5</v>
      </c>
      <c r="GBM3">
        <v>5</v>
      </c>
      <c r="GBN3">
        <v>5</v>
      </c>
      <c r="GBO3">
        <v>5</v>
      </c>
      <c r="GBP3">
        <v>5</v>
      </c>
      <c r="GBQ3">
        <v>5</v>
      </c>
      <c r="GBR3">
        <v>5</v>
      </c>
      <c r="GBS3">
        <v>5</v>
      </c>
      <c r="GBT3">
        <v>5</v>
      </c>
      <c r="GBU3">
        <v>5</v>
      </c>
      <c r="GBV3">
        <v>5</v>
      </c>
      <c r="GBW3">
        <v>5</v>
      </c>
      <c r="GBX3">
        <v>5</v>
      </c>
      <c r="GBY3">
        <v>5</v>
      </c>
      <c r="GBZ3">
        <v>5</v>
      </c>
      <c r="GCA3">
        <v>5</v>
      </c>
      <c r="GCB3">
        <v>5</v>
      </c>
      <c r="GCC3">
        <v>5</v>
      </c>
      <c r="GCD3">
        <v>5</v>
      </c>
      <c r="GCE3">
        <v>5</v>
      </c>
      <c r="GCF3">
        <v>5</v>
      </c>
      <c r="GCG3">
        <v>5</v>
      </c>
      <c r="GCH3">
        <v>5</v>
      </c>
      <c r="GCI3">
        <v>5</v>
      </c>
      <c r="GCJ3">
        <v>5</v>
      </c>
      <c r="GCK3">
        <v>5</v>
      </c>
      <c r="GCL3">
        <v>5</v>
      </c>
      <c r="GCM3">
        <v>5</v>
      </c>
      <c r="GCN3">
        <v>5</v>
      </c>
      <c r="GCO3">
        <v>5</v>
      </c>
      <c r="GCP3">
        <v>5</v>
      </c>
      <c r="GCQ3">
        <v>5</v>
      </c>
      <c r="GCR3">
        <v>5</v>
      </c>
      <c r="GCS3">
        <v>5</v>
      </c>
      <c r="GCT3">
        <v>5</v>
      </c>
      <c r="GCU3">
        <v>5</v>
      </c>
      <c r="GCV3">
        <v>5</v>
      </c>
      <c r="GCW3">
        <v>5</v>
      </c>
      <c r="GCX3">
        <v>5</v>
      </c>
      <c r="GCY3">
        <v>5</v>
      </c>
      <c r="GCZ3">
        <v>5</v>
      </c>
      <c r="GDA3">
        <v>5</v>
      </c>
      <c r="GDB3">
        <v>5</v>
      </c>
      <c r="GDC3">
        <v>5</v>
      </c>
      <c r="GDD3">
        <v>5</v>
      </c>
      <c r="GDE3">
        <v>5</v>
      </c>
      <c r="GDF3">
        <v>5</v>
      </c>
      <c r="GDG3">
        <v>5</v>
      </c>
      <c r="GDH3">
        <v>5</v>
      </c>
      <c r="GDI3">
        <v>5</v>
      </c>
      <c r="GDJ3">
        <v>5</v>
      </c>
      <c r="GDK3">
        <v>5</v>
      </c>
      <c r="GDL3">
        <v>5</v>
      </c>
      <c r="GDM3">
        <v>5</v>
      </c>
      <c r="GDN3">
        <v>5</v>
      </c>
      <c r="GDO3">
        <v>5</v>
      </c>
      <c r="GDP3">
        <v>5</v>
      </c>
      <c r="GDQ3">
        <v>5</v>
      </c>
      <c r="GDR3">
        <v>5</v>
      </c>
      <c r="GDS3">
        <v>5</v>
      </c>
      <c r="GDT3">
        <v>5</v>
      </c>
      <c r="GDU3">
        <v>5</v>
      </c>
      <c r="GDV3">
        <v>5</v>
      </c>
      <c r="GDW3">
        <v>5</v>
      </c>
      <c r="GDX3">
        <v>5</v>
      </c>
      <c r="GDY3">
        <v>5</v>
      </c>
      <c r="GDZ3">
        <v>5</v>
      </c>
      <c r="GEA3">
        <v>5</v>
      </c>
      <c r="GEB3">
        <v>5</v>
      </c>
      <c r="GEC3">
        <v>5</v>
      </c>
      <c r="GED3">
        <v>5</v>
      </c>
      <c r="GEE3">
        <v>5</v>
      </c>
      <c r="GEF3">
        <v>5</v>
      </c>
      <c r="GEG3">
        <v>5</v>
      </c>
      <c r="GEH3">
        <v>5</v>
      </c>
      <c r="GEI3">
        <v>5</v>
      </c>
      <c r="GEJ3">
        <v>5</v>
      </c>
      <c r="GEK3">
        <v>5</v>
      </c>
      <c r="GEL3">
        <v>5</v>
      </c>
      <c r="GEM3">
        <v>5</v>
      </c>
      <c r="GEN3">
        <v>5</v>
      </c>
      <c r="GEO3">
        <v>5</v>
      </c>
      <c r="GEP3">
        <v>5</v>
      </c>
      <c r="GEQ3">
        <v>5</v>
      </c>
      <c r="GER3">
        <v>5</v>
      </c>
      <c r="GES3">
        <v>5</v>
      </c>
      <c r="GET3">
        <v>5</v>
      </c>
      <c r="GEU3">
        <v>5</v>
      </c>
      <c r="GEV3">
        <v>5</v>
      </c>
      <c r="GEW3">
        <v>5</v>
      </c>
      <c r="GEX3">
        <v>5</v>
      </c>
      <c r="GEY3">
        <v>5</v>
      </c>
      <c r="GEZ3">
        <v>5</v>
      </c>
      <c r="GFA3">
        <v>5</v>
      </c>
      <c r="GFB3">
        <v>5</v>
      </c>
      <c r="GFC3">
        <v>5</v>
      </c>
      <c r="GFD3">
        <v>5</v>
      </c>
      <c r="GFE3">
        <v>5</v>
      </c>
      <c r="GFF3">
        <v>5</v>
      </c>
      <c r="GFG3">
        <v>5</v>
      </c>
      <c r="GFH3">
        <v>5</v>
      </c>
      <c r="GFI3">
        <v>5</v>
      </c>
      <c r="GFJ3">
        <v>5</v>
      </c>
      <c r="GFK3">
        <v>5</v>
      </c>
      <c r="GFL3">
        <v>5</v>
      </c>
      <c r="GFM3">
        <v>5</v>
      </c>
      <c r="GFN3">
        <v>5</v>
      </c>
      <c r="GFO3">
        <v>5</v>
      </c>
      <c r="GFP3">
        <v>5</v>
      </c>
      <c r="GFQ3">
        <v>5</v>
      </c>
      <c r="GFR3">
        <v>5</v>
      </c>
      <c r="GFS3">
        <v>5</v>
      </c>
      <c r="GFT3">
        <v>5</v>
      </c>
      <c r="GFU3">
        <v>5</v>
      </c>
      <c r="GFV3">
        <v>5</v>
      </c>
      <c r="GFW3">
        <v>5</v>
      </c>
      <c r="GFX3">
        <v>5</v>
      </c>
      <c r="GFY3">
        <v>5</v>
      </c>
      <c r="GFZ3">
        <v>5</v>
      </c>
      <c r="GGA3">
        <v>5</v>
      </c>
      <c r="GGB3">
        <v>5</v>
      </c>
      <c r="GGC3">
        <v>5</v>
      </c>
      <c r="GGD3">
        <v>5</v>
      </c>
      <c r="GGE3">
        <v>5</v>
      </c>
      <c r="GGF3">
        <v>5</v>
      </c>
      <c r="GGG3">
        <v>5</v>
      </c>
      <c r="GGH3">
        <v>5</v>
      </c>
      <c r="GGI3">
        <v>5</v>
      </c>
      <c r="GGJ3">
        <v>5</v>
      </c>
      <c r="GGK3">
        <v>5</v>
      </c>
      <c r="GGL3">
        <v>5</v>
      </c>
      <c r="GGM3">
        <v>5</v>
      </c>
      <c r="GGN3">
        <v>5</v>
      </c>
      <c r="GGO3">
        <v>5</v>
      </c>
      <c r="GGP3">
        <v>5</v>
      </c>
      <c r="GGQ3">
        <v>5</v>
      </c>
      <c r="GGR3">
        <v>5</v>
      </c>
      <c r="GGS3">
        <v>5</v>
      </c>
      <c r="GGT3">
        <v>5</v>
      </c>
      <c r="GGU3">
        <v>5</v>
      </c>
      <c r="GGV3">
        <v>5</v>
      </c>
      <c r="GGW3">
        <v>5</v>
      </c>
      <c r="GGX3">
        <v>5</v>
      </c>
      <c r="GGY3">
        <v>5</v>
      </c>
      <c r="GGZ3">
        <v>5</v>
      </c>
      <c r="GHA3">
        <v>5</v>
      </c>
      <c r="GHB3">
        <v>5</v>
      </c>
      <c r="GHC3">
        <v>5</v>
      </c>
      <c r="GHD3">
        <v>5</v>
      </c>
      <c r="GHE3">
        <v>5</v>
      </c>
      <c r="GHF3">
        <v>5</v>
      </c>
      <c r="GHG3">
        <v>5</v>
      </c>
      <c r="GHH3">
        <v>5</v>
      </c>
      <c r="GHI3">
        <v>5</v>
      </c>
      <c r="GHJ3">
        <v>5</v>
      </c>
      <c r="GHK3">
        <v>5</v>
      </c>
      <c r="GHL3">
        <v>5</v>
      </c>
      <c r="GHM3">
        <v>5</v>
      </c>
      <c r="GHN3">
        <v>5</v>
      </c>
      <c r="GHO3">
        <v>5</v>
      </c>
      <c r="GHP3">
        <v>5</v>
      </c>
      <c r="GHQ3">
        <v>5</v>
      </c>
      <c r="GHR3">
        <v>5</v>
      </c>
      <c r="GHS3">
        <v>5</v>
      </c>
      <c r="GHT3">
        <v>5</v>
      </c>
      <c r="GHU3">
        <v>5</v>
      </c>
      <c r="GHV3">
        <v>5</v>
      </c>
      <c r="GHW3">
        <v>5</v>
      </c>
      <c r="GHX3">
        <v>5</v>
      </c>
      <c r="GHY3">
        <v>5</v>
      </c>
      <c r="GHZ3">
        <v>5</v>
      </c>
      <c r="GIA3">
        <v>5</v>
      </c>
      <c r="GIB3">
        <v>5</v>
      </c>
      <c r="GIC3">
        <v>5</v>
      </c>
      <c r="GID3">
        <v>5</v>
      </c>
      <c r="GIE3">
        <v>5</v>
      </c>
      <c r="GIF3">
        <v>5</v>
      </c>
      <c r="GIG3">
        <v>5</v>
      </c>
      <c r="GIH3">
        <v>5</v>
      </c>
      <c r="GII3">
        <v>5</v>
      </c>
      <c r="GIJ3">
        <v>5</v>
      </c>
      <c r="GIK3">
        <v>5</v>
      </c>
      <c r="GIL3">
        <v>5</v>
      </c>
      <c r="GIM3">
        <v>5</v>
      </c>
      <c r="GIN3">
        <v>5</v>
      </c>
      <c r="GIO3">
        <v>5</v>
      </c>
      <c r="GIP3">
        <v>5</v>
      </c>
      <c r="GIQ3">
        <v>5</v>
      </c>
      <c r="GIR3">
        <v>5</v>
      </c>
      <c r="GIS3">
        <v>5</v>
      </c>
      <c r="GIT3">
        <v>5</v>
      </c>
      <c r="GIU3">
        <v>5</v>
      </c>
      <c r="GIV3">
        <v>5</v>
      </c>
      <c r="GIW3">
        <v>5</v>
      </c>
      <c r="GIX3">
        <v>5</v>
      </c>
      <c r="GIY3">
        <v>5</v>
      </c>
      <c r="GIZ3">
        <v>5</v>
      </c>
      <c r="GJA3">
        <v>5</v>
      </c>
      <c r="GJB3">
        <v>5</v>
      </c>
      <c r="GJC3">
        <v>5</v>
      </c>
      <c r="GJD3">
        <v>5</v>
      </c>
      <c r="GJE3">
        <v>5</v>
      </c>
      <c r="GJF3">
        <v>5</v>
      </c>
      <c r="GJG3">
        <v>5</v>
      </c>
      <c r="GJH3">
        <v>5</v>
      </c>
      <c r="GJI3">
        <v>5</v>
      </c>
      <c r="GJJ3">
        <v>5</v>
      </c>
      <c r="GJK3">
        <v>5</v>
      </c>
      <c r="GJL3">
        <v>5</v>
      </c>
      <c r="HUN3">
        <v>6</v>
      </c>
      <c r="HUO3">
        <v>6</v>
      </c>
      <c r="HUP3">
        <v>6</v>
      </c>
      <c r="HUQ3">
        <v>6</v>
      </c>
      <c r="HUR3">
        <v>6</v>
      </c>
      <c r="HUS3">
        <v>6</v>
      </c>
      <c r="HUT3">
        <v>6</v>
      </c>
      <c r="HUU3">
        <v>6</v>
      </c>
      <c r="HUV3">
        <v>6</v>
      </c>
      <c r="HUW3">
        <v>6</v>
      </c>
      <c r="HUX3">
        <v>6</v>
      </c>
      <c r="HUY3">
        <v>6</v>
      </c>
      <c r="HUZ3">
        <v>6</v>
      </c>
      <c r="HVA3">
        <v>6</v>
      </c>
      <c r="HVB3">
        <v>6</v>
      </c>
      <c r="HVC3">
        <v>6</v>
      </c>
      <c r="HVD3">
        <v>6</v>
      </c>
      <c r="HVE3">
        <v>6</v>
      </c>
      <c r="HVF3">
        <v>6</v>
      </c>
      <c r="HVG3">
        <v>6</v>
      </c>
      <c r="HVH3">
        <v>6</v>
      </c>
      <c r="HVI3">
        <v>6</v>
      </c>
      <c r="HVJ3">
        <v>6</v>
      </c>
      <c r="HVK3">
        <v>6</v>
      </c>
      <c r="HVL3">
        <v>6</v>
      </c>
      <c r="HVM3">
        <v>6</v>
      </c>
      <c r="HVN3">
        <v>6</v>
      </c>
      <c r="HVO3">
        <v>6</v>
      </c>
      <c r="HVP3">
        <v>6</v>
      </c>
      <c r="HVQ3">
        <v>6</v>
      </c>
      <c r="HVR3">
        <v>6</v>
      </c>
      <c r="HVS3">
        <v>6</v>
      </c>
      <c r="HVT3">
        <v>6</v>
      </c>
      <c r="HVU3">
        <v>6</v>
      </c>
      <c r="HVV3">
        <v>6</v>
      </c>
      <c r="HVW3">
        <v>6</v>
      </c>
      <c r="HVX3">
        <v>6</v>
      </c>
      <c r="HVY3">
        <v>6</v>
      </c>
      <c r="HVZ3">
        <v>6</v>
      </c>
      <c r="HWA3">
        <v>6</v>
      </c>
      <c r="HWB3">
        <v>6</v>
      </c>
      <c r="HWC3">
        <v>6</v>
      </c>
      <c r="HWD3">
        <v>6</v>
      </c>
      <c r="HWE3">
        <v>6</v>
      </c>
      <c r="HWF3">
        <v>6</v>
      </c>
      <c r="HWG3">
        <v>6</v>
      </c>
      <c r="HWH3">
        <v>6</v>
      </c>
      <c r="HWI3">
        <v>6</v>
      </c>
      <c r="HWJ3">
        <v>6</v>
      </c>
      <c r="HWK3">
        <v>6</v>
      </c>
      <c r="HWL3">
        <v>6</v>
      </c>
      <c r="HWM3">
        <v>6</v>
      </c>
      <c r="HWN3">
        <v>6</v>
      </c>
      <c r="HWO3">
        <v>6</v>
      </c>
      <c r="HWP3">
        <v>6</v>
      </c>
      <c r="HWQ3">
        <v>6</v>
      </c>
      <c r="HWR3">
        <v>6</v>
      </c>
      <c r="HWS3">
        <v>6</v>
      </c>
      <c r="HWT3">
        <v>6</v>
      </c>
      <c r="HWU3">
        <v>6</v>
      </c>
      <c r="HWV3">
        <v>6</v>
      </c>
      <c r="HWW3">
        <v>6</v>
      </c>
      <c r="HWX3">
        <v>6</v>
      </c>
      <c r="HWY3">
        <v>6</v>
      </c>
      <c r="HWZ3">
        <v>6</v>
      </c>
      <c r="HXA3">
        <v>6</v>
      </c>
      <c r="HXB3">
        <v>6</v>
      </c>
      <c r="HXC3">
        <v>6</v>
      </c>
      <c r="HXD3">
        <v>6</v>
      </c>
      <c r="HXE3">
        <v>6</v>
      </c>
      <c r="HXF3">
        <v>6</v>
      </c>
      <c r="HXG3">
        <v>6</v>
      </c>
      <c r="HXH3">
        <v>6</v>
      </c>
      <c r="HXI3">
        <v>6</v>
      </c>
      <c r="HXJ3">
        <v>6</v>
      </c>
      <c r="HXK3">
        <v>6</v>
      </c>
      <c r="HXL3">
        <v>6</v>
      </c>
      <c r="HXM3">
        <v>6</v>
      </c>
      <c r="HXN3">
        <v>6</v>
      </c>
      <c r="HXO3">
        <v>6</v>
      </c>
      <c r="HXP3">
        <v>6</v>
      </c>
      <c r="HXQ3">
        <v>6</v>
      </c>
      <c r="HXR3">
        <v>6</v>
      </c>
      <c r="HXS3">
        <v>6</v>
      </c>
      <c r="HXT3">
        <v>6</v>
      </c>
      <c r="HXU3">
        <v>6</v>
      </c>
      <c r="HXV3">
        <v>6</v>
      </c>
      <c r="HXW3">
        <v>6</v>
      </c>
      <c r="HXX3">
        <v>6</v>
      </c>
      <c r="HXY3">
        <v>6</v>
      </c>
      <c r="HXZ3">
        <v>6</v>
      </c>
      <c r="HYA3">
        <v>6</v>
      </c>
      <c r="HYB3">
        <v>6</v>
      </c>
      <c r="HYC3">
        <v>6</v>
      </c>
      <c r="HYD3">
        <v>6</v>
      </c>
      <c r="HYE3">
        <v>6</v>
      </c>
      <c r="HYF3">
        <v>6</v>
      </c>
      <c r="HYG3">
        <v>6</v>
      </c>
      <c r="HYH3">
        <v>6</v>
      </c>
      <c r="HYI3">
        <v>6</v>
      </c>
      <c r="HYJ3">
        <v>6</v>
      </c>
      <c r="HYK3">
        <v>6</v>
      </c>
      <c r="HYL3">
        <v>6</v>
      </c>
      <c r="HYM3">
        <v>6</v>
      </c>
      <c r="HYN3">
        <v>6</v>
      </c>
      <c r="HYO3">
        <v>6</v>
      </c>
      <c r="HYP3">
        <v>6</v>
      </c>
      <c r="HYQ3">
        <v>6</v>
      </c>
      <c r="HYR3">
        <v>6</v>
      </c>
      <c r="HYS3">
        <v>6</v>
      </c>
      <c r="HYT3">
        <v>6</v>
      </c>
      <c r="HYU3">
        <v>6</v>
      </c>
      <c r="HYV3">
        <v>6</v>
      </c>
      <c r="HYW3">
        <v>6</v>
      </c>
      <c r="HYX3">
        <v>6</v>
      </c>
      <c r="HYY3">
        <v>6</v>
      </c>
      <c r="HYZ3">
        <v>6</v>
      </c>
      <c r="HZA3">
        <v>6</v>
      </c>
      <c r="HZB3">
        <v>6</v>
      </c>
      <c r="HZC3">
        <v>6</v>
      </c>
      <c r="HZD3">
        <v>6</v>
      </c>
      <c r="HZE3">
        <v>6</v>
      </c>
      <c r="HZF3">
        <v>6</v>
      </c>
      <c r="HZG3">
        <v>6</v>
      </c>
      <c r="HZH3">
        <v>6</v>
      </c>
      <c r="HZI3">
        <v>6</v>
      </c>
      <c r="HZJ3">
        <v>6</v>
      </c>
      <c r="HZK3">
        <v>6</v>
      </c>
      <c r="HZL3">
        <v>6</v>
      </c>
      <c r="HZM3">
        <v>6</v>
      </c>
      <c r="HZN3">
        <v>6</v>
      </c>
      <c r="HZO3">
        <v>6</v>
      </c>
      <c r="HZP3">
        <v>6</v>
      </c>
      <c r="HZQ3">
        <v>6</v>
      </c>
      <c r="HZR3">
        <v>6</v>
      </c>
      <c r="HZS3">
        <v>6</v>
      </c>
      <c r="HZT3">
        <v>6</v>
      </c>
      <c r="HZU3">
        <v>6</v>
      </c>
      <c r="HZV3">
        <v>6</v>
      </c>
      <c r="HZW3">
        <v>6</v>
      </c>
      <c r="HZX3">
        <v>6</v>
      </c>
      <c r="HZY3">
        <v>6</v>
      </c>
      <c r="HZZ3">
        <v>6</v>
      </c>
      <c r="IAA3">
        <v>6</v>
      </c>
      <c r="IAB3">
        <v>6</v>
      </c>
      <c r="IAC3">
        <v>6</v>
      </c>
      <c r="IAD3">
        <v>6</v>
      </c>
      <c r="IAE3">
        <v>6</v>
      </c>
      <c r="IAF3">
        <v>6</v>
      </c>
      <c r="IAG3">
        <v>6</v>
      </c>
      <c r="IAH3">
        <v>6</v>
      </c>
      <c r="IAI3">
        <v>6</v>
      </c>
      <c r="IAJ3">
        <v>6</v>
      </c>
      <c r="IAK3">
        <v>6</v>
      </c>
      <c r="IAL3">
        <v>6</v>
      </c>
      <c r="IAM3">
        <v>6</v>
      </c>
      <c r="IAN3">
        <v>6</v>
      </c>
      <c r="IAO3">
        <v>6</v>
      </c>
      <c r="IAP3">
        <v>6</v>
      </c>
      <c r="IAQ3">
        <v>6</v>
      </c>
      <c r="IAR3">
        <v>6</v>
      </c>
      <c r="IAS3">
        <v>6</v>
      </c>
      <c r="IAT3">
        <v>6</v>
      </c>
      <c r="IAU3">
        <v>6</v>
      </c>
      <c r="IAV3">
        <v>6</v>
      </c>
      <c r="IAW3">
        <v>6</v>
      </c>
      <c r="IAX3">
        <v>6</v>
      </c>
      <c r="IAY3">
        <v>6</v>
      </c>
      <c r="IAZ3">
        <v>6</v>
      </c>
      <c r="IBA3">
        <v>6</v>
      </c>
      <c r="IBB3">
        <v>6</v>
      </c>
      <c r="IBC3">
        <v>6</v>
      </c>
      <c r="IBD3">
        <v>6</v>
      </c>
      <c r="IBE3">
        <v>6</v>
      </c>
      <c r="IBF3">
        <v>6</v>
      </c>
      <c r="IBG3">
        <v>6</v>
      </c>
      <c r="IBH3">
        <v>6</v>
      </c>
      <c r="IBI3">
        <v>6</v>
      </c>
      <c r="IBJ3">
        <v>6</v>
      </c>
      <c r="IBK3">
        <v>6</v>
      </c>
      <c r="IBL3">
        <v>6</v>
      </c>
      <c r="IBM3">
        <v>6</v>
      </c>
      <c r="IBN3">
        <v>6</v>
      </c>
      <c r="IBO3">
        <v>6</v>
      </c>
      <c r="IBP3">
        <v>6</v>
      </c>
      <c r="IBQ3">
        <v>6</v>
      </c>
      <c r="IBR3">
        <v>6</v>
      </c>
      <c r="IBS3">
        <v>6</v>
      </c>
      <c r="IBT3">
        <v>6</v>
      </c>
      <c r="IBU3">
        <v>6</v>
      </c>
      <c r="IBV3">
        <v>6</v>
      </c>
      <c r="IBW3">
        <v>6</v>
      </c>
      <c r="IBX3">
        <v>6</v>
      </c>
      <c r="IBY3">
        <v>6</v>
      </c>
      <c r="IBZ3">
        <v>6</v>
      </c>
      <c r="ICA3">
        <v>6</v>
      </c>
      <c r="ICB3">
        <v>6</v>
      </c>
      <c r="ICC3">
        <v>6</v>
      </c>
      <c r="ICD3">
        <v>6</v>
      </c>
      <c r="ICE3">
        <v>6</v>
      </c>
      <c r="ICF3">
        <v>6</v>
      </c>
      <c r="ICG3">
        <v>6</v>
      </c>
      <c r="ICH3">
        <v>6</v>
      </c>
      <c r="ICI3">
        <v>6</v>
      </c>
      <c r="ICJ3">
        <v>6</v>
      </c>
      <c r="ICK3">
        <v>6</v>
      </c>
      <c r="ICL3">
        <v>6</v>
      </c>
      <c r="ICM3">
        <v>6</v>
      </c>
      <c r="ICN3">
        <v>6</v>
      </c>
      <c r="ICO3">
        <v>6</v>
      </c>
      <c r="ICP3">
        <v>6</v>
      </c>
      <c r="ICQ3">
        <v>6</v>
      </c>
      <c r="ICR3">
        <v>6</v>
      </c>
      <c r="ICS3">
        <v>6</v>
      </c>
      <c r="ICT3">
        <v>6</v>
      </c>
      <c r="ICU3">
        <v>6</v>
      </c>
      <c r="ICV3">
        <v>6</v>
      </c>
      <c r="ICW3">
        <v>6</v>
      </c>
      <c r="ICX3">
        <v>6</v>
      </c>
      <c r="ICY3">
        <v>6</v>
      </c>
      <c r="ICZ3">
        <v>6</v>
      </c>
      <c r="IDA3">
        <v>6</v>
      </c>
      <c r="IDB3">
        <v>6</v>
      </c>
      <c r="IDC3">
        <v>6</v>
      </c>
      <c r="IDD3">
        <v>6</v>
      </c>
      <c r="IDE3">
        <v>6</v>
      </c>
      <c r="IDF3">
        <v>6</v>
      </c>
      <c r="IDG3">
        <v>6</v>
      </c>
      <c r="IDH3">
        <v>6</v>
      </c>
      <c r="IDI3">
        <v>6</v>
      </c>
      <c r="IDJ3">
        <v>6</v>
      </c>
      <c r="IDK3">
        <v>6</v>
      </c>
      <c r="IDL3">
        <v>6</v>
      </c>
      <c r="IDM3">
        <v>6</v>
      </c>
      <c r="IDN3">
        <v>6</v>
      </c>
      <c r="IDO3">
        <v>6</v>
      </c>
      <c r="IDP3">
        <v>6</v>
      </c>
      <c r="IDQ3">
        <v>6</v>
      </c>
      <c r="IDR3">
        <v>6</v>
      </c>
      <c r="IDS3">
        <v>6</v>
      </c>
      <c r="IDT3">
        <v>6</v>
      </c>
      <c r="IDU3">
        <v>6</v>
      </c>
      <c r="IDV3">
        <v>6</v>
      </c>
      <c r="IDW3">
        <v>6</v>
      </c>
      <c r="IDX3">
        <v>6</v>
      </c>
      <c r="IDY3">
        <v>6</v>
      </c>
      <c r="IDZ3">
        <v>6</v>
      </c>
      <c r="IEA3">
        <v>6</v>
      </c>
      <c r="IEB3">
        <v>6</v>
      </c>
      <c r="IEC3">
        <v>6</v>
      </c>
      <c r="IED3">
        <v>6</v>
      </c>
      <c r="IEE3">
        <v>6</v>
      </c>
      <c r="IEF3">
        <v>6</v>
      </c>
      <c r="IEG3">
        <v>6</v>
      </c>
      <c r="IEH3">
        <v>6</v>
      </c>
      <c r="IEI3">
        <v>6</v>
      </c>
      <c r="IEJ3">
        <v>6</v>
      </c>
      <c r="IEK3">
        <v>6</v>
      </c>
      <c r="IEL3">
        <v>6</v>
      </c>
      <c r="IEM3">
        <v>6</v>
      </c>
      <c r="IEN3">
        <v>6</v>
      </c>
      <c r="IEO3">
        <v>6</v>
      </c>
      <c r="IEP3">
        <v>6</v>
      </c>
      <c r="IEQ3">
        <v>6</v>
      </c>
      <c r="IER3">
        <v>6</v>
      </c>
      <c r="IES3">
        <v>6</v>
      </c>
      <c r="IET3">
        <v>6</v>
      </c>
      <c r="IEU3">
        <v>6</v>
      </c>
      <c r="IEV3">
        <v>6</v>
      </c>
      <c r="IEW3">
        <v>6</v>
      </c>
      <c r="IEX3">
        <v>6</v>
      </c>
      <c r="IEY3">
        <v>6</v>
      </c>
      <c r="IEZ3">
        <v>6</v>
      </c>
      <c r="IFA3">
        <v>6</v>
      </c>
      <c r="IFB3">
        <v>6</v>
      </c>
      <c r="IFC3">
        <v>6</v>
      </c>
      <c r="IFD3">
        <v>6</v>
      </c>
      <c r="IFE3">
        <v>6</v>
      </c>
      <c r="IFF3">
        <v>6</v>
      </c>
      <c r="IFG3">
        <v>6</v>
      </c>
      <c r="IFH3">
        <v>6</v>
      </c>
      <c r="IFI3">
        <v>6</v>
      </c>
      <c r="IFJ3">
        <v>6</v>
      </c>
      <c r="IFK3">
        <v>6</v>
      </c>
      <c r="IFL3">
        <v>6</v>
      </c>
      <c r="IFM3">
        <v>6</v>
      </c>
      <c r="IFN3">
        <v>6</v>
      </c>
      <c r="IFO3">
        <v>6</v>
      </c>
      <c r="IFP3">
        <v>6</v>
      </c>
      <c r="IFQ3">
        <v>6</v>
      </c>
      <c r="IFR3">
        <v>6</v>
      </c>
      <c r="IFS3">
        <v>6</v>
      </c>
      <c r="IFT3">
        <v>6</v>
      </c>
      <c r="IFU3">
        <v>6</v>
      </c>
      <c r="IFV3">
        <v>6</v>
      </c>
      <c r="IFW3">
        <v>6</v>
      </c>
      <c r="IFX3">
        <v>6</v>
      </c>
      <c r="IFY3">
        <v>6</v>
      </c>
      <c r="IFZ3">
        <v>6</v>
      </c>
      <c r="IGA3">
        <v>6</v>
      </c>
      <c r="IGB3">
        <v>6</v>
      </c>
      <c r="IGC3">
        <v>6</v>
      </c>
      <c r="IGD3">
        <v>6</v>
      </c>
      <c r="IGE3">
        <v>6</v>
      </c>
      <c r="IGF3">
        <v>6</v>
      </c>
      <c r="IGG3">
        <v>6</v>
      </c>
      <c r="IGH3">
        <v>6</v>
      </c>
      <c r="IGI3">
        <v>6</v>
      </c>
      <c r="IGJ3">
        <v>6</v>
      </c>
      <c r="IGK3">
        <v>6</v>
      </c>
      <c r="IGL3">
        <v>6</v>
      </c>
      <c r="IGM3">
        <v>6</v>
      </c>
      <c r="IGN3">
        <v>6</v>
      </c>
      <c r="IGO3">
        <v>6</v>
      </c>
      <c r="IGP3">
        <v>6</v>
      </c>
      <c r="IGQ3">
        <v>6</v>
      </c>
      <c r="IGR3">
        <v>6</v>
      </c>
      <c r="IGS3">
        <v>6</v>
      </c>
      <c r="IGT3">
        <v>6</v>
      </c>
      <c r="JDJ3">
        <v>7</v>
      </c>
      <c r="JDK3">
        <v>7</v>
      </c>
      <c r="JDL3">
        <v>7</v>
      </c>
      <c r="JDM3">
        <v>7</v>
      </c>
      <c r="JDN3">
        <v>7</v>
      </c>
      <c r="JDO3">
        <v>7</v>
      </c>
      <c r="JDP3">
        <v>7</v>
      </c>
      <c r="JDQ3">
        <v>7</v>
      </c>
      <c r="JDR3">
        <v>7</v>
      </c>
      <c r="JDS3">
        <v>7</v>
      </c>
      <c r="JDT3">
        <v>7</v>
      </c>
      <c r="JDU3">
        <v>7</v>
      </c>
      <c r="JDV3">
        <v>7</v>
      </c>
      <c r="JDW3">
        <v>7</v>
      </c>
      <c r="JDX3">
        <v>7</v>
      </c>
      <c r="JDY3">
        <v>7</v>
      </c>
      <c r="JDZ3">
        <v>7</v>
      </c>
      <c r="JEA3">
        <v>7</v>
      </c>
      <c r="JEB3">
        <v>7</v>
      </c>
      <c r="JEC3">
        <v>7</v>
      </c>
      <c r="JED3">
        <v>7</v>
      </c>
      <c r="JEE3">
        <v>7</v>
      </c>
      <c r="JEF3">
        <v>7</v>
      </c>
      <c r="JEG3">
        <v>7</v>
      </c>
      <c r="JEH3">
        <v>7</v>
      </c>
      <c r="JEI3">
        <v>7</v>
      </c>
      <c r="JEJ3">
        <v>7</v>
      </c>
      <c r="JEK3">
        <v>7</v>
      </c>
      <c r="JEL3">
        <v>7</v>
      </c>
      <c r="JEM3">
        <v>7</v>
      </c>
      <c r="JEN3">
        <v>7</v>
      </c>
      <c r="JEO3">
        <v>7</v>
      </c>
      <c r="JEP3">
        <v>7</v>
      </c>
      <c r="JEQ3">
        <v>7</v>
      </c>
      <c r="JER3">
        <v>7</v>
      </c>
      <c r="JES3">
        <v>7</v>
      </c>
      <c r="JET3">
        <v>7</v>
      </c>
      <c r="JEU3">
        <v>7</v>
      </c>
      <c r="JEV3">
        <v>7</v>
      </c>
      <c r="JEW3">
        <v>7</v>
      </c>
      <c r="JEX3">
        <v>7</v>
      </c>
      <c r="JEY3">
        <v>7</v>
      </c>
      <c r="JEZ3">
        <v>7</v>
      </c>
      <c r="JFA3">
        <v>7</v>
      </c>
      <c r="JFB3">
        <v>7</v>
      </c>
      <c r="JFC3">
        <v>7</v>
      </c>
      <c r="JFD3">
        <v>7</v>
      </c>
      <c r="JFE3">
        <v>7</v>
      </c>
      <c r="JFF3">
        <v>7</v>
      </c>
      <c r="JFG3">
        <v>7</v>
      </c>
      <c r="JFH3">
        <v>7</v>
      </c>
      <c r="JFI3">
        <v>7</v>
      </c>
      <c r="JFJ3">
        <v>7</v>
      </c>
      <c r="JFK3">
        <v>7</v>
      </c>
      <c r="JFL3">
        <v>7</v>
      </c>
      <c r="JFM3">
        <v>7</v>
      </c>
      <c r="JFN3">
        <v>7</v>
      </c>
      <c r="JFO3">
        <v>7</v>
      </c>
      <c r="JFP3">
        <v>7</v>
      </c>
      <c r="JFQ3">
        <v>7</v>
      </c>
      <c r="JFR3">
        <v>7</v>
      </c>
      <c r="JFS3">
        <v>7</v>
      </c>
      <c r="JFT3">
        <v>7</v>
      </c>
      <c r="JFU3">
        <v>7</v>
      </c>
      <c r="JFV3">
        <v>7</v>
      </c>
      <c r="JFW3">
        <v>7</v>
      </c>
      <c r="JFX3">
        <v>7</v>
      </c>
      <c r="JFY3">
        <v>7</v>
      </c>
      <c r="JFZ3">
        <v>7</v>
      </c>
      <c r="JGA3">
        <v>7</v>
      </c>
      <c r="JGB3">
        <v>7</v>
      </c>
      <c r="JGC3">
        <v>7</v>
      </c>
      <c r="JGD3">
        <v>7</v>
      </c>
      <c r="JGE3">
        <v>7</v>
      </c>
      <c r="JGF3">
        <v>7</v>
      </c>
      <c r="JGG3">
        <v>7</v>
      </c>
      <c r="JGH3">
        <v>7</v>
      </c>
      <c r="JGI3">
        <v>7</v>
      </c>
      <c r="JGJ3">
        <v>7</v>
      </c>
      <c r="JGK3">
        <v>7</v>
      </c>
      <c r="JGL3">
        <v>7</v>
      </c>
      <c r="JGM3">
        <v>7</v>
      </c>
      <c r="JGN3">
        <v>7</v>
      </c>
      <c r="JGO3">
        <v>7</v>
      </c>
      <c r="JGP3">
        <v>7</v>
      </c>
      <c r="JGQ3">
        <v>7</v>
      </c>
      <c r="JGR3">
        <v>7</v>
      </c>
      <c r="JGS3">
        <v>7</v>
      </c>
      <c r="JGT3">
        <v>7</v>
      </c>
      <c r="JGU3">
        <v>7</v>
      </c>
      <c r="JGV3">
        <v>7</v>
      </c>
      <c r="JGW3">
        <v>7</v>
      </c>
      <c r="JGX3">
        <v>7</v>
      </c>
      <c r="JGY3">
        <v>7</v>
      </c>
      <c r="JGZ3">
        <v>7</v>
      </c>
      <c r="JHA3">
        <v>7</v>
      </c>
      <c r="JHB3">
        <v>7</v>
      </c>
      <c r="JHC3">
        <v>7</v>
      </c>
      <c r="JHD3">
        <v>7</v>
      </c>
      <c r="JHE3">
        <v>7</v>
      </c>
      <c r="JHF3">
        <v>7</v>
      </c>
      <c r="JHG3">
        <v>7</v>
      </c>
      <c r="JHH3">
        <v>7</v>
      </c>
      <c r="JHI3">
        <v>7</v>
      </c>
      <c r="JHJ3">
        <v>7</v>
      </c>
      <c r="JHK3">
        <v>7</v>
      </c>
      <c r="JHL3">
        <v>7</v>
      </c>
      <c r="JHM3">
        <v>7</v>
      </c>
      <c r="JHN3">
        <v>7</v>
      </c>
      <c r="JHO3">
        <v>7</v>
      </c>
      <c r="JHP3">
        <v>7</v>
      </c>
      <c r="JHQ3">
        <v>7</v>
      </c>
      <c r="JHR3">
        <v>7</v>
      </c>
      <c r="JHS3">
        <v>7</v>
      </c>
      <c r="JHT3">
        <v>7</v>
      </c>
      <c r="JHU3">
        <v>7</v>
      </c>
      <c r="JHV3">
        <v>7</v>
      </c>
      <c r="JKL3">
        <v>8</v>
      </c>
      <c r="JKM3">
        <v>8</v>
      </c>
      <c r="JKN3">
        <v>8</v>
      </c>
      <c r="JKO3">
        <v>8</v>
      </c>
      <c r="JKP3">
        <v>8</v>
      </c>
      <c r="JKQ3">
        <v>8</v>
      </c>
      <c r="JKR3">
        <v>8</v>
      </c>
      <c r="JKS3">
        <v>8</v>
      </c>
      <c r="JKT3">
        <v>8</v>
      </c>
      <c r="JKU3">
        <v>8</v>
      </c>
      <c r="JKV3">
        <v>8</v>
      </c>
      <c r="JKW3">
        <v>8</v>
      </c>
      <c r="JKX3">
        <v>8</v>
      </c>
      <c r="JKY3">
        <v>8</v>
      </c>
      <c r="JKZ3">
        <v>8</v>
      </c>
      <c r="JLA3">
        <v>8</v>
      </c>
      <c r="JLB3">
        <v>8</v>
      </c>
      <c r="JLC3">
        <v>8</v>
      </c>
      <c r="JLD3">
        <v>8</v>
      </c>
      <c r="JLE3">
        <v>8</v>
      </c>
      <c r="JLF3">
        <v>8</v>
      </c>
      <c r="JLG3">
        <v>8</v>
      </c>
      <c r="JLH3">
        <v>8</v>
      </c>
      <c r="JLI3">
        <v>8</v>
      </c>
      <c r="JLJ3">
        <v>8</v>
      </c>
      <c r="JLK3">
        <v>8</v>
      </c>
      <c r="JLL3">
        <v>8</v>
      </c>
      <c r="JLM3">
        <v>8</v>
      </c>
      <c r="JLN3">
        <v>8</v>
      </c>
      <c r="JLO3">
        <v>8</v>
      </c>
      <c r="JLP3">
        <v>8</v>
      </c>
      <c r="JLQ3">
        <v>8</v>
      </c>
      <c r="JLR3">
        <v>8</v>
      </c>
      <c r="JLS3">
        <v>8</v>
      </c>
      <c r="JLT3">
        <v>8</v>
      </c>
      <c r="JLU3">
        <v>8</v>
      </c>
      <c r="JLV3">
        <v>8</v>
      </c>
      <c r="JLW3">
        <v>8</v>
      </c>
      <c r="JLX3">
        <v>8</v>
      </c>
      <c r="JLY3">
        <v>8</v>
      </c>
      <c r="JLZ3">
        <v>8</v>
      </c>
      <c r="JMA3">
        <v>8</v>
      </c>
      <c r="JMB3">
        <v>8</v>
      </c>
      <c r="JMC3">
        <v>8</v>
      </c>
      <c r="JMD3">
        <v>8</v>
      </c>
      <c r="JME3">
        <v>8</v>
      </c>
      <c r="JMF3">
        <v>8</v>
      </c>
      <c r="JMG3">
        <v>8</v>
      </c>
      <c r="JMH3">
        <v>8</v>
      </c>
      <c r="JMI3">
        <v>8</v>
      </c>
      <c r="JMJ3">
        <v>8</v>
      </c>
      <c r="JMK3">
        <v>8</v>
      </c>
      <c r="JML3">
        <v>8</v>
      </c>
      <c r="JMM3">
        <v>8</v>
      </c>
      <c r="JMN3">
        <v>8</v>
      </c>
      <c r="JMO3">
        <v>8</v>
      </c>
      <c r="JMP3">
        <v>8</v>
      </c>
      <c r="JMQ3">
        <v>8</v>
      </c>
      <c r="JMR3">
        <v>8</v>
      </c>
      <c r="JMS3">
        <v>8</v>
      </c>
      <c r="JMT3">
        <v>8</v>
      </c>
      <c r="JMU3">
        <v>8</v>
      </c>
      <c r="JMV3">
        <v>8</v>
      </c>
      <c r="JMW3">
        <v>8</v>
      </c>
      <c r="JMX3">
        <v>8</v>
      </c>
      <c r="JMY3">
        <v>8</v>
      </c>
      <c r="JMZ3">
        <v>8</v>
      </c>
      <c r="JNA3">
        <v>8</v>
      </c>
      <c r="JNB3">
        <v>8</v>
      </c>
      <c r="JNC3">
        <v>8</v>
      </c>
      <c r="JND3">
        <v>8</v>
      </c>
      <c r="JNE3">
        <v>8</v>
      </c>
      <c r="JNF3">
        <v>8</v>
      </c>
      <c r="JNG3">
        <v>8</v>
      </c>
      <c r="JNH3">
        <v>8</v>
      </c>
      <c r="JNI3">
        <v>8</v>
      </c>
      <c r="JNJ3">
        <v>8</v>
      </c>
      <c r="JNK3">
        <v>8</v>
      </c>
      <c r="JNL3">
        <v>8</v>
      </c>
      <c r="JNM3">
        <v>8</v>
      </c>
      <c r="JNN3">
        <v>8</v>
      </c>
      <c r="JNO3">
        <v>8</v>
      </c>
      <c r="JNP3">
        <v>8</v>
      </c>
      <c r="JNQ3">
        <v>8</v>
      </c>
      <c r="JNR3">
        <v>8</v>
      </c>
      <c r="JNS3">
        <v>8</v>
      </c>
      <c r="JNT3">
        <v>8</v>
      </c>
      <c r="JNU3">
        <v>8</v>
      </c>
      <c r="JNV3">
        <v>8</v>
      </c>
      <c r="JNW3">
        <v>8</v>
      </c>
      <c r="JNX3">
        <v>8</v>
      </c>
      <c r="JNY3">
        <v>8</v>
      </c>
      <c r="JNZ3">
        <v>8</v>
      </c>
      <c r="JOA3">
        <v>8</v>
      </c>
      <c r="JOB3">
        <v>8</v>
      </c>
      <c r="JOC3">
        <v>8</v>
      </c>
      <c r="JOD3">
        <v>8</v>
      </c>
      <c r="JOE3">
        <v>8</v>
      </c>
      <c r="JOF3">
        <v>8</v>
      </c>
      <c r="JOG3">
        <v>8</v>
      </c>
      <c r="JOH3">
        <v>8</v>
      </c>
      <c r="JOI3">
        <v>8</v>
      </c>
      <c r="JOJ3">
        <v>8</v>
      </c>
      <c r="JOK3">
        <v>8</v>
      </c>
      <c r="JOL3">
        <v>8</v>
      </c>
      <c r="JOM3">
        <v>8</v>
      </c>
      <c r="JON3">
        <v>8</v>
      </c>
      <c r="JOO3">
        <v>8</v>
      </c>
      <c r="JOP3">
        <v>8</v>
      </c>
      <c r="JOQ3">
        <v>8</v>
      </c>
      <c r="JOR3">
        <v>8</v>
      </c>
      <c r="JOS3">
        <v>8</v>
      </c>
      <c r="JOT3">
        <v>8</v>
      </c>
      <c r="JOU3">
        <v>8</v>
      </c>
      <c r="JOV3">
        <v>8</v>
      </c>
      <c r="JOW3">
        <v>8</v>
      </c>
      <c r="JOX3">
        <v>8</v>
      </c>
      <c r="JOY3">
        <v>8</v>
      </c>
      <c r="JOZ3">
        <v>8</v>
      </c>
      <c r="JPA3">
        <v>8</v>
      </c>
      <c r="JPB3">
        <v>8</v>
      </c>
      <c r="JPC3">
        <v>8</v>
      </c>
      <c r="JPD3">
        <v>8</v>
      </c>
      <c r="JPE3">
        <v>8</v>
      </c>
      <c r="JPF3">
        <v>8</v>
      </c>
      <c r="JPG3">
        <v>8</v>
      </c>
      <c r="JPH3">
        <v>8</v>
      </c>
      <c r="JPI3">
        <v>8</v>
      </c>
      <c r="JPJ3">
        <v>8</v>
      </c>
      <c r="JPK3">
        <v>8</v>
      </c>
      <c r="JPL3">
        <v>8</v>
      </c>
      <c r="JPM3">
        <v>8</v>
      </c>
      <c r="JPN3">
        <v>8</v>
      </c>
      <c r="JPO3">
        <v>8</v>
      </c>
      <c r="JPP3">
        <v>8</v>
      </c>
      <c r="JPQ3">
        <v>8</v>
      </c>
      <c r="JPR3">
        <v>8</v>
      </c>
      <c r="JPS3">
        <v>8</v>
      </c>
      <c r="JPT3">
        <v>8</v>
      </c>
      <c r="JPU3">
        <v>8</v>
      </c>
      <c r="JPV3">
        <v>8</v>
      </c>
      <c r="JPW3">
        <v>8</v>
      </c>
      <c r="JPX3">
        <v>8</v>
      </c>
      <c r="JPY3">
        <v>8</v>
      </c>
      <c r="JPZ3">
        <v>8</v>
      </c>
      <c r="JQA3">
        <v>8</v>
      </c>
      <c r="JQB3">
        <v>8</v>
      </c>
      <c r="JQC3">
        <v>8</v>
      </c>
      <c r="JQD3">
        <v>8</v>
      </c>
      <c r="JQE3">
        <v>8</v>
      </c>
      <c r="JQF3">
        <v>8</v>
      </c>
      <c r="JQG3">
        <v>8</v>
      </c>
      <c r="JQH3">
        <v>8</v>
      </c>
      <c r="JQI3">
        <v>8</v>
      </c>
      <c r="JQJ3">
        <v>8</v>
      </c>
      <c r="JQK3">
        <v>8</v>
      </c>
      <c r="JQL3">
        <v>8</v>
      </c>
      <c r="JQM3">
        <v>8</v>
      </c>
      <c r="JQN3">
        <v>8</v>
      </c>
      <c r="JQO3">
        <v>8</v>
      </c>
      <c r="JQP3">
        <v>8</v>
      </c>
      <c r="JQQ3">
        <v>8</v>
      </c>
      <c r="JQR3">
        <v>8</v>
      </c>
      <c r="JQS3">
        <v>8</v>
      </c>
      <c r="JQT3">
        <v>8</v>
      </c>
      <c r="JQU3">
        <v>8</v>
      </c>
      <c r="JQV3">
        <v>8</v>
      </c>
      <c r="JQW3">
        <v>8</v>
      </c>
      <c r="JQX3">
        <v>8</v>
      </c>
      <c r="JQY3">
        <v>8</v>
      </c>
      <c r="JQZ3">
        <v>8</v>
      </c>
      <c r="JRA3">
        <v>8</v>
      </c>
      <c r="JRB3">
        <v>8</v>
      </c>
      <c r="JRC3">
        <v>8</v>
      </c>
      <c r="JRD3">
        <v>8</v>
      </c>
      <c r="JRE3">
        <v>8</v>
      </c>
      <c r="JRF3">
        <v>8</v>
      </c>
      <c r="JRG3">
        <v>8</v>
      </c>
      <c r="JRH3">
        <v>8</v>
      </c>
      <c r="JRI3">
        <v>8</v>
      </c>
      <c r="JRJ3">
        <v>8</v>
      </c>
      <c r="JRK3">
        <v>8</v>
      </c>
      <c r="JRL3">
        <v>8</v>
      </c>
      <c r="JRM3">
        <v>8</v>
      </c>
      <c r="JRN3">
        <v>8</v>
      </c>
      <c r="JRO3">
        <v>8</v>
      </c>
      <c r="JRP3">
        <v>8</v>
      </c>
      <c r="JRQ3">
        <v>8</v>
      </c>
      <c r="JRR3">
        <v>8</v>
      </c>
      <c r="JRS3">
        <v>8</v>
      </c>
      <c r="JRT3">
        <v>8</v>
      </c>
      <c r="JRU3">
        <v>8</v>
      </c>
      <c r="JRV3">
        <v>8</v>
      </c>
      <c r="JRW3">
        <v>8</v>
      </c>
      <c r="JRX3">
        <v>8</v>
      </c>
      <c r="JRY3">
        <v>8</v>
      </c>
      <c r="JRZ3">
        <v>8</v>
      </c>
      <c r="JSA3">
        <v>8</v>
      </c>
      <c r="JSB3">
        <v>8</v>
      </c>
      <c r="JSC3">
        <v>8</v>
      </c>
      <c r="JSD3">
        <v>8</v>
      </c>
      <c r="JSE3">
        <v>8</v>
      </c>
      <c r="JSF3">
        <v>8</v>
      </c>
      <c r="JSG3">
        <v>8</v>
      </c>
      <c r="JSH3">
        <v>8</v>
      </c>
      <c r="JSI3">
        <v>8</v>
      </c>
      <c r="JSJ3">
        <v>8</v>
      </c>
      <c r="JSK3">
        <v>8</v>
      </c>
      <c r="JSL3">
        <v>8</v>
      </c>
      <c r="JSM3">
        <v>8</v>
      </c>
      <c r="JSN3">
        <v>8</v>
      </c>
      <c r="JSO3">
        <v>8</v>
      </c>
      <c r="JSP3">
        <v>8</v>
      </c>
      <c r="JSQ3">
        <v>8</v>
      </c>
      <c r="JSR3">
        <v>8</v>
      </c>
      <c r="JSS3">
        <v>8</v>
      </c>
      <c r="JST3">
        <v>8</v>
      </c>
      <c r="JSU3">
        <v>8</v>
      </c>
      <c r="JSV3">
        <v>8</v>
      </c>
      <c r="JSW3">
        <v>8</v>
      </c>
      <c r="JSX3">
        <v>8</v>
      </c>
      <c r="JSY3">
        <v>8</v>
      </c>
      <c r="JSZ3">
        <v>8</v>
      </c>
      <c r="JTA3">
        <v>8</v>
      </c>
      <c r="JTB3">
        <v>8</v>
      </c>
      <c r="JTC3">
        <v>8</v>
      </c>
      <c r="JTD3">
        <v>8</v>
      </c>
      <c r="JTE3">
        <v>8</v>
      </c>
      <c r="JTF3">
        <v>8</v>
      </c>
      <c r="JTG3">
        <v>8</v>
      </c>
      <c r="JTH3">
        <v>8</v>
      </c>
      <c r="JTI3">
        <v>8</v>
      </c>
      <c r="JTJ3">
        <v>8</v>
      </c>
      <c r="JTK3">
        <v>8</v>
      </c>
      <c r="JTL3">
        <v>8</v>
      </c>
      <c r="JTM3">
        <v>8</v>
      </c>
      <c r="JTN3">
        <v>8</v>
      </c>
      <c r="JTO3">
        <v>8</v>
      </c>
      <c r="JTP3">
        <v>8</v>
      </c>
      <c r="JTQ3">
        <v>8</v>
      </c>
      <c r="JTR3">
        <v>8</v>
      </c>
      <c r="JTS3">
        <v>8</v>
      </c>
      <c r="JTT3">
        <v>8</v>
      </c>
      <c r="JTU3">
        <v>8</v>
      </c>
      <c r="JTV3">
        <v>8</v>
      </c>
      <c r="JTW3">
        <v>8</v>
      </c>
      <c r="JTX3">
        <v>8</v>
      </c>
      <c r="JTY3">
        <v>8</v>
      </c>
      <c r="JTZ3">
        <v>8</v>
      </c>
      <c r="JUA3">
        <v>8</v>
      </c>
      <c r="JUB3">
        <v>8</v>
      </c>
      <c r="JUC3">
        <v>8</v>
      </c>
      <c r="JUD3">
        <v>8</v>
      </c>
      <c r="JUE3">
        <v>8</v>
      </c>
      <c r="JUF3">
        <v>8</v>
      </c>
      <c r="JUG3">
        <v>8</v>
      </c>
      <c r="JUH3">
        <v>8</v>
      </c>
      <c r="JUI3">
        <v>8</v>
      </c>
      <c r="JUJ3">
        <v>8</v>
      </c>
      <c r="JUK3">
        <v>8</v>
      </c>
      <c r="JUL3">
        <v>8</v>
      </c>
      <c r="JUM3">
        <v>8</v>
      </c>
      <c r="JUN3">
        <v>8</v>
      </c>
      <c r="JUO3">
        <v>8</v>
      </c>
      <c r="JUP3">
        <v>8</v>
      </c>
      <c r="JUQ3">
        <v>8</v>
      </c>
      <c r="JUR3">
        <v>8</v>
      </c>
      <c r="JUS3">
        <v>8</v>
      </c>
      <c r="JUT3">
        <v>8</v>
      </c>
      <c r="JUU3">
        <v>8</v>
      </c>
      <c r="JUV3">
        <v>8</v>
      </c>
      <c r="JUW3">
        <v>8</v>
      </c>
      <c r="JUX3">
        <v>8</v>
      </c>
      <c r="JUY3">
        <v>8</v>
      </c>
      <c r="JUZ3">
        <v>8</v>
      </c>
      <c r="JVA3">
        <v>8</v>
      </c>
      <c r="JVB3">
        <v>8</v>
      </c>
      <c r="JVC3">
        <v>8</v>
      </c>
      <c r="JVD3">
        <v>8</v>
      </c>
      <c r="JVE3">
        <v>8</v>
      </c>
      <c r="JVF3">
        <v>8</v>
      </c>
      <c r="JVG3">
        <v>8</v>
      </c>
      <c r="JVH3">
        <v>8</v>
      </c>
      <c r="JVI3">
        <v>8</v>
      </c>
      <c r="JVJ3">
        <v>8</v>
      </c>
      <c r="JVK3">
        <v>8</v>
      </c>
      <c r="JVL3">
        <v>8</v>
      </c>
      <c r="JVM3">
        <v>8</v>
      </c>
      <c r="JVN3">
        <v>8</v>
      </c>
      <c r="JVO3">
        <v>8</v>
      </c>
      <c r="JVP3">
        <v>8</v>
      </c>
      <c r="JVQ3">
        <v>8</v>
      </c>
      <c r="JVR3">
        <v>8</v>
      </c>
      <c r="JVS3">
        <v>8</v>
      </c>
      <c r="JVT3">
        <v>8</v>
      </c>
      <c r="JVU3">
        <v>8</v>
      </c>
      <c r="JVV3">
        <v>8</v>
      </c>
      <c r="JVW3">
        <v>8</v>
      </c>
      <c r="JVX3">
        <v>8</v>
      </c>
      <c r="JVY3">
        <v>8</v>
      </c>
      <c r="JVZ3">
        <v>8</v>
      </c>
      <c r="JWA3">
        <v>8</v>
      </c>
      <c r="JWB3">
        <v>8</v>
      </c>
      <c r="JWC3">
        <v>8</v>
      </c>
      <c r="JWD3">
        <v>8</v>
      </c>
      <c r="JWE3">
        <v>8</v>
      </c>
      <c r="JWF3">
        <v>8</v>
      </c>
      <c r="JWG3">
        <v>8</v>
      </c>
      <c r="JWH3">
        <v>8</v>
      </c>
      <c r="JWI3">
        <v>8</v>
      </c>
      <c r="JWJ3">
        <v>8</v>
      </c>
      <c r="JWK3">
        <v>8</v>
      </c>
      <c r="JWL3">
        <v>8</v>
      </c>
      <c r="JWM3">
        <v>8</v>
      </c>
      <c r="JWN3">
        <v>8</v>
      </c>
      <c r="JWO3">
        <v>8</v>
      </c>
      <c r="JWP3">
        <v>8</v>
      </c>
      <c r="JWQ3">
        <v>8</v>
      </c>
      <c r="JWR3">
        <v>8</v>
      </c>
      <c r="JWS3">
        <v>8</v>
      </c>
      <c r="JWT3">
        <v>8</v>
      </c>
      <c r="JWU3">
        <v>8</v>
      </c>
      <c r="JWV3">
        <v>8</v>
      </c>
      <c r="JWW3">
        <v>8</v>
      </c>
      <c r="JWX3">
        <v>8</v>
      </c>
      <c r="JWY3">
        <v>8</v>
      </c>
      <c r="JWZ3">
        <v>8</v>
      </c>
      <c r="JXA3">
        <v>8</v>
      </c>
      <c r="JXB3">
        <v>8</v>
      </c>
      <c r="JXC3">
        <v>8</v>
      </c>
      <c r="JXD3">
        <v>8</v>
      </c>
      <c r="JXE3">
        <v>8</v>
      </c>
      <c r="JXF3">
        <v>8</v>
      </c>
      <c r="JXG3">
        <v>8</v>
      </c>
      <c r="JXH3">
        <v>8</v>
      </c>
      <c r="JXI3">
        <v>8</v>
      </c>
      <c r="JXJ3">
        <v>8</v>
      </c>
      <c r="JXK3">
        <v>8</v>
      </c>
      <c r="JXL3">
        <v>8</v>
      </c>
      <c r="JXM3">
        <v>8</v>
      </c>
      <c r="JXN3">
        <v>8</v>
      </c>
      <c r="JXO3">
        <v>8</v>
      </c>
      <c r="JXP3">
        <v>8</v>
      </c>
      <c r="JXQ3">
        <v>8</v>
      </c>
      <c r="JXR3">
        <v>8</v>
      </c>
      <c r="JXS3">
        <v>8</v>
      </c>
      <c r="JXT3">
        <v>8</v>
      </c>
      <c r="JXU3">
        <v>8</v>
      </c>
      <c r="JXV3">
        <v>8</v>
      </c>
      <c r="JXW3">
        <v>8</v>
      </c>
      <c r="JXX3">
        <v>8</v>
      </c>
      <c r="JXY3">
        <v>8</v>
      </c>
      <c r="JXZ3">
        <v>8</v>
      </c>
      <c r="JYA3">
        <v>8</v>
      </c>
      <c r="JYB3">
        <v>8</v>
      </c>
      <c r="JYC3">
        <v>8</v>
      </c>
      <c r="JYD3">
        <v>8</v>
      </c>
      <c r="JYE3">
        <v>8</v>
      </c>
      <c r="JYF3">
        <v>8</v>
      </c>
      <c r="JYG3">
        <v>8</v>
      </c>
      <c r="JYH3">
        <v>8</v>
      </c>
      <c r="JYI3">
        <v>8</v>
      </c>
      <c r="JYJ3">
        <v>8</v>
      </c>
      <c r="JYK3">
        <v>8</v>
      </c>
      <c r="JYL3">
        <v>8</v>
      </c>
      <c r="JYM3">
        <v>8</v>
      </c>
      <c r="JYN3">
        <v>8</v>
      </c>
      <c r="JYO3">
        <v>8</v>
      </c>
      <c r="JYP3">
        <v>8</v>
      </c>
      <c r="JYQ3">
        <v>8</v>
      </c>
      <c r="JYR3">
        <v>8</v>
      </c>
      <c r="JYS3">
        <v>8</v>
      </c>
      <c r="JYT3">
        <v>8</v>
      </c>
      <c r="JYU3">
        <v>8</v>
      </c>
      <c r="JYV3">
        <v>8</v>
      </c>
      <c r="JYW3">
        <v>8</v>
      </c>
      <c r="JYX3">
        <v>8</v>
      </c>
      <c r="JYY3">
        <v>8</v>
      </c>
      <c r="JYZ3">
        <v>8</v>
      </c>
      <c r="JZA3">
        <v>8</v>
      </c>
      <c r="JZB3">
        <v>8</v>
      </c>
      <c r="JZC3">
        <v>8</v>
      </c>
      <c r="JZD3">
        <v>8</v>
      </c>
      <c r="JZE3">
        <v>8</v>
      </c>
      <c r="JZF3">
        <v>8</v>
      </c>
      <c r="JZG3">
        <v>8</v>
      </c>
      <c r="JZH3">
        <v>8</v>
      </c>
      <c r="JZI3">
        <v>8</v>
      </c>
      <c r="JZJ3">
        <v>8</v>
      </c>
      <c r="JZK3">
        <v>8</v>
      </c>
      <c r="JZL3">
        <v>8</v>
      </c>
      <c r="JZM3">
        <v>8</v>
      </c>
      <c r="JZN3">
        <v>8</v>
      </c>
      <c r="JZO3">
        <v>8</v>
      </c>
      <c r="JZP3">
        <v>8</v>
      </c>
      <c r="JZQ3">
        <v>8</v>
      </c>
      <c r="JZR3">
        <v>8</v>
      </c>
      <c r="JZS3">
        <v>8</v>
      </c>
      <c r="JZT3">
        <v>8</v>
      </c>
      <c r="JZU3">
        <v>8</v>
      </c>
      <c r="JZV3">
        <v>8</v>
      </c>
      <c r="JZW3">
        <v>8</v>
      </c>
      <c r="JZX3">
        <v>8</v>
      </c>
      <c r="JZY3">
        <v>8</v>
      </c>
      <c r="JZZ3">
        <v>8</v>
      </c>
      <c r="KAA3">
        <v>8</v>
      </c>
      <c r="KAB3">
        <v>8</v>
      </c>
      <c r="KAC3">
        <v>8</v>
      </c>
      <c r="KAD3">
        <v>8</v>
      </c>
      <c r="KAE3">
        <v>8</v>
      </c>
      <c r="KAF3">
        <v>8</v>
      </c>
      <c r="KAG3">
        <v>8</v>
      </c>
      <c r="KAH3">
        <v>8</v>
      </c>
      <c r="KAI3">
        <v>8</v>
      </c>
      <c r="KAJ3">
        <v>8</v>
      </c>
      <c r="KAK3">
        <v>8</v>
      </c>
      <c r="KAL3">
        <v>8</v>
      </c>
      <c r="KAM3">
        <v>8</v>
      </c>
      <c r="KAN3">
        <v>8</v>
      </c>
      <c r="KAO3">
        <v>8</v>
      </c>
      <c r="KAP3">
        <v>8</v>
      </c>
      <c r="KAQ3">
        <v>8</v>
      </c>
      <c r="KAR3">
        <v>8</v>
      </c>
      <c r="KAS3">
        <v>8</v>
      </c>
      <c r="KAT3">
        <v>8</v>
      </c>
      <c r="KAU3">
        <v>8</v>
      </c>
      <c r="KAV3">
        <v>8</v>
      </c>
      <c r="KAW3">
        <v>8</v>
      </c>
      <c r="KAX3">
        <v>8</v>
      </c>
      <c r="KAY3">
        <v>8</v>
      </c>
      <c r="KAZ3">
        <v>8</v>
      </c>
      <c r="KBA3">
        <v>8</v>
      </c>
      <c r="KBB3">
        <v>8</v>
      </c>
      <c r="KBC3">
        <v>8</v>
      </c>
      <c r="KBD3">
        <v>8</v>
      </c>
      <c r="KBE3">
        <v>8</v>
      </c>
      <c r="KBF3">
        <v>8</v>
      </c>
      <c r="KBG3">
        <v>8</v>
      </c>
      <c r="KBH3">
        <v>8</v>
      </c>
      <c r="KBI3">
        <v>8</v>
      </c>
      <c r="KBJ3">
        <v>8</v>
      </c>
      <c r="KBK3">
        <v>8</v>
      </c>
      <c r="KBL3">
        <v>8</v>
      </c>
      <c r="KBM3">
        <v>8</v>
      </c>
      <c r="KBN3">
        <v>8</v>
      </c>
      <c r="KBO3">
        <v>8</v>
      </c>
      <c r="KBP3">
        <v>8</v>
      </c>
      <c r="KBQ3">
        <v>8</v>
      </c>
      <c r="KBR3">
        <v>8</v>
      </c>
      <c r="KBS3">
        <v>8</v>
      </c>
      <c r="KBT3">
        <v>8</v>
      </c>
      <c r="KBU3">
        <v>8</v>
      </c>
      <c r="KBV3">
        <v>8</v>
      </c>
      <c r="KBW3">
        <v>8</v>
      </c>
      <c r="KBX3">
        <v>8</v>
      </c>
      <c r="KBY3">
        <v>8</v>
      </c>
      <c r="KBZ3">
        <v>8</v>
      </c>
      <c r="KCA3">
        <v>8</v>
      </c>
      <c r="KFW3" s="1">
        <f t="shared" si="0"/>
        <v>273</v>
      </c>
      <c r="KFX3">
        <f t="shared" si="1"/>
        <v>136</v>
      </c>
      <c r="KFY3">
        <f t="shared" si="2"/>
        <v>220</v>
      </c>
      <c r="KFZ3">
        <f t="shared" si="3"/>
        <v>251</v>
      </c>
      <c r="KGA3">
        <f t="shared" si="4"/>
        <v>273</v>
      </c>
      <c r="KGB3">
        <f t="shared" si="5"/>
        <v>319</v>
      </c>
      <c r="KGC3">
        <f t="shared" si="6"/>
        <v>117</v>
      </c>
      <c r="KGD3">
        <f t="shared" si="7"/>
        <v>458</v>
      </c>
      <c r="KGE3">
        <f t="shared" si="8"/>
        <v>0</v>
      </c>
      <c r="KGF3">
        <f t="shared" si="9"/>
        <v>0</v>
      </c>
      <c r="KGG3">
        <f t="shared" si="10"/>
        <v>0</v>
      </c>
      <c r="KGH3">
        <f t="shared" si="11"/>
        <v>0</v>
      </c>
      <c r="KGI3">
        <f t="shared" si="12"/>
        <v>0</v>
      </c>
      <c r="KGJ3">
        <f t="shared" si="13"/>
        <v>0</v>
      </c>
      <c r="KGK3">
        <f t="shared" si="14"/>
        <v>0</v>
      </c>
      <c r="KGL3">
        <f t="shared" si="15"/>
        <v>0</v>
      </c>
      <c r="KGM3">
        <f t="shared" si="16"/>
        <v>0</v>
      </c>
      <c r="KGN3">
        <f t="shared" si="17"/>
        <v>0</v>
      </c>
      <c r="KGO3">
        <f t="shared" si="18"/>
        <v>0</v>
      </c>
      <c r="KGP3">
        <f t="shared" si="19"/>
        <v>0</v>
      </c>
      <c r="KGQ3">
        <f t="shared" si="20"/>
        <v>0</v>
      </c>
      <c r="KGR3">
        <f t="shared" si="21"/>
        <v>0</v>
      </c>
      <c r="KGS3">
        <f t="shared" si="22"/>
        <v>0</v>
      </c>
      <c r="KGT3">
        <f t="shared" si="23"/>
        <v>0</v>
      </c>
      <c r="KGU3">
        <f t="shared" si="24"/>
        <v>0</v>
      </c>
      <c r="KGV3">
        <f t="shared" si="25"/>
        <v>0</v>
      </c>
      <c r="KGW3">
        <f t="shared" si="26"/>
        <v>0</v>
      </c>
      <c r="KGX3">
        <f t="shared" si="27"/>
        <v>0</v>
      </c>
      <c r="KGY3">
        <f t="shared" si="28"/>
        <v>0</v>
      </c>
      <c r="KGZ3">
        <f t="shared" si="29"/>
        <v>0</v>
      </c>
      <c r="KHA3">
        <f t="shared" si="30"/>
        <v>0</v>
      </c>
      <c r="KHB3">
        <f t="shared" si="31"/>
        <v>0</v>
      </c>
      <c r="KHC3">
        <f t="shared" si="32"/>
        <v>0</v>
      </c>
      <c r="KHD3">
        <f t="shared" si="33"/>
        <v>0</v>
      </c>
      <c r="KHE3">
        <f t="shared" si="34"/>
        <v>0</v>
      </c>
      <c r="KHF3">
        <f t="shared" si="35"/>
        <v>0</v>
      </c>
      <c r="KHG3">
        <f t="shared" si="36"/>
        <v>0</v>
      </c>
      <c r="KHH3">
        <f t="shared" si="37"/>
        <v>0</v>
      </c>
      <c r="KHI3">
        <f t="shared" si="38"/>
        <v>0</v>
      </c>
      <c r="KHJ3">
        <f t="shared" si="39"/>
        <v>0</v>
      </c>
      <c r="KHK3">
        <f t="shared" si="40"/>
        <v>0</v>
      </c>
      <c r="KHL3">
        <f t="shared" si="41"/>
        <v>0</v>
      </c>
      <c r="KHM3">
        <f t="shared" si="42"/>
        <v>0</v>
      </c>
      <c r="KHN3">
        <f t="shared" si="43"/>
        <v>0</v>
      </c>
      <c r="KHO3">
        <f t="shared" si="44"/>
        <v>0</v>
      </c>
      <c r="KHP3">
        <f t="shared" si="45"/>
        <v>0</v>
      </c>
      <c r="KHQ3">
        <f t="shared" si="46"/>
        <v>0</v>
      </c>
      <c r="KHR3">
        <f t="shared" si="47"/>
        <v>0</v>
      </c>
      <c r="KHS3">
        <f t="shared" si="48"/>
        <v>0</v>
      </c>
      <c r="KHT3">
        <f t="shared" si="49"/>
        <v>0</v>
      </c>
      <c r="KHU3">
        <f t="shared" si="50"/>
        <v>0</v>
      </c>
      <c r="KHV3">
        <f t="shared" si="51"/>
        <v>0</v>
      </c>
      <c r="KHW3">
        <f t="shared" si="52"/>
        <v>0</v>
      </c>
      <c r="KHX3">
        <f t="shared" si="53"/>
        <v>0</v>
      </c>
      <c r="KHY3">
        <f t="shared" si="54"/>
        <v>0</v>
      </c>
      <c r="KHZ3">
        <f t="shared" si="55"/>
        <v>0</v>
      </c>
      <c r="KIA3">
        <f t="shared" si="56"/>
        <v>0</v>
      </c>
      <c r="KIB3">
        <f t="shared" si="57"/>
        <v>0</v>
      </c>
      <c r="KIC3">
        <f t="shared" si="58"/>
        <v>0</v>
      </c>
      <c r="KID3">
        <f t="shared" si="59"/>
        <v>0</v>
      </c>
      <c r="KIE3">
        <f t="shared" si="60"/>
        <v>0</v>
      </c>
      <c r="KIF3">
        <f t="shared" si="61"/>
        <v>0</v>
      </c>
      <c r="KIG3">
        <f t="shared" si="62"/>
        <v>0</v>
      </c>
      <c r="KIH3">
        <f t="shared" si="63"/>
        <v>0</v>
      </c>
      <c r="KII3">
        <f t="shared" si="64"/>
        <v>0</v>
      </c>
      <c r="KIJ3">
        <f t="shared" si="65"/>
        <v>0</v>
      </c>
      <c r="KIK3">
        <f t="shared" si="66"/>
        <v>0</v>
      </c>
      <c r="KIL3">
        <f t="shared" si="67"/>
        <v>0</v>
      </c>
      <c r="KIM3">
        <f t="shared" si="68"/>
        <v>0</v>
      </c>
      <c r="KIN3">
        <f t="shared" si="69"/>
        <v>0</v>
      </c>
      <c r="KIO3">
        <f t="shared" si="70"/>
        <v>0</v>
      </c>
      <c r="KIP3">
        <f t="shared" si="71"/>
        <v>0</v>
      </c>
      <c r="KIQ3">
        <f t="shared" si="72"/>
        <v>0</v>
      </c>
      <c r="KIR3">
        <f t="shared" si="73"/>
        <v>0</v>
      </c>
      <c r="KIS3">
        <f t="shared" si="74"/>
        <v>0</v>
      </c>
      <c r="KIT3">
        <f t="shared" si="75"/>
        <v>0</v>
      </c>
      <c r="KIU3">
        <f t="shared" si="76"/>
        <v>0</v>
      </c>
      <c r="KIV3">
        <f t="shared" si="77"/>
        <v>0</v>
      </c>
      <c r="KIW3">
        <f t="shared" si="78"/>
        <v>0</v>
      </c>
      <c r="KIX3">
        <f t="shared" si="79"/>
        <v>0</v>
      </c>
      <c r="KIY3">
        <f t="shared" si="80"/>
        <v>0</v>
      </c>
      <c r="KIZ3">
        <f t="shared" si="81"/>
        <v>0</v>
      </c>
      <c r="KJA3">
        <f t="shared" si="82"/>
        <v>0</v>
      </c>
      <c r="KJB3">
        <f t="shared" si="83"/>
        <v>0</v>
      </c>
      <c r="KJC3">
        <f t="shared" si="84"/>
        <v>0</v>
      </c>
      <c r="KJD3">
        <f t="shared" si="85"/>
        <v>0</v>
      </c>
      <c r="KJE3">
        <f t="shared" si="86"/>
        <v>0</v>
      </c>
      <c r="KJF3">
        <f t="shared" si="87"/>
        <v>0</v>
      </c>
      <c r="KJG3">
        <f t="shared" si="88"/>
        <v>0</v>
      </c>
      <c r="KJH3">
        <f t="shared" si="89"/>
        <v>0</v>
      </c>
      <c r="KJI3">
        <f t="shared" si="90"/>
        <v>0</v>
      </c>
      <c r="KJJ3">
        <f t="shared" si="91"/>
        <v>0</v>
      </c>
      <c r="KJK3">
        <f t="shared" si="92"/>
        <v>0</v>
      </c>
      <c r="KJL3">
        <f t="shared" si="93"/>
        <v>0</v>
      </c>
      <c r="KJM3">
        <f t="shared" si="94"/>
        <v>0</v>
      </c>
      <c r="KJN3">
        <f t="shared" si="95"/>
        <v>0</v>
      </c>
      <c r="KJO3">
        <f t="shared" si="96"/>
        <v>0</v>
      </c>
      <c r="KJP3">
        <f t="shared" si="97"/>
        <v>0</v>
      </c>
      <c r="KJQ3">
        <f t="shared" si="98"/>
        <v>0</v>
      </c>
      <c r="KJR3">
        <f t="shared" si="99"/>
        <v>0</v>
      </c>
      <c r="KJT3">
        <f t="shared" ref="KJT3:KJV49" si="100">SUM($KFW3:$KJS3)</f>
        <v>2047</v>
      </c>
      <c r="KJU3">
        <f t="shared" si="100"/>
        <v>2047</v>
      </c>
      <c r="KJW3">
        <f t="shared" ref="KJW3:KJY49" si="101">$KJT3*40/1000</f>
        <v>81.88</v>
      </c>
      <c r="KJX3">
        <f t="shared" si="101"/>
        <v>81.88</v>
      </c>
    </row>
    <row r="4" spans="1:7721">
      <c r="A4" t="s">
        <v>3</v>
      </c>
      <c r="B4">
        <v>8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BEE4">
        <v>2</v>
      </c>
      <c r="BEF4">
        <v>2</v>
      </c>
      <c r="BEG4">
        <v>2</v>
      </c>
      <c r="BEH4">
        <v>2</v>
      </c>
      <c r="BEI4">
        <v>2</v>
      </c>
      <c r="BEJ4">
        <v>2</v>
      </c>
      <c r="BEK4">
        <v>2</v>
      </c>
      <c r="BEL4">
        <v>2</v>
      </c>
      <c r="BEM4">
        <v>2</v>
      </c>
      <c r="BEN4">
        <v>2</v>
      </c>
      <c r="BEO4">
        <v>2</v>
      </c>
      <c r="BEP4">
        <v>2</v>
      </c>
      <c r="BEQ4">
        <v>2</v>
      </c>
      <c r="BER4">
        <v>2</v>
      </c>
      <c r="BES4">
        <v>2</v>
      </c>
      <c r="BET4">
        <v>2</v>
      </c>
      <c r="BEU4">
        <v>2</v>
      </c>
      <c r="BEV4">
        <v>2</v>
      </c>
      <c r="BEW4">
        <v>2</v>
      </c>
      <c r="BEX4">
        <v>2</v>
      </c>
      <c r="BEY4">
        <v>2</v>
      </c>
      <c r="BEZ4">
        <v>2</v>
      </c>
      <c r="BFA4">
        <v>2</v>
      </c>
      <c r="BFB4">
        <v>2</v>
      </c>
      <c r="BFC4">
        <v>2</v>
      </c>
      <c r="BFD4">
        <v>2</v>
      </c>
      <c r="BFE4">
        <v>2</v>
      </c>
      <c r="BFF4">
        <v>2</v>
      </c>
      <c r="BFG4">
        <v>2</v>
      </c>
      <c r="BFH4">
        <v>2</v>
      </c>
      <c r="BFI4">
        <v>2</v>
      </c>
      <c r="BFJ4">
        <v>2</v>
      </c>
      <c r="BFK4">
        <v>2</v>
      </c>
      <c r="BFL4">
        <v>2</v>
      </c>
      <c r="BFM4">
        <v>2</v>
      </c>
      <c r="BFN4">
        <v>2</v>
      </c>
      <c r="BFO4">
        <v>2</v>
      </c>
      <c r="BFP4">
        <v>2</v>
      </c>
      <c r="BFQ4">
        <v>2</v>
      </c>
      <c r="BFR4">
        <v>2</v>
      </c>
      <c r="BFS4">
        <v>2</v>
      </c>
      <c r="BFT4">
        <v>2</v>
      </c>
      <c r="BFU4">
        <v>2</v>
      </c>
      <c r="BFV4">
        <v>2</v>
      </c>
      <c r="BFW4">
        <v>2</v>
      </c>
      <c r="BFX4">
        <v>2</v>
      </c>
      <c r="BFY4">
        <v>2</v>
      </c>
      <c r="BFZ4">
        <v>2</v>
      </c>
      <c r="BGA4">
        <v>2</v>
      </c>
      <c r="BGB4">
        <v>2</v>
      </c>
      <c r="BGC4">
        <v>2</v>
      </c>
      <c r="BGD4">
        <v>2</v>
      </c>
      <c r="BGE4">
        <v>2</v>
      </c>
      <c r="BGF4">
        <v>2</v>
      </c>
      <c r="BGG4">
        <v>2</v>
      </c>
      <c r="BGH4">
        <v>2</v>
      </c>
      <c r="BGI4">
        <v>2</v>
      </c>
      <c r="BGJ4">
        <v>2</v>
      </c>
      <c r="BGK4">
        <v>2</v>
      </c>
      <c r="BGL4">
        <v>2</v>
      </c>
      <c r="BGM4">
        <v>2</v>
      </c>
      <c r="BGN4">
        <v>2</v>
      </c>
      <c r="BGO4">
        <v>2</v>
      </c>
      <c r="BGP4">
        <v>2</v>
      </c>
      <c r="BGQ4">
        <v>2</v>
      </c>
      <c r="BGR4">
        <v>2</v>
      </c>
      <c r="BGS4">
        <v>2</v>
      </c>
      <c r="BGT4">
        <v>2</v>
      </c>
      <c r="BGU4">
        <v>2</v>
      </c>
      <c r="BGV4">
        <v>2</v>
      </c>
      <c r="BGW4">
        <v>2</v>
      </c>
      <c r="BGX4">
        <v>2</v>
      </c>
      <c r="BGY4">
        <v>2</v>
      </c>
      <c r="BGZ4">
        <v>2</v>
      </c>
      <c r="BHA4">
        <v>2</v>
      </c>
      <c r="BHB4">
        <v>2</v>
      </c>
      <c r="BHC4">
        <v>2</v>
      </c>
      <c r="BHD4">
        <v>2</v>
      </c>
      <c r="BHE4">
        <v>2</v>
      </c>
      <c r="BHF4">
        <v>2</v>
      </c>
      <c r="BHG4">
        <v>2</v>
      </c>
      <c r="BHH4">
        <v>2</v>
      </c>
      <c r="BHI4">
        <v>2</v>
      </c>
      <c r="BHJ4">
        <v>2</v>
      </c>
      <c r="BHK4">
        <v>2</v>
      </c>
      <c r="BHL4">
        <v>2</v>
      </c>
      <c r="BHM4">
        <v>2</v>
      </c>
      <c r="BHN4">
        <v>2</v>
      </c>
      <c r="BHO4">
        <v>2</v>
      </c>
      <c r="BHP4">
        <v>2</v>
      </c>
      <c r="BHQ4">
        <v>2</v>
      </c>
      <c r="BHR4">
        <v>2</v>
      </c>
      <c r="BHS4">
        <v>2</v>
      </c>
      <c r="BHT4">
        <v>2</v>
      </c>
      <c r="BHU4">
        <v>2</v>
      </c>
      <c r="BHV4">
        <v>2</v>
      </c>
      <c r="BHW4">
        <v>2</v>
      </c>
      <c r="BHX4">
        <v>2</v>
      </c>
      <c r="BHY4">
        <v>2</v>
      </c>
      <c r="BHZ4">
        <v>2</v>
      </c>
      <c r="BIA4">
        <v>2</v>
      </c>
      <c r="BIB4">
        <v>2</v>
      </c>
      <c r="BIC4">
        <v>2</v>
      </c>
      <c r="BID4">
        <v>2</v>
      </c>
      <c r="BIE4">
        <v>2</v>
      </c>
      <c r="BIF4">
        <v>2</v>
      </c>
      <c r="BIG4">
        <v>2</v>
      </c>
      <c r="BIH4">
        <v>2</v>
      </c>
      <c r="BII4">
        <v>2</v>
      </c>
      <c r="BIJ4">
        <v>2</v>
      </c>
      <c r="BIK4">
        <v>2</v>
      </c>
      <c r="BIL4">
        <v>2</v>
      </c>
      <c r="BIM4">
        <v>2</v>
      </c>
      <c r="BIN4">
        <v>2</v>
      </c>
      <c r="BIO4">
        <v>2</v>
      </c>
      <c r="BIP4">
        <v>2</v>
      </c>
      <c r="BIQ4">
        <v>2</v>
      </c>
      <c r="BIR4">
        <v>2</v>
      </c>
      <c r="BIS4">
        <v>2</v>
      </c>
      <c r="BIT4">
        <v>2</v>
      </c>
      <c r="BIU4">
        <v>2</v>
      </c>
      <c r="BIV4">
        <v>2</v>
      </c>
      <c r="BIW4">
        <v>2</v>
      </c>
      <c r="BIX4">
        <v>2</v>
      </c>
      <c r="BIY4">
        <v>2</v>
      </c>
      <c r="BIZ4">
        <v>2</v>
      </c>
      <c r="BJA4">
        <v>2</v>
      </c>
      <c r="BJB4">
        <v>2</v>
      </c>
      <c r="BJC4">
        <v>2</v>
      </c>
      <c r="BJD4">
        <v>2</v>
      </c>
      <c r="BJE4">
        <v>2</v>
      </c>
      <c r="BJF4">
        <v>2</v>
      </c>
      <c r="BJG4">
        <v>2</v>
      </c>
      <c r="BJH4">
        <v>2</v>
      </c>
      <c r="BJI4">
        <v>2</v>
      </c>
      <c r="BJJ4">
        <v>2</v>
      </c>
      <c r="BJK4">
        <v>2</v>
      </c>
      <c r="BJL4">
        <v>2</v>
      </c>
      <c r="BJM4">
        <v>2</v>
      </c>
      <c r="BJN4">
        <v>2</v>
      </c>
      <c r="BJO4">
        <v>2</v>
      </c>
      <c r="BJP4">
        <v>2</v>
      </c>
      <c r="BJQ4">
        <v>2</v>
      </c>
      <c r="BJR4">
        <v>2</v>
      </c>
      <c r="BJS4">
        <v>2</v>
      </c>
      <c r="BJT4">
        <v>2</v>
      </c>
      <c r="BJU4">
        <v>2</v>
      </c>
      <c r="BJV4">
        <v>2</v>
      </c>
      <c r="BJW4">
        <v>2</v>
      </c>
      <c r="BJX4">
        <v>2</v>
      </c>
      <c r="BJY4">
        <v>2</v>
      </c>
      <c r="BJZ4">
        <v>2</v>
      </c>
      <c r="BKA4">
        <v>2</v>
      </c>
      <c r="BKB4">
        <v>2</v>
      </c>
      <c r="BKC4">
        <v>2</v>
      </c>
      <c r="BKD4">
        <v>2</v>
      </c>
      <c r="BKE4">
        <v>2</v>
      </c>
      <c r="BKF4">
        <v>2</v>
      </c>
      <c r="BKG4">
        <v>2</v>
      </c>
      <c r="BKH4">
        <v>2</v>
      </c>
      <c r="BKI4">
        <v>2</v>
      </c>
      <c r="BKJ4">
        <v>2</v>
      </c>
      <c r="BKK4">
        <v>2</v>
      </c>
      <c r="BKL4">
        <v>2</v>
      </c>
      <c r="BKM4">
        <v>2</v>
      </c>
      <c r="BKN4">
        <v>2</v>
      </c>
      <c r="BKO4">
        <v>2</v>
      </c>
      <c r="BKP4">
        <v>2</v>
      </c>
      <c r="BKQ4">
        <v>2</v>
      </c>
      <c r="BKR4">
        <v>2</v>
      </c>
      <c r="BKS4">
        <v>2</v>
      </c>
      <c r="BKT4">
        <v>2</v>
      </c>
      <c r="BKU4">
        <v>2</v>
      </c>
      <c r="BKV4">
        <v>2</v>
      </c>
      <c r="BKW4">
        <v>2</v>
      </c>
      <c r="BKX4">
        <v>2</v>
      </c>
      <c r="BKY4">
        <v>2</v>
      </c>
      <c r="BKZ4">
        <v>2</v>
      </c>
      <c r="BLA4">
        <v>2</v>
      </c>
      <c r="BLB4">
        <v>2</v>
      </c>
      <c r="BLC4">
        <v>2</v>
      </c>
      <c r="BLD4">
        <v>2</v>
      </c>
      <c r="BLE4">
        <v>2</v>
      </c>
      <c r="BLF4">
        <v>2</v>
      </c>
      <c r="BLG4">
        <v>2</v>
      </c>
      <c r="BLH4">
        <v>2</v>
      </c>
      <c r="BLI4">
        <v>2</v>
      </c>
      <c r="BLJ4">
        <v>2</v>
      </c>
      <c r="BLK4">
        <v>2</v>
      </c>
      <c r="BLL4">
        <v>2</v>
      </c>
      <c r="BLM4">
        <v>2</v>
      </c>
      <c r="BLN4">
        <v>2</v>
      </c>
      <c r="BLO4">
        <v>2</v>
      </c>
      <c r="BLP4">
        <v>2</v>
      </c>
      <c r="BLQ4">
        <v>2</v>
      </c>
      <c r="BLR4">
        <v>2</v>
      </c>
      <c r="BLS4">
        <v>2</v>
      </c>
      <c r="BLT4">
        <v>2</v>
      </c>
      <c r="BLU4">
        <v>2</v>
      </c>
      <c r="BLV4">
        <v>2</v>
      </c>
      <c r="BLW4">
        <v>2</v>
      </c>
      <c r="BLX4">
        <v>2</v>
      </c>
      <c r="BLY4">
        <v>2</v>
      </c>
      <c r="BLZ4">
        <v>2</v>
      </c>
      <c r="BMA4">
        <v>2</v>
      </c>
      <c r="BMB4">
        <v>2</v>
      </c>
      <c r="BMC4">
        <v>2</v>
      </c>
      <c r="BMD4">
        <v>2</v>
      </c>
      <c r="BME4">
        <v>2</v>
      </c>
      <c r="BMF4">
        <v>2</v>
      </c>
      <c r="BMG4">
        <v>2</v>
      </c>
      <c r="BMH4">
        <v>2</v>
      </c>
      <c r="BMI4">
        <v>2</v>
      </c>
      <c r="BMJ4">
        <v>2</v>
      </c>
      <c r="BMK4">
        <v>2</v>
      </c>
      <c r="BML4">
        <v>2</v>
      </c>
      <c r="BMM4">
        <v>2</v>
      </c>
      <c r="BMN4">
        <v>2</v>
      </c>
      <c r="BMO4">
        <v>2</v>
      </c>
      <c r="BMP4">
        <v>2</v>
      </c>
      <c r="BMQ4">
        <v>2</v>
      </c>
      <c r="BMR4">
        <v>2</v>
      </c>
      <c r="BMS4">
        <v>2</v>
      </c>
      <c r="BMT4">
        <v>2</v>
      </c>
      <c r="BMU4">
        <v>2</v>
      </c>
      <c r="BMV4">
        <v>2</v>
      </c>
      <c r="BMW4">
        <v>2</v>
      </c>
      <c r="BMX4">
        <v>2</v>
      </c>
      <c r="BMY4">
        <v>2</v>
      </c>
      <c r="BMZ4">
        <v>2</v>
      </c>
      <c r="BNA4">
        <v>2</v>
      </c>
      <c r="BNB4">
        <v>2</v>
      </c>
      <c r="BNC4">
        <v>2</v>
      </c>
      <c r="BND4">
        <v>2</v>
      </c>
      <c r="BNE4">
        <v>2</v>
      </c>
      <c r="BNF4">
        <v>2</v>
      </c>
      <c r="BNG4">
        <v>2</v>
      </c>
      <c r="BNH4">
        <v>2</v>
      </c>
      <c r="BNI4">
        <v>2</v>
      </c>
      <c r="BNJ4">
        <v>2</v>
      </c>
      <c r="BNK4">
        <v>2</v>
      </c>
      <c r="BNL4">
        <v>2</v>
      </c>
      <c r="BNM4">
        <v>2</v>
      </c>
      <c r="BNN4">
        <v>2</v>
      </c>
      <c r="BNO4">
        <v>2</v>
      </c>
      <c r="BNP4">
        <v>2</v>
      </c>
      <c r="BNQ4">
        <v>2</v>
      </c>
      <c r="BNR4">
        <v>2</v>
      </c>
      <c r="BNS4">
        <v>2</v>
      </c>
      <c r="BNT4">
        <v>2</v>
      </c>
      <c r="BNU4">
        <v>2</v>
      </c>
      <c r="BNV4">
        <v>2</v>
      </c>
      <c r="BNW4">
        <v>2</v>
      </c>
      <c r="BNX4">
        <v>2</v>
      </c>
      <c r="BNY4">
        <v>2</v>
      </c>
      <c r="BNZ4">
        <v>2</v>
      </c>
      <c r="BOA4">
        <v>2</v>
      </c>
      <c r="BOB4">
        <v>2</v>
      </c>
      <c r="BOC4">
        <v>2</v>
      </c>
      <c r="BOD4">
        <v>2</v>
      </c>
      <c r="BOE4">
        <v>2</v>
      </c>
      <c r="BOF4">
        <v>2</v>
      </c>
      <c r="BOG4">
        <v>2</v>
      </c>
      <c r="BOH4">
        <v>2</v>
      </c>
      <c r="BOI4">
        <v>2</v>
      </c>
      <c r="BOJ4">
        <v>2</v>
      </c>
      <c r="BOK4">
        <v>2</v>
      </c>
      <c r="BOL4">
        <v>2</v>
      </c>
      <c r="BOM4">
        <v>2</v>
      </c>
      <c r="BON4">
        <v>2</v>
      </c>
      <c r="BOO4">
        <v>2</v>
      </c>
      <c r="BOP4">
        <v>2</v>
      </c>
      <c r="BOQ4">
        <v>2</v>
      </c>
      <c r="BOR4">
        <v>2</v>
      </c>
      <c r="BOS4">
        <v>2</v>
      </c>
      <c r="BOT4">
        <v>2</v>
      </c>
      <c r="BOU4">
        <v>2</v>
      </c>
      <c r="BOV4">
        <v>2</v>
      </c>
      <c r="BOW4">
        <v>2</v>
      </c>
      <c r="BOX4">
        <v>2</v>
      </c>
      <c r="BOY4">
        <v>2</v>
      </c>
      <c r="BOZ4">
        <v>2</v>
      </c>
      <c r="BPA4">
        <v>2</v>
      </c>
      <c r="BPB4">
        <v>2</v>
      </c>
      <c r="BPC4">
        <v>2</v>
      </c>
      <c r="BPD4">
        <v>2</v>
      </c>
      <c r="BPE4">
        <v>2</v>
      </c>
      <c r="BPF4">
        <v>2</v>
      </c>
      <c r="BPG4">
        <v>2</v>
      </c>
      <c r="BPH4">
        <v>2</v>
      </c>
      <c r="BPI4">
        <v>2</v>
      </c>
      <c r="BPJ4">
        <v>2</v>
      </c>
      <c r="BPK4">
        <v>2</v>
      </c>
      <c r="BPL4">
        <v>2</v>
      </c>
      <c r="BPM4">
        <v>2</v>
      </c>
      <c r="BPN4">
        <v>2</v>
      </c>
      <c r="BPO4">
        <v>2</v>
      </c>
      <c r="BPP4">
        <v>2</v>
      </c>
      <c r="BPQ4">
        <v>2</v>
      </c>
      <c r="BPR4">
        <v>2</v>
      </c>
      <c r="BPS4">
        <v>2</v>
      </c>
      <c r="BPT4">
        <v>2</v>
      </c>
      <c r="BPU4">
        <v>2</v>
      </c>
      <c r="BPV4">
        <v>2</v>
      </c>
      <c r="BPW4">
        <v>2</v>
      </c>
      <c r="BPX4">
        <v>2</v>
      </c>
      <c r="BPY4">
        <v>2</v>
      </c>
      <c r="BPZ4">
        <v>2</v>
      </c>
      <c r="BQA4">
        <v>2</v>
      </c>
      <c r="BQB4">
        <v>2</v>
      </c>
      <c r="BQC4">
        <v>2</v>
      </c>
      <c r="BQD4">
        <v>2</v>
      </c>
      <c r="BQE4">
        <v>2</v>
      </c>
      <c r="BQF4">
        <v>2</v>
      </c>
      <c r="BQG4">
        <v>2</v>
      </c>
      <c r="BQH4">
        <v>2</v>
      </c>
      <c r="BQI4">
        <v>2</v>
      </c>
      <c r="BQJ4">
        <v>2</v>
      </c>
      <c r="BQK4">
        <v>2</v>
      </c>
      <c r="BQL4">
        <v>2</v>
      </c>
      <c r="BQM4">
        <v>2</v>
      </c>
      <c r="BQN4">
        <v>2</v>
      </c>
      <c r="BQO4">
        <v>2</v>
      </c>
      <c r="BQP4">
        <v>2</v>
      </c>
      <c r="BQQ4">
        <v>2</v>
      </c>
      <c r="BQR4">
        <v>2</v>
      </c>
      <c r="BQS4">
        <v>2</v>
      </c>
      <c r="BQT4">
        <v>2</v>
      </c>
      <c r="BQU4">
        <v>2</v>
      </c>
      <c r="BQV4">
        <v>2</v>
      </c>
      <c r="BQW4">
        <v>2</v>
      </c>
      <c r="BQX4">
        <v>2</v>
      </c>
      <c r="BQY4">
        <v>2</v>
      </c>
      <c r="BQZ4">
        <v>2</v>
      </c>
      <c r="BRA4">
        <v>2</v>
      </c>
      <c r="BRB4">
        <v>2</v>
      </c>
      <c r="BRC4">
        <v>2</v>
      </c>
      <c r="BRD4">
        <v>2</v>
      </c>
      <c r="BRE4">
        <v>2</v>
      </c>
      <c r="BRF4">
        <v>2</v>
      </c>
      <c r="BRG4">
        <v>2</v>
      </c>
      <c r="BRH4">
        <v>2</v>
      </c>
      <c r="BRI4">
        <v>2</v>
      </c>
      <c r="BRJ4">
        <v>2</v>
      </c>
      <c r="BRK4">
        <v>2</v>
      </c>
      <c r="BRL4">
        <v>2</v>
      </c>
      <c r="BRM4">
        <v>2</v>
      </c>
      <c r="BRN4">
        <v>2</v>
      </c>
      <c r="BRO4">
        <v>2</v>
      </c>
      <c r="BRP4">
        <v>2</v>
      </c>
      <c r="BRQ4">
        <v>2</v>
      </c>
      <c r="BRR4">
        <v>2</v>
      </c>
      <c r="BRS4">
        <v>2</v>
      </c>
      <c r="BRT4">
        <v>2</v>
      </c>
      <c r="BRU4">
        <v>2</v>
      </c>
      <c r="BRV4">
        <v>2</v>
      </c>
      <c r="BRW4">
        <v>2</v>
      </c>
      <c r="BRX4">
        <v>2</v>
      </c>
      <c r="BRY4">
        <v>2</v>
      </c>
      <c r="BRZ4">
        <v>2</v>
      </c>
      <c r="BSA4">
        <v>2</v>
      </c>
      <c r="BSB4">
        <v>2</v>
      </c>
      <c r="BSC4">
        <v>2</v>
      </c>
      <c r="BSD4">
        <v>2</v>
      </c>
      <c r="BSE4">
        <v>2</v>
      </c>
      <c r="BSF4">
        <v>2</v>
      </c>
      <c r="BSG4">
        <v>2</v>
      </c>
      <c r="BSH4">
        <v>2</v>
      </c>
      <c r="BSI4">
        <v>2</v>
      </c>
      <c r="BSJ4">
        <v>2</v>
      </c>
      <c r="BSK4">
        <v>2</v>
      </c>
      <c r="BSL4">
        <v>2</v>
      </c>
      <c r="BSM4">
        <v>2</v>
      </c>
      <c r="BSN4">
        <v>2</v>
      </c>
      <c r="BSO4">
        <v>2</v>
      </c>
      <c r="BSP4">
        <v>2</v>
      </c>
      <c r="BSQ4">
        <v>2</v>
      </c>
      <c r="BSR4">
        <v>2</v>
      </c>
      <c r="BSS4">
        <v>2</v>
      </c>
      <c r="BST4">
        <v>2</v>
      </c>
      <c r="BSU4">
        <v>2</v>
      </c>
      <c r="BSV4">
        <v>2</v>
      </c>
      <c r="BSW4">
        <v>2</v>
      </c>
      <c r="BSX4">
        <v>2</v>
      </c>
      <c r="BSY4">
        <v>2</v>
      </c>
      <c r="BSZ4">
        <v>2</v>
      </c>
      <c r="BTA4">
        <v>2</v>
      </c>
      <c r="BTB4">
        <v>2</v>
      </c>
      <c r="BTC4">
        <v>2</v>
      </c>
      <c r="BTD4">
        <v>2</v>
      </c>
      <c r="BTE4">
        <v>2</v>
      </c>
      <c r="BTF4">
        <v>2</v>
      </c>
      <c r="BTG4">
        <v>2</v>
      </c>
      <c r="BTH4">
        <v>2</v>
      </c>
      <c r="BTI4">
        <v>2</v>
      </c>
      <c r="BTJ4">
        <v>2</v>
      </c>
      <c r="BTK4">
        <v>2</v>
      </c>
      <c r="BTL4">
        <v>2</v>
      </c>
      <c r="BTM4">
        <v>2</v>
      </c>
      <c r="BTN4">
        <v>2</v>
      </c>
      <c r="BTO4">
        <v>2</v>
      </c>
      <c r="BTP4">
        <v>2</v>
      </c>
      <c r="BTQ4">
        <v>2</v>
      </c>
      <c r="BTR4">
        <v>2</v>
      </c>
      <c r="BTS4">
        <v>2</v>
      </c>
      <c r="BTT4">
        <v>2</v>
      </c>
      <c r="BTU4">
        <v>2</v>
      </c>
      <c r="BTV4">
        <v>2</v>
      </c>
      <c r="BTW4">
        <v>2</v>
      </c>
      <c r="BTX4">
        <v>2</v>
      </c>
      <c r="BTY4">
        <v>2</v>
      </c>
      <c r="BTZ4">
        <v>2</v>
      </c>
      <c r="BUA4">
        <v>2</v>
      </c>
      <c r="BUB4">
        <v>2</v>
      </c>
      <c r="BUC4">
        <v>2</v>
      </c>
      <c r="BUD4">
        <v>2</v>
      </c>
      <c r="BUE4">
        <v>2</v>
      </c>
      <c r="BUF4">
        <v>2</v>
      </c>
      <c r="BUG4">
        <v>2</v>
      </c>
      <c r="BUH4">
        <v>2</v>
      </c>
      <c r="BUI4">
        <v>2</v>
      </c>
      <c r="BUJ4">
        <v>2</v>
      </c>
      <c r="BUK4">
        <v>2</v>
      </c>
      <c r="BUL4">
        <v>2</v>
      </c>
      <c r="BUM4">
        <v>2</v>
      </c>
      <c r="BUN4">
        <v>2</v>
      </c>
      <c r="BUO4">
        <v>2</v>
      </c>
      <c r="BUP4">
        <v>2</v>
      </c>
      <c r="BUQ4">
        <v>2</v>
      </c>
      <c r="BUR4">
        <v>2</v>
      </c>
      <c r="BUS4">
        <v>2</v>
      </c>
      <c r="BUT4">
        <v>2</v>
      </c>
      <c r="BUU4">
        <v>2</v>
      </c>
      <c r="BUV4">
        <v>2</v>
      </c>
      <c r="BUW4">
        <v>2</v>
      </c>
      <c r="BUX4">
        <v>2</v>
      </c>
      <c r="BUY4">
        <v>2</v>
      </c>
      <c r="BUZ4">
        <v>2</v>
      </c>
      <c r="BVA4">
        <v>2</v>
      </c>
      <c r="BVB4">
        <v>2</v>
      </c>
      <c r="BVC4">
        <v>2</v>
      </c>
      <c r="BVD4">
        <v>2</v>
      </c>
      <c r="BVE4">
        <v>2</v>
      </c>
      <c r="BVF4">
        <v>2</v>
      </c>
      <c r="BVG4">
        <v>2</v>
      </c>
      <c r="BVH4">
        <v>2</v>
      </c>
      <c r="BVI4">
        <v>2</v>
      </c>
      <c r="BVJ4">
        <v>2</v>
      </c>
      <c r="BVK4">
        <v>2</v>
      </c>
      <c r="BVL4">
        <v>2</v>
      </c>
      <c r="BVM4">
        <v>2</v>
      </c>
      <c r="BVN4">
        <v>2</v>
      </c>
      <c r="BVO4">
        <v>2</v>
      </c>
      <c r="BVP4">
        <v>2</v>
      </c>
      <c r="BVQ4">
        <v>2</v>
      </c>
      <c r="BVR4">
        <v>2</v>
      </c>
      <c r="BVS4">
        <v>2</v>
      </c>
      <c r="BVT4">
        <v>2</v>
      </c>
      <c r="BVU4">
        <v>2</v>
      </c>
      <c r="BVV4">
        <v>2</v>
      </c>
      <c r="BVW4">
        <v>2</v>
      </c>
      <c r="BVX4">
        <v>2</v>
      </c>
      <c r="BVY4">
        <v>2</v>
      </c>
      <c r="BVZ4">
        <v>2</v>
      </c>
      <c r="BWA4">
        <v>2</v>
      </c>
      <c r="BWB4">
        <v>2</v>
      </c>
      <c r="BWC4">
        <v>2</v>
      </c>
      <c r="BWD4">
        <v>2</v>
      </c>
      <c r="BWE4">
        <v>2</v>
      </c>
      <c r="BWF4">
        <v>2</v>
      </c>
      <c r="BWG4">
        <v>2</v>
      </c>
      <c r="BWH4">
        <v>2</v>
      </c>
      <c r="BWI4">
        <v>2</v>
      </c>
      <c r="BWJ4">
        <v>2</v>
      </c>
      <c r="BWK4">
        <v>2</v>
      </c>
      <c r="BWL4">
        <v>2</v>
      </c>
      <c r="BWM4">
        <v>2</v>
      </c>
      <c r="BWN4">
        <v>2</v>
      </c>
      <c r="BWO4">
        <v>2</v>
      </c>
      <c r="BWP4">
        <v>2</v>
      </c>
      <c r="BWQ4">
        <v>2</v>
      </c>
      <c r="BWR4">
        <v>2</v>
      </c>
      <c r="BWS4">
        <v>2</v>
      </c>
      <c r="BWT4">
        <v>2</v>
      </c>
      <c r="BWU4">
        <v>2</v>
      </c>
      <c r="BWV4">
        <v>2</v>
      </c>
      <c r="BWW4">
        <v>2</v>
      </c>
      <c r="BWX4">
        <v>2</v>
      </c>
      <c r="BWY4">
        <v>2</v>
      </c>
      <c r="BWZ4">
        <v>2</v>
      </c>
      <c r="BXA4">
        <v>2</v>
      </c>
      <c r="BXB4">
        <v>2</v>
      </c>
      <c r="BXC4">
        <v>2</v>
      </c>
      <c r="BXD4">
        <v>2</v>
      </c>
      <c r="BXE4">
        <v>2</v>
      </c>
      <c r="BXF4">
        <v>2</v>
      </c>
      <c r="BXG4">
        <v>2</v>
      </c>
      <c r="BXH4">
        <v>2</v>
      </c>
      <c r="BXI4">
        <v>2</v>
      </c>
      <c r="BXJ4">
        <v>2</v>
      </c>
      <c r="BXK4">
        <v>2</v>
      </c>
      <c r="BXL4">
        <v>2</v>
      </c>
      <c r="BXM4">
        <v>2</v>
      </c>
      <c r="BXN4">
        <v>2</v>
      </c>
      <c r="BXO4">
        <v>2</v>
      </c>
      <c r="BXP4">
        <v>2</v>
      </c>
      <c r="BXQ4">
        <v>2</v>
      </c>
      <c r="BXR4">
        <v>2</v>
      </c>
      <c r="BXS4">
        <v>2</v>
      </c>
      <c r="BXT4">
        <v>2</v>
      </c>
      <c r="BXU4">
        <v>2</v>
      </c>
      <c r="BXV4">
        <v>2</v>
      </c>
      <c r="BXW4">
        <v>2</v>
      </c>
      <c r="BXX4">
        <v>2</v>
      </c>
      <c r="BXY4">
        <v>2</v>
      </c>
      <c r="BXZ4">
        <v>2</v>
      </c>
      <c r="BYA4">
        <v>2</v>
      </c>
      <c r="BYB4">
        <v>2</v>
      </c>
      <c r="BYC4">
        <v>2</v>
      </c>
      <c r="BYD4">
        <v>2</v>
      </c>
      <c r="BYE4">
        <v>2</v>
      </c>
      <c r="BYF4">
        <v>2</v>
      </c>
      <c r="BYG4">
        <v>2</v>
      </c>
      <c r="BYH4">
        <v>2</v>
      </c>
      <c r="BYI4">
        <v>2</v>
      </c>
      <c r="BYJ4">
        <v>2</v>
      </c>
      <c r="BYK4">
        <v>2</v>
      </c>
      <c r="BYL4">
        <v>2</v>
      </c>
      <c r="BYM4">
        <v>2</v>
      </c>
      <c r="BYN4">
        <v>2</v>
      </c>
      <c r="BYO4">
        <v>2</v>
      </c>
      <c r="BYP4">
        <v>2</v>
      </c>
      <c r="BYQ4">
        <v>2</v>
      </c>
      <c r="BYR4">
        <v>2</v>
      </c>
      <c r="BYS4">
        <v>2</v>
      </c>
      <c r="BYT4">
        <v>2</v>
      </c>
      <c r="BYU4">
        <v>2</v>
      </c>
      <c r="BYV4">
        <v>2</v>
      </c>
      <c r="BYW4">
        <v>2</v>
      </c>
      <c r="BYX4">
        <v>2</v>
      </c>
      <c r="BYY4">
        <v>2</v>
      </c>
      <c r="BYZ4">
        <v>2</v>
      </c>
      <c r="BZA4">
        <v>2</v>
      </c>
      <c r="BZB4">
        <v>2</v>
      </c>
      <c r="BZC4">
        <v>2</v>
      </c>
      <c r="BZD4">
        <v>2</v>
      </c>
      <c r="BZE4">
        <v>2</v>
      </c>
      <c r="BZF4">
        <v>2</v>
      </c>
      <c r="BZG4">
        <v>2</v>
      </c>
      <c r="BZH4">
        <v>2</v>
      </c>
      <c r="BZI4">
        <v>2</v>
      </c>
      <c r="BZJ4">
        <v>2</v>
      </c>
      <c r="BZK4">
        <v>2</v>
      </c>
      <c r="BZL4">
        <v>2</v>
      </c>
      <c r="BZM4">
        <v>2</v>
      </c>
      <c r="BZN4">
        <v>2</v>
      </c>
      <c r="BZO4">
        <v>2</v>
      </c>
      <c r="BZP4">
        <v>2</v>
      </c>
      <c r="BZQ4">
        <v>2</v>
      </c>
      <c r="BZR4">
        <v>2</v>
      </c>
      <c r="BZS4">
        <v>2</v>
      </c>
      <c r="BZT4">
        <v>2</v>
      </c>
      <c r="BZU4">
        <v>2</v>
      </c>
      <c r="BZV4">
        <v>2</v>
      </c>
      <c r="BZW4">
        <v>2</v>
      </c>
      <c r="BZX4">
        <v>2</v>
      </c>
      <c r="BZY4">
        <v>2</v>
      </c>
      <c r="BZZ4">
        <v>2</v>
      </c>
      <c r="CAA4">
        <v>2</v>
      </c>
      <c r="CAB4">
        <v>2</v>
      </c>
      <c r="CAC4">
        <v>2</v>
      </c>
      <c r="CAD4">
        <v>2</v>
      </c>
      <c r="CAE4">
        <v>2</v>
      </c>
      <c r="CAF4">
        <v>2</v>
      </c>
      <c r="CAG4">
        <v>2</v>
      </c>
      <c r="CAH4">
        <v>2</v>
      </c>
      <c r="CAI4">
        <v>2</v>
      </c>
      <c r="CAJ4">
        <v>2</v>
      </c>
      <c r="CAK4">
        <v>2</v>
      </c>
      <c r="CAL4">
        <v>2</v>
      </c>
      <c r="CAM4">
        <v>2</v>
      </c>
      <c r="CAN4">
        <v>2</v>
      </c>
      <c r="CAO4">
        <v>2</v>
      </c>
      <c r="CAP4">
        <v>2</v>
      </c>
      <c r="CAQ4">
        <v>2</v>
      </c>
      <c r="CAR4">
        <v>2</v>
      </c>
      <c r="CAS4">
        <v>2</v>
      </c>
      <c r="CAT4">
        <v>2</v>
      </c>
      <c r="CAU4">
        <v>2</v>
      </c>
      <c r="CAV4">
        <v>2</v>
      </c>
      <c r="CAW4">
        <v>2</v>
      </c>
      <c r="CAX4">
        <v>2</v>
      </c>
      <c r="CAY4">
        <v>2</v>
      </c>
      <c r="CAZ4">
        <v>2</v>
      </c>
      <c r="CBA4">
        <v>2</v>
      </c>
      <c r="CBB4">
        <v>2</v>
      </c>
      <c r="CBC4">
        <v>2</v>
      </c>
      <c r="CBD4">
        <v>2</v>
      </c>
      <c r="CBE4">
        <v>2</v>
      </c>
      <c r="CBF4">
        <v>2</v>
      </c>
      <c r="CBG4">
        <v>2</v>
      </c>
      <c r="CBH4">
        <v>2</v>
      </c>
      <c r="CBI4">
        <v>2</v>
      </c>
      <c r="CBJ4">
        <v>2</v>
      </c>
      <c r="CBK4">
        <v>2</v>
      </c>
      <c r="CBL4">
        <v>2</v>
      </c>
      <c r="CBM4">
        <v>2</v>
      </c>
      <c r="CBN4">
        <v>2</v>
      </c>
      <c r="CBO4">
        <v>2</v>
      </c>
      <c r="CBP4">
        <v>2</v>
      </c>
      <c r="CBQ4">
        <v>2</v>
      </c>
      <c r="CBR4">
        <v>2</v>
      </c>
      <c r="CBS4">
        <v>2</v>
      </c>
      <c r="CBT4">
        <v>2</v>
      </c>
      <c r="CBU4">
        <v>2</v>
      </c>
      <c r="CBV4">
        <v>2</v>
      </c>
      <c r="CBW4">
        <v>2</v>
      </c>
      <c r="CBX4">
        <v>2</v>
      </c>
      <c r="CBY4">
        <v>2</v>
      </c>
      <c r="CBZ4">
        <v>2</v>
      </c>
      <c r="CCA4">
        <v>2</v>
      </c>
      <c r="CCB4">
        <v>2</v>
      </c>
      <c r="CCC4">
        <v>2</v>
      </c>
      <c r="CCD4">
        <v>2</v>
      </c>
      <c r="CCE4">
        <v>2</v>
      </c>
      <c r="CCF4">
        <v>2</v>
      </c>
      <c r="CCG4">
        <v>2</v>
      </c>
      <c r="CCH4">
        <v>2</v>
      </c>
      <c r="CNW4">
        <v>3</v>
      </c>
      <c r="CNX4">
        <v>3</v>
      </c>
      <c r="CNY4">
        <v>3</v>
      </c>
      <c r="CNZ4">
        <v>3</v>
      </c>
      <c r="COA4">
        <v>3</v>
      </c>
      <c r="COB4">
        <v>3</v>
      </c>
      <c r="COC4">
        <v>3</v>
      </c>
      <c r="COD4">
        <v>3</v>
      </c>
      <c r="COE4">
        <v>3</v>
      </c>
      <c r="COF4">
        <v>3</v>
      </c>
      <c r="COG4">
        <v>3</v>
      </c>
      <c r="COH4">
        <v>3</v>
      </c>
      <c r="COI4">
        <v>3</v>
      </c>
      <c r="COJ4">
        <v>3</v>
      </c>
      <c r="COK4">
        <v>3</v>
      </c>
      <c r="COL4">
        <v>3</v>
      </c>
      <c r="COM4">
        <v>3</v>
      </c>
      <c r="CON4">
        <v>3</v>
      </c>
      <c r="COO4">
        <v>3</v>
      </c>
      <c r="COP4">
        <v>3</v>
      </c>
      <c r="COQ4">
        <v>3</v>
      </c>
      <c r="COR4">
        <v>3</v>
      </c>
      <c r="COS4">
        <v>3</v>
      </c>
      <c r="COT4">
        <v>3</v>
      </c>
      <c r="COU4">
        <v>3</v>
      </c>
      <c r="COV4">
        <v>3</v>
      </c>
      <c r="COW4">
        <v>3</v>
      </c>
      <c r="COX4">
        <v>3</v>
      </c>
      <c r="COY4">
        <v>3</v>
      </c>
      <c r="COZ4">
        <v>3</v>
      </c>
      <c r="CPA4">
        <v>3</v>
      </c>
      <c r="CPB4">
        <v>3</v>
      </c>
      <c r="CPC4">
        <v>3</v>
      </c>
      <c r="CPD4">
        <v>3</v>
      </c>
      <c r="CPE4">
        <v>3</v>
      </c>
      <c r="CPF4">
        <v>3</v>
      </c>
      <c r="CPG4">
        <v>3</v>
      </c>
      <c r="CPH4">
        <v>3</v>
      </c>
      <c r="CPI4">
        <v>3</v>
      </c>
      <c r="CPJ4">
        <v>3</v>
      </c>
      <c r="CPK4">
        <v>3</v>
      </c>
      <c r="CPL4">
        <v>3</v>
      </c>
      <c r="CPM4">
        <v>3</v>
      </c>
      <c r="CPN4">
        <v>3</v>
      </c>
      <c r="CPO4">
        <v>3</v>
      </c>
      <c r="CPP4">
        <v>3</v>
      </c>
      <c r="CPQ4">
        <v>3</v>
      </c>
      <c r="CPR4">
        <v>3</v>
      </c>
      <c r="CPS4">
        <v>3</v>
      </c>
      <c r="CPT4">
        <v>3</v>
      </c>
      <c r="CPU4">
        <v>3</v>
      </c>
      <c r="CPV4">
        <v>3</v>
      </c>
      <c r="CPW4">
        <v>3</v>
      </c>
      <c r="CPX4">
        <v>3</v>
      </c>
      <c r="CPY4">
        <v>3</v>
      </c>
      <c r="CPZ4">
        <v>3</v>
      </c>
      <c r="CQA4">
        <v>3</v>
      </c>
      <c r="CQB4">
        <v>3</v>
      </c>
      <c r="CQC4">
        <v>3</v>
      </c>
      <c r="CQD4">
        <v>3</v>
      </c>
      <c r="CQE4">
        <v>3</v>
      </c>
      <c r="CQF4">
        <v>3</v>
      </c>
      <c r="CQG4">
        <v>3</v>
      </c>
      <c r="CQH4">
        <v>3</v>
      </c>
      <c r="CQI4">
        <v>3</v>
      </c>
      <c r="CQJ4">
        <v>3</v>
      </c>
      <c r="CQK4">
        <v>3</v>
      </c>
      <c r="CQL4">
        <v>3</v>
      </c>
      <c r="CQM4">
        <v>3</v>
      </c>
      <c r="CQN4">
        <v>3</v>
      </c>
      <c r="CQO4">
        <v>3</v>
      </c>
      <c r="CQP4">
        <v>3</v>
      </c>
      <c r="CQQ4">
        <v>3</v>
      </c>
      <c r="CQR4">
        <v>3</v>
      </c>
      <c r="CQS4">
        <v>3</v>
      </c>
      <c r="CQT4">
        <v>3</v>
      </c>
      <c r="CQU4">
        <v>3</v>
      </c>
      <c r="CQV4">
        <v>3</v>
      </c>
      <c r="CQW4">
        <v>3</v>
      </c>
      <c r="CQX4">
        <v>3</v>
      </c>
      <c r="CQY4">
        <v>3</v>
      </c>
      <c r="CQZ4">
        <v>3</v>
      </c>
      <c r="CRA4">
        <v>3</v>
      </c>
      <c r="CRB4">
        <v>3</v>
      </c>
      <c r="CRC4">
        <v>3</v>
      </c>
      <c r="CRD4">
        <v>3</v>
      </c>
      <c r="CRE4">
        <v>3</v>
      </c>
      <c r="CRF4">
        <v>3</v>
      </c>
      <c r="CRG4">
        <v>3</v>
      </c>
      <c r="CRH4">
        <v>3</v>
      </c>
      <c r="CRI4">
        <v>3</v>
      </c>
      <c r="CRJ4">
        <v>3</v>
      </c>
      <c r="CRK4">
        <v>3</v>
      </c>
      <c r="CRL4">
        <v>3</v>
      </c>
      <c r="CRM4">
        <v>3</v>
      </c>
      <c r="CRN4">
        <v>3</v>
      </c>
      <c r="CRO4">
        <v>3</v>
      </c>
      <c r="CRP4">
        <v>3</v>
      </c>
      <c r="CRQ4">
        <v>3</v>
      </c>
      <c r="CRR4">
        <v>3</v>
      </c>
      <c r="CRS4">
        <v>3</v>
      </c>
      <c r="CRT4">
        <v>3</v>
      </c>
      <c r="CRU4">
        <v>3</v>
      </c>
      <c r="CRV4">
        <v>3</v>
      </c>
      <c r="CRW4">
        <v>3</v>
      </c>
      <c r="CRX4">
        <v>3</v>
      </c>
      <c r="CRY4">
        <v>3</v>
      </c>
      <c r="CRZ4">
        <v>3</v>
      </c>
      <c r="CSA4">
        <v>3</v>
      </c>
      <c r="CSB4">
        <v>3</v>
      </c>
      <c r="CSC4">
        <v>3</v>
      </c>
      <c r="CSD4">
        <v>3</v>
      </c>
      <c r="CSE4">
        <v>3</v>
      </c>
      <c r="CSF4">
        <v>3</v>
      </c>
      <c r="CSG4">
        <v>3</v>
      </c>
      <c r="CSH4">
        <v>3</v>
      </c>
      <c r="CSI4">
        <v>3</v>
      </c>
      <c r="CSJ4">
        <v>3</v>
      </c>
      <c r="CSK4">
        <v>3</v>
      </c>
      <c r="CSL4">
        <v>3</v>
      </c>
      <c r="CSM4">
        <v>3</v>
      </c>
      <c r="CSN4">
        <v>3</v>
      </c>
      <c r="CSO4">
        <v>3</v>
      </c>
      <c r="CSP4">
        <v>3</v>
      </c>
      <c r="CSQ4">
        <v>3</v>
      </c>
      <c r="CSR4">
        <v>3</v>
      </c>
      <c r="CSS4">
        <v>3</v>
      </c>
      <c r="CST4">
        <v>3</v>
      </c>
      <c r="CSU4">
        <v>3</v>
      </c>
      <c r="CSV4">
        <v>3</v>
      </c>
      <c r="CSW4">
        <v>3</v>
      </c>
      <c r="CSX4">
        <v>3</v>
      </c>
      <c r="CSY4">
        <v>3</v>
      </c>
      <c r="CSZ4">
        <v>3</v>
      </c>
      <c r="CTA4">
        <v>3</v>
      </c>
      <c r="CTB4">
        <v>3</v>
      </c>
      <c r="CTC4">
        <v>3</v>
      </c>
      <c r="CTD4">
        <v>3</v>
      </c>
      <c r="CTE4">
        <v>3</v>
      </c>
      <c r="CTF4">
        <v>3</v>
      </c>
      <c r="CTG4">
        <v>3</v>
      </c>
      <c r="CTH4">
        <v>3</v>
      </c>
      <c r="CTI4">
        <v>3</v>
      </c>
      <c r="CTJ4">
        <v>3</v>
      </c>
      <c r="CTK4">
        <v>3</v>
      </c>
      <c r="CTL4">
        <v>3</v>
      </c>
      <c r="CTM4">
        <v>3</v>
      </c>
      <c r="CTN4">
        <v>3</v>
      </c>
      <c r="CTO4">
        <v>3</v>
      </c>
      <c r="CTP4">
        <v>3</v>
      </c>
      <c r="CTQ4">
        <v>3</v>
      </c>
      <c r="CTR4">
        <v>3</v>
      </c>
      <c r="CTS4">
        <v>3</v>
      </c>
      <c r="CTT4">
        <v>3</v>
      </c>
      <c r="CTU4">
        <v>3</v>
      </c>
      <c r="CTV4">
        <v>3</v>
      </c>
      <c r="CTW4">
        <v>3</v>
      </c>
      <c r="CTX4">
        <v>3</v>
      </c>
      <c r="DKW4">
        <v>4</v>
      </c>
      <c r="DKX4">
        <v>4</v>
      </c>
      <c r="DKY4">
        <v>4</v>
      </c>
      <c r="DKZ4">
        <v>4</v>
      </c>
      <c r="DLA4">
        <v>4</v>
      </c>
      <c r="DLB4">
        <v>4</v>
      </c>
      <c r="DLC4">
        <v>4</v>
      </c>
      <c r="DLD4">
        <v>4</v>
      </c>
      <c r="DLE4">
        <v>4</v>
      </c>
      <c r="DLF4">
        <v>4</v>
      </c>
      <c r="DLG4">
        <v>4</v>
      </c>
      <c r="DLH4">
        <v>4</v>
      </c>
      <c r="DLI4">
        <v>4</v>
      </c>
      <c r="DLJ4">
        <v>4</v>
      </c>
      <c r="DLK4">
        <v>4</v>
      </c>
      <c r="DLL4">
        <v>4</v>
      </c>
      <c r="DLM4">
        <v>4</v>
      </c>
      <c r="DLN4">
        <v>4</v>
      </c>
      <c r="DLO4">
        <v>4</v>
      </c>
      <c r="DLP4">
        <v>4</v>
      </c>
      <c r="DLQ4">
        <v>4</v>
      </c>
      <c r="DLR4">
        <v>4</v>
      </c>
      <c r="DLS4">
        <v>4</v>
      </c>
      <c r="DLT4">
        <v>4</v>
      </c>
      <c r="DLU4">
        <v>4</v>
      </c>
      <c r="DLV4">
        <v>4</v>
      </c>
      <c r="DLW4">
        <v>4</v>
      </c>
      <c r="DLX4">
        <v>4</v>
      </c>
      <c r="DLY4">
        <v>4</v>
      </c>
      <c r="DLZ4">
        <v>4</v>
      </c>
      <c r="DMA4">
        <v>4</v>
      </c>
      <c r="DMB4">
        <v>4</v>
      </c>
      <c r="DMC4">
        <v>4</v>
      </c>
      <c r="DMD4">
        <v>4</v>
      </c>
      <c r="DME4">
        <v>4</v>
      </c>
      <c r="DMF4">
        <v>4</v>
      </c>
      <c r="DMG4">
        <v>4</v>
      </c>
      <c r="DMH4">
        <v>4</v>
      </c>
      <c r="DMI4">
        <v>4</v>
      </c>
      <c r="DMJ4">
        <v>4</v>
      </c>
      <c r="DMK4">
        <v>4</v>
      </c>
      <c r="DML4">
        <v>4</v>
      </c>
      <c r="DMM4">
        <v>4</v>
      </c>
      <c r="DMN4">
        <v>4</v>
      </c>
      <c r="DMO4">
        <v>4</v>
      </c>
      <c r="DMP4">
        <v>4</v>
      </c>
      <c r="DMQ4">
        <v>4</v>
      </c>
      <c r="DMR4">
        <v>4</v>
      </c>
      <c r="DMS4">
        <v>4</v>
      </c>
      <c r="DMT4">
        <v>4</v>
      </c>
      <c r="DMU4">
        <v>4</v>
      </c>
      <c r="DMV4">
        <v>4</v>
      </c>
      <c r="DMW4">
        <v>4</v>
      </c>
      <c r="DMX4">
        <v>4</v>
      </c>
      <c r="DMY4">
        <v>4</v>
      </c>
      <c r="DMZ4">
        <v>4</v>
      </c>
      <c r="DNA4">
        <v>4</v>
      </c>
      <c r="DNB4">
        <v>4</v>
      </c>
      <c r="DNC4">
        <v>4</v>
      </c>
      <c r="DND4">
        <v>4</v>
      </c>
      <c r="DNE4">
        <v>4</v>
      </c>
      <c r="DNF4">
        <v>4</v>
      </c>
      <c r="DNG4">
        <v>4</v>
      </c>
      <c r="DNH4">
        <v>4</v>
      </c>
      <c r="DNI4">
        <v>4</v>
      </c>
      <c r="DNJ4">
        <v>4</v>
      </c>
      <c r="DNK4">
        <v>4</v>
      </c>
      <c r="DNL4">
        <v>4</v>
      </c>
      <c r="DNM4">
        <v>4</v>
      </c>
      <c r="DNN4">
        <v>4</v>
      </c>
      <c r="DNO4">
        <v>4</v>
      </c>
      <c r="DNP4">
        <v>4</v>
      </c>
      <c r="DNQ4">
        <v>4</v>
      </c>
      <c r="DNR4">
        <v>4</v>
      </c>
      <c r="DNS4">
        <v>4</v>
      </c>
      <c r="DNT4">
        <v>4</v>
      </c>
      <c r="DNU4">
        <v>4</v>
      </c>
      <c r="DNV4">
        <v>4</v>
      </c>
      <c r="DNW4">
        <v>4</v>
      </c>
      <c r="DNX4">
        <v>4</v>
      </c>
      <c r="DNY4">
        <v>4</v>
      </c>
      <c r="DNZ4">
        <v>4</v>
      </c>
      <c r="DOA4">
        <v>4</v>
      </c>
      <c r="DOB4">
        <v>4</v>
      </c>
      <c r="DOC4">
        <v>4</v>
      </c>
      <c r="DOD4">
        <v>4</v>
      </c>
      <c r="DOE4">
        <v>4</v>
      </c>
      <c r="DOF4">
        <v>4</v>
      </c>
      <c r="DOG4">
        <v>4</v>
      </c>
      <c r="DOH4">
        <v>4</v>
      </c>
      <c r="DOI4">
        <v>4</v>
      </c>
      <c r="DOJ4">
        <v>4</v>
      </c>
      <c r="DOK4">
        <v>4</v>
      </c>
      <c r="DOL4">
        <v>4</v>
      </c>
      <c r="DOM4">
        <v>4</v>
      </c>
      <c r="DON4">
        <v>4</v>
      </c>
      <c r="DOO4">
        <v>4</v>
      </c>
      <c r="DOP4">
        <v>4</v>
      </c>
      <c r="DOQ4">
        <v>4</v>
      </c>
      <c r="DOR4">
        <v>4</v>
      </c>
      <c r="DOS4">
        <v>4</v>
      </c>
      <c r="DOT4">
        <v>4</v>
      </c>
      <c r="DOU4">
        <v>4</v>
      </c>
      <c r="DOV4">
        <v>4</v>
      </c>
      <c r="DOW4">
        <v>4</v>
      </c>
      <c r="DOX4">
        <v>4</v>
      </c>
      <c r="DOY4">
        <v>4</v>
      </c>
      <c r="DOZ4">
        <v>4</v>
      </c>
      <c r="DPA4">
        <v>4</v>
      </c>
      <c r="DPB4">
        <v>4</v>
      </c>
      <c r="DPC4">
        <v>4</v>
      </c>
      <c r="DPD4">
        <v>4</v>
      </c>
      <c r="DPE4">
        <v>4</v>
      </c>
      <c r="DPF4">
        <v>4</v>
      </c>
      <c r="DPG4">
        <v>4</v>
      </c>
      <c r="DPH4">
        <v>4</v>
      </c>
      <c r="DPI4">
        <v>4</v>
      </c>
      <c r="DPJ4">
        <v>4</v>
      </c>
      <c r="DPK4">
        <v>4</v>
      </c>
      <c r="DPL4">
        <v>4</v>
      </c>
      <c r="DPM4">
        <v>4</v>
      </c>
      <c r="DPN4">
        <v>4</v>
      </c>
      <c r="DPO4">
        <v>4</v>
      </c>
      <c r="DPP4">
        <v>4</v>
      </c>
      <c r="DPQ4">
        <v>4</v>
      </c>
      <c r="DPR4">
        <v>4</v>
      </c>
      <c r="DPS4">
        <v>4</v>
      </c>
      <c r="DPT4">
        <v>4</v>
      </c>
      <c r="DPU4">
        <v>4</v>
      </c>
      <c r="DPV4">
        <v>4</v>
      </c>
      <c r="DPW4">
        <v>4</v>
      </c>
      <c r="DPX4">
        <v>4</v>
      </c>
      <c r="DPY4">
        <v>4</v>
      </c>
      <c r="DPZ4">
        <v>4</v>
      </c>
      <c r="DQA4">
        <v>4</v>
      </c>
      <c r="DQB4">
        <v>4</v>
      </c>
      <c r="DQC4">
        <v>4</v>
      </c>
      <c r="DQD4">
        <v>4</v>
      </c>
      <c r="DQE4">
        <v>4</v>
      </c>
      <c r="DQF4">
        <v>4</v>
      </c>
      <c r="DQG4">
        <v>4</v>
      </c>
      <c r="DQH4">
        <v>4</v>
      </c>
      <c r="DQI4">
        <v>4</v>
      </c>
      <c r="DQJ4">
        <v>4</v>
      </c>
      <c r="DQK4">
        <v>4</v>
      </c>
      <c r="DQL4">
        <v>4</v>
      </c>
      <c r="DQM4">
        <v>4</v>
      </c>
      <c r="DQN4">
        <v>4</v>
      </c>
      <c r="DQO4">
        <v>4</v>
      </c>
      <c r="DQP4">
        <v>4</v>
      </c>
      <c r="DQQ4">
        <v>4</v>
      </c>
      <c r="DQR4">
        <v>4</v>
      </c>
      <c r="DQS4">
        <v>4</v>
      </c>
      <c r="DQT4">
        <v>4</v>
      </c>
      <c r="DQU4">
        <v>4</v>
      </c>
      <c r="DQV4">
        <v>4</v>
      </c>
      <c r="DQW4">
        <v>4</v>
      </c>
      <c r="DQX4">
        <v>4</v>
      </c>
      <c r="DQY4">
        <v>4</v>
      </c>
      <c r="DQZ4">
        <v>4</v>
      </c>
      <c r="DRA4">
        <v>4</v>
      </c>
      <c r="DRB4">
        <v>4</v>
      </c>
      <c r="DRC4">
        <v>4</v>
      </c>
      <c r="DRD4">
        <v>4</v>
      </c>
      <c r="DRE4">
        <v>4</v>
      </c>
      <c r="DRF4">
        <v>4</v>
      </c>
      <c r="DRG4">
        <v>4</v>
      </c>
      <c r="DRH4">
        <v>4</v>
      </c>
      <c r="DRI4">
        <v>4</v>
      </c>
      <c r="DRJ4">
        <v>4</v>
      </c>
      <c r="DRK4">
        <v>4</v>
      </c>
      <c r="DRL4">
        <v>4</v>
      </c>
      <c r="DRM4">
        <v>4</v>
      </c>
      <c r="DRN4">
        <v>4</v>
      </c>
      <c r="DRO4">
        <v>4</v>
      </c>
      <c r="DRP4">
        <v>4</v>
      </c>
      <c r="DRQ4">
        <v>4</v>
      </c>
      <c r="DRR4">
        <v>4</v>
      </c>
      <c r="DRS4">
        <v>4</v>
      </c>
      <c r="DRT4">
        <v>4</v>
      </c>
      <c r="DRU4">
        <v>4</v>
      </c>
      <c r="DRV4">
        <v>4</v>
      </c>
      <c r="DRW4">
        <v>4</v>
      </c>
      <c r="DRX4">
        <v>4</v>
      </c>
      <c r="DRY4">
        <v>4</v>
      </c>
      <c r="DRZ4">
        <v>4</v>
      </c>
      <c r="DSA4">
        <v>4</v>
      </c>
      <c r="DSB4">
        <v>4</v>
      </c>
      <c r="DSC4">
        <v>4</v>
      </c>
      <c r="DSD4">
        <v>4</v>
      </c>
      <c r="DSE4">
        <v>4</v>
      </c>
      <c r="DSF4">
        <v>4</v>
      </c>
      <c r="DSG4">
        <v>4</v>
      </c>
      <c r="DSH4">
        <v>4</v>
      </c>
      <c r="DSI4">
        <v>4</v>
      </c>
      <c r="DSJ4">
        <v>4</v>
      </c>
      <c r="DSK4">
        <v>4</v>
      </c>
      <c r="DSL4">
        <v>4</v>
      </c>
      <c r="DSM4">
        <v>4</v>
      </c>
      <c r="DSN4">
        <v>4</v>
      </c>
      <c r="DSO4">
        <v>4</v>
      </c>
      <c r="DSP4">
        <v>4</v>
      </c>
      <c r="DSQ4">
        <v>4</v>
      </c>
      <c r="DSR4">
        <v>4</v>
      </c>
      <c r="DSS4">
        <v>4</v>
      </c>
      <c r="DST4">
        <v>4</v>
      </c>
      <c r="DSU4">
        <v>4</v>
      </c>
      <c r="DSV4">
        <v>4</v>
      </c>
      <c r="DSW4">
        <v>4</v>
      </c>
      <c r="DSX4">
        <v>4</v>
      </c>
      <c r="DSY4">
        <v>4</v>
      </c>
      <c r="DSZ4">
        <v>4</v>
      </c>
      <c r="DTA4">
        <v>4</v>
      </c>
      <c r="DTB4">
        <v>4</v>
      </c>
      <c r="DTC4">
        <v>4</v>
      </c>
      <c r="DTD4">
        <v>4</v>
      </c>
      <c r="DTE4">
        <v>4</v>
      </c>
      <c r="DTF4">
        <v>4</v>
      </c>
      <c r="DTG4">
        <v>4</v>
      </c>
      <c r="DTH4">
        <v>4</v>
      </c>
      <c r="DTI4">
        <v>4</v>
      </c>
      <c r="DTJ4">
        <v>4</v>
      </c>
      <c r="DTK4">
        <v>4</v>
      </c>
      <c r="DTL4">
        <v>4</v>
      </c>
      <c r="DTM4">
        <v>4</v>
      </c>
      <c r="EQF4">
        <v>5</v>
      </c>
      <c r="EQG4">
        <v>5</v>
      </c>
      <c r="EQH4">
        <v>5</v>
      </c>
      <c r="EQI4">
        <v>5</v>
      </c>
      <c r="EQJ4">
        <v>5</v>
      </c>
      <c r="EQK4">
        <v>5</v>
      </c>
      <c r="EQL4">
        <v>5</v>
      </c>
      <c r="EQM4">
        <v>5</v>
      </c>
      <c r="EQN4">
        <v>5</v>
      </c>
      <c r="EQO4">
        <v>5</v>
      </c>
      <c r="EQP4">
        <v>5</v>
      </c>
      <c r="EQQ4">
        <v>5</v>
      </c>
      <c r="EQR4">
        <v>5</v>
      </c>
      <c r="EQS4">
        <v>5</v>
      </c>
      <c r="EQT4">
        <v>5</v>
      </c>
      <c r="EQU4">
        <v>5</v>
      </c>
      <c r="EQV4">
        <v>5</v>
      </c>
      <c r="EQW4">
        <v>5</v>
      </c>
      <c r="EQX4">
        <v>5</v>
      </c>
      <c r="EQY4">
        <v>5</v>
      </c>
      <c r="EQZ4">
        <v>5</v>
      </c>
      <c r="ERA4">
        <v>5</v>
      </c>
      <c r="ERB4">
        <v>5</v>
      </c>
      <c r="ERC4">
        <v>5</v>
      </c>
      <c r="ERD4">
        <v>5</v>
      </c>
      <c r="ERE4">
        <v>5</v>
      </c>
      <c r="ERF4">
        <v>5</v>
      </c>
      <c r="ERG4">
        <v>5</v>
      </c>
      <c r="ERH4">
        <v>5</v>
      </c>
      <c r="ERI4">
        <v>5</v>
      </c>
      <c r="ERJ4">
        <v>5</v>
      </c>
      <c r="ERK4">
        <v>5</v>
      </c>
      <c r="ERL4">
        <v>5</v>
      </c>
      <c r="ERM4">
        <v>5</v>
      </c>
      <c r="ERN4">
        <v>5</v>
      </c>
      <c r="ERO4">
        <v>5</v>
      </c>
      <c r="ERP4">
        <v>5</v>
      </c>
      <c r="ERQ4">
        <v>5</v>
      </c>
      <c r="ERR4">
        <v>5</v>
      </c>
      <c r="ERS4">
        <v>5</v>
      </c>
      <c r="ERT4">
        <v>5</v>
      </c>
      <c r="ERU4">
        <v>5</v>
      </c>
      <c r="ERV4">
        <v>5</v>
      </c>
      <c r="ERW4">
        <v>5</v>
      </c>
      <c r="ERX4">
        <v>5</v>
      </c>
      <c r="ERY4">
        <v>5</v>
      </c>
      <c r="ERZ4">
        <v>5</v>
      </c>
      <c r="ESA4">
        <v>5</v>
      </c>
      <c r="ESB4">
        <v>5</v>
      </c>
      <c r="ESC4">
        <v>5</v>
      </c>
      <c r="ESD4">
        <v>5</v>
      </c>
      <c r="ESE4">
        <v>5</v>
      </c>
      <c r="ESF4">
        <v>5</v>
      </c>
      <c r="ESG4">
        <v>5</v>
      </c>
      <c r="ESH4">
        <v>5</v>
      </c>
      <c r="ESI4">
        <v>5</v>
      </c>
      <c r="ESJ4">
        <v>5</v>
      </c>
      <c r="ESK4">
        <v>5</v>
      </c>
      <c r="ESL4">
        <v>5</v>
      </c>
      <c r="ESM4">
        <v>5</v>
      </c>
      <c r="ESN4">
        <v>5</v>
      </c>
      <c r="ESO4">
        <v>5</v>
      </c>
      <c r="ESP4">
        <v>5</v>
      </c>
      <c r="ESQ4">
        <v>5</v>
      </c>
      <c r="ESR4">
        <v>5</v>
      </c>
      <c r="ESS4">
        <v>5</v>
      </c>
      <c r="EST4">
        <v>5</v>
      </c>
      <c r="ESU4">
        <v>5</v>
      </c>
      <c r="ESV4">
        <v>5</v>
      </c>
      <c r="ESW4">
        <v>5</v>
      </c>
      <c r="ESX4">
        <v>5</v>
      </c>
      <c r="ESY4">
        <v>5</v>
      </c>
      <c r="ESZ4">
        <v>5</v>
      </c>
      <c r="ETA4">
        <v>5</v>
      </c>
      <c r="ETB4">
        <v>5</v>
      </c>
      <c r="ETC4">
        <v>5</v>
      </c>
      <c r="ETD4">
        <v>5</v>
      </c>
      <c r="ETE4">
        <v>5</v>
      </c>
      <c r="ETF4">
        <v>5</v>
      </c>
      <c r="ETG4">
        <v>5</v>
      </c>
      <c r="ETH4">
        <v>5</v>
      </c>
      <c r="ETI4">
        <v>5</v>
      </c>
      <c r="ETJ4">
        <v>5</v>
      </c>
      <c r="ETK4">
        <v>5</v>
      </c>
      <c r="ETL4">
        <v>5</v>
      </c>
      <c r="ETM4">
        <v>5</v>
      </c>
      <c r="ETN4">
        <v>5</v>
      </c>
      <c r="ETO4">
        <v>5</v>
      </c>
      <c r="ETP4">
        <v>5</v>
      </c>
      <c r="ETQ4">
        <v>5</v>
      </c>
      <c r="ETR4">
        <v>5</v>
      </c>
      <c r="ETS4">
        <v>5</v>
      </c>
      <c r="ETT4">
        <v>5</v>
      </c>
      <c r="ETU4">
        <v>5</v>
      </c>
      <c r="ETV4">
        <v>5</v>
      </c>
      <c r="ETW4">
        <v>5</v>
      </c>
      <c r="ETX4">
        <v>5</v>
      </c>
      <c r="ETY4">
        <v>5</v>
      </c>
      <c r="ETZ4">
        <v>5</v>
      </c>
      <c r="EUA4">
        <v>5</v>
      </c>
      <c r="EUB4">
        <v>5</v>
      </c>
      <c r="EUC4">
        <v>5</v>
      </c>
      <c r="EUD4">
        <v>5</v>
      </c>
      <c r="EUE4">
        <v>5</v>
      </c>
      <c r="EUF4">
        <v>5</v>
      </c>
      <c r="EUG4">
        <v>5</v>
      </c>
      <c r="EUH4">
        <v>5</v>
      </c>
      <c r="EUI4">
        <v>5</v>
      </c>
      <c r="EUJ4">
        <v>5</v>
      </c>
      <c r="EUK4">
        <v>5</v>
      </c>
      <c r="EUL4">
        <v>5</v>
      </c>
      <c r="EUM4">
        <v>5</v>
      </c>
      <c r="EUN4">
        <v>5</v>
      </c>
      <c r="EUO4">
        <v>5</v>
      </c>
      <c r="EUP4">
        <v>5</v>
      </c>
      <c r="EUQ4">
        <v>5</v>
      </c>
      <c r="EUR4">
        <v>5</v>
      </c>
      <c r="EUS4">
        <v>5</v>
      </c>
      <c r="EUT4">
        <v>5</v>
      </c>
      <c r="EUU4">
        <v>5</v>
      </c>
      <c r="EUV4">
        <v>5</v>
      </c>
      <c r="EUW4">
        <v>5</v>
      </c>
      <c r="EUX4">
        <v>5</v>
      </c>
      <c r="EUY4">
        <v>5</v>
      </c>
      <c r="EUZ4">
        <v>5</v>
      </c>
      <c r="EVA4">
        <v>5</v>
      </c>
      <c r="EVB4">
        <v>5</v>
      </c>
      <c r="EVC4">
        <v>5</v>
      </c>
      <c r="EVD4">
        <v>5</v>
      </c>
      <c r="EVE4">
        <v>5</v>
      </c>
      <c r="EVF4">
        <v>5</v>
      </c>
      <c r="EVG4">
        <v>5</v>
      </c>
      <c r="EVH4">
        <v>5</v>
      </c>
      <c r="EVI4">
        <v>5</v>
      </c>
      <c r="EVJ4">
        <v>5</v>
      </c>
      <c r="EVK4">
        <v>5</v>
      </c>
      <c r="EVL4">
        <v>5</v>
      </c>
      <c r="EVM4">
        <v>5</v>
      </c>
      <c r="EVN4">
        <v>5</v>
      </c>
      <c r="EVO4">
        <v>5</v>
      </c>
      <c r="EVP4">
        <v>5</v>
      </c>
      <c r="EVQ4">
        <v>5</v>
      </c>
      <c r="EVR4">
        <v>5</v>
      </c>
      <c r="EVS4">
        <v>5</v>
      </c>
      <c r="EVT4">
        <v>5</v>
      </c>
      <c r="EVU4">
        <v>5</v>
      </c>
      <c r="EVV4">
        <v>5</v>
      </c>
      <c r="EVW4">
        <v>5</v>
      </c>
      <c r="EVX4">
        <v>5</v>
      </c>
      <c r="EVY4">
        <v>5</v>
      </c>
      <c r="EVZ4">
        <v>5</v>
      </c>
      <c r="EWA4">
        <v>5</v>
      </c>
      <c r="EWB4">
        <v>5</v>
      </c>
      <c r="EWC4">
        <v>5</v>
      </c>
      <c r="EWD4">
        <v>5</v>
      </c>
      <c r="EWE4">
        <v>5</v>
      </c>
      <c r="EWF4">
        <v>5</v>
      </c>
      <c r="EWG4">
        <v>5</v>
      </c>
      <c r="EWH4">
        <v>5</v>
      </c>
      <c r="EWI4">
        <v>5</v>
      </c>
      <c r="EWJ4">
        <v>5</v>
      </c>
      <c r="EWK4">
        <v>5</v>
      </c>
      <c r="EWL4">
        <v>5</v>
      </c>
      <c r="EWM4">
        <v>5</v>
      </c>
      <c r="EWN4">
        <v>5</v>
      </c>
      <c r="EWO4">
        <v>5</v>
      </c>
      <c r="EWP4">
        <v>5</v>
      </c>
      <c r="EWQ4">
        <v>5</v>
      </c>
      <c r="EWR4">
        <v>5</v>
      </c>
      <c r="EWS4">
        <v>5</v>
      </c>
      <c r="EWT4">
        <v>5</v>
      </c>
      <c r="EWU4">
        <v>5</v>
      </c>
      <c r="EWV4">
        <v>5</v>
      </c>
      <c r="EWW4">
        <v>5</v>
      </c>
      <c r="EWX4">
        <v>5</v>
      </c>
      <c r="EWY4">
        <v>5</v>
      </c>
      <c r="EWZ4">
        <v>5</v>
      </c>
      <c r="EXA4">
        <v>5</v>
      </c>
      <c r="EXB4">
        <v>5</v>
      </c>
      <c r="EXC4">
        <v>5</v>
      </c>
      <c r="EXD4">
        <v>5</v>
      </c>
      <c r="EXE4">
        <v>5</v>
      </c>
      <c r="GGZ4">
        <v>6</v>
      </c>
      <c r="GHA4">
        <v>6</v>
      </c>
      <c r="GHB4">
        <v>6</v>
      </c>
      <c r="GHC4">
        <v>6</v>
      </c>
      <c r="GHD4">
        <v>6</v>
      </c>
      <c r="GHE4">
        <v>6</v>
      </c>
      <c r="GHF4">
        <v>6</v>
      </c>
      <c r="GHG4">
        <v>6</v>
      </c>
      <c r="GHH4">
        <v>6</v>
      </c>
      <c r="GHI4">
        <v>6</v>
      </c>
      <c r="GHJ4">
        <v>6</v>
      </c>
      <c r="GHK4">
        <v>6</v>
      </c>
      <c r="GHL4">
        <v>6</v>
      </c>
      <c r="GHM4">
        <v>6</v>
      </c>
      <c r="GHN4">
        <v>6</v>
      </c>
      <c r="GHO4">
        <v>6</v>
      </c>
      <c r="GHP4">
        <v>6</v>
      </c>
      <c r="GHQ4">
        <v>6</v>
      </c>
      <c r="GHR4">
        <v>6</v>
      </c>
      <c r="GHS4">
        <v>6</v>
      </c>
      <c r="GHT4">
        <v>6</v>
      </c>
      <c r="GHU4">
        <v>6</v>
      </c>
      <c r="GHV4">
        <v>6</v>
      </c>
      <c r="GHW4">
        <v>6</v>
      </c>
      <c r="GHX4">
        <v>6</v>
      </c>
      <c r="GHY4">
        <v>6</v>
      </c>
      <c r="GHZ4">
        <v>6</v>
      </c>
      <c r="GIA4">
        <v>6</v>
      </c>
      <c r="GIB4">
        <v>6</v>
      </c>
      <c r="GIC4">
        <v>6</v>
      </c>
      <c r="GID4">
        <v>6</v>
      </c>
      <c r="GIE4">
        <v>6</v>
      </c>
      <c r="GIF4">
        <v>6</v>
      </c>
      <c r="GIG4">
        <v>6</v>
      </c>
      <c r="GIH4">
        <v>6</v>
      </c>
      <c r="GII4">
        <v>6</v>
      </c>
      <c r="GIJ4">
        <v>6</v>
      </c>
      <c r="GIK4">
        <v>6</v>
      </c>
      <c r="GIL4">
        <v>6</v>
      </c>
      <c r="GIM4">
        <v>6</v>
      </c>
      <c r="GIN4">
        <v>6</v>
      </c>
      <c r="GIO4">
        <v>6</v>
      </c>
      <c r="GIP4">
        <v>6</v>
      </c>
      <c r="GIQ4">
        <v>6</v>
      </c>
      <c r="GIR4">
        <v>6</v>
      </c>
      <c r="GIS4">
        <v>6</v>
      </c>
      <c r="GIT4">
        <v>6</v>
      </c>
      <c r="GIU4">
        <v>6</v>
      </c>
      <c r="GIV4">
        <v>6</v>
      </c>
      <c r="GIW4">
        <v>6</v>
      </c>
      <c r="GIX4">
        <v>6</v>
      </c>
      <c r="GIY4">
        <v>6</v>
      </c>
      <c r="GIZ4">
        <v>6</v>
      </c>
      <c r="GJA4">
        <v>6</v>
      </c>
      <c r="GJB4">
        <v>6</v>
      </c>
      <c r="GJC4">
        <v>6</v>
      </c>
      <c r="GJD4">
        <v>6</v>
      </c>
      <c r="GJE4">
        <v>6</v>
      </c>
      <c r="GJF4">
        <v>6</v>
      </c>
      <c r="GJG4">
        <v>6</v>
      </c>
      <c r="GJH4">
        <v>6</v>
      </c>
      <c r="GJI4">
        <v>6</v>
      </c>
      <c r="GJJ4">
        <v>6</v>
      </c>
      <c r="GJK4">
        <v>6</v>
      </c>
      <c r="GJL4">
        <v>6</v>
      </c>
      <c r="GJM4">
        <v>6</v>
      </c>
      <c r="GJN4">
        <v>6</v>
      </c>
      <c r="GJO4">
        <v>6</v>
      </c>
      <c r="GJP4">
        <v>6</v>
      </c>
      <c r="GJQ4">
        <v>6</v>
      </c>
      <c r="GJR4">
        <v>6</v>
      </c>
      <c r="GJS4">
        <v>6</v>
      </c>
      <c r="GJT4">
        <v>6</v>
      </c>
      <c r="GJU4">
        <v>6</v>
      </c>
      <c r="GJV4">
        <v>6</v>
      </c>
      <c r="GJW4">
        <v>6</v>
      </c>
      <c r="GJX4">
        <v>6</v>
      </c>
      <c r="GJY4">
        <v>6</v>
      </c>
      <c r="GJZ4">
        <v>6</v>
      </c>
      <c r="GKA4">
        <v>6</v>
      </c>
      <c r="GKB4">
        <v>6</v>
      </c>
      <c r="GKC4">
        <v>6</v>
      </c>
      <c r="GKD4">
        <v>6</v>
      </c>
      <c r="GKE4">
        <v>6</v>
      </c>
      <c r="GKF4">
        <v>6</v>
      </c>
      <c r="GKG4">
        <v>6</v>
      </c>
      <c r="GKH4">
        <v>6</v>
      </c>
      <c r="GKI4">
        <v>6</v>
      </c>
      <c r="GKJ4">
        <v>6</v>
      </c>
      <c r="GKK4">
        <v>6</v>
      </c>
      <c r="GKL4">
        <v>6</v>
      </c>
      <c r="GKM4">
        <v>6</v>
      </c>
      <c r="GKN4">
        <v>6</v>
      </c>
      <c r="GKO4">
        <v>6</v>
      </c>
      <c r="GKP4">
        <v>6</v>
      </c>
      <c r="GKQ4">
        <v>6</v>
      </c>
      <c r="GKR4">
        <v>6</v>
      </c>
      <c r="GKS4">
        <v>6</v>
      </c>
      <c r="GKT4">
        <v>6</v>
      </c>
      <c r="GKU4">
        <v>6</v>
      </c>
      <c r="GKV4">
        <v>6</v>
      </c>
      <c r="GKW4">
        <v>6</v>
      </c>
      <c r="GKX4">
        <v>6</v>
      </c>
      <c r="GKY4">
        <v>6</v>
      </c>
      <c r="GKZ4">
        <v>6</v>
      </c>
      <c r="GLA4">
        <v>6</v>
      </c>
      <c r="GLB4">
        <v>6</v>
      </c>
      <c r="GLC4">
        <v>6</v>
      </c>
      <c r="GLD4">
        <v>6</v>
      </c>
      <c r="GLE4">
        <v>6</v>
      </c>
      <c r="GLF4">
        <v>6</v>
      </c>
      <c r="GLG4">
        <v>6</v>
      </c>
      <c r="GLH4">
        <v>6</v>
      </c>
      <c r="GLI4">
        <v>6</v>
      </c>
      <c r="GLJ4">
        <v>6</v>
      </c>
      <c r="GLK4">
        <v>6</v>
      </c>
      <c r="GLL4">
        <v>6</v>
      </c>
      <c r="GLM4">
        <v>6</v>
      </c>
      <c r="GLN4">
        <v>6</v>
      </c>
      <c r="GLO4">
        <v>6</v>
      </c>
      <c r="GLP4">
        <v>6</v>
      </c>
      <c r="GLQ4">
        <v>6</v>
      </c>
      <c r="GLR4">
        <v>6</v>
      </c>
      <c r="GLS4">
        <v>6</v>
      </c>
      <c r="GLT4">
        <v>6</v>
      </c>
      <c r="GLU4">
        <v>6</v>
      </c>
      <c r="GLV4">
        <v>6</v>
      </c>
      <c r="GLW4">
        <v>6</v>
      </c>
      <c r="GLX4">
        <v>6</v>
      </c>
      <c r="GLY4">
        <v>6</v>
      </c>
      <c r="GLZ4">
        <v>6</v>
      </c>
      <c r="GMA4">
        <v>6</v>
      </c>
      <c r="GMB4">
        <v>6</v>
      </c>
      <c r="GMC4">
        <v>6</v>
      </c>
      <c r="GMD4">
        <v>6</v>
      </c>
      <c r="GME4">
        <v>6</v>
      </c>
      <c r="GMF4">
        <v>6</v>
      </c>
      <c r="GMG4">
        <v>6</v>
      </c>
      <c r="GMH4">
        <v>6</v>
      </c>
      <c r="GMI4">
        <v>6</v>
      </c>
      <c r="GMJ4">
        <v>6</v>
      </c>
      <c r="GMK4">
        <v>6</v>
      </c>
      <c r="GML4">
        <v>6</v>
      </c>
      <c r="GMM4">
        <v>6</v>
      </c>
      <c r="GMN4">
        <v>6</v>
      </c>
      <c r="GMO4">
        <v>6</v>
      </c>
      <c r="GMP4">
        <v>6</v>
      </c>
      <c r="GMQ4">
        <v>6</v>
      </c>
      <c r="GMR4">
        <v>6</v>
      </c>
      <c r="GMS4">
        <v>6</v>
      </c>
      <c r="GMT4">
        <v>6</v>
      </c>
      <c r="GMU4">
        <v>6</v>
      </c>
      <c r="GMV4">
        <v>6</v>
      </c>
      <c r="GMW4">
        <v>6</v>
      </c>
      <c r="GMX4">
        <v>6</v>
      </c>
      <c r="GMY4">
        <v>6</v>
      </c>
      <c r="GMZ4">
        <v>6</v>
      </c>
      <c r="GNA4">
        <v>6</v>
      </c>
      <c r="GNB4">
        <v>6</v>
      </c>
      <c r="GNC4">
        <v>6</v>
      </c>
      <c r="GND4">
        <v>6</v>
      </c>
      <c r="GNE4">
        <v>6</v>
      </c>
      <c r="GNF4">
        <v>6</v>
      </c>
      <c r="GNG4">
        <v>6</v>
      </c>
      <c r="GNH4">
        <v>6</v>
      </c>
      <c r="GNI4">
        <v>6</v>
      </c>
      <c r="GNJ4">
        <v>6</v>
      </c>
      <c r="GNK4">
        <v>6</v>
      </c>
      <c r="GNL4">
        <v>6</v>
      </c>
      <c r="GNM4">
        <v>6</v>
      </c>
      <c r="GNN4">
        <v>6</v>
      </c>
      <c r="GNO4">
        <v>6</v>
      </c>
      <c r="GNP4">
        <v>6</v>
      </c>
      <c r="GNQ4">
        <v>6</v>
      </c>
      <c r="GNR4">
        <v>6</v>
      </c>
      <c r="GNS4">
        <v>6</v>
      </c>
      <c r="GNT4">
        <v>6</v>
      </c>
      <c r="GNU4">
        <v>6</v>
      </c>
      <c r="GNV4">
        <v>6</v>
      </c>
      <c r="GNW4">
        <v>6</v>
      </c>
      <c r="GNX4">
        <v>6</v>
      </c>
      <c r="GNY4">
        <v>6</v>
      </c>
      <c r="GNZ4">
        <v>6</v>
      </c>
      <c r="GOA4">
        <v>6</v>
      </c>
      <c r="GOB4">
        <v>6</v>
      </c>
      <c r="GOC4">
        <v>6</v>
      </c>
      <c r="GOD4">
        <v>6</v>
      </c>
      <c r="GOE4">
        <v>6</v>
      </c>
      <c r="GOF4">
        <v>6</v>
      </c>
      <c r="GOG4">
        <v>6</v>
      </c>
      <c r="GOH4">
        <v>6</v>
      </c>
      <c r="GOI4">
        <v>6</v>
      </c>
      <c r="GOJ4">
        <v>6</v>
      </c>
      <c r="GOK4">
        <v>6</v>
      </c>
      <c r="GOL4">
        <v>6</v>
      </c>
      <c r="GOM4">
        <v>6</v>
      </c>
      <c r="GON4">
        <v>6</v>
      </c>
      <c r="GOO4">
        <v>6</v>
      </c>
      <c r="GOP4">
        <v>6</v>
      </c>
      <c r="GOQ4">
        <v>6</v>
      </c>
      <c r="GOR4">
        <v>6</v>
      </c>
      <c r="GOS4">
        <v>6</v>
      </c>
      <c r="GOT4">
        <v>6</v>
      </c>
      <c r="GOU4">
        <v>6</v>
      </c>
      <c r="GOV4">
        <v>6</v>
      </c>
      <c r="GOW4">
        <v>6</v>
      </c>
      <c r="GOX4">
        <v>6</v>
      </c>
      <c r="GOY4">
        <v>6</v>
      </c>
      <c r="GOZ4">
        <v>6</v>
      </c>
      <c r="GPA4">
        <v>6</v>
      </c>
      <c r="GPB4">
        <v>6</v>
      </c>
      <c r="GPC4">
        <v>6</v>
      </c>
      <c r="GPD4">
        <v>6</v>
      </c>
      <c r="GPE4">
        <v>6</v>
      </c>
      <c r="GPF4">
        <v>6</v>
      </c>
      <c r="GPG4">
        <v>6</v>
      </c>
      <c r="GPH4">
        <v>6</v>
      </c>
      <c r="GPI4">
        <v>6</v>
      </c>
      <c r="GPJ4">
        <v>6</v>
      </c>
      <c r="GPK4">
        <v>6</v>
      </c>
      <c r="GPL4">
        <v>6</v>
      </c>
      <c r="GPM4">
        <v>6</v>
      </c>
      <c r="GPN4">
        <v>6</v>
      </c>
      <c r="GPO4">
        <v>6</v>
      </c>
      <c r="GPP4">
        <v>6</v>
      </c>
      <c r="GPQ4">
        <v>6</v>
      </c>
      <c r="GPR4">
        <v>6</v>
      </c>
      <c r="GPS4">
        <v>6</v>
      </c>
      <c r="GPT4">
        <v>6</v>
      </c>
      <c r="GPU4">
        <v>6</v>
      </c>
      <c r="GPV4">
        <v>6</v>
      </c>
      <c r="GPW4">
        <v>6</v>
      </c>
      <c r="GPX4">
        <v>6</v>
      </c>
      <c r="GPY4">
        <v>6</v>
      </c>
      <c r="GPZ4">
        <v>6</v>
      </c>
      <c r="GQA4">
        <v>6</v>
      </c>
      <c r="GQB4">
        <v>6</v>
      </c>
      <c r="GQC4">
        <v>6</v>
      </c>
      <c r="GQD4">
        <v>6</v>
      </c>
      <c r="GQE4">
        <v>6</v>
      </c>
      <c r="GQF4">
        <v>6</v>
      </c>
      <c r="GQG4">
        <v>6</v>
      </c>
      <c r="GQH4">
        <v>6</v>
      </c>
      <c r="GQI4">
        <v>6</v>
      </c>
      <c r="GQJ4">
        <v>6</v>
      </c>
      <c r="GQK4">
        <v>6</v>
      </c>
      <c r="GQL4">
        <v>6</v>
      </c>
      <c r="GQM4">
        <v>6</v>
      </c>
      <c r="GQN4">
        <v>6</v>
      </c>
      <c r="GQO4">
        <v>6</v>
      </c>
      <c r="IGL4">
        <v>7</v>
      </c>
      <c r="IGM4">
        <v>7</v>
      </c>
      <c r="IGN4">
        <v>7</v>
      </c>
      <c r="IGO4">
        <v>7</v>
      </c>
      <c r="IGP4">
        <v>7</v>
      </c>
      <c r="IGQ4">
        <v>7</v>
      </c>
      <c r="IGR4">
        <v>7</v>
      </c>
      <c r="IGS4">
        <v>7</v>
      </c>
      <c r="IGT4">
        <v>7</v>
      </c>
      <c r="IGU4">
        <v>7</v>
      </c>
      <c r="IGV4">
        <v>7</v>
      </c>
      <c r="IGW4">
        <v>7</v>
      </c>
      <c r="IGX4">
        <v>7</v>
      </c>
      <c r="IGY4">
        <v>7</v>
      </c>
      <c r="IGZ4">
        <v>7</v>
      </c>
      <c r="IHA4">
        <v>7</v>
      </c>
      <c r="IHB4">
        <v>7</v>
      </c>
      <c r="IHC4">
        <v>7</v>
      </c>
      <c r="IHD4">
        <v>7</v>
      </c>
      <c r="IHE4">
        <v>7</v>
      </c>
      <c r="IHF4">
        <v>7</v>
      </c>
      <c r="IHG4">
        <v>7</v>
      </c>
      <c r="IHH4">
        <v>7</v>
      </c>
      <c r="IHI4">
        <v>7</v>
      </c>
      <c r="IHJ4">
        <v>7</v>
      </c>
      <c r="IHK4">
        <v>7</v>
      </c>
      <c r="IHL4">
        <v>7</v>
      </c>
      <c r="IHM4">
        <v>7</v>
      </c>
      <c r="IHN4">
        <v>7</v>
      </c>
      <c r="IHO4">
        <v>7</v>
      </c>
      <c r="IHP4">
        <v>7</v>
      </c>
      <c r="IHQ4">
        <v>7</v>
      </c>
      <c r="IHR4">
        <v>7</v>
      </c>
      <c r="IHS4">
        <v>7</v>
      </c>
      <c r="IHT4">
        <v>7</v>
      </c>
      <c r="IHU4">
        <v>7</v>
      </c>
      <c r="IHV4">
        <v>7</v>
      </c>
      <c r="IHW4">
        <v>7</v>
      </c>
      <c r="IHX4">
        <v>7</v>
      </c>
      <c r="IHY4">
        <v>7</v>
      </c>
      <c r="IHZ4">
        <v>7</v>
      </c>
      <c r="IIA4">
        <v>7</v>
      </c>
      <c r="IIB4">
        <v>7</v>
      </c>
      <c r="IIC4">
        <v>7</v>
      </c>
      <c r="IID4">
        <v>7</v>
      </c>
      <c r="IIE4">
        <v>7</v>
      </c>
      <c r="IIF4">
        <v>7</v>
      </c>
      <c r="IIG4">
        <v>7</v>
      </c>
      <c r="IIH4">
        <v>7</v>
      </c>
      <c r="III4">
        <v>7</v>
      </c>
      <c r="IIJ4">
        <v>7</v>
      </c>
      <c r="IIK4">
        <v>7</v>
      </c>
      <c r="IIL4">
        <v>7</v>
      </c>
      <c r="IIM4">
        <v>7</v>
      </c>
      <c r="IIN4">
        <v>7</v>
      </c>
      <c r="IIO4">
        <v>7</v>
      </c>
      <c r="IIP4">
        <v>7</v>
      </c>
      <c r="IIQ4">
        <v>7</v>
      </c>
      <c r="IIR4">
        <v>7</v>
      </c>
      <c r="IIS4">
        <v>7</v>
      </c>
      <c r="IIT4">
        <v>7</v>
      </c>
      <c r="IIU4">
        <v>7</v>
      </c>
      <c r="IIV4">
        <v>7</v>
      </c>
      <c r="IIW4">
        <v>7</v>
      </c>
      <c r="IIX4">
        <v>7</v>
      </c>
      <c r="IIY4">
        <v>7</v>
      </c>
      <c r="IIZ4">
        <v>7</v>
      </c>
      <c r="IJA4">
        <v>7</v>
      </c>
      <c r="IJB4">
        <v>7</v>
      </c>
      <c r="IJC4">
        <v>7</v>
      </c>
      <c r="IJD4">
        <v>7</v>
      </c>
      <c r="IJE4">
        <v>7</v>
      </c>
      <c r="IJF4">
        <v>7</v>
      </c>
      <c r="IJG4">
        <v>7</v>
      </c>
      <c r="IJH4">
        <v>7</v>
      </c>
      <c r="IJI4">
        <v>7</v>
      </c>
      <c r="IJJ4">
        <v>7</v>
      </c>
      <c r="IJK4">
        <v>7</v>
      </c>
      <c r="IJL4">
        <v>7</v>
      </c>
      <c r="IJM4">
        <v>7</v>
      </c>
      <c r="IJN4">
        <v>7</v>
      </c>
      <c r="IJO4">
        <v>7</v>
      </c>
      <c r="IJP4">
        <v>7</v>
      </c>
      <c r="IJQ4">
        <v>7</v>
      </c>
      <c r="IJR4">
        <v>7</v>
      </c>
      <c r="IJS4">
        <v>7</v>
      </c>
      <c r="IJT4">
        <v>7</v>
      </c>
      <c r="IJU4">
        <v>7</v>
      </c>
      <c r="IJV4">
        <v>7</v>
      </c>
      <c r="IJW4">
        <v>7</v>
      </c>
      <c r="IJX4">
        <v>7</v>
      </c>
      <c r="IJY4">
        <v>7</v>
      </c>
      <c r="IJZ4">
        <v>7</v>
      </c>
      <c r="IKA4">
        <v>7</v>
      </c>
      <c r="IKB4">
        <v>7</v>
      </c>
      <c r="IKC4">
        <v>7</v>
      </c>
      <c r="IKD4">
        <v>7</v>
      </c>
      <c r="IKE4">
        <v>7</v>
      </c>
      <c r="IKF4">
        <v>7</v>
      </c>
      <c r="IKG4">
        <v>7</v>
      </c>
      <c r="IKH4">
        <v>7</v>
      </c>
      <c r="IKI4">
        <v>7</v>
      </c>
      <c r="IKJ4">
        <v>7</v>
      </c>
      <c r="IKK4">
        <v>7</v>
      </c>
      <c r="IKL4">
        <v>7</v>
      </c>
      <c r="IKM4">
        <v>7</v>
      </c>
      <c r="IKN4">
        <v>7</v>
      </c>
      <c r="IKO4">
        <v>7</v>
      </c>
      <c r="IKP4">
        <v>7</v>
      </c>
      <c r="IKQ4">
        <v>7</v>
      </c>
      <c r="IKR4">
        <v>7</v>
      </c>
      <c r="IKS4">
        <v>7</v>
      </c>
      <c r="IKT4">
        <v>7</v>
      </c>
      <c r="IKU4">
        <v>7</v>
      </c>
      <c r="IKV4">
        <v>7</v>
      </c>
      <c r="IKW4">
        <v>7</v>
      </c>
      <c r="IKX4">
        <v>7</v>
      </c>
      <c r="IKY4">
        <v>7</v>
      </c>
      <c r="IKZ4">
        <v>7</v>
      </c>
      <c r="ILA4">
        <v>7</v>
      </c>
      <c r="ILB4">
        <v>7</v>
      </c>
      <c r="ILC4">
        <v>7</v>
      </c>
      <c r="ILD4">
        <v>7</v>
      </c>
      <c r="ILE4">
        <v>7</v>
      </c>
      <c r="ILF4">
        <v>7</v>
      </c>
      <c r="ILG4">
        <v>7</v>
      </c>
      <c r="ILH4">
        <v>7</v>
      </c>
      <c r="ILI4">
        <v>7</v>
      </c>
      <c r="ILJ4">
        <v>7</v>
      </c>
      <c r="ILK4">
        <v>7</v>
      </c>
      <c r="ILL4">
        <v>7</v>
      </c>
      <c r="ILM4">
        <v>7</v>
      </c>
      <c r="ILN4">
        <v>7</v>
      </c>
      <c r="ILO4">
        <v>7</v>
      </c>
      <c r="ILP4">
        <v>7</v>
      </c>
      <c r="ILQ4">
        <v>7</v>
      </c>
      <c r="ILR4">
        <v>7</v>
      </c>
      <c r="ILS4">
        <v>7</v>
      </c>
      <c r="ILT4">
        <v>7</v>
      </c>
      <c r="ILU4">
        <v>7</v>
      </c>
      <c r="ILV4">
        <v>7</v>
      </c>
      <c r="ILW4">
        <v>7</v>
      </c>
      <c r="ILX4">
        <v>7</v>
      </c>
      <c r="ILY4">
        <v>7</v>
      </c>
      <c r="ILZ4">
        <v>7</v>
      </c>
      <c r="IMA4">
        <v>7</v>
      </c>
      <c r="IMB4">
        <v>7</v>
      </c>
      <c r="IMC4">
        <v>7</v>
      </c>
      <c r="IMD4">
        <v>7</v>
      </c>
      <c r="IME4">
        <v>7</v>
      </c>
      <c r="IMF4">
        <v>7</v>
      </c>
      <c r="IMG4">
        <v>7</v>
      </c>
      <c r="IMH4">
        <v>7</v>
      </c>
      <c r="IMI4">
        <v>7</v>
      </c>
      <c r="IMJ4">
        <v>7</v>
      </c>
      <c r="IMK4">
        <v>7</v>
      </c>
      <c r="IML4">
        <v>7</v>
      </c>
      <c r="IMM4">
        <v>7</v>
      </c>
      <c r="IMN4">
        <v>7</v>
      </c>
      <c r="IMO4">
        <v>7</v>
      </c>
      <c r="IMP4">
        <v>7</v>
      </c>
      <c r="IMQ4">
        <v>7</v>
      </c>
      <c r="IMR4">
        <v>7</v>
      </c>
      <c r="IMS4">
        <v>7</v>
      </c>
      <c r="IMT4">
        <v>7</v>
      </c>
      <c r="IMU4">
        <v>7</v>
      </c>
      <c r="IMV4">
        <v>7</v>
      </c>
      <c r="IMW4">
        <v>7</v>
      </c>
      <c r="IMX4">
        <v>7</v>
      </c>
      <c r="IMY4">
        <v>7</v>
      </c>
      <c r="IMZ4">
        <v>7</v>
      </c>
      <c r="INA4">
        <v>7</v>
      </c>
      <c r="INB4">
        <v>7</v>
      </c>
      <c r="INC4">
        <v>7</v>
      </c>
      <c r="IND4">
        <v>7</v>
      </c>
      <c r="INE4">
        <v>7</v>
      </c>
      <c r="INF4">
        <v>7</v>
      </c>
      <c r="ING4">
        <v>7</v>
      </c>
      <c r="INH4">
        <v>7</v>
      </c>
      <c r="INI4">
        <v>7</v>
      </c>
      <c r="INJ4">
        <v>7</v>
      </c>
      <c r="INK4">
        <v>7</v>
      </c>
      <c r="INL4">
        <v>7</v>
      </c>
      <c r="INM4">
        <v>7</v>
      </c>
      <c r="INN4">
        <v>7</v>
      </c>
      <c r="INO4">
        <v>7</v>
      </c>
      <c r="INP4">
        <v>7</v>
      </c>
      <c r="INQ4">
        <v>7</v>
      </c>
      <c r="INR4">
        <v>7</v>
      </c>
      <c r="INS4">
        <v>7</v>
      </c>
      <c r="INT4">
        <v>7</v>
      </c>
      <c r="INU4">
        <v>7</v>
      </c>
      <c r="INV4">
        <v>7</v>
      </c>
      <c r="INW4">
        <v>7</v>
      </c>
      <c r="INX4">
        <v>7</v>
      </c>
      <c r="INY4">
        <v>7</v>
      </c>
      <c r="INZ4">
        <v>7</v>
      </c>
      <c r="IOA4">
        <v>7</v>
      </c>
      <c r="IOB4">
        <v>7</v>
      </c>
      <c r="IOC4">
        <v>7</v>
      </c>
      <c r="IOD4">
        <v>7</v>
      </c>
      <c r="IOE4">
        <v>7</v>
      </c>
      <c r="IOF4">
        <v>7</v>
      </c>
      <c r="IOG4">
        <v>7</v>
      </c>
      <c r="IOH4">
        <v>7</v>
      </c>
      <c r="IOI4">
        <v>7</v>
      </c>
      <c r="IOJ4">
        <v>7</v>
      </c>
      <c r="IOK4">
        <v>7</v>
      </c>
      <c r="IOL4">
        <v>7</v>
      </c>
      <c r="IOM4">
        <v>7</v>
      </c>
      <c r="ION4">
        <v>7</v>
      </c>
      <c r="IOO4">
        <v>7</v>
      </c>
      <c r="IOP4">
        <v>7</v>
      </c>
      <c r="IOQ4">
        <v>7</v>
      </c>
      <c r="IOR4">
        <v>7</v>
      </c>
      <c r="IOS4">
        <v>7</v>
      </c>
      <c r="IOT4">
        <v>7</v>
      </c>
      <c r="IOU4">
        <v>7</v>
      </c>
      <c r="IOV4">
        <v>7</v>
      </c>
      <c r="IOW4">
        <v>7</v>
      </c>
      <c r="IOX4">
        <v>7</v>
      </c>
      <c r="IOY4">
        <v>7</v>
      </c>
      <c r="IOZ4">
        <v>7</v>
      </c>
      <c r="IPA4">
        <v>7</v>
      </c>
      <c r="IPB4">
        <v>7</v>
      </c>
      <c r="IPC4">
        <v>7</v>
      </c>
      <c r="IPD4">
        <v>7</v>
      </c>
      <c r="IPE4">
        <v>7</v>
      </c>
      <c r="IPF4">
        <v>7</v>
      </c>
      <c r="IPG4">
        <v>7</v>
      </c>
      <c r="IPH4">
        <v>7</v>
      </c>
      <c r="IPI4">
        <v>7</v>
      </c>
      <c r="IPJ4">
        <v>7</v>
      </c>
      <c r="IPK4">
        <v>7</v>
      </c>
      <c r="IPL4">
        <v>7</v>
      </c>
      <c r="IPM4">
        <v>7</v>
      </c>
      <c r="IPN4">
        <v>7</v>
      </c>
      <c r="IPO4">
        <v>7</v>
      </c>
      <c r="IPP4">
        <v>7</v>
      </c>
      <c r="IPQ4">
        <v>7</v>
      </c>
      <c r="IPR4">
        <v>7</v>
      </c>
      <c r="IPS4">
        <v>7</v>
      </c>
      <c r="IPT4">
        <v>7</v>
      </c>
      <c r="IPU4">
        <v>7</v>
      </c>
      <c r="IPV4">
        <v>7</v>
      </c>
      <c r="IPW4">
        <v>7</v>
      </c>
      <c r="IPX4">
        <v>7</v>
      </c>
      <c r="IPY4">
        <v>7</v>
      </c>
      <c r="IPZ4">
        <v>7</v>
      </c>
      <c r="IQA4">
        <v>7</v>
      </c>
      <c r="IQB4">
        <v>7</v>
      </c>
      <c r="IQC4">
        <v>7</v>
      </c>
      <c r="IQD4">
        <v>7</v>
      </c>
      <c r="IQE4">
        <v>7</v>
      </c>
      <c r="IQF4">
        <v>7</v>
      </c>
      <c r="IQG4">
        <v>7</v>
      </c>
      <c r="IQH4">
        <v>7</v>
      </c>
      <c r="IQI4">
        <v>7</v>
      </c>
      <c r="IQJ4">
        <v>7</v>
      </c>
      <c r="IQK4">
        <v>7</v>
      </c>
      <c r="IQL4">
        <v>7</v>
      </c>
      <c r="IQM4">
        <v>7</v>
      </c>
      <c r="IQN4">
        <v>7</v>
      </c>
      <c r="IQO4">
        <v>7</v>
      </c>
      <c r="IQP4">
        <v>7</v>
      </c>
      <c r="IQQ4">
        <v>7</v>
      </c>
      <c r="IQR4">
        <v>7</v>
      </c>
      <c r="IQS4">
        <v>7</v>
      </c>
      <c r="IQT4">
        <v>7</v>
      </c>
      <c r="IQU4">
        <v>7</v>
      </c>
      <c r="IQV4">
        <v>7</v>
      </c>
      <c r="IQW4">
        <v>7</v>
      </c>
      <c r="IQX4">
        <v>7</v>
      </c>
      <c r="IQY4">
        <v>7</v>
      </c>
      <c r="IQZ4">
        <v>7</v>
      </c>
      <c r="IRA4">
        <v>7</v>
      </c>
      <c r="IRB4">
        <v>7</v>
      </c>
      <c r="IRC4">
        <v>7</v>
      </c>
      <c r="IRD4">
        <v>7</v>
      </c>
      <c r="IRE4">
        <v>7</v>
      </c>
      <c r="IRF4">
        <v>7</v>
      </c>
      <c r="IRG4">
        <v>7</v>
      </c>
      <c r="IRH4">
        <v>7</v>
      </c>
      <c r="IRI4">
        <v>7</v>
      </c>
      <c r="IRJ4">
        <v>7</v>
      </c>
      <c r="IRK4">
        <v>7</v>
      </c>
      <c r="IRL4">
        <v>7</v>
      </c>
      <c r="IRM4">
        <v>7</v>
      </c>
      <c r="IRN4">
        <v>7</v>
      </c>
      <c r="IRO4">
        <v>7</v>
      </c>
      <c r="IRP4">
        <v>7</v>
      </c>
      <c r="IRQ4">
        <v>7</v>
      </c>
      <c r="IRR4">
        <v>7</v>
      </c>
      <c r="IRS4">
        <v>7</v>
      </c>
      <c r="IRT4">
        <v>7</v>
      </c>
      <c r="IRU4">
        <v>7</v>
      </c>
      <c r="IRV4">
        <v>7</v>
      </c>
      <c r="IRW4">
        <v>7</v>
      </c>
      <c r="IRX4">
        <v>7</v>
      </c>
      <c r="IRY4">
        <v>7</v>
      </c>
      <c r="IRZ4">
        <v>7</v>
      </c>
      <c r="ISA4">
        <v>7</v>
      </c>
      <c r="ISB4">
        <v>7</v>
      </c>
      <c r="ISC4">
        <v>7</v>
      </c>
      <c r="ISD4">
        <v>7</v>
      </c>
      <c r="JHH4">
        <v>8</v>
      </c>
      <c r="JHI4">
        <v>8</v>
      </c>
      <c r="JHJ4">
        <v>8</v>
      </c>
      <c r="JHK4">
        <v>8</v>
      </c>
      <c r="JHL4">
        <v>8</v>
      </c>
      <c r="JHM4">
        <v>8</v>
      </c>
      <c r="JHN4">
        <v>8</v>
      </c>
      <c r="JHO4">
        <v>8</v>
      </c>
      <c r="JHP4">
        <v>8</v>
      </c>
      <c r="JHQ4">
        <v>8</v>
      </c>
      <c r="JHR4">
        <v>8</v>
      </c>
      <c r="JHS4">
        <v>8</v>
      </c>
      <c r="JHT4">
        <v>8</v>
      </c>
      <c r="JHU4">
        <v>8</v>
      </c>
      <c r="JHV4">
        <v>8</v>
      </c>
      <c r="JHW4">
        <v>8</v>
      </c>
      <c r="JHX4">
        <v>8</v>
      </c>
      <c r="JHY4">
        <v>8</v>
      </c>
      <c r="JHZ4">
        <v>8</v>
      </c>
      <c r="JIA4">
        <v>8</v>
      </c>
      <c r="JIB4">
        <v>8</v>
      </c>
      <c r="JIC4">
        <v>8</v>
      </c>
      <c r="JID4">
        <v>8</v>
      </c>
      <c r="JIE4">
        <v>8</v>
      </c>
      <c r="JIF4">
        <v>8</v>
      </c>
      <c r="JIG4">
        <v>8</v>
      </c>
      <c r="JIH4">
        <v>8</v>
      </c>
      <c r="JII4">
        <v>8</v>
      </c>
      <c r="JIJ4">
        <v>8</v>
      </c>
      <c r="JIK4">
        <v>8</v>
      </c>
      <c r="JIL4">
        <v>8</v>
      </c>
      <c r="JIM4">
        <v>8</v>
      </c>
      <c r="JIN4">
        <v>8</v>
      </c>
      <c r="JIO4">
        <v>8</v>
      </c>
      <c r="JIP4">
        <v>8</v>
      </c>
      <c r="JIQ4">
        <v>8</v>
      </c>
      <c r="JIR4">
        <v>8</v>
      </c>
      <c r="JIS4">
        <v>8</v>
      </c>
      <c r="JIT4">
        <v>8</v>
      </c>
      <c r="JIU4">
        <v>8</v>
      </c>
      <c r="JIV4">
        <v>8</v>
      </c>
      <c r="JIW4">
        <v>8</v>
      </c>
      <c r="JIX4">
        <v>8</v>
      </c>
      <c r="JIY4">
        <v>8</v>
      </c>
      <c r="JIZ4">
        <v>8</v>
      </c>
      <c r="JJA4">
        <v>8</v>
      </c>
      <c r="JJB4">
        <v>8</v>
      </c>
      <c r="JJC4">
        <v>8</v>
      </c>
      <c r="JJD4">
        <v>8</v>
      </c>
      <c r="JJE4">
        <v>8</v>
      </c>
      <c r="JJF4">
        <v>8</v>
      </c>
      <c r="JJG4">
        <v>8</v>
      </c>
      <c r="JJH4">
        <v>8</v>
      </c>
      <c r="JJI4">
        <v>8</v>
      </c>
      <c r="JJJ4">
        <v>8</v>
      </c>
      <c r="JJK4">
        <v>8</v>
      </c>
      <c r="JJL4">
        <v>8</v>
      </c>
      <c r="JJM4">
        <v>8</v>
      </c>
      <c r="JJN4">
        <v>8</v>
      </c>
      <c r="JJO4">
        <v>8</v>
      </c>
      <c r="JJP4">
        <v>8</v>
      </c>
      <c r="JJQ4">
        <v>8</v>
      </c>
      <c r="JJR4">
        <v>8</v>
      </c>
      <c r="JJS4">
        <v>8</v>
      </c>
      <c r="JJT4">
        <v>8</v>
      </c>
      <c r="JJU4">
        <v>8</v>
      </c>
      <c r="JJV4">
        <v>8</v>
      </c>
      <c r="JJW4">
        <v>8</v>
      </c>
      <c r="JJX4">
        <v>8</v>
      </c>
      <c r="JJY4">
        <v>8</v>
      </c>
      <c r="JJZ4">
        <v>8</v>
      </c>
      <c r="JKA4">
        <v>8</v>
      </c>
      <c r="JKB4">
        <v>8</v>
      </c>
      <c r="JKC4">
        <v>8</v>
      </c>
      <c r="JKD4">
        <v>8</v>
      </c>
      <c r="JKE4">
        <v>8</v>
      </c>
      <c r="JKF4">
        <v>8</v>
      </c>
      <c r="JKG4">
        <v>8</v>
      </c>
      <c r="JKH4">
        <v>8</v>
      </c>
      <c r="JKI4">
        <v>8</v>
      </c>
      <c r="JKJ4">
        <v>8</v>
      </c>
      <c r="JKK4">
        <v>8</v>
      </c>
      <c r="JKL4">
        <v>8</v>
      </c>
      <c r="JKM4">
        <v>8</v>
      </c>
      <c r="JKN4">
        <v>8</v>
      </c>
      <c r="JKO4">
        <v>8</v>
      </c>
      <c r="JKP4">
        <v>8</v>
      </c>
      <c r="JKQ4">
        <v>8</v>
      </c>
      <c r="JKR4">
        <v>8</v>
      </c>
      <c r="JKS4">
        <v>8</v>
      </c>
      <c r="JKT4">
        <v>8</v>
      </c>
      <c r="JKU4">
        <v>8</v>
      </c>
      <c r="JKV4">
        <v>8</v>
      </c>
      <c r="JKW4">
        <v>8</v>
      </c>
      <c r="JKX4">
        <v>8</v>
      </c>
      <c r="JKY4">
        <v>8</v>
      </c>
      <c r="JKZ4">
        <v>8</v>
      </c>
      <c r="JLA4">
        <v>8</v>
      </c>
      <c r="JLB4">
        <v>8</v>
      </c>
      <c r="JLC4">
        <v>8</v>
      </c>
      <c r="JLD4">
        <v>8</v>
      </c>
      <c r="JLE4">
        <v>8</v>
      </c>
      <c r="JLF4">
        <v>8</v>
      </c>
      <c r="JLG4">
        <v>8</v>
      </c>
      <c r="JLH4">
        <v>8</v>
      </c>
      <c r="JLI4">
        <v>8</v>
      </c>
      <c r="JLJ4">
        <v>8</v>
      </c>
      <c r="JLK4">
        <v>8</v>
      </c>
      <c r="JLL4">
        <v>8</v>
      </c>
      <c r="JLM4">
        <v>8</v>
      </c>
      <c r="JLN4">
        <v>8</v>
      </c>
      <c r="JLO4">
        <v>8</v>
      </c>
      <c r="JLP4">
        <v>8</v>
      </c>
      <c r="JLQ4">
        <v>8</v>
      </c>
      <c r="JLR4">
        <v>8</v>
      </c>
      <c r="JLS4">
        <v>8</v>
      </c>
      <c r="JLT4">
        <v>8</v>
      </c>
      <c r="JLU4">
        <v>8</v>
      </c>
      <c r="JLV4">
        <v>8</v>
      </c>
      <c r="JLW4">
        <v>8</v>
      </c>
      <c r="JLX4">
        <v>8</v>
      </c>
      <c r="JLY4">
        <v>8</v>
      </c>
      <c r="JLZ4">
        <v>8</v>
      </c>
      <c r="JMA4">
        <v>8</v>
      </c>
      <c r="JMB4">
        <v>8</v>
      </c>
      <c r="JMC4">
        <v>8</v>
      </c>
      <c r="JMD4">
        <v>8</v>
      </c>
      <c r="JME4">
        <v>8</v>
      </c>
      <c r="JMF4">
        <v>8</v>
      </c>
      <c r="JMG4">
        <v>8</v>
      </c>
      <c r="JMH4">
        <v>8</v>
      </c>
      <c r="JMI4">
        <v>8</v>
      </c>
      <c r="JMJ4">
        <v>8</v>
      </c>
      <c r="JMK4">
        <v>8</v>
      </c>
      <c r="JML4">
        <v>8</v>
      </c>
      <c r="JMM4">
        <v>8</v>
      </c>
      <c r="JMN4">
        <v>8</v>
      </c>
      <c r="JMO4">
        <v>8</v>
      </c>
      <c r="JMP4">
        <v>8</v>
      </c>
      <c r="JMQ4">
        <v>8</v>
      </c>
      <c r="JMR4">
        <v>8</v>
      </c>
      <c r="JMS4">
        <v>8</v>
      </c>
      <c r="JMT4">
        <v>8</v>
      </c>
      <c r="JMU4">
        <v>8</v>
      </c>
      <c r="JMV4">
        <v>8</v>
      </c>
      <c r="JMW4">
        <v>8</v>
      </c>
      <c r="JMX4">
        <v>8</v>
      </c>
      <c r="JMY4">
        <v>8</v>
      </c>
      <c r="JMZ4">
        <v>8</v>
      </c>
      <c r="JNA4">
        <v>8</v>
      </c>
      <c r="JNB4">
        <v>8</v>
      </c>
      <c r="JNC4">
        <v>8</v>
      </c>
      <c r="JND4">
        <v>8</v>
      </c>
      <c r="JNE4">
        <v>8</v>
      </c>
      <c r="JNF4">
        <v>8</v>
      </c>
      <c r="JNG4">
        <v>8</v>
      </c>
      <c r="JNH4">
        <v>8</v>
      </c>
      <c r="JNI4">
        <v>8</v>
      </c>
      <c r="JNJ4">
        <v>8</v>
      </c>
      <c r="JNK4">
        <v>8</v>
      </c>
      <c r="JNL4">
        <v>8</v>
      </c>
      <c r="JNM4">
        <v>8</v>
      </c>
      <c r="JNN4">
        <v>8</v>
      </c>
      <c r="JNO4">
        <v>8</v>
      </c>
      <c r="JNP4">
        <v>8</v>
      </c>
      <c r="JNQ4">
        <v>8</v>
      </c>
      <c r="JNR4">
        <v>8</v>
      </c>
      <c r="JNS4">
        <v>8</v>
      </c>
      <c r="JNT4">
        <v>8</v>
      </c>
      <c r="JNU4">
        <v>8</v>
      </c>
      <c r="JNV4">
        <v>8</v>
      </c>
      <c r="JNW4">
        <v>8</v>
      </c>
      <c r="JNX4">
        <v>8</v>
      </c>
      <c r="JNY4">
        <v>8</v>
      </c>
      <c r="JNZ4">
        <v>8</v>
      </c>
      <c r="JOA4">
        <v>8</v>
      </c>
      <c r="JOB4">
        <v>8</v>
      </c>
      <c r="JOC4">
        <v>8</v>
      </c>
      <c r="JOD4">
        <v>8</v>
      </c>
      <c r="JOE4">
        <v>8</v>
      </c>
      <c r="JOF4">
        <v>8</v>
      </c>
      <c r="JOG4">
        <v>8</v>
      </c>
      <c r="JOH4">
        <v>8</v>
      </c>
      <c r="JOI4">
        <v>8</v>
      </c>
      <c r="JOJ4">
        <v>8</v>
      </c>
      <c r="JOK4">
        <v>8</v>
      </c>
      <c r="JOL4">
        <v>8</v>
      </c>
      <c r="JOM4">
        <v>8</v>
      </c>
      <c r="JON4">
        <v>8</v>
      </c>
      <c r="JOO4">
        <v>8</v>
      </c>
      <c r="JOP4">
        <v>8</v>
      </c>
      <c r="JOQ4">
        <v>8</v>
      </c>
      <c r="KFW4" s="1">
        <f t="shared" si="0"/>
        <v>266</v>
      </c>
      <c r="KFX4">
        <f t="shared" si="1"/>
        <v>628</v>
      </c>
      <c r="KFY4">
        <f t="shared" si="2"/>
        <v>158</v>
      </c>
      <c r="KFZ4">
        <f t="shared" si="3"/>
        <v>225</v>
      </c>
      <c r="KGA4">
        <f t="shared" si="4"/>
        <v>182</v>
      </c>
      <c r="KGB4">
        <f t="shared" si="5"/>
        <v>250</v>
      </c>
      <c r="KGC4">
        <f t="shared" si="6"/>
        <v>305</v>
      </c>
      <c r="KGD4">
        <f t="shared" si="7"/>
        <v>192</v>
      </c>
      <c r="KGE4">
        <f t="shared" si="8"/>
        <v>0</v>
      </c>
      <c r="KGF4">
        <f t="shared" si="9"/>
        <v>0</v>
      </c>
      <c r="KGG4">
        <f t="shared" si="10"/>
        <v>0</v>
      </c>
      <c r="KGH4">
        <f t="shared" si="11"/>
        <v>0</v>
      </c>
      <c r="KGI4">
        <f t="shared" si="12"/>
        <v>0</v>
      </c>
      <c r="KGJ4">
        <f t="shared" si="13"/>
        <v>0</v>
      </c>
      <c r="KGK4">
        <f t="shared" si="14"/>
        <v>0</v>
      </c>
      <c r="KGL4">
        <f t="shared" si="15"/>
        <v>0</v>
      </c>
      <c r="KGM4">
        <f t="shared" si="16"/>
        <v>0</v>
      </c>
      <c r="KGN4">
        <f t="shared" si="17"/>
        <v>0</v>
      </c>
      <c r="KGO4">
        <f t="shared" si="18"/>
        <v>0</v>
      </c>
      <c r="KGP4">
        <f t="shared" si="19"/>
        <v>0</v>
      </c>
      <c r="KGQ4">
        <f t="shared" si="20"/>
        <v>0</v>
      </c>
      <c r="KGR4">
        <f t="shared" si="21"/>
        <v>0</v>
      </c>
      <c r="KGS4">
        <f t="shared" si="22"/>
        <v>0</v>
      </c>
      <c r="KGT4">
        <f t="shared" si="23"/>
        <v>0</v>
      </c>
      <c r="KGU4">
        <f t="shared" si="24"/>
        <v>0</v>
      </c>
      <c r="KGV4">
        <f t="shared" si="25"/>
        <v>0</v>
      </c>
      <c r="KGW4">
        <f t="shared" si="26"/>
        <v>0</v>
      </c>
      <c r="KGX4">
        <f t="shared" si="27"/>
        <v>0</v>
      </c>
      <c r="KGY4">
        <f t="shared" si="28"/>
        <v>0</v>
      </c>
      <c r="KGZ4">
        <f t="shared" si="29"/>
        <v>0</v>
      </c>
      <c r="KHA4">
        <f t="shared" si="30"/>
        <v>0</v>
      </c>
      <c r="KHB4">
        <f t="shared" si="31"/>
        <v>0</v>
      </c>
      <c r="KHC4">
        <f t="shared" si="32"/>
        <v>0</v>
      </c>
      <c r="KHD4">
        <f t="shared" si="33"/>
        <v>0</v>
      </c>
      <c r="KHE4">
        <f t="shared" si="34"/>
        <v>0</v>
      </c>
      <c r="KHF4">
        <f t="shared" si="35"/>
        <v>0</v>
      </c>
      <c r="KHG4">
        <f t="shared" si="36"/>
        <v>0</v>
      </c>
      <c r="KHH4">
        <f t="shared" si="37"/>
        <v>0</v>
      </c>
      <c r="KHI4">
        <f t="shared" si="38"/>
        <v>0</v>
      </c>
      <c r="KHJ4">
        <f t="shared" si="39"/>
        <v>0</v>
      </c>
      <c r="KHK4">
        <f t="shared" si="40"/>
        <v>0</v>
      </c>
      <c r="KHL4">
        <f t="shared" si="41"/>
        <v>0</v>
      </c>
      <c r="KHM4">
        <f t="shared" si="42"/>
        <v>0</v>
      </c>
      <c r="KHN4">
        <f t="shared" si="43"/>
        <v>0</v>
      </c>
      <c r="KHO4">
        <f t="shared" si="44"/>
        <v>0</v>
      </c>
      <c r="KHP4">
        <f t="shared" si="45"/>
        <v>0</v>
      </c>
      <c r="KHQ4">
        <f t="shared" si="46"/>
        <v>0</v>
      </c>
      <c r="KHR4">
        <f t="shared" si="47"/>
        <v>0</v>
      </c>
      <c r="KHS4">
        <f t="shared" si="48"/>
        <v>0</v>
      </c>
      <c r="KHT4">
        <f t="shared" si="49"/>
        <v>0</v>
      </c>
      <c r="KHU4">
        <f t="shared" si="50"/>
        <v>0</v>
      </c>
      <c r="KHV4">
        <f t="shared" si="51"/>
        <v>0</v>
      </c>
      <c r="KHW4">
        <f t="shared" si="52"/>
        <v>0</v>
      </c>
      <c r="KHX4">
        <f t="shared" si="53"/>
        <v>0</v>
      </c>
      <c r="KHY4">
        <f t="shared" si="54"/>
        <v>0</v>
      </c>
      <c r="KHZ4">
        <f t="shared" si="55"/>
        <v>0</v>
      </c>
      <c r="KIA4">
        <f t="shared" si="56"/>
        <v>0</v>
      </c>
      <c r="KIB4">
        <f t="shared" si="57"/>
        <v>0</v>
      </c>
      <c r="KIC4">
        <f t="shared" si="58"/>
        <v>0</v>
      </c>
      <c r="KID4">
        <f t="shared" si="59"/>
        <v>0</v>
      </c>
      <c r="KIE4">
        <f t="shared" si="60"/>
        <v>0</v>
      </c>
      <c r="KIF4">
        <f t="shared" si="61"/>
        <v>0</v>
      </c>
      <c r="KIG4">
        <f t="shared" si="62"/>
        <v>0</v>
      </c>
      <c r="KIH4">
        <f t="shared" si="63"/>
        <v>0</v>
      </c>
      <c r="KII4">
        <f t="shared" si="64"/>
        <v>0</v>
      </c>
      <c r="KIJ4">
        <f t="shared" si="65"/>
        <v>0</v>
      </c>
      <c r="KIK4">
        <f t="shared" si="66"/>
        <v>0</v>
      </c>
      <c r="KIL4">
        <f t="shared" si="67"/>
        <v>0</v>
      </c>
      <c r="KIM4">
        <f t="shared" si="68"/>
        <v>0</v>
      </c>
      <c r="KIN4">
        <f t="shared" si="69"/>
        <v>0</v>
      </c>
      <c r="KIO4">
        <f t="shared" si="70"/>
        <v>0</v>
      </c>
      <c r="KIP4">
        <f t="shared" si="71"/>
        <v>0</v>
      </c>
      <c r="KIQ4">
        <f t="shared" si="72"/>
        <v>0</v>
      </c>
      <c r="KIR4">
        <f t="shared" si="73"/>
        <v>0</v>
      </c>
      <c r="KIS4">
        <f t="shared" si="74"/>
        <v>0</v>
      </c>
      <c r="KIT4">
        <f t="shared" si="75"/>
        <v>0</v>
      </c>
      <c r="KIU4">
        <f t="shared" si="76"/>
        <v>0</v>
      </c>
      <c r="KIV4">
        <f t="shared" si="77"/>
        <v>0</v>
      </c>
      <c r="KIW4">
        <f t="shared" si="78"/>
        <v>0</v>
      </c>
      <c r="KIX4">
        <f t="shared" si="79"/>
        <v>0</v>
      </c>
      <c r="KIY4">
        <f t="shared" si="80"/>
        <v>0</v>
      </c>
      <c r="KIZ4">
        <f t="shared" si="81"/>
        <v>0</v>
      </c>
      <c r="KJA4">
        <f t="shared" si="82"/>
        <v>0</v>
      </c>
      <c r="KJB4">
        <f t="shared" si="83"/>
        <v>0</v>
      </c>
      <c r="KJC4">
        <f t="shared" si="84"/>
        <v>0</v>
      </c>
      <c r="KJD4">
        <f t="shared" si="85"/>
        <v>0</v>
      </c>
      <c r="KJE4">
        <f t="shared" si="86"/>
        <v>0</v>
      </c>
      <c r="KJF4">
        <f t="shared" si="87"/>
        <v>0</v>
      </c>
      <c r="KJG4">
        <f t="shared" si="88"/>
        <v>0</v>
      </c>
      <c r="KJH4">
        <f t="shared" si="89"/>
        <v>0</v>
      </c>
      <c r="KJI4">
        <f t="shared" si="90"/>
        <v>0</v>
      </c>
      <c r="KJJ4">
        <f t="shared" si="91"/>
        <v>0</v>
      </c>
      <c r="KJK4">
        <f t="shared" si="92"/>
        <v>0</v>
      </c>
      <c r="KJL4">
        <f t="shared" si="93"/>
        <v>0</v>
      </c>
      <c r="KJM4">
        <f t="shared" si="94"/>
        <v>0</v>
      </c>
      <c r="KJN4">
        <f t="shared" si="95"/>
        <v>0</v>
      </c>
      <c r="KJO4">
        <f t="shared" si="96"/>
        <v>0</v>
      </c>
      <c r="KJP4">
        <f t="shared" si="97"/>
        <v>0</v>
      </c>
      <c r="KJQ4">
        <f t="shared" si="98"/>
        <v>0</v>
      </c>
      <c r="KJR4">
        <f t="shared" si="99"/>
        <v>0</v>
      </c>
      <c r="KJT4">
        <f t="shared" si="100"/>
        <v>2206</v>
      </c>
      <c r="KJU4">
        <f t="shared" si="100"/>
        <v>2206</v>
      </c>
      <c r="KJW4">
        <f t="shared" si="101"/>
        <v>88.24</v>
      </c>
      <c r="KJX4">
        <f t="shared" si="101"/>
        <v>88.24</v>
      </c>
    </row>
    <row r="5" spans="1:7721">
      <c r="A5" t="s">
        <v>4</v>
      </c>
      <c r="B5">
        <v>8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XO5">
        <v>2</v>
      </c>
      <c r="AXP5">
        <v>2</v>
      </c>
      <c r="AXQ5">
        <v>2</v>
      </c>
      <c r="AXR5">
        <v>2</v>
      </c>
      <c r="AXS5">
        <v>2</v>
      </c>
      <c r="AXT5">
        <v>2</v>
      </c>
      <c r="AXU5">
        <v>2</v>
      </c>
      <c r="AXV5">
        <v>2</v>
      </c>
      <c r="AXW5">
        <v>2</v>
      </c>
      <c r="AXX5">
        <v>2</v>
      </c>
      <c r="AXY5">
        <v>2</v>
      </c>
      <c r="AXZ5">
        <v>2</v>
      </c>
      <c r="AYA5">
        <v>2</v>
      </c>
      <c r="AYB5">
        <v>2</v>
      </c>
      <c r="AYC5">
        <v>2</v>
      </c>
      <c r="AYD5">
        <v>2</v>
      </c>
      <c r="AYE5">
        <v>2</v>
      </c>
      <c r="AYF5">
        <v>2</v>
      </c>
      <c r="AYG5">
        <v>2</v>
      </c>
      <c r="AYH5">
        <v>2</v>
      </c>
      <c r="AYI5">
        <v>2</v>
      </c>
      <c r="AYJ5">
        <v>2</v>
      </c>
      <c r="AYK5">
        <v>2</v>
      </c>
      <c r="AYL5">
        <v>2</v>
      </c>
      <c r="AYM5">
        <v>2</v>
      </c>
      <c r="AYN5">
        <v>2</v>
      </c>
      <c r="AYO5">
        <v>2</v>
      </c>
      <c r="AYP5">
        <v>2</v>
      </c>
      <c r="AYQ5">
        <v>2</v>
      </c>
      <c r="AYR5">
        <v>2</v>
      </c>
      <c r="AYS5">
        <v>2</v>
      </c>
      <c r="AYT5">
        <v>2</v>
      </c>
      <c r="AYU5">
        <v>2</v>
      </c>
      <c r="AYV5">
        <v>2</v>
      </c>
      <c r="AYW5">
        <v>2</v>
      </c>
      <c r="AYX5">
        <v>2</v>
      </c>
      <c r="AYY5">
        <v>2</v>
      </c>
      <c r="AYZ5">
        <v>2</v>
      </c>
      <c r="AZA5">
        <v>2</v>
      </c>
      <c r="AZB5">
        <v>2</v>
      </c>
      <c r="AZC5">
        <v>2</v>
      </c>
      <c r="AZD5">
        <v>2</v>
      </c>
      <c r="AZE5">
        <v>2</v>
      </c>
      <c r="AZF5">
        <v>2</v>
      </c>
      <c r="AZG5">
        <v>2</v>
      </c>
      <c r="AZH5">
        <v>2</v>
      </c>
      <c r="AZI5">
        <v>2</v>
      </c>
      <c r="AZJ5">
        <v>2</v>
      </c>
      <c r="AZK5">
        <v>2</v>
      </c>
      <c r="AZL5">
        <v>2</v>
      </c>
      <c r="AZM5">
        <v>2</v>
      </c>
      <c r="AZN5">
        <v>2</v>
      </c>
      <c r="AZO5">
        <v>2</v>
      </c>
      <c r="AZP5">
        <v>2</v>
      </c>
      <c r="AZQ5">
        <v>2</v>
      </c>
      <c r="AZR5">
        <v>2</v>
      </c>
      <c r="AZS5">
        <v>2</v>
      </c>
      <c r="AZT5">
        <v>2</v>
      </c>
      <c r="AZU5">
        <v>2</v>
      </c>
      <c r="AZV5">
        <v>2</v>
      </c>
      <c r="AZW5">
        <v>2</v>
      </c>
      <c r="AZX5">
        <v>2</v>
      </c>
      <c r="AZY5">
        <v>2</v>
      </c>
      <c r="AZZ5">
        <v>2</v>
      </c>
      <c r="BAA5">
        <v>2</v>
      </c>
      <c r="BAB5">
        <v>2</v>
      </c>
      <c r="BAC5">
        <v>2</v>
      </c>
      <c r="BAD5">
        <v>2</v>
      </c>
      <c r="BAE5">
        <v>2</v>
      </c>
      <c r="BAF5">
        <v>2</v>
      </c>
      <c r="BAG5">
        <v>2</v>
      </c>
      <c r="BAH5">
        <v>2</v>
      </c>
      <c r="BAI5">
        <v>2</v>
      </c>
      <c r="BAJ5">
        <v>2</v>
      </c>
      <c r="BAK5">
        <v>2</v>
      </c>
      <c r="BAL5">
        <v>2</v>
      </c>
      <c r="BAM5">
        <v>2</v>
      </c>
      <c r="BAN5">
        <v>2</v>
      </c>
      <c r="BAO5">
        <v>2</v>
      </c>
      <c r="BAP5">
        <v>2</v>
      </c>
      <c r="BAQ5">
        <v>2</v>
      </c>
      <c r="BAR5">
        <v>2</v>
      </c>
      <c r="BAS5">
        <v>2</v>
      </c>
      <c r="BAT5">
        <v>2</v>
      </c>
      <c r="BAU5">
        <v>2</v>
      </c>
      <c r="BAV5">
        <v>2</v>
      </c>
      <c r="BAW5">
        <v>2</v>
      </c>
      <c r="BAX5">
        <v>2</v>
      </c>
      <c r="BAY5">
        <v>2</v>
      </c>
      <c r="BAZ5">
        <v>2</v>
      </c>
      <c r="BBA5">
        <v>2</v>
      </c>
      <c r="BBB5">
        <v>2</v>
      </c>
      <c r="BBC5">
        <v>2</v>
      </c>
      <c r="BBD5">
        <v>2</v>
      </c>
      <c r="BBE5">
        <v>2</v>
      </c>
      <c r="BBF5">
        <v>2</v>
      </c>
      <c r="BBG5">
        <v>2</v>
      </c>
      <c r="BBH5">
        <v>2</v>
      </c>
      <c r="BBI5">
        <v>2</v>
      </c>
      <c r="BBJ5">
        <v>2</v>
      </c>
      <c r="BBK5">
        <v>2</v>
      </c>
      <c r="BBL5">
        <v>2</v>
      </c>
      <c r="BBM5">
        <v>2</v>
      </c>
      <c r="BBN5">
        <v>2</v>
      </c>
      <c r="BBO5">
        <v>2</v>
      </c>
      <c r="BBP5">
        <v>2</v>
      </c>
      <c r="BBQ5">
        <v>2</v>
      </c>
      <c r="BBR5">
        <v>2</v>
      </c>
      <c r="BBS5">
        <v>2</v>
      </c>
      <c r="BBT5">
        <v>2</v>
      </c>
      <c r="BBU5">
        <v>2</v>
      </c>
      <c r="BBV5">
        <v>2</v>
      </c>
      <c r="BBW5">
        <v>2</v>
      </c>
      <c r="BBX5">
        <v>2</v>
      </c>
      <c r="BBY5">
        <v>2</v>
      </c>
      <c r="BBZ5">
        <v>2</v>
      </c>
      <c r="BCA5">
        <v>2</v>
      </c>
      <c r="BCB5">
        <v>2</v>
      </c>
      <c r="BCC5">
        <v>2</v>
      </c>
      <c r="BCD5">
        <v>2</v>
      </c>
      <c r="BCE5">
        <v>2</v>
      </c>
      <c r="BCF5">
        <v>2</v>
      </c>
      <c r="BCG5">
        <v>2</v>
      </c>
      <c r="BCH5">
        <v>2</v>
      </c>
      <c r="BCI5">
        <v>2</v>
      </c>
      <c r="BCJ5">
        <v>2</v>
      </c>
      <c r="BCK5">
        <v>2</v>
      </c>
      <c r="BCL5">
        <v>2</v>
      </c>
      <c r="BCM5">
        <v>2</v>
      </c>
      <c r="BCN5">
        <v>2</v>
      </c>
      <c r="BCO5">
        <v>2</v>
      </c>
      <c r="BCP5">
        <v>2</v>
      </c>
      <c r="BCQ5">
        <v>2</v>
      </c>
      <c r="BCR5">
        <v>2</v>
      </c>
      <c r="BCS5">
        <v>2</v>
      </c>
      <c r="BCT5">
        <v>2</v>
      </c>
      <c r="BCU5">
        <v>2</v>
      </c>
      <c r="BCV5">
        <v>2</v>
      </c>
      <c r="BCW5">
        <v>2</v>
      </c>
      <c r="BCX5">
        <v>2</v>
      </c>
      <c r="BCY5">
        <v>2</v>
      </c>
      <c r="BCZ5">
        <v>2</v>
      </c>
      <c r="BDA5">
        <v>2</v>
      </c>
      <c r="BDB5">
        <v>2</v>
      </c>
      <c r="BDC5">
        <v>2</v>
      </c>
      <c r="BDD5">
        <v>2</v>
      </c>
      <c r="BDE5">
        <v>2</v>
      </c>
      <c r="BDF5">
        <v>2</v>
      </c>
      <c r="BDG5">
        <v>2</v>
      </c>
      <c r="BDH5">
        <v>2</v>
      </c>
      <c r="BDI5">
        <v>2</v>
      </c>
      <c r="BDJ5">
        <v>2</v>
      </c>
      <c r="BDK5">
        <v>2</v>
      </c>
      <c r="BDL5">
        <v>2</v>
      </c>
      <c r="BDM5">
        <v>2</v>
      </c>
      <c r="BDN5">
        <v>2</v>
      </c>
      <c r="BDO5">
        <v>2</v>
      </c>
      <c r="BDP5">
        <v>2</v>
      </c>
      <c r="BDQ5">
        <v>2</v>
      </c>
      <c r="BDR5">
        <v>2</v>
      </c>
      <c r="BDS5">
        <v>2</v>
      </c>
      <c r="BDT5">
        <v>2</v>
      </c>
      <c r="BDU5">
        <v>2</v>
      </c>
      <c r="BDV5">
        <v>2</v>
      </c>
      <c r="BDW5">
        <v>2</v>
      </c>
      <c r="BDX5">
        <v>2</v>
      </c>
      <c r="BDY5">
        <v>2</v>
      </c>
      <c r="BDZ5">
        <v>2</v>
      </c>
      <c r="BEA5">
        <v>2</v>
      </c>
      <c r="BEB5">
        <v>2</v>
      </c>
      <c r="BEC5">
        <v>2</v>
      </c>
      <c r="BED5">
        <v>2</v>
      </c>
      <c r="BEE5">
        <v>2</v>
      </c>
      <c r="BEF5">
        <v>2</v>
      </c>
      <c r="BEG5">
        <v>2</v>
      </c>
      <c r="BEH5">
        <v>2</v>
      </c>
      <c r="BEI5">
        <v>2</v>
      </c>
      <c r="BEJ5">
        <v>2</v>
      </c>
      <c r="BEK5">
        <v>2</v>
      </c>
      <c r="BEL5">
        <v>2</v>
      </c>
      <c r="BEM5">
        <v>2</v>
      </c>
      <c r="BEN5">
        <v>2</v>
      </c>
      <c r="BEO5">
        <v>2</v>
      </c>
      <c r="BEP5">
        <v>2</v>
      </c>
      <c r="BEQ5">
        <v>2</v>
      </c>
      <c r="BER5">
        <v>2</v>
      </c>
      <c r="BES5">
        <v>2</v>
      </c>
      <c r="BET5">
        <v>2</v>
      </c>
      <c r="BEU5">
        <v>2</v>
      </c>
      <c r="BEV5">
        <v>2</v>
      </c>
      <c r="BEW5">
        <v>2</v>
      </c>
      <c r="BEX5">
        <v>2</v>
      </c>
      <c r="BEY5">
        <v>2</v>
      </c>
      <c r="BEZ5">
        <v>2</v>
      </c>
      <c r="BFA5">
        <v>2</v>
      </c>
      <c r="BFB5">
        <v>2</v>
      </c>
      <c r="BFC5">
        <v>2</v>
      </c>
      <c r="BFD5">
        <v>2</v>
      </c>
      <c r="BFE5">
        <v>2</v>
      </c>
      <c r="BFF5">
        <v>2</v>
      </c>
      <c r="BFG5">
        <v>2</v>
      </c>
      <c r="BFH5">
        <v>2</v>
      </c>
      <c r="BFI5">
        <v>2</v>
      </c>
      <c r="BFJ5">
        <v>2</v>
      </c>
      <c r="BFK5">
        <v>2</v>
      </c>
      <c r="BFL5">
        <v>2</v>
      </c>
      <c r="BFM5">
        <v>2</v>
      </c>
      <c r="BFN5">
        <v>2</v>
      </c>
      <c r="BFO5">
        <v>2</v>
      </c>
      <c r="BFP5">
        <v>2</v>
      </c>
      <c r="BFQ5">
        <v>2</v>
      </c>
      <c r="BFR5">
        <v>2</v>
      </c>
      <c r="BFS5">
        <v>2</v>
      </c>
      <c r="BFT5">
        <v>2</v>
      </c>
      <c r="BFU5">
        <v>2</v>
      </c>
      <c r="BFV5">
        <v>2</v>
      </c>
      <c r="BFW5">
        <v>2</v>
      </c>
      <c r="BFX5">
        <v>2</v>
      </c>
      <c r="BFY5">
        <v>2</v>
      </c>
      <c r="BFZ5">
        <v>2</v>
      </c>
      <c r="BGA5">
        <v>2</v>
      </c>
      <c r="BGB5">
        <v>2</v>
      </c>
      <c r="BGC5">
        <v>2</v>
      </c>
      <c r="BGD5">
        <v>2</v>
      </c>
      <c r="BGE5">
        <v>2</v>
      </c>
      <c r="BGF5">
        <v>2</v>
      </c>
      <c r="BGG5">
        <v>2</v>
      </c>
      <c r="BGH5">
        <v>2</v>
      </c>
      <c r="BGI5">
        <v>2</v>
      </c>
      <c r="BGJ5">
        <v>2</v>
      </c>
      <c r="BGK5">
        <v>2</v>
      </c>
      <c r="BGL5">
        <v>2</v>
      </c>
      <c r="BGM5">
        <v>2</v>
      </c>
      <c r="BGN5">
        <v>2</v>
      </c>
      <c r="CAO5">
        <v>3</v>
      </c>
      <c r="CAP5">
        <v>3</v>
      </c>
      <c r="CAQ5">
        <v>3</v>
      </c>
      <c r="CAR5">
        <v>3</v>
      </c>
      <c r="CAS5">
        <v>3</v>
      </c>
      <c r="CAT5">
        <v>3</v>
      </c>
      <c r="CAU5">
        <v>3</v>
      </c>
      <c r="CAV5">
        <v>3</v>
      </c>
      <c r="CAW5">
        <v>3</v>
      </c>
      <c r="CAX5">
        <v>3</v>
      </c>
      <c r="CAY5">
        <v>3</v>
      </c>
      <c r="CAZ5">
        <v>3</v>
      </c>
      <c r="CBA5">
        <v>3</v>
      </c>
      <c r="CBB5">
        <v>3</v>
      </c>
      <c r="CBC5">
        <v>3</v>
      </c>
      <c r="CBD5">
        <v>3</v>
      </c>
      <c r="CBE5">
        <v>3</v>
      </c>
      <c r="CBF5">
        <v>3</v>
      </c>
      <c r="CBG5">
        <v>3</v>
      </c>
      <c r="CBH5">
        <v>3</v>
      </c>
      <c r="CBI5">
        <v>3</v>
      </c>
      <c r="CBJ5">
        <v>3</v>
      </c>
      <c r="CBK5">
        <v>3</v>
      </c>
      <c r="CBL5">
        <v>3</v>
      </c>
      <c r="CBM5">
        <v>3</v>
      </c>
      <c r="CBN5">
        <v>3</v>
      </c>
      <c r="CBO5">
        <v>3</v>
      </c>
      <c r="CBP5">
        <v>3</v>
      </c>
      <c r="CBQ5">
        <v>3</v>
      </c>
      <c r="CBR5">
        <v>3</v>
      </c>
      <c r="CBS5">
        <v>3</v>
      </c>
      <c r="CBT5">
        <v>3</v>
      </c>
      <c r="CBU5">
        <v>3</v>
      </c>
      <c r="CBV5">
        <v>3</v>
      </c>
      <c r="CBW5">
        <v>3</v>
      </c>
      <c r="CBX5">
        <v>3</v>
      </c>
      <c r="CBY5">
        <v>3</v>
      </c>
      <c r="CBZ5">
        <v>3</v>
      </c>
      <c r="CCA5">
        <v>3</v>
      </c>
      <c r="CCB5">
        <v>3</v>
      </c>
      <c r="CCC5">
        <v>3</v>
      </c>
      <c r="CCD5">
        <v>3</v>
      </c>
      <c r="CCE5">
        <v>3</v>
      </c>
      <c r="CCF5">
        <v>3</v>
      </c>
      <c r="CCG5">
        <v>3</v>
      </c>
      <c r="CCH5">
        <v>3</v>
      </c>
      <c r="CCI5">
        <v>3</v>
      </c>
      <c r="CCJ5">
        <v>3</v>
      </c>
      <c r="CCK5">
        <v>3</v>
      </c>
      <c r="CCL5">
        <v>3</v>
      </c>
      <c r="CCM5">
        <v>3</v>
      </c>
      <c r="CCN5">
        <v>3</v>
      </c>
      <c r="CCO5">
        <v>3</v>
      </c>
      <c r="CCP5">
        <v>3</v>
      </c>
      <c r="CCQ5">
        <v>3</v>
      </c>
      <c r="CCR5">
        <v>3</v>
      </c>
      <c r="CCS5">
        <v>3</v>
      </c>
      <c r="CCT5">
        <v>3</v>
      </c>
      <c r="CCU5">
        <v>3</v>
      </c>
      <c r="CCV5">
        <v>3</v>
      </c>
      <c r="CCW5">
        <v>3</v>
      </c>
      <c r="CCX5">
        <v>3</v>
      </c>
      <c r="CCY5">
        <v>3</v>
      </c>
      <c r="CCZ5">
        <v>3</v>
      </c>
      <c r="CDA5">
        <v>3</v>
      </c>
      <c r="CDB5">
        <v>3</v>
      </c>
      <c r="CDC5">
        <v>3</v>
      </c>
      <c r="CDD5">
        <v>3</v>
      </c>
      <c r="CDE5">
        <v>3</v>
      </c>
      <c r="CDF5">
        <v>3</v>
      </c>
      <c r="CDG5">
        <v>3</v>
      </c>
      <c r="CDH5">
        <v>3</v>
      </c>
      <c r="CDI5">
        <v>3</v>
      </c>
      <c r="CDJ5">
        <v>3</v>
      </c>
      <c r="CDK5">
        <v>3</v>
      </c>
      <c r="CDL5">
        <v>3</v>
      </c>
      <c r="CDM5">
        <v>3</v>
      </c>
      <c r="CDN5">
        <v>3</v>
      </c>
      <c r="CDO5">
        <v>3</v>
      </c>
      <c r="CDP5">
        <v>3</v>
      </c>
      <c r="CDQ5">
        <v>3</v>
      </c>
      <c r="CDR5">
        <v>3</v>
      </c>
      <c r="CDS5">
        <v>3</v>
      </c>
      <c r="CDT5">
        <v>3</v>
      </c>
      <c r="CDU5">
        <v>3</v>
      </c>
      <c r="CDV5">
        <v>3</v>
      </c>
      <c r="CDW5">
        <v>3</v>
      </c>
      <c r="CDX5">
        <v>3</v>
      </c>
      <c r="CDY5">
        <v>3</v>
      </c>
      <c r="CDZ5">
        <v>3</v>
      </c>
      <c r="CEA5">
        <v>3</v>
      </c>
      <c r="CEB5">
        <v>3</v>
      </c>
      <c r="CEC5">
        <v>3</v>
      </c>
      <c r="CED5">
        <v>3</v>
      </c>
      <c r="CEE5">
        <v>3</v>
      </c>
      <c r="CEF5">
        <v>3</v>
      </c>
      <c r="CEG5">
        <v>3</v>
      </c>
      <c r="CEH5">
        <v>3</v>
      </c>
      <c r="CEI5">
        <v>3</v>
      </c>
      <c r="CEJ5">
        <v>3</v>
      </c>
      <c r="CEK5">
        <v>3</v>
      </c>
      <c r="CEL5">
        <v>3</v>
      </c>
      <c r="CEM5">
        <v>3</v>
      </c>
      <c r="CEN5">
        <v>3</v>
      </c>
      <c r="CEO5">
        <v>3</v>
      </c>
      <c r="CEP5">
        <v>3</v>
      </c>
      <c r="CEQ5">
        <v>3</v>
      </c>
      <c r="CER5">
        <v>3</v>
      </c>
      <c r="CES5">
        <v>3</v>
      </c>
      <c r="CET5">
        <v>3</v>
      </c>
      <c r="CEU5">
        <v>3</v>
      </c>
      <c r="CEV5">
        <v>3</v>
      </c>
      <c r="CEW5">
        <v>3</v>
      </c>
      <c r="CEX5">
        <v>3</v>
      </c>
      <c r="CEY5">
        <v>3</v>
      </c>
      <c r="CEZ5">
        <v>3</v>
      </c>
      <c r="CFA5">
        <v>3</v>
      </c>
      <c r="CFB5">
        <v>3</v>
      </c>
      <c r="CFC5">
        <v>3</v>
      </c>
      <c r="CFD5">
        <v>3</v>
      </c>
      <c r="CFE5">
        <v>3</v>
      </c>
      <c r="CFF5">
        <v>3</v>
      </c>
      <c r="CFG5">
        <v>3</v>
      </c>
      <c r="CFH5">
        <v>3</v>
      </c>
      <c r="CFI5">
        <v>3</v>
      </c>
      <c r="CFJ5">
        <v>3</v>
      </c>
      <c r="CFK5">
        <v>3</v>
      </c>
      <c r="CFL5">
        <v>3</v>
      </c>
      <c r="CFM5">
        <v>3</v>
      </c>
      <c r="CFN5">
        <v>3</v>
      </c>
      <c r="CFO5">
        <v>3</v>
      </c>
      <c r="CFP5">
        <v>3</v>
      </c>
      <c r="CFQ5">
        <v>3</v>
      </c>
      <c r="CFR5">
        <v>3</v>
      </c>
      <c r="CFS5">
        <v>3</v>
      </c>
      <c r="CFT5">
        <v>3</v>
      </c>
      <c r="CFU5">
        <v>3</v>
      </c>
      <c r="CFV5">
        <v>3</v>
      </c>
      <c r="CFW5">
        <v>3</v>
      </c>
      <c r="CFX5">
        <v>3</v>
      </c>
      <c r="CFY5">
        <v>3</v>
      </c>
      <c r="CFZ5">
        <v>3</v>
      </c>
      <c r="CGA5">
        <v>3</v>
      </c>
      <c r="CGB5">
        <v>3</v>
      </c>
      <c r="CGC5">
        <v>3</v>
      </c>
      <c r="CGD5">
        <v>3</v>
      </c>
      <c r="CGE5">
        <v>3</v>
      </c>
      <c r="CGF5">
        <v>3</v>
      </c>
      <c r="CGG5">
        <v>3</v>
      </c>
      <c r="CGH5">
        <v>3</v>
      </c>
      <c r="CGI5">
        <v>3</v>
      </c>
      <c r="CGJ5">
        <v>3</v>
      </c>
      <c r="CGK5">
        <v>3</v>
      </c>
      <c r="CGL5">
        <v>3</v>
      </c>
      <c r="CGM5">
        <v>3</v>
      </c>
      <c r="CGN5">
        <v>3</v>
      </c>
      <c r="CGO5">
        <v>3</v>
      </c>
      <c r="CGP5">
        <v>3</v>
      </c>
      <c r="CGQ5">
        <v>3</v>
      </c>
      <c r="CGR5">
        <v>3</v>
      </c>
      <c r="CGS5">
        <v>3</v>
      </c>
      <c r="CGT5">
        <v>3</v>
      </c>
      <c r="CGU5">
        <v>3</v>
      </c>
      <c r="CGV5">
        <v>3</v>
      </c>
      <c r="CGW5">
        <v>3</v>
      </c>
      <c r="CGX5">
        <v>3</v>
      </c>
      <c r="CGY5">
        <v>3</v>
      </c>
      <c r="CGZ5">
        <v>3</v>
      </c>
      <c r="CHA5">
        <v>3</v>
      </c>
      <c r="CHB5">
        <v>3</v>
      </c>
      <c r="CHC5">
        <v>3</v>
      </c>
      <c r="CHD5">
        <v>3</v>
      </c>
      <c r="CHE5">
        <v>3</v>
      </c>
      <c r="CHF5">
        <v>3</v>
      </c>
      <c r="CHG5">
        <v>3</v>
      </c>
      <c r="CHH5">
        <v>3</v>
      </c>
      <c r="CHI5">
        <v>3</v>
      </c>
      <c r="CHJ5">
        <v>3</v>
      </c>
      <c r="CHK5">
        <v>3</v>
      </c>
      <c r="CHL5">
        <v>3</v>
      </c>
      <c r="CHM5">
        <v>3</v>
      </c>
      <c r="CTN5">
        <v>4</v>
      </c>
      <c r="CTO5">
        <v>4</v>
      </c>
      <c r="CTP5">
        <v>4</v>
      </c>
      <c r="CTQ5">
        <v>4</v>
      </c>
      <c r="CTR5">
        <v>4</v>
      </c>
      <c r="CTS5">
        <v>4</v>
      </c>
      <c r="CTT5">
        <v>4</v>
      </c>
      <c r="CTU5">
        <v>4</v>
      </c>
      <c r="CTV5">
        <v>4</v>
      </c>
      <c r="CTW5">
        <v>4</v>
      </c>
      <c r="CTX5">
        <v>4</v>
      </c>
      <c r="CTY5">
        <v>4</v>
      </c>
      <c r="CTZ5">
        <v>4</v>
      </c>
      <c r="CUA5">
        <v>4</v>
      </c>
      <c r="CUB5">
        <v>4</v>
      </c>
      <c r="CUC5">
        <v>4</v>
      </c>
      <c r="CUD5">
        <v>4</v>
      </c>
      <c r="CUE5">
        <v>4</v>
      </c>
      <c r="CUF5">
        <v>4</v>
      </c>
      <c r="CUG5">
        <v>4</v>
      </c>
      <c r="CUH5">
        <v>4</v>
      </c>
      <c r="CUI5">
        <v>4</v>
      </c>
      <c r="CUJ5">
        <v>4</v>
      </c>
      <c r="CUK5">
        <v>4</v>
      </c>
      <c r="CUL5">
        <v>4</v>
      </c>
      <c r="CUM5">
        <v>4</v>
      </c>
      <c r="CUN5">
        <v>4</v>
      </c>
      <c r="CUO5">
        <v>4</v>
      </c>
      <c r="CUP5">
        <v>4</v>
      </c>
      <c r="CUQ5">
        <v>4</v>
      </c>
      <c r="CUR5">
        <v>4</v>
      </c>
      <c r="CUS5">
        <v>4</v>
      </c>
      <c r="CUT5">
        <v>4</v>
      </c>
      <c r="CUU5">
        <v>4</v>
      </c>
      <c r="CUV5">
        <v>4</v>
      </c>
      <c r="CUW5">
        <v>4</v>
      </c>
      <c r="CUX5">
        <v>4</v>
      </c>
      <c r="CUY5">
        <v>4</v>
      </c>
      <c r="CUZ5">
        <v>4</v>
      </c>
      <c r="CVA5">
        <v>4</v>
      </c>
      <c r="CVB5">
        <v>4</v>
      </c>
      <c r="CVC5">
        <v>4</v>
      </c>
      <c r="CVD5">
        <v>4</v>
      </c>
      <c r="CVE5">
        <v>4</v>
      </c>
      <c r="CVF5">
        <v>4</v>
      </c>
      <c r="CVG5">
        <v>4</v>
      </c>
      <c r="CVH5">
        <v>4</v>
      </c>
      <c r="CVI5">
        <v>4</v>
      </c>
      <c r="CVJ5">
        <v>4</v>
      </c>
      <c r="CVK5">
        <v>4</v>
      </c>
      <c r="CVL5">
        <v>4</v>
      </c>
      <c r="CVM5">
        <v>4</v>
      </c>
      <c r="CVN5">
        <v>4</v>
      </c>
      <c r="CVO5">
        <v>4</v>
      </c>
      <c r="CVP5">
        <v>4</v>
      </c>
      <c r="CVQ5">
        <v>4</v>
      </c>
      <c r="CVR5">
        <v>4</v>
      </c>
      <c r="CVS5">
        <v>4</v>
      </c>
      <c r="CVT5">
        <v>4</v>
      </c>
      <c r="CVU5">
        <v>4</v>
      </c>
      <c r="CVV5">
        <v>4</v>
      </c>
      <c r="CVW5">
        <v>4</v>
      </c>
      <c r="CVX5">
        <v>4</v>
      </c>
      <c r="CVY5">
        <v>4</v>
      </c>
      <c r="CVZ5">
        <v>4</v>
      </c>
      <c r="CWA5">
        <v>4</v>
      </c>
      <c r="CWB5">
        <v>4</v>
      </c>
      <c r="CWC5">
        <v>4</v>
      </c>
      <c r="CWD5">
        <v>4</v>
      </c>
      <c r="CWE5">
        <v>4</v>
      </c>
      <c r="CWF5">
        <v>4</v>
      </c>
      <c r="CWG5">
        <v>4</v>
      </c>
      <c r="CWH5">
        <v>4</v>
      </c>
      <c r="CWI5">
        <v>4</v>
      </c>
      <c r="CWJ5">
        <v>4</v>
      </c>
      <c r="CWK5">
        <v>4</v>
      </c>
      <c r="CWL5">
        <v>4</v>
      </c>
      <c r="CWM5">
        <v>4</v>
      </c>
      <c r="CWN5">
        <v>4</v>
      </c>
      <c r="CWO5">
        <v>4</v>
      </c>
      <c r="CWP5">
        <v>4</v>
      </c>
      <c r="CWQ5">
        <v>4</v>
      </c>
      <c r="CWR5">
        <v>4</v>
      </c>
      <c r="CWS5">
        <v>4</v>
      </c>
      <c r="CWT5">
        <v>4</v>
      </c>
      <c r="CWU5">
        <v>4</v>
      </c>
      <c r="CWV5">
        <v>4</v>
      </c>
      <c r="CWW5">
        <v>4</v>
      </c>
      <c r="CWX5">
        <v>4</v>
      </c>
      <c r="CWY5">
        <v>4</v>
      </c>
      <c r="CWZ5">
        <v>4</v>
      </c>
      <c r="CXA5">
        <v>4</v>
      </c>
      <c r="CXB5">
        <v>4</v>
      </c>
      <c r="CXC5">
        <v>4</v>
      </c>
      <c r="CXD5">
        <v>4</v>
      </c>
      <c r="CXE5">
        <v>4</v>
      </c>
      <c r="CXF5">
        <v>4</v>
      </c>
      <c r="CXG5">
        <v>4</v>
      </c>
      <c r="CXH5">
        <v>4</v>
      </c>
      <c r="CXI5">
        <v>4</v>
      </c>
      <c r="CXJ5">
        <v>4</v>
      </c>
      <c r="CXK5">
        <v>4</v>
      </c>
      <c r="CXL5">
        <v>4</v>
      </c>
      <c r="CXM5">
        <v>4</v>
      </c>
      <c r="CXN5">
        <v>4</v>
      </c>
      <c r="CXO5">
        <v>4</v>
      </c>
      <c r="CXP5">
        <v>4</v>
      </c>
      <c r="CXQ5">
        <v>4</v>
      </c>
      <c r="CXR5">
        <v>4</v>
      </c>
      <c r="CXS5">
        <v>4</v>
      </c>
      <c r="CXT5">
        <v>4</v>
      </c>
      <c r="CXU5">
        <v>4</v>
      </c>
      <c r="CXV5">
        <v>4</v>
      </c>
      <c r="CXW5">
        <v>4</v>
      </c>
      <c r="CXX5">
        <v>4</v>
      </c>
      <c r="CXY5">
        <v>4</v>
      </c>
      <c r="CXZ5">
        <v>4</v>
      </c>
      <c r="CYA5">
        <v>4</v>
      </c>
      <c r="CYB5">
        <v>4</v>
      </c>
      <c r="CYC5">
        <v>4</v>
      </c>
      <c r="CYD5">
        <v>4</v>
      </c>
      <c r="CYE5">
        <v>4</v>
      </c>
      <c r="CYF5">
        <v>4</v>
      </c>
      <c r="CYG5">
        <v>4</v>
      </c>
      <c r="CYH5">
        <v>4</v>
      </c>
      <c r="CYI5">
        <v>4</v>
      </c>
      <c r="CYJ5">
        <v>4</v>
      </c>
      <c r="CYK5">
        <v>4</v>
      </c>
      <c r="CYL5">
        <v>4</v>
      </c>
      <c r="CYM5">
        <v>4</v>
      </c>
      <c r="CYN5">
        <v>4</v>
      </c>
      <c r="CYO5">
        <v>4</v>
      </c>
      <c r="CYP5">
        <v>4</v>
      </c>
      <c r="CYQ5">
        <v>4</v>
      </c>
      <c r="CYR5">
        <v>4</v>
      </c>
      <c r="CYS5">
        <v>4</v>
      </c>
      <c r="CYT5">
        <v>4</v>
      </c>
      <c r="CYU5">
        <v>4</v>
      </c>
      <c r="CYV5">
        <v>4</v>
      </c>
      <c r="CYW5">
        <v>4</v>
      </c>
      <c r="CYX5">
        <v>4</v>
      </c>
      <c r="CYY5">
        <v>4</v>
      </c>
      <c r="CYZ5">
        <v>4</v>
      </c>
      <c r="CZA5">
        <v>4</v>
      </c>
      <c r="CZB5">
        <v>4</v>
      </c>
      <c r="CZC5">
        <v>4</v>
      </c>
      <c r="CZD5">
        <v>4</v>
      </c>
      <c r="CZE5">
        <v>4</v>
      </c>
      <c r="CZF5">
        <v>4</v>
      </c>
      <c r="CZG5">
        <v>4</v>
      </c>
      <c r="CZH5">
        <v>4</v>
      </c>
      <c r="CZI5">
        <v>4</v>
      </c>
      <c r="CZJ5">
        <v>4</v>
      </c>
      <c r="CZK5">
        <v>4</v>
      </c>
      <c r="CZL5">
        <v>4</v>
      </c>
      <c r="CZM5">
        <v>4</v>
      </c>
      <c r="CZN5">
        <v>4</v>
      </c>
      <c r="CZO5">
        <v>4</v>
      </c>
      <c r="CZP5">
        <v>4</v>
      </c>
      <c r="CZQ5">
        <v>4</v>
      </c>
      <c r="CZR5">
        <v>4</v>
      </c>
      <c r="CZS5">
        <v>4</v>
      </c>
      <c r="CZT5">
        <v>4</v>
      </c>
      <c r="CZU5">
        <v>4</v>
      </c>
      <c r="CZV5">
        <v>4</v>
      </c>
      <c r="CZW5">
        <v>4</v>
      </c>
      <c r="CZX5">
        <v>4</v>
      </c>
      <c r="CZY5">
        <v>4</v>
      </c>
      <c r="CZZ5">
        <v>4</v>
      </c>
      <c r="DAA5">
        <v>4</v>
      </c>
      <c r="DAB5">
        <v>4</v>
      </c>
      <c r="DAC5">
        <v>4</v>
      </c>
      <c r="DAD5">
        <v>4</v>
      </c>
      <c r="DAE5">
        <v>4</v>
      </c>
      <c r="DAF5">
        <v>4</v>
      </c>
      <c r="DAG5">
        <v>4</v>
      </c>
      <c r="DAH5">
        <v>4</v>
      </c>
      <c r="DAI5">
        <v>4</v>
      </c>
      <c r="DAJ5">
        <v>4</v>
      </c>
      <c r="DAK5">
        <v>4</v>
      </c>
      <c r="DAL5">
        <v>4</v>
      </c>
      <c r="DAM5">
        <v>4</v>
      </c>
      <c r="DAN5">
        <v>4</v>
      </c>
      <c r="DAO5">
        <v>4</v>
      </c>
      <c r="DAP5">
        <v>4</v>
      </c>
      <c r="DAQ5">
        <v>4</v>
      </c>
      <c r="DAR5">
        <v>4</v>
      </c>
      <c r="DAS5">
        <v>4</v>
      </c>
      <c r="DAT5">
        <v>4</v>
      </c>
      <c r="DAU5">
        <v>4</v>
      </c>
      <c r="DAV5">
        <v>4</v>
      </c>
      <c r="DAW5">
        <v>4</v>
      </c>
      <c r="DAX5">
        <v>4</v>
      </c>
      <c r="DRP5">
        <v>5</v>
      </c>
      <c r="DRQ5">
        <v>5</v>
      </c>
      <c r="DRR5">
        <v>5</v>
      </c>
      <c r="DRS5">
        <v>5</v>
      </c>
      <c r="DRT5">
        <v>5</v>
      </c>
      <c r="DRU5">
        <v>5</v>
      </c>
      <c r="DRV5">
        <v>5</v>
      </c>
      <c r="DRW5">
        <v>5</v>
      </c>
      <c r="DRX5">
        <v>5</v>
      </c>
      <c r="DRY5">
        <v>5</v>
      </c>
      <c r="DRZ5">
        <v>5</v>
      </c>
      <c r="DSA5">
        <v>5</v>
      </c>
      <c r="DSB5">
        <v>5</v>
      </c>
      <c r="DSC5">
        <v>5</v>
      </c>
      <c r="DSD5">
        <v>5</v>
      </c>
      <c r="DSE5">
        <v>5</v>
      </c>
      <c r="DSF5">
        <v>5</v>
      </c>
      <c r="DSG5">
        <v>5</v>
      </c>
      <c r="DSH5">
        <v>5</v>
      </c>
      <c r="DSI5">
        <v>5</v>
      </c>
      <c r="DSJ5">
        <v>5</v>
      </c>
      <c r="DSK5">
        <v>5</v>
      </c>
      <c r="DSL5">
        <v>5</v>
      </c>
      <c r="DSM5">
        <v>5</v>
      </c>
      <c r="DSN5">
        <v>5</v>
      </c>
      <c r="DSO5">
        <v>5</v>
      </c>
      <c r="DSP5">
        <v>5</v>
      </c>
      <c r="DSQ5">
        <v>5</v>
      </c>
      <c r="DSR5">
        <v>5</v>
      </c>
      <c r="DSS5">
        <v>5</v>
      </c>
      <c r="DST5">
        <v>5</v>
      </c>
      <c r="DSU5">
        <v>5</v>
      </c>
      <c r="DSV5">
        <v>5</v>
      </c>
      <c r="DSW5">
        <v>5</v>
      </c>
      <c r="DSX5">
        <v>5</v>
      </c>
      <c r="DSY5">
        <v>5</v>
      </c>
      <c r="DSZ5">
        <v>5</v>
      </c>
      <c r="DTA5">
        <v>5</v>
      </c>
      <c r="DTB5">
        <v>5</v>
      </c>
      <c r="DTC5">
        <v>5</v>
      </c>
      <c r="DTD5">
        <v>5</v>
      </c>
      <c r="DTE5">
        <v>5</v>
      </c>
      <c r="DTF5">
        <v>5</v>
      </c>
      <c r="DTG5">
        <v>5</v>
      </c>
      <c r="DTH5">
        <v>5</v>
      </c>
      <c r="DTI5">
        <v>5</v>
      </c>
      <c r="DTJ5">
        <v>5</v>
      </c>
      <c r="DTK5">
        <v>5</v>
      </c>
      <c r="DTL5">
        <v>5</v>
      </c>
      <c r="DTM5">
        <v>5</v>
      </c>
      <c r="DTN5">
        <v>5</v>
      </c>
      <c r="DTO5">
        <v>5</v>
      </c>
      <c r="DTP5">
        <v>5</v>
      </c>
      <c r="DTQ5">
        <v>5</v>
      </c>
      <c r="DTR5">
        <v>5</v>
      </c>
      <c r="DTS5">
        <v>5</v>
      </c>
      <c r="DTT5">
        <v>5</v>
      </c>
      <c r="DTU5">
        <v>5</v>
      </c>
      <c r="DTV5">
        <v>5</v>
      </c>
      <c r="DTW5">
        <v>5</v>
      </c>
      <c r="DTX5">
        <v>5</v>
      </c>
      <c r="DTY5">
        <v>5</v>
      </c>
      <c r="DTZ5">
        <v>5</v>
      </c>
      <c r="DUA5">
        <v>5</v>
      </c>
      <c r="DUB5">
        <v>5</v>
      </c>
      <c r="DUC5">
        <v>5</v>
      </c>
      <c r="DUD5">
        <v>5</v>
      </c>
      <c r="DUE5">
        <v>5</v>
      </c>
      <c r="DUF5">
        <v>5</v>
      </c>
      <c r="DUG5">
        <v>5</v>
      </c>
      <c r="DUH5">
        <v>5</v>
      </c>
      <c r="DUI5">
        <v>5</v>
      </c>
      <c r="DUJ5">
        <v>5</v>
      </c>
      <c r="DUK5">
        <v>5</v>
      </c>
      <c r="DUL5">
        <v>5</v>
      </c>
      <c r="DUM5">
        <v>5</v>
      </c>
      <c r="DUN5">
        <v>5</v>
      </c>
      <c r="DUO5">
        <v>5</v>
      </c>
      <c r="DUP5">
        <v>5</v>
      </c>
      <c r="DUQ5">
        <v>5</v>
      </c>
      <c r="DUR5">
        <v>5</v>
      </c>
      <c r="DUS5">
        <v>5</v>
      </c>
      <c r="DUT5">
        <v>5</v>
      </c>
      <c r="DUU5">
        <v>5</v>
      </c>
      <c r="DUV5">
        <v>5</v>
      </c>
      <c r="DUW5">
        <v>5</v>
      </c>
      <c r="DUX5">
        <v>5</v>
      </c>
      <c r="DUY5">
        <v>5</v>
      </c>
      <c r="DUZ5">
        <v>5</v>
      </c>
      <c r="DVA5">
        <v>5</v>
      </c>
      <c r="DVB5">
        <v>5</v>
      </c>
      <c r="DVC5">
        <v>5</v>
      </c>
      <c r="DVD5">
        <v>5</v>
      </c>
      <c r="DVE5">
        <v>5</v>
      </c>
      <c r="DVF5">
        <v>5</v>
      </c>
      <c r="DVG5">
        <v>5</v>
      </c>
      <c r="DVH5">
        <v>5</v>
      </c>
      <c r="DVI5">
        <v>5</v>
      </c>
      <c r="DVJ5">
        <v>5</v>
      </c>
      <c r="DVK5">
        <v>5</v>
      </c>
      <c r="DVL5">
        <v>5</v>
      </c>
      <c r="DVM5">
        <v>5</v>
      </c>
      <c r="DVN5">
        <v>5</v>
      </c>
      <c r="DVO5">
        <v>5</v>
      </c>
      <c r="DVP5">
        <v>5</v>
      </c>
      <c r="DVQ5">
        <v>5</v>
      </c>
      <c r="DVR5">
        <v>5</v>
      </c>
      <c r="DVS5">
        <v>5</v>
      </c>
      <c r="DVT5">
        <v>5</v>
      </c>
      <c r="DVU5">
        <v>5</v>
      </c>
      <c r="DVV5">
        <v>5</v>
      </c>
      <c r="DVW5">
        <v>5</v>
      </c>
      <c r="DVX5">
        <v>5</v>
      </c>
      <c r="DVY5">
        <v>5</v>
      </c>
      <c r="DVZ5">
        <v>5</v>
      </c>
      <c r="DWA5">
        <v>5</v>
      </c>
      <c r="DWB5">
        <v>5</v>
      </c>
      <c r="DWC5">
        <v>5</v>
      </c>
      <c r="DWD5">
        <v>5</v>
      </c>
      <c r="DWE5">
        <v>5</v>
      </c>
      <c r="DWF5">
        <v>5</v>
      </c>
      <c r="DWG5">
        <v>5</v>
      </c>
      <c r="DWH5">
        <v>5</v>
      </c>
      <c r="DWI5">
        <v>5</v>
      </c>
      <c r="DWJ5">
        <v>5</v>
      </c>
      <c r="DWK5">
        <v>5</v>
      </c>
      <c r="DWL5">
        <v>5</v>
      </c>
      <c r="DWM5">
        <v>5</v>
      </c>
      <c r="DWN5">
        <v>5</v>
      </c>
      <c r="DWO5">
        <v>5</v>
      </c>
      <c r="DWP5">
        <v>5</v>
      </c>
      <c r="DWQ5">
        <v>5</v>
      </c>
      <c r="DWR5">
        <v>5</v>
      </c>
      <c r="DWS5">
        <v>5</v>
      </c>
      <c r="DWT5">
        <v>5</v>
      </c>
      <c r="DWU5">
        <v>5</v>
      </c>
      <c r="DWV5">
        <v>5</v>
      </c>
      <c r="DWW5">
        <v>5</v>
      </c>
      <c r="DWX5">
        <v>5</v>
      </c>
      <c r="DWY5">
        <v>5</v>
      </c>
      <c r="DWZ5">
        <v>5</v>
      </c>
      <c r="DXA5">
        <v>5</v>
      </c>
      <c r="DXB5">
        <v>5</v>
      </c>
      <c r="DXC5">
        <v>5</v>
      </c>
      <c r="DXD5">
        <v>5</v>
      </c>
      <c r="DXE5">
        <v>5</v>
      </c>
      <c r="DXF5">
        <v>5</v>
      </c>
      <c r="DXG5">
        <v>5</v>
      </c>
      <c r="DXH5">
        <v>5</v>
      </c>
      <c r="DXI5">
        <v>5</v>
      </c>
      <c r="DXJ5">
        <v>5</v>
      </c>
      <c r="DXK5">
        <v>5</v>
      </c>
      <c r="DXL5">
        <v>5</v>
      </c>
      <c r="DXM5">
        <v>5</v>
      </c>
      <c r="DXN5">
        <v>5</v>
      </c>
      <c r="DXO5">
        <v>5</v>
      </c>
      <c r="DXP5">
        <v>5</v>
      </c>
      <c r="DXQ5">
        <v>5</v>
      </c>
      <c r="DXR5">
        <v>5</v>
      </c>
      <c r="DXS5">
        <v>5</v>
      </c>
      <c r="DXT5">
        <v>5</v>
      </c>
      <c r="DXU5">
        <v>5</v>
      </c>
      <c r="DXV5">
        <v>5</v>
      </c>
      <c r="DXW5">
        <v>5</v>
      </c>
      <c r="DXX5">
        <v>5</v>
      </c>
      <c r="DXY5">
        <v>5</v>
      </c>
      <c r="DXZ5">
        <v>5</v>
      </c>
      <c r="DYA5">
        <v>5</v>
      </c>
      <c r="DYB5">
        <v>5</v>
      </c>
      <c r="DYC5">
        <v>5</v>
      </c>
      <c r="DYD5">
        <v>5</v>
      </c>
      <c r="DYE5">
        <v>5</v>
      </c>
      <c r="DYF5">
        <v>5</v>
      </c>
      <c r="DYG5">
        <v>5</v>
      </c>
      <c r="DYH5">
        <v>5</v>
      </c>
      <c r="DYI5">
        <v>5</v>
      </c>
      <c r="DYJ5">
        <v>5</v>
      </c>
      <c r="DYK5">
        <v>5</v>
      </c>
      <c r="DYL5">
        <v>5</v>
      </c>
      <c r="DYM5">
        <v>5</v>
      </c>
      <c r="DYN5">
        <v>5</v>
      </c>
      <c r="DYO5">
        <v>5</v>
      </c>
      <c r="DYP5">
        <v>5</v>
      </c>
      <c r="DYQ5">
        <v>5</v>
      </c>
      <c r="DYR5">
        <v>5</v>
      </c>
      <c r="DYS5">
        <v>5</v>
      </c>
      <c r="DYT5">
        <v>5</v>
      </c>
      <c r="DYU5">
        <v>5</v>
      </c>
      <c r="DYV5">
        <v>5</v>
      </c>
      <c r="DYW5">
        <v>5</v>
      </c>
      <c r="DYX5">
        <v>5</v>
      </c>
      <c r="DYY5">
        <v>5</v>
      </c>
      <c r="DYZ5">
        <v>5</v>
      </c>
      <c r="DZA5">
        <v>5</v>
      </c>
      <c r="DZB5">
        <v>5</v>
      </c>
      <c r="DZC5">
        <v>5</v>
      </c>
      <c r="DZD5">
        <v>5</v>
      </c>
      <c r="DZE5">
        <v>5</v>
      </c>
      <c r="DZF5">
        <v>5</v>
      </c>
      <c r="DZG5">
        <v>5</v>
      </c>
      <c r="DZH5">
        <v>5</v>
      </c>
      <c r="DZI5">
        <v>5</v>
      </c>
      <c r="DZJ5">
        <v>5</v>
      </c>
      <c r="DZK5">
        <v>5</v>
      </c>
      <c r="DZL5">
        <v>5</v>
      </c>
      <c r="DZM5">
        <v>5</v>
      </c>
      <c r="DZN5">
        <v>5</v>
      </c>
      <c r="DZO5">
        <v>5</v>
      </c>
      <c r="DZP5">
        <v>5</v>
      </c>
      <c r="DZQ5">
        <v>5</v>
      </c>
      <c r="DZR5">
        <v>5</v>
      </c>
      <c r="DZS5">
        <v>5</v>
      </c>
      <c r="DZT5">
        <v>5</v>
      </c>
      <c r="DZU5">
        <v>5</v>
      </c>
      <c r="DZV5">
        <v>5</v>
      </c>
      <c r="DZW5">
        <v>5</v>
      </c>
      <c r="DZX5">
        <v>5</v>
      </c>
      <c r="DZY5">
        <v>5</v>
      </c>
      <c r="DZZ5">
        <v>5</v>
      </c>
      <c r="EAA5">
        <v>5</v>
      </c>
      <c r="EAB5">
        <v>5</v>
      </c>
      <c r="EAC5">
        <v>5</v>
      </c>
      <c r="EAD5">
        <v>5</v>
      </c>
      <c r="EAE5">
        <v>5</v>
      </c>
      <c r="EAF5">
        <v>5</v>
      </c>
      <c r="EAG5">
        <v>5</v>
      </c>
      <c r="EAH5">
        <v>5</v>
      </c>
      <c r="EAI5">
        <v>5</v>
      </c>
      <c r="EAJ5">
        <v>5</v>
      </c>
      <c r="EAK5">
        <v>5</v>
      </c>
      <c r="EAL5">
        <v>5</v>
      </c>
      <c r="EAM5">
        <v>5</v>
      </c>
      <c r="EAN5">
        <v>5</v>
      </c>
      <c r="EAO5">
        <v>5</v>
      </c>
      <c r="EAP5">
        <v>5</v>
      </c>
      <c r="EAQ5">
        <v>5</v>
      </c>
      <c r="EAR5">
        <v>5</v>
      </c>
      <c r="EAS5">
        <v>5</v>
      </c>
      <c r="EAT5">
        <v>5</v>
      </c>
      <c r="EAU5">
        <v>5</v>
      </c>
      <c r="EAV5">
        <v>5</v>
      </c>
      <c r="EAW5">
        <v>5</v>
      </c>
      <c r="EAX5">
        <v>5</v>
      </c>
      <c r="EAY5">
        <v>5</v>
      </c>
      <c r="EAZ5">
        <v>5</v>
      </c>
      <c r="EBA5">
        <v>5</v>
      </c>
      <c r="EBB5">
        <v>5</v>
      </c>
      <c r="EBC5">
        <v>5</v>
      </c>
      <c r="EBD5">
        <v>5</v>
      </c>
      <c r="EBE5">
        <v>5</v>
      </c>
      <c r="EBF5">
        <v>5</v>
      </c>
      <c r="EBG5">
        <v>5</v>
      </c>
      <c r="EBH5">
        <v>5</v>
      </c>
      <c r="EBI5">
        <v>5</v>
      </c>
      <c r="EBJ5">
        <v>5</v>
      </c>
      <c r="EBK5">
        <v>5</v>
      </c>
      <c r="EBL5">
        <v>5</v>
      </c>
      <c r="EBM5">
        <v>5</v>
      </c>
      <c r="EBN5">
        <v>5</v>
      </c>
      <c r="EBO5">
        <v>5</v>
      </c>
      <c r="EBP5">
        <v>5</v>
      </c>
      <c r="EBQ5">
        <v>5</v>
      </c>
      <c r="EBR5">
        <v>5</v>
      </c>
      <c r="EBS5">
        <v>5</v>
      </c>
      <c r="EBT5">
        <v>5</v>
      </c>
      <c r="EBU5">
        <v>5</v>
      </c>
      <c r="EBV5">
        <v>5</v>
      </c>
      <c r="EBW5">
        <v>5</v>
      </c>
      <c r="EBX5">
        <v>5</v>
      </c>
      <c r="EBY5">
        <v>5</v>
      </c>
      <c r="EBZ5">
        <v>5</v>
      </c>
      <c r="ECA5">
        <v>5</v>
      </c>
      <c r="ECB5">
        <v>5</v>
      </c>
      <c r="ECC5">
        <v>5</v>
      </c>
      <c r="ECD5">
        <v>5</v>
      </c>
      <c r="ECE5">
        <v>5</v>
      </c>
      <c r="ECF5">
        <v>5</v>
      </c>
      <c r="ECG5">
        <v>5</v>
      </c>
      <c r="ECH5">
        <v>5</v>
      </c>
      <c r="ECI5">
        <v>5</v>
      </c>
      <c r="ECJ5">
        <v>5</v>
      </c>
      <c r="ECK5">
        <v>5</v>
      </c>
      <c r="ECL5">
        <v>5</v>
      </c>
      <c r="ECM5">
        <v>5</v>
      </c>
      <c r="ECN5">
        <v>5</v>
      </c>
      <c r="ECO5">
        <v>5</v>
      </c>
      <c r="ECP5">
        <v>5</v>
      </c>
      <c r="ECQ5">
        <v>5</v>
      </c>
      <c r="EUV5">
        <v>6</v>
      </c>
      <c r="EUW5">
        <v>6</v>
      </c>
      <c r="EUX5">
        <v>6</v>
      </c>
      <c r="EUY5">
        <v>6</v>
      </c>
      <c r="EUZ5">
        <v>6</v>
      </c>
      <c r="EVA5">
        <v>6</v>
      </c>
      <c r="EVB5">
        <v>6</v>
      </c>
      <c r="EVC5">
        <v>6</v>
      </c>
      <c r="EVD5">
        <v>6</v>
      </c>
      <c r="EVE5">
        <v>6</v>
      </c>
      <c r="EVF5">
        <v>6</v>
      </c>
      <c r="EVG5">
        <v>6</v>
      </c>
      <c r="EVH5">
        <v>6</v>
      </c>
      <c r="EVI5">
        <v>6</v>
      </c>
      <c r="EVJ5">
        <v>6</v>
      </c>
      <c r="EVK5">
        <v>6</v>
      </c>
      <c r="EVL5">
        <v>6</v>
      </c>
      <c r="EVM5">
        <v>6</v>
      </c>
      <c r="EVN5">
        <v>6</v>
      </c>
      <c r="EVO5">
        <v>6</v>
      </c>
      <c r="EVP5">
        <v>6</v>
      </c>
      <c r="EVQ5">
        <v>6</v>
      </c>
      <c r="EVR5">
        <v>6</v>
      </c>
      <c r="EVS5">
        <v>6</v>
      </c>
      <c r="EVT5">
        <v>6</v>
      </c>
      <c r="EVU5">
        <v>6</v>
      </c>
      <c r="EVV5">
        <v>6</v>
      </c>
      <c r="EVW5">
        <v>6</v>
      </c>
      <c r="EVX5">
        <v>6</v>
      </c>
      <c r="EVY5">
        <v>6</v>
      </c>
      <c r="EVZ5">
        <v>6</v>
      </c>
      <c r="EWA5">
        <v>6</v>
      </c>
      <c r="EWB5">
        <v>6</v>
      </c>
      <c r="EWC5">
        <v>6</v>
      </c>
      <c r="EWD5">
        <v>6</v>
      </c>
      <c r="EWE5">
        <v>6</v>
      </c>
      <c r="EWF5">
        <v>6</v>
      </c>
      <c r="EWG5">
        <v>6</v>
      </c>
      <c r="EWH5">
        <v>6</v>
      </c>
      <c r="EWI5">
        <v>6</v>
      </c>
      <c r="EWJ5">
        <v>6</v>
      </c>
      <c r="EWK5">
        <v>6</v>
      </c>
      <c r="EWL5">
        <v>6</v>
      </c>
      <c r="EWM5">
        <v>6</v>
      </c>
      <c r="EWN5">
        <v>6</v>
      </c>
      <c r="EWO5">
        <v>6</v>
      </c>
      <c r="EWP5">
        <v>6</v>
      </c>
      <c r="EWQ5">
        <v>6</v>
      </c>
      <c r="EWR5">
        <v>6</v>
      </c>
      <c r="EWS5">
        <v>6</v>
      </c>
      <c r="EWT5">
        <v>6</v>
      </c>
      <c r="EWU5">
        <v>6</v>
      </c>
      <c r="EWV5">
        <v>6</v>
      </c>
      <c r="EWW5">
        <v>6</v>
      </c>
      <c r="EWX5">
        <v>6</v>
      </c>
      <c r="EWY5">
        <v>6</v>
      </c>
      <c r="EWZ5">
        <v>6</v>
      </c>
      <c r="EXA5">
        <v>6</v>
      </c>
      <c r="EXB5">
        <v>6</v>
      </c>
      <c r="EXC5">
        <v>6</v>
      </c>
      <c r="EXD5">
        <v>6</v>
      </c>
      <c r="EXE5">
        <v>6</v>
      </c>
      <c r="EXF5">
        <v>6</v>
      </c>
      <c r="EXG5">
        <v>6</v>
      </c>
      <c r="EXH5">
        <v>6</v>
      </c>
      <c r="EXI5">
        <v>6</v>
      </c>
      <c r="EXJ5">
        <v>6</v>
      </c>
      <c r="EXK5">
        <v>6</v>
      </c>
      <c r="EXL5">
        <v>6</v>
      </c>
      <c r="EXM5">
        <v>6</v>
      </c>
      <c r="EXN5">
        <v>6</v>
      </c>
      <c r="EXO5">
        <v>6</v>
      </c>
      <c r="EXP5">
        <v>6</v>
      </c>
      <c r="EXQ5">
        <v>6</v>
      </c>
      <c r="EXR5">
        <v>6</v>
      </c>
      <c r="EXS5">
        <v>6</v>
      </c>
      <c r="EXT5">
        <v>6</v>
      </c>
      <c r="EXU5">
        <v>6</v>
      </c>
      <c r="EXV5">
        <v>6</v>
      </c>
      <c r="EXW5">
        <v>6</v>
      </c>
      <c r="EXX5">
        <v>6</v>
      </c>
      <c r="EXY5">
        <v>6</v>
      </c>
      <c r="EXZ5">
        <v>6</v>
      </c>
      <c r="EYA5">
        <v>6</v>
      </c>
      <c r="EYB5">
        <v>6</v>
      </c>
      <c r="EYC5">
        <v>6</v>
      </c>
      <c r="EYD5">
        <v>6</v>
      </c>
      <c r="EYE5">
        <v>6</v>
      </c>
      <c r="EYF5">
        <v>6</v>
      </c>
      <c r="EYG5">
        <v>6</v>
      </c>
      <c r="EYH5">
        <v>6</v>
      </c>
      <c r="EYI5">
        <v>6</v>
      </c>
      <c r="EYJ5">
        <v>6</v>
      </c>
      <c r="EYK5">
        <v>6</v>
      </c>
      <c r="EYL5">
        <v>6</v>
      </c>
      <c r="EYM5">
        <v>6</v>
      </c>
      <c r="EYN5">
        <v>6</v>
      </c>
      <c r="EYO5">
        <v>6</v>
      </c>
      <c r="EYP5">
        <v>6</v>
      </c>
      <c r="EYQ5">
        <v>6</v>
      </c>
      <c r="EYR5">
        <v>6</v>
      </c>
      <c r="EYS5">
        <v>6</v>
      </c>
      <c r="EYT5">
        <v>6</v>
      </c>
      <c r="EYU5">
        <v>6</v>
      </c>
      <c r="EYV5">
        <v>6</v>
      </c>
      <c r="EYW5">
        <v>6</v>
      </c>
      <c r="EYX5">
        <v>6</v>
      </c>
      <c r="EYY5">
        <v>6</v>
      </c>
      <c r="EYZ5">
        <v>6</v>
      </c>
      <c r="EZA5">
        <v>6</v>
      </c>
      <c r="EZB5">
        <v>6</v>
      </c>
      <c r="EZC5">
        <v>6</v>
      </c>
      <c r="EZD5">
        <v>6</v>
      </c>
      <c r="EZE5">
        <v>6</v>
      </c>
      <c r="EZF5">
        <v>6</v>
      </c>
      <c r="EZG5">
        <v>6</v>
      </c>
      <c r="EZH5">
        <v>6</v>
      </c>
      <c r="EZI5">
        <v>6</v>
      </c>
      <c r="EZJ5">
        <v>6</v>
      </c>
      <c r="EZK5">
        <v>6</v>
      </c>
      <c r="EZL5">
        <v>6</v>
      </c>
      <c r="EZM5">
        <v>6</v>
      </c>
      <c r="EZN5">
        <v>6</v>
      </c>
      <c r="EZO5">
        <v>6</v>
      </c>
      <c r="EZP5">
        <v>6</v>
      </c>
      <c r="EZQ5">
        <v>6</v>
      </c>
      <c r="EZR5">
        <v>6</v>
      </c>
      <c r="EZS5">
        <v>6</v>
      </c>
      <c r="EZT5">
        <v>6</v>
      </c>
      <c r="EZU5">
        <v>6</v>
      </c>
      <c r="EZV5">
        <v>6</v>
      </c>
      <c r="EZW5">
        <v>6</v>
      </c>
      <c r="EZX5">
        <v>6</v>
      </c>
      <c r="EZY5">
        <v>6</v>
      </c>
      <c r="EZZ5">
        <v>6</v>
      </c>
      <c r="FAA5">
        <v>6</v>
      </c>
      <c r="FAB5">
        <v>6</v>
      </c>
      <c r="FAC5">
        <v>6</v>
      </c>
      <c r="FAD5">
        <v>6</v>
      </c>
      <c r="FAE5">
        <v>6</v>
      </c>
      <c r="FAF5">
        <v>6</v>
      </c>
      <c r="FAG5">
        <v>6</v>
      </c>
      <c r="FAH5">
        <v>6</v>
      </c>
      <c r="FAI5">
        <v>6</v>
      </c>
      <c r="FAJ5">
        <v>6</v>
      </c>
      <c r="FAK5">
        <v>6</v>
      </c>
      <c r="FAL5">
        <v>6</v>
      </c>
      <c r="FAM5">
        <v>6</v>
      </c>
      <c r="FAN5">
        <v>6</v>
      </c>
      <c r="FAO5">
        <v>6</v>
      </c>
      <c r="FAP5">
        <v>6</v>
      </c>
      <c r="FAQ5">
        <v>6</v>
      </c>
      <c r="FAR5">
        <v>6</v>
      </c>
      <c r="FAS5">
        <v>6</v>
      </c>
      <c r="FAT5">
        <v>6</v>
      </c>
      <c r="FAU5">
        <v>6</v>
      </c>
      <c r="FAV5">
        <v>6</v>
      </c>
      <c r="FAW5">
        <v>6</v>
      </c>
      <c r="FAX5">
        <v>6</v>
      </c>
      <c r="FAY5">
        <v>6</v>
      </c>
      <c r="FAZ5">
        <v>6</v>
      </c>
      <c r="FBA5">
        <v>6</v>
      </c>
      <c r="FBB5">
        <v>6</v>
      </c>
      <c r="FBC5">
        <v>6</v>
      </c>
      <c r="FBD5">
        <v>6</v>
      </c>
      <c r="FBE5">
        <v>6</v>
      </c>
      <c r="FBF5">
        <v>6</v>
      </c>
      <c r="FBG5">
        <v>6</v>
      </c>
      <c r="FBH5">
        <v>6</v>
      </c>
      <c r="FBI5">
        <v>6</v>
      </c>
      <c r="FBJ5">
        <v>6</v>
      </c>
      <c r="FBK5">
        <v>6</v>
      </c>
      <c r="FBL5">
        <v>6</v>
      </c>
      <c r="FBM5">
        <v>6</v>
      </c>
      <c r="FBN5">
        <v>6</v>
      </c>
      <c r="FBO5">
        <v>6</v>
      </c>
      <c r="FBP5">
        <v>6</v>
      </c>
      <c r="FBQ5">
        <v>6</v>
      </c>
      <c r="FBR5">
        <v>6</v>
      </c>
      <c r="FBS5">
        <v>6</v>
      </c>
      <c r="FBT5">
        <v>6</v>
      </c>
      <c r="FBU5">
        <v>6</v>
      </c>
      <c r="FBV5">
        <v>6</v>
      </c>
      <c r="FBW5">
        <v>6</v>
      </c>
      <c r="FBX5">
        <v>6</v>
      </c>
      <c r="FBY5">
        <v>6</v>
      </c>
      <c r="FBZ5">
        <v>6</v>
      </c>
      <c r="FCA5">
        <v>6</v>
      </c>
      <c r="FCB5">
        <v>6</v>
      </c>
      <c r="FCC5">
        <v>6</v>
      </c>
      <c r="FCD5">
        <v>6</v>
      </c>
      <c r="FCE5">
        <v>6</v>
      </c>
      <c r="FCF5">
        <v>6</v>
      </c>
      <c r="FCG5">
        <v>6</v>
      </c>
      <c r="FCH5">
        <v>6</v>
      </c>
      <c r="FCI5">
        <v>6</v>
      </c>
      <c r="FCJ5">
        <v>6</v>
      </c>
      <c r="FCK5">
        <v>6</v>
      </c>
      <c r="FCL5">
        <v>6</v>
      </c>
      <c r="FCM5">
        <v>6</v>
      </c>
      <c r="FCN5">
        <v>6</v>
      </c>
      <c r="FCO5">
        <v>6</v>
      </c>
      <c r="FCP5">
        <v>6</v>
      </c>
      <c r="FCQ5">
        <v>6</v>
      </c>
      <c r="FCR5">
        <v>6</v>
      </c>
      <c r="FCS5">
        <v>6</v>
      </c>
      <c r="FCT5">
        <v>6</v>
      </c>
      <c r="FCU5">
        <v>6</v>
      </c>
      <c r="FCV5">
        <v>6</v>
      </c>
      <c r="FCW5">
        <v>6</v>
      </c>
      <c r="FCX5">
        <v>6</v>
      </c>
      <c r="FCY5">
        <v>6</v>
      </c>
      <c r="FCZ5">
        <v>6</v>
      </c>
      <c r="FDA5">
        <v>6</v>
      </c>
      <c r="FDB5">
        <v>6</v>
      </c>
      <c r="FDC5">
        <v>6</v>
      </c>
      <c r="FDD5">
        <v>6</v>
      </c>
      <c r="FDE5">
        <v>6</v>
      </c>
      <c r="FDF5">
        <v>6</v>
      </c>
      <c r="FDG5">
        <v>6</v>
      </c>
      <c r="FDH5">
        <v>6</v>
      </c>
      <c r="FDI5">
        <v>6</v>
      </c>
      <c r="FDJ5">
        <v>6</v>
      </c>
      <c r="FDK5">
        <v>6</v>
      </c>
      <c r="FDL5">
        <v>6</v>
      </c>
      <c r="FDM5">
        <v>6</v>
      </c>
      <c r="FDN5">
        <v>6</v>
      </c>
      <c r="FDO5">
        <v>6</v>
      </c>
      <c r="FDP5">
        <v>6</v>
      </c>
      <c r="FDQ5">
        <v>6</v>
      </c>
      <c r="FDR5">
        <v>6</v>
      </c>
      <c r="FDS5">
        <v>6</v>
      </c>
      <c r="FDT5">
        <v>6</v>
      </c>
      <c r="FDU5">
        <v>6</v>
      </c>
      <c r="FDV5">
        <v>6</v>
      </c>
      <c r="FDW5">
        <v>6</v>
      </c>
      <c r="FDX5">
        <v>6</v>
      </c>
      <c r="FDY5">
        <v>6</v>
      </c>
      <c r="FDZ5">
        <v>6</v>
      </c>
      <c r="FEA5">
        <v>6</v>
      </c>
      <c r="FEB5">
        <v>6</v>
      </c>
      <c r="FEC5">
        <v>6</v>
      </c>
      <c r="FED5">
        <v>6</v>
      </c>
      <c r="FEE5">
        <v>6</v>
      </c>
      <c r="FEF5">
        <v>6</v>
      </c>
      <c r="FEG5">
        <v>6</v>
      </c>
      <c r="FEH5">
        <v>6</v>
      </c>
      <c r="FEI5">
        <v>6</v>
      </c>
      <c r="FEJ5">
        <v>6</v>
      </c>
      <c r="FEK5">
        <v>6</v>
      </c>
      <c r="FEL5">
        <v>6</v>
      </c>
      <c r="FEM5">
        <v>6</v>
      </c>
      <c r="FEN5">
        <v>6</v>
      </c>
      <c r="FEO5">
        <v>6</v>
      </c>
      <c r="FEP5">
        <v>6</v>
      </c>
      <c r="FEQ5">
        <v>6</v>
      </c>
      <c r="FER5">
        <v>6</v>
      </c>
      <c r="FES5">
        <v>6</v>
      </c>
      <c r="FET5">
        <v>6</v>
      </c>
      <c r="FEU5">
        <v>6</v>
      </c>
      <c r="FEV5">
        <v>6</v>
      </c>
      <c r="FEW5">
        <v>6</v>
      </c>
      <c r="FEX5">
        <v>6</v>
      </c>
      <c r="FEY5">
        <v>6</v>
      </c>
      <c r="FEZ5">
        <v>6</v>
      </c>
      <c r="FFA5">
        <v>6</v>
      </c>
      <c r="FFB5">
        <v>6</v>
      </c>
      <c r="FFC5">
        <v>6</v>
      </c>
      <c r="FFD5">
        <v>6</v>
      </c>
      <c r="FFE5">
        <v>6</v>
      </c>
      <c r="FFF5">
        <v>6</v>
      </c>
      <c r="FFG5">
        <v>6</v>
      </c>
      <c r="FFH5">
        <v>6</v>
      </c>
      <c r="FFI5">
        <v>6</v>
      </c>
      <c r="FFJ5">
        <v>6</v>
      </c>
      <c r="FFK5">
        <v>6</v>
      </c>
      <c r="FFL5">
        <v>6</v>
      </c>
      <c r="FFM5">
        <v>6</v>
      </c>
      <c r="FFN5">
        <v>6</v>
      </c>
      <c r="FFO5">
        <v>6</v>
      </c>
      <c r="FFP5">
        <v>6</v>
      </c>
      <c r="FFQ5">
        <v>6</v>
      </c>
      <c r="FFR5">
        <v>6</v>
      </c>
      <c r="FFS5">
        <v>6</v>
      </c>
      <c r="FFT5">
        <v>6</v>
      </c>
      <c r="FFU5">
        <v>6</v>
      </c>
      <c r="FFV5">
        <v>6</v>
      </c>
      <c r="FFW5">
        <v>6</v>
      </c>
      <c r="FFX5">
        <v>6</v>
      </c>
      <c r="FFY5">
        <v>6</v>
      </c>
      <c r="FFZ5">
        <v>6</v>
      </c>
      <c r="FGA5">
        <v>6</v>
      </c>
      <c r="FGB5">
        <v>6</v>
      </c>
      <c r="FGC5">
        <v>6</v>
      </c>
      <c r="FGD5">
        <v>6</v>
      </c>
      <c r="FGE5">
        <v>6</v>
      </c>
      <c r="FGF5">
        <v>6</v>
      </c>
      <c r="FGG5">
        <v>6</v>
      </c>
      <c r="FGH5">
        <v>6</v>
      </c>
      <c r="FGI5">
        <v>6</v>
      </c>
      <c r="FGJ5">
        <v>6</v>
      </c>
      <c r="FGK5">
        <v>6</v>
      </c>
      <c r="FGL5">
        <v>6</v>
      </c>
      <c r="FGM5">
        <v>6</v>
      </c>
      <c r="FGN5">
        <v>6</v>
      </c>
      <c r="FGO5">
        <v>6</v>
      </c>
      <c r="FGP5">
        <v>6</v>
      </c>
      <c r="FGQ5">
        <v>6</v>
      </c>
      <c r="FGR5">
        <v>6</v>
      </c>
      <c r="FGS5">
        <v>6</v>
      </c>
      <c r="FGT5">
        <v>6</v>
      </c>
      <c r="FGU5">
        <v>6</v>
      </c>
      <c r="FGV5">
        <v>6</v>
      </c>
      <c r="FGW5">
        <v>6</v>
      </c>
      <c r="FGX5">
        <v>6</v>
      </c>
      <c r="FGY5">
        <v>6</v>
      </c>
      <c r="FGZ5">
        <v>6</v>
      </c>
      <c r="FHA5">
        <v>6</v>
      </c>
      <c r="FHB5">
        <v>6</v>
      </c>
      <c r="FHC5">
        <v>6</v>
      </c>
      <c r="FHD5">
        <v>6</v>
      </c>
      <c r="FHE5">
        <v>6</v>
      </c>
      <c r="FHF5">
        <v>6</v>
      </c>
      <c r="FHG5">
        <v>6</v>
      </c>
      <c r="FHH5">
        <v>6</v>
      </c>
      <c r="FHI5">
        <v>6</v>
      </c>
      <c r="FHJ5">
        <v>6</v>
      </c>
      <c r="FHK5">
        <v>6</v>
      </c>
      <c r="FHL5">
        <v>6</v>
      </c>
      <c r="FHM5">
        <v>6</v>
      </c>
      <c r="FHN5">
        <v>6</v>
      </c>
      <c r="FHO5">
        <v>6</v>
      </c>
      <c r="FHP5">
        <v>6</v>
      </c>
      <c r="FHQ5">
        <v>6</v>
      </c>
      <c r="FHR5">
        <v>6</v>
      </c>
      <c r="FHS5">
        <v>6</v>
      </c>
      <c r="FHT5">
        <v>6</v>
      </c>
      <c r="FHU5">
        <v>6</v>
      </c>
      <c r="FHV5">
        <v>6</v>
      </c>
      <c r="FHW5">
        <v>6</v>
      </c>
      <c r="FHX5">
        <v>6</v>
      </c>
      <c r="FHY5">
        <v>6</v>
      </c>
      <c r="FHZ5">
        <v>6</v>
      </c>
      <c r="FIA5">
        <v>6</v>
      </c>
      <c r="FIB5">
        <v>6</v>
      </c>
      <c r="FIC5">
        <v>6</v>
      </c>
      <c r="FID5">
        <v>6</v>
      </c>
      <c r="FIE5">
        <v>6</v>
      </c>
      <c r="FIF5">
        <v>6</v>
      </c>
      <c r="FIG5">
        <v>6</v>
      </c>
      <c r="FIH5">
        <v>6</v>
      </c>
      <c r="FII5">
        <v>6</v>
      </c>
      <c r="FIJ5">
        <v>6</v>
      </c>
      <c r="FIK5">
        <v>6</v>
      </c>
      <c r="FIL5">
        <v>6</v>
      </c>
      <c r="FIM5">
        <v>6</v>
      </c>
      <c r="FIN5">
        <v>6</v>
      </c>
      <c r="FIO5">
        <v>6</v>
      </c>
      <c r="FIP5">
        <v>6</v>
      </c>
      <c r="FIQ5">
        <v>6</v>
      </c>
      <c r="FIR5">
        <v>6</v>
      </c>
      <c r="FIS5">
        <v>6</v>
      </c>
      <c r="FIT5">
        <v>6</v>
      </c>
      <c r="FIU5">
        <v>6</v>
      </c>
      <c r="FIV5">
        <v>6</v>
      </c>
      <c r="FIW5">
        <v>6</v>
      </c>
      <c r="FIX5">
        <v>6</v>
      </c>
      <c r="FIY5">
        <v>6</v>
      </c>
      <c r="FIZ5">
        <v>6</v>
      </c>
      <c r="FJA5">
        <v>6</v>
      </c>
      <c r="FJB5">
        <v>6</v>
      </c>
      <c r="FJC5">
        <v>6</v>
      </c>
      <c r="FJD5">
        <v>6</v>
      </c>
      <c r="FJE5">
        <v>6</v>
      </c>
      <c r="FJF5">
        <v>6</v>
      </c>
      <c r="FJG5">
        <v>6</v>
      </c>
      <c r="FJH5">
        <v>6</v>
      </c>
      <c r="FJI5">
        <v>6</v>
      </c>
      <c r="FJJ5">
        <v>6</v>
      </c>
      <c r="FJK5">
        <v>6</v>
      </c>
      <c r="FJL5">
        <v>6</v>
      </c>
      <c r="FJM5">
        <v>6</v>
      </c>
      <c r="FJN5">
        <v>6</v>
      </c>
      <c r="FJO5">
        <v>6</v>
      </c>
      <c r="FJP5">
        <v>6</v>
      </c>
      <c r="FJQ5">
        <v>6</v>
      </c>
      <c r="FJR5">
        <v>6</v>
      </c>
      <c r="FJS5">
        <v>6</v>
      </c>
      <c r="FJT5">
        <v>6</v>
      </c>
      <c r="FJU5">
        <v>6</v>
      </c>
      <c r="FJV5">
        <v>6</v>
      </c>
      <c r="FJW5">
        <v>6</v>
      </c>
      <c r="FJX5">
        <v>6</v>
      </c>
      <c r="FJY5">
        <v>6</v>
      </c>
      <c r="FJZ5">
        <v>6</v>
      </c>
      <c r="FKA5">
        <v>6</v>
      </c>
      <c r="FKB5">
        <v>6</v>
      </c>
      <c r="FKC5">
        <v>6</v>
      </c>
      <c r="FKD5">
        <v>6</v>
      </c>
      <c r="FKE5">
        <v>6</v>
      </c>
      <c r="FKF5">
        <v>6</v>
      </c>
      <c r="FKG5">
        <v>6</v>
      </c>
      <c r="FKH5">
        <v>6</v>
      </c>
      <c r="FKI5">
        <v>6</v>
      </c>
      <c r="FKJ5">
        <v>6</v>
      </c>
      <c r="FKK5">
        <v>6</v>
      </c>
      <c r="FKL5">
        <v>6</v>
      </c>
      <c r="FKM5">
        <v>6</v>
      </c>
      <c r="FKN5">
        <v>6</v>
      </c>
      <c r="FKO5">
        <v>6</v>
      </c>
      <c r="FKP5">
        <v>6</v>
      </c>
      <c r="FKQ5">
        <v>6</v>
      </c>
      <c r="FKR5">
        <v>6</v>
      </c>
      <c r="FKS5">
        <v>6</v>
      </c>
      <c r="FKT5">
        <v>6</v>
      </c>
      <c r="FKU5">
        <v>6</v>
      </c>
      <c r="FKV5">
        <v>6</v>
      </c>
      <c r="FKW5">
        <v>6</v>
      </c>
      <c r="FKX5">
        <v>6</v>
      </c>
      <c r="FKY5">
        <v>6</v>
      </c>
      <c r="FKZ5">
        <v>6</v>
      </c>
      <c r="FLA5">
        <v>6</v>
      </c>
      <c r="FLB5">
        <v>6</v>
      </c>
      <c r="FLC5">
        <v>6</v>
      </c>
      <c r="FLD5">
        <v>6</v>
      </c>
      <c r="FLE5">
        <v>6</v>
      </c>
      <c r="FLF5">
        <v>6</v>
      </c>
      <c r="FLG5">
        <v>6</v>
      </c>
      <c r="FLH5">
        <v>6</v>
      </c>
      <c r="FLI5">
        <v>6</v>
      </c>
      <c r="FLJ5">
        <v>6</v>
      </c>
      <c r="FLK5">
        <v>6</v>
      </c>
      <c r="FLL5">
        <v>6</v>
      </c>
      <c r="FLM5">
        <v>6</v>
      </c>
      <c r="FLN5">
        <v>6</v>
      </c>
      <c r="FLO5">
        <v>6</v>
      </c>
      <c r="FLP5">
        <v>6</v>
      </c>
      <c r="FLQ5">
        <v>6</v>
      </c>
      <c r="FLR5">
        <v>6</v>
      </c>
      <c r="FLS5">
        <v>6</v>
      </c>
      <c r="FLT5">
        <v>6</v>
      </c>
      <c r="FLU5">
        <v>6</v>
      </c>
      <c r="FLV5">
        <v>6</v>
      </c>
      <c r="FLW5">
        <v>6</v>
      </c>
      <c r="FLX5">
        <v>6</v>
      </c>
      <c r="FLY5">
        <v>6</v>
      </c>
      <c r="FLZ5">
        <v>6</v>
      </c>
      <c r="FMA5">
        <v>6</v>
      </c>
      <c r="FMB5">
        <v>6</v>
      </c>
      <c r="FMC5">
        <v>6</v>
      </c>
      <c r="FMD5">
        <v>6</v>
      </c>
      <c r="FME5">
        <v>6</v>
      </c>
      <c r="FMF5">
        <v>6</v>
      </c>
      <c r="FMG5">
        <v>6</v>
      </c>
      <c r="FMH5">
        <v>6</v>
      </c>
      <c r="FMI5">
        <v>6</v>
      </c>
      <c r="FMJ5">
        <v>6</v>
      </c>
      <c r="FMK5">
        <v>6</v>
      </c>
      <c r="FML5">
        <v>6</v>
      </c>
      <c r="FMM5">
        <v>6</v>
      </c>
      <c r="FMN5">
        <v>6</v>
      </c>
      <c r="FMO5">
        <v>6</v>
      </c>
      <c r="FMP5">
        <v>6</v>
      </c>
      <c r="FMQ5">
        <v>6</v>
      </c>
      <c r="FMR5">
        <v>6</v>
      </c>
      <c r="FMS5">
        <v>6</v>
      </c>
      <c r="FMT5">
        <v>6</v>
      </c>
      <c r="FMU5">
        <v>6</v>
      </c>
      <c r="FMV5">
        <v>6</v>
      </c>
      <c r="FMW5">
        <v>6</v>
      </c>
      <c r="FMX5">
        <v>6</v>
      </c>
      <c r="FMY5">
        <v>6</v>
      </c>
      <c r="FMZ5">
        <v>6</v>
      </c>
      <c r="FNA5">
        <v>6</v>
      </c>
      <c r="FNB5">
        <v>6</v>
      </c>
      <c r="FNC5">
        <v>6</v>
      </c>
      <c r="FND5">
        <v>6</v>
      </c>
      <c r="FNE5">
        <v>6</v>
      </c>
      <c r="FNF5">
        <v>6</v>
      </c>
      <c r="FNG5">
        <v>6</v>
      </c>
      <c r="FNH5">
        <v>6</v>
      </c>
      <c r="FNI5">
        <v>6</v>
      </c>
      <c r="FNJ5">
        <v>6</v>
      </c>
      <c r="FNK5">
        <v>6</v>
      </c>
      <c r="FNL5">
        <v>6</v>
      </c>
      <c r="FNM5">
        <v>6</v>
      </c>
      <c r="FNN5">
        <v>6</v>
      </c>
      <c r="FNO5">
        <v>6</v>
      </c>
      <c r="FNP5">
        <v>6</v>
      </c>
      <c r="FNQ5">
        <v>6</v>
      </c>
      <c r="FNR5">
        <v>6</v>
      </c>
      <c r="FNS5">
        <v>6</v>
      </c>
      <c r="FNT5">
        <v>6</v>
      </c>
      <c r="FNU5">
        <v>6</v>
      </c>
      <c r="FNV5">
        <v>6</v>
      </c>
      <c r="FNW5">
        <v>6</v>
      </c>
      <c r="FNX5">
        <v>6</v>
      </c>
      <c r="FNY5">
        <v>6</v>
      </c>
      <c r="FNZ5">
        <v>6</v>
      </c>
      <c r="FOA5">
        <v>6</v>
      </c>
      <c r="FOB5">
        <v>6</v>
      </c>
      <c r="FOC5">
        <v>6</v>
      </c>
      <c r="FOD5">
        <v>6</v>
      </c>
      <c r="FOE5">
        <v>6</v>
      </c>
      <c r="FOF5">
        <v>6</v>
      </c>
      <c r="FOG5">
        <v>6</v>
      </c>
      <c r="FOH5">
        <v>6</v>
      </c>
      <c r="FOI5">
        <v>6</v>
      </c>
      <c r="FOJ5">
        <v>6</v>
      </c>
      <c r="FOK5">
        <v>6</v>
      </c>
      <c r="FOL5">
        <v>6</v>
      </c>
      <c r="FOM5">
        <v>6</v>
      </c>
      <c r="FON5">
        <v>6</v>
      </c>
      <c r="FOO5">
        <v>6</v>
      </c>
      <c r="FOP5">
        <v>6</v>
      </c>
      <c r="FOQ5">
        <v>6</v>
      </c>
      <c r="FOR5">
        <v>6</v>
      </c>
      <c r="FOS5">
        <v>6</v>
      </c>
      <c r="FOT5">
        <v>6</v>
      </c>
      <c r="FOU5">
        <v>6</v>
      </c>
      <c r="GOO5">
        <v>7</v>
      </c>
      <c r="GOP5">
        <v>7</v>
      </c>
      <c r="GOQ5">
        <v>7</v>
      </c>
      <c r="GOR5">
        <v>7</v>
      </c>
      <c r="GOS5">
        <v>7</v>
      </c>
      <c r="GOT5">
        <v>7</v>
      </c>
      <c r="GOU5">
        <v>7</v>
      </c>
      <c r="GOV5">
        <v>7</v>
      </c>
      <c r="GOW5">
        <v>7</v>
      </c>
      <c r="GOX5">
        <v>7</v>
      </c>
      <c r="GOY5">
        <v>7</v>
      </c>
      <c r="GOZ5">
        <v>7</v>
      </c>
      <c r="GPA5">
        <v>7</v>
      </c>
      <c r="GPB5">
        <v>7</v>
      </c>
      <c r="GPC5">
        <v>7</v>
      </c>
      <c r="GPD5">
        <v>7</v>
      </c>
      <c r="GPE5">
        <v>7</v>
      </c>
      <c r="GPF5">
        <v>7</v>
      </c>
      <c r="GPG5">
        <v>7</v>
      </c>
      <c r="GPH5">
        <v>7</v>
      </c>
      <c r="GPI5">
        <v>7</v>
      </c>
      <c r="GPJ5">
        <v>7</v>
      </c>
      <c r="GPK5">
        <v>7</v>
      </c>
      <c r="GPL5">
        <v>7</v>
      </c>
      <c r="GPM5">
        <v>7</v>
      </c>
      <c r="GPN5">
        <v>7</v>
      </c>
      <c r="GPO5">
        <v>7</v>
      </c>
      <c r="GPP5">
        <v>7</v>
      </c>
      <c r="GPQ5">
        <v>7</v>
      </c>
      <c r="GPR5">
        <v>7</v>
      </c>
      <c r="GPS5">
        <v>7</v>
      </c>
      <c r="GPT5">
        <v>7</v>
      </c>
      <c r="GPU5">
        <v>7</v>
      </c>
      <c r="GPV5">
        <v>7</v>
      </c>
      <c r="GPW5">
        <v>7</v>
      </c>
      <c r="GPX5">
        <v>7</v>
      </c>
      <c r="GPY5">
        <v>7</v>
      </c>
      <c r="GPZ5">
        <v>7</v>
      </c>
      <c r="GQA5">
        <v>7</v>
      </c>
      <c r="GQB5">
        <v>7</v>
      </c>
      <c r="GQC5">
        <v>7</v>
      </c>
      <c r="GQD5">
        <v>7</v>
      </c>
      <c r="GQE5">
        <v>7</v>
      </c>
      <c r="GQF5">
        <v>7</v>
      </c>
      <c r="GQG5">
        <v>7</v>
      </c>
      <c r="GQH5">
        <v>7</v>
      </c>
      <c r="GQI5">
        <v>7</v>
      </c>
      <c r="GQJ5">
        <v>7</v>
      </c>
      <c r="GQK5">
        <v>7</v>
      </c>
      <c r="GQL5">
        <v>7</v>
      </c>
      <c r="GQM5">
        <v>7</v>
      </c>
      <c r="GQN5">
        <v>7</v>
      </c>
      <c r="GQO5">
        <v>7</v>
      </c>
      <c r="GQP5">
        <v>7</v>
      </c>
      <c r="GQQ5">
        <v>7</v>
      </c>
      <c r="GQR5">
        <v>7</v>
      </c>
      <c r="GQS5">
        <v>7</v>
      </c>
      <c r="GQT5">
        <v>7</v>
      </c>
      <c r="GQU5">
        <v>7</v>
      </c>
      <c r="GQV5">
        <v>7</v>
      </c>
      <c r="GQW5">
        <v>7</v>
      </c>
      <c r="GQX5">
        <v>7</v>
      </c>
      <c r="GQY5">
        <v>7</v>
      </c>
      <c r="GQZ5">
        <v>7</v>
      </c>
      <c r="GRA5">
        <v>7</v>
      </c>
      <c r="GRB5">
        <v>7</v>
      </c>
      <c r="GRC5">
        <v>7</v>
      </c>
      <c r="GRD5">
        <v>7</v>
      </c>
      <c r="GRE5">
        <v>7</v>
      </c>
      <c r="GRF5">
        <v>7</v>
      </c>
      <c r="GRG5">
        <v>7</v>
      </c>
      <c r="GRH5">
        <v>7</v>
      </c>
      <c r="GRI5">
        <v>7</v>
      </c>
      <c r="GRJ5">
        <v>7</v>
      </c>
      <c r="GRK5">
        <v>7</v>
      </c>
      <c r="GRL5">
        <v>7</v>
      </c>
      <c r="GRM5">
        <v>7</v>
      </c>
      <c r="GRN5">
        <v>7</v>
      </c>
      <c r="GRO5">
        <v>7</v>
      </c>
      <c r="GRP5">
        <v>7</v>
      </c>
      <c r="GRQ5">
        <v>7</v>
      </c>
      <c r="GRR5">
        <v>7</v>
      </c>
      <c r="GRS5">
        <v>7</v>
      </c>
      <c r="GRT5">
        <v>7</v>
      </c>
      <c r="GRU5">
        <v>7</v>
      </c>
      <c r="GRV5">
        <v>7</v>
      </c>
      <c r="GRW5">
        <v>7</v>
      </c>
      <c r="GRX5">
        <v>7</v>
      </c>
      <c r="GRY5">
        <v>7</v>
      </c>
      <c r="GRZ5">
        <v>7</v>
      </c>
      <c r="GSA5">
        <v>7</v>
      </c>
      <c r="GSB5">
        <v>7</v>
      </c>
      <c r="GSC5">
        <v>7</v>
      </c>
      <c r="GSD5">
        <v>7</v>
      </c>
      <c r="GSE5">
        <v>7</v>
      </c>
      <c r="GSF5">
        <v>7</v>
      </c>
      <c r="GSG5">
        <v>7</v>
      </c>
      <c r="GSH5">
        <v>7</v>
      </c>
      <c r="GSI5">
        <v>7</v>
      </c>
      <c r="GSJ5">
        <v>7</v>
      </c>
      <c r="GSK5">
        <v>7</v>
      </c>
      <c r="GSL5">
        <v>7</v>
      </c>
      <c r="GSM5">
        <v>7</v>
      </c>
      <c r="GSN5">
        <v>7</v>
      </c>
      <c r="GSO5">
        <v>7</v>
      </c>
      <c r="GSP5">
        <v>7</v>
      </c>
      <c r="GSQ5">
        <v>7</v>
      </c>
      <c r="GSR5">
        <v>7</v>
      </c>
      <c r="GSS5">
        <v>7</v>
      </c>
      <c r="GST5">
        <v>7</v>
      </c>
      <c r="GSU5">
        <v>7</v>
      </c>
      <c r="GSV5">
        <v>7</v>
      </c>
      <c r="GSW5">
        <v>7</v>
      </c>
      <c r="GSX5">
        <v>7</v>
      </c>
      <c r="GSY5">
        <v>7</v>
      </c>
      <c r="GSZ5">
        <v>7</v>
      </c>
      <c r="GTA5">
        <v>7</v>
      </c>
      <c r="GTB5">
        <v>7</v>
      </c>
      <c r="GTC5">
        <v>7</v>
      </c>
      <c r="GTD5">
        <v>7</v>
      </c>
      <c r="GTE5">
        <v>7</v>
      </c>
      <c r="GTF5">
        <v>7</v>
      </c>
      <c r="GTG5">
        <v>7</v>
      </c>
      <c r="GTH5">
        <v>7</v>
      </c>
      <c r="GTI5">
        <v>7</v>
      </c>
      <c r="GTJ5">
        <v>7</v>
      </c>
      <c r="GTK5">
        <v>7</v>
      </c>
      <c r="GTL5">
        <v>7</v>
      </c>
      <c r="GTM5">
        <v>7</v>
      </c>
      <c r="GTN5">
        <v>7</v>
      </c>
      <c r="GTO5">
        <v>7</v>
      </c>
      <c r="GTP5">
        <v>7</v>
      </c>
      <c r="GTQ5">
        <v>7</v>
      </c>
      <c r="GTR5">
        <v>7</v>
      </c>
      <c r="GTS5">
        <v>7</v>
      </c>
      <c r="GTT5">
        <v>7</v>
      </c>
      <c r="GTU5">
        <v>7</v>
      </c>
      <c r="GTV5">
        <v>7</v>
      </c>
      <c r="GTW5">
        <v>7</v>
      </c>
      <c r="GTX5">
        <v>7</v>
      </c>
      <c r="GTY5">
        <v>7</v>
      </c>
      <c r="GTZ5">
        <v>7</v>
      </c>
      <c r="GUA5">
        <v>7</v>
      </c>
      <c r="GUB5">
        <v>7</v>
      </c>
      <c r="GUC5">
        <v>7</v>
      </c>
      <c r="GUD5">
        <v>7</v>
      </c>
      <c r="GUE5">
        <v>7</v>
      </c>
      <c r="GUF5">
        <v>7</v>
      </c>
      <c r="GUG5">
        <v>7</v>
      </c>
      <c r="GUH5">
        <v>7</v>
      </c>
      <c r="GUI5">
        <v>7</v>
      </c>
      <c r="GUJ5">
        <v>7</v>
      </c>
      <c r="GUK5">
        <v>7</v>
      </c>
      <c r="GUL5">
        <v>7</v>
      </c>
      <c r="GUM5">
        <v>7</v>
      </c>
      <c r="GUN5">
        <v>7</v>
      </c>
      <c r="GUO5">
        <v>7</v>
      </c>
      <c r="GUP5">
        <v>7</v>
      </c>
      <c r="GUQ5">
        <v>7</v>
      </c>
      <c r="GUR5">
        <v>7</v>
      </c>
      <c r="GUS5">
        <v>7</v>
      </c>
      <c r="GUT5">
        <v>7</v>
      </c>
      <c r="GUU5">
        <v>7</v>
      </c>
      <c r="GUV5">
        <v>7</v>
      </c>
      <c r="GUW5">
        <v>7</v>
      </c>
      <c r="GUX5">
        <v>7</v>
      </c>
      <c r="GUY5">
        <v>7</v>
      </c>
      <c r="GUZ5">
        <v>7</v>
      </c>
      <c r="GVA5">
        <v>7</v>
      </c>
      <c r="GVB5">
        <v>7</v>
      </c>
      <c r="GVC5">
        <v>7</v>
      </c>
      <c r="GVD5">
        <v>7</v>
      </c>
      <c r="GVE5">
        <v>7</v>
      </c>
      <c r="GVF5">
        <v>7</v>
      </c>
      <c r="GVG5">
        <v>7</v>
      </c>
      <c r="GVH5">
        <v>7</v>
      </c>
      <c r="GVI5">
        <v>7</v>
      </c>
      <c r="GVJ5">
        <v>7</v>
      </c>
      <c r="GVK5">
        <v>7</v>
      </c>
      <c r="GVL5">
        <v>7</v>
      </c>
      <c r="GVM5">
        <v>7</v>
      </c>
      <c r="GVN5">
        <v>7</v>
      </c>
      <c r="GVO5">
        <v>7</v>
      </c>
      <c r="GVP5">
        <v>7</v>
      </c>
      <c r="GVQ5">
        <v>7</v>
      </c>
      <c r="GVR5">
        <v>7</v>
      </c>
      <c r="GVS5">
        <v>7</v>
      </c>
      <c r="GVT5">
        <v>7</v>
      </c>
      <c r="GVU5">
        <v>7</v>
      </c>
      <c r="GVV5">
        <v>7</v>
      </c>
      <c r="GVW5">
        <v>7</v>
      </c>
      <c r="GVX5">
        <v>7</v>
      </c>
      <c r="GVY5">
        <v>7</v>
      </c>
      <c r="GVZ5">
        <v>7</v>
      </c>
      <c r="GWA5">
        <v>7</v>
      </c>
      <c r="GWB5">
        <v>7</v>
      </c>
      <c r="GWC5">
        <v>7</v>
      </c>
      <c r="GWD5">
        <v>7</v>
      </c>
      <c r="GWE5">
        <v>7</v>
      </c>
      <c r="GWF5">
        <v>7</v>
      </c>
      <c r="GWG5">
        <v>7</v>
      </c>
      <c r="GWH5">
        <v>7</v>
      </c>
      <c r="GWI5">
        <v>7</v>
      </c>
      <c r="GWJ5">
        <v>7</v>
      </c>
      <c r="GWK5">
        <v>7</v>
      </c>
      <c r="GWL5">
        <v>7</v>
      </c>
      <c r="GWM5">
        <v>7</v>
      </c>
      <c r="GWN5">
        <v>7</v>
      </c>
      <c r="GWO5">
        <v>7</v>
      </c>
      <c r="GWP5">
        <v>7</v>
      </c>
      <c r="GWQ5">
        <v>7</v>
      </c>
      <c r="GWR5">
        <v>7</v>
      </c>
      <c r="GWS5">
        <v>7</v>
      </c>
      <c r="GWT5">
        <v>7</v>
      </c>
      <c r="GWU5">
        <v>7</v>
      </c>
      <c r="GWV5">
        <v>7</v>
      </c>
      <c r="GWW5">
        <v>7</v>
      </c>
      <c r="GWX5">
        <v>7</v>
      </c>
      <c r="GWY5">
        <v>7</v>
      </c>
      <c r="GWZ5">
        <v>7</v>
      </c>
      <c r="GXA5">
        <v>7</v>
      </c>
      <c r="GXB5">
        <v>7</v>
      </c>
      <c r="GXC5">
        <v>7</v>
      </c>
      <c r="GXD5">
        <v>7</v>
      </c>
      <c r="GXE5">
        <v>7</v>
      </c>
      <c r="GXF5">
        <v>7</v>
      </c>
      <c r="GXG5">
        <v>7</v>
      </c>
      <c r="GXH5">
        <v>7</v>
      </c>
      <c r="GXI5">
        <v>7</v>
      </c>
      <c r="GXJ5">
        <v>7</v>
      </c>
      <c r="GXK5">
        <v>7</v>
      </c>
      <c r="GXL5">
        <v>7</v>
      </c>
      <c r="GXM5">
        <v>7</v>
      </c>
      <c r="GXN5">
        <v>7</v>
      </c>
      <c r="GXO5">
        <v>7</v>
      </c>
      <c r="GXP5">
        <v>7</v>
      </c>
      <c r="GXQ5">
        <v>7</v>
      </c>
      <c r="GXR5">
        <v>7</v>
      </c>
      <c r="GXS5">
        <v>7</v>
      </c>
      <c r="GXT5">
        <v>7</v>
      </c>
      <c r="GXU5">
        <v>7</v>
      </c>
      <c r="GXV5">
        <v>7</v>
      </c>
      <c r="GXW5">
        <v>7</v>
      </c>
      <c r="GXX5">
        <v>7</v>
      </c>
      <c r="GXY5">
        <v>7</v>
      </c>
      <c r="GXZ5">
        <v>7</v>
      </c>
      <c r="GYA5">
        <v>7</v>
      </c>
      <c r="GYB5">
        <v>7</v>
      </c>
      <c r="GYC5">
        <v>7</v>
      </c>
      <c r="GYD5">
        <v>7</v>
      </c>
      <c r="GYE5">
        <v>7</v>
      </c>
      <c r="GYF5">
        <v>7</v>
      </c>
      <c r="GYG5">
        <v>7</v>
      </c>
      <c r="GYH5">
        <v>7</v>
      </c>
      <c r="GYI5">
        <v>7</v>
      </c>
      <c r="GYJ5">
        <v>7</v>
      </c>
      <c r="GYK5">
        <v>7</v>
      </c>
      <c r="GYL5">
        <v>7</v>
      </c>
      <c r="GYM5">
        <v>7</v>
      </c>
      <c r="GYN5">
        <v>7</v>
      </c>
      <c r="GYO5">
        <v>7</v>
      </c>
      <c r="GYP5">
        <v>7</v>
      </c>
      <c r="GYQ5">
        <v>7</v>
      </c>
      <c r="GYR5">
        <v>7</v>
      </c>
      <c r="GYS5">
        <v>7</v>
      </c>
      <c r="GYT5">
        <v>7</v>
      </c>
      <c r="GYU5">
        <v>7</v>
      </c>
      <c r="GYV5">
        <v>7</v>
      </c>
      <c r="GYW5">
        <v>7</v>
      </c>
      <c r="GYX5">
        <v>7</v>
      </c>
      <c r="GYY5">
        <v>7</v>
      </c>
      <c r="GYZ5">
        <v>7</v>
      </c>
      <c r="GZA5">
        <v>7</v>
      </c>
      <c r="GZB5">
        <v>7</v>
      </c>
      <c r="GZC5">
        <v>7</v>
      </c>
      <c r="GZD5">
        <v>7</v>
      </c>
      <c r="GZE5">
        <v>7</v>
      </c>
      <c r="GZF5">
        <v>7</v>
      </c>
      <c r="GZG5">
        <v>7</v>
      </c>
      <c r="GZH5">
        <v>7</v>
      </c>
      <c r="GZI5">
        <v>7</v>
      </c>
      <c r="GZJ5">
        <v>7</v>
      </c>
      <c r="GZK5">
        <v>7</v>
      </c>
      <c r="GZL5">
        <v>7</v>
      </c>
      <c r="GZM5">
        <v>7</v>
      </c>
      <c r="GZN5">
        <v>7</v>
      </c>
      <c r="GZO5">
        <v>7</v>
      </c>
      <c r="GZP5">
        <v>7</v>
      </c>
      <c r="GZQ5">
        <v>7</v>
      </c>
      <c r="GZR5">
        <v>7</v>
      </c>
      <c r="GZS5">
        <v>7</v>
      </c>
      <c r="GZT5">
        <v>7</v>
      </c>
      <c r="GZU5">
        <v>7</v>
      </c>
      <c r="GZV5">
        <v>7</v>
      </c>
      <c r="GZW5">
        <v>7</v>
      </c>
      <c r="GZX5">
        <v>7</v>
      </c>
      <c r="GZY5">
        <v>7</v>
      </c>
      <c r="GZZ5">
        <v>7</v>
      </c>
      <c r="HAA5">
        <v>7</v>
      </c>
      <c r="HAB5">
        <v>7</v>
      </c>
      <c r="HAC5">
        <v>7</v>
      </c>
      <c r="HAD5">
        <v>7</v>
      </c>
      <c r="HAE5">
        <v>7</v>
      </c>
      <c r="HAF5">
        <v>7</v>
      </c>
      <c r="HAG5">
        <v>7</v>
      </c>
      <c r="HAH5">
        <v>7</v>
      </c>
      <c r="HAI5">
        <v>7</v>
      </c>
      <c r="HAJ5">
        <v>7</v>
      </c>
      <c r="HAK5">
        <v>7</v>
      </c>
      <c r="HAL5">
        <v>7</v>
      </c>
      <c r="HAM5">
        <v>7</v>
      </c>
      <c r="HAN5">
        <v>7</v>
      </c>
      <c r="HAO5">
        <v>7</v>
      </c>
      <c r="HAP5">
        <v>7</v>
      </c>
      <c r="HAQ5">
        <v>7</v>
      </c>
      <c r="HAR5">
        <v>7</v>
      </c>
      <c r="HAS5">
        <v>7</v>
      </c>
      <c r="HAT5">
        <v>7</v>
      </c>
      <c r="HAU5">
        <v>7</v>
      </c>
      <c r="HAV5">
        <v>7</v>
      </c>
      <c r="HAW5">
        <v>7</v>
      </c>
      <c r="HAX5">
        <v>7</v>
      </c>
      <c r="HAY5">
        <v>7</v>
      </c>
      <c r="HAZ5">
        <v>7</v>
      </c>
      <c r="HBA5">
        <v>7</v>
      </c>
      <c r="HBB5">
        <v>7</v>
      </c>
      <c r="HBC5">
        <v>7</v>
      </c>
      <c r="HBD5">
        <v>7</v>
      </c>
      <c r="HBE5">
        <v>7</v>
      </c>
      <c r="HBF5">
        <v>7</v>
      </c>
      <c r="HBG5">
        <v>7</v>
      </c>
      <c r="HBH5">
        <v>7</v>
      </c>
      <c r="HBI5">
        <v>7</v>
      </c>
      <c r="HBJ5">
        <v>7</v>
      </c>
      <c r="HBK5">
        <v>7</v>
      </c>
      <c r="HBL5">
        <v>7</v>
      </c>
      <c r="HBM5">
        <v>7</v>
      </c>
      <c r="HBN5">
        <v>7</v>
      </c>
      <c r="HBO5">
        <v>7</v>
      </c>
      <c r="HBP5">
        <v>7</v>
      </c>
      <c r="HBQ5">
        <v>7</v>
      </c>
      <c r="HBR5">
        <v>7</v>
      </c>
      <c r="HBS5">
        <v>7</v>
      </c>
      <c r="HBT5">
        <v>7</v>
      </c>
      <c r="HBU5">
        <v>7</v>
      </c>
      <c r="HBV5">
        <v>7</v>
      </c>
      <c r="HBW5">
        <v>7</v>
      </c>
      <c r="HBX5">
        <v>7</v>
      </c>
      <c r="HBY5">
        <v>7</v>
      </c>
      <c r="HBZ5">
        <v>7</v>
      </c>
      <c r="HCA5">
        <v>7</v>
      </c>
      <c r="HCB5">
        <v>7</v>
      </c>
      <c r="HCC5">
        <v>7</v>
      </c>
      <c r="HCD5">
        <v>7</v>
      </c>
      <c r="HCE5">
        <v>7</v>
      </c>
      <c r="HCF5">
        <v>7</v>
      </c>
      <c r="HCG5">
        <v>7</v>
      </c>
      <c r="HCH5">
        <v>7</v>
      </c>
      <c r="HCI5">
        <v>7</v>
      </c>
      <c r="HCJ5">
        <v>7</v>
      </c>
      <c r="HCK5">
        <v>7</v>
      </c>
      <c r="HCL5">
        <v>7</v>
      </c>
      <c r="HCM5">
        <v>7</v>
      </c>
      <c r="HCN5">
        <v>7</v>
      </c>
      <c r="HCO5">
        <v>7</v>
      </c>
      <c r="HCP5">
        <v>7</v>
      </c>
      <c r="HCQ5">
        <v>7</v>
      </c>
      <c r="HCR5">
        <v>7</v>
      </c>
      <c r="HCS5">
        <v>7</v>
      </c>
      <c r="HCT5">
        <v>7</v>
      </c>
      <c r="HCU5">
        <v>7</v>
      </c>
      <c r="HCV5">
        <v>7</v>
      </c>
      <c r="HCW5">
        <v>7</v>
      </c>
      <c r="HCX5">
        <v>7</v>
      </c>
      <c r="HCY5">
        <v>7</v>
      </c>
      <c r="HCZ5">
        <v>7</v>
      </c>
      <c r="HDA5">
        <v>7</v>
      </c>
      <c r="HDB5">
        <v>7</v>
      </c>
      <c r="HDC5">
        <v>7</v>
      </c>
      <c r="HDD5">
        <v>7</v>
      </c>
      <c r="HDE5">
        <v>7</v>
      </c>
      <c r="HDF5">
        <v>7</v>
      </c>
      <c r="HDG5">
        <v>7</v>
      </c>
      <c r="HDH5">
        <v>7</v>
      </c>
      <c r="HDI5">
        <v>7</v>
      </c>
      <c r="HDJ5">
        <v>7</v>
      </c>
      <c r="HDK5">
        <v>7</v>
      </c>
      <c r="HDL5">
        <v>7</v>
      </c>
      <c r="HDM5">
        <v>7</v>
      </c>
      <c r="HDN5">
        <v>7</v>
      </c>
      <c r="HDO5">
        <v>7</v>
      </c>
      <c r="HDP5">
        <v>7</v>
      </c>
      <c r="HDQ5">
        <v>7</v>
      </c>
      <c r="HDR5">
        <v>7</v>
      </c>
      <c r="HDS5">
        <v>7</v>
      </c>
      <c r="HDT5">
        <v>7</v>
      </c>
      <c r="HDU5">
        <v>7</v>
      </c>
      <c r="HDV5">
        <v>7</v>
      </c>
      <c r="HDW5">
        <v>7</v>
      </c>
      <c r="HDX5">
        <v>7</v>
      </c>
      <c r="HDY5">
        <v>7</v>
      </c>
      <c r="HDZ5">
        <v>7</v>
      </c>
      <c r="HEA5">
        <v>7</v>
      </c>
      <c r="HEB5">
        <v>7</v>
      </c>
      <c r="HEC5">
        <v>7</v>
      </c>
      <c r="HED5">
        <v>7</v>
      </c>
      <c r="HEE5">
        <v>7</v>
      </c>
      <c r="HEF5">
        <v>7</v>
      </c>
      <c r="HEG5">
        <v>7</v>
      </c>
      <c r="HEH5">
        <v>7</v>
      </c>
      <c r="HEI5">
        <v>7</v>
      </c>
      <c r="HEJ5">
        <v>7</v>
      </c>
      <c r="HEK5">
        <v>7</v>
      </c>
      <c r="HEL5">
        <v>7</v>
      </c>
      <c r="HEM5">
        <v>7</v>
      </c>
      <c r="HEN5">
        <v>7</v>
      </c>
      <c r="HEO5">
        <v>7</v>
      </c>
      <c r="HEP5">
        <v>7</v>
      </c>
      <c r="HEQ5">
        <v>7</v>
      </c>
      <c r="HER5">
        <v>7</v>
      </c>
      <c r="HES5">
        <v>7</v>
      </c>
      <c r="HET5">
        <v>7</v>
      </c>
      <c r="HEU5">
        <v>7</v>
      </c>
      <c r="HEV5">
        <v>7</v>
      </c>
      <c r="HEW5">
        <v>7</v>
      </c>
      <c r="HEX5">
        <v>7</v>
      </c>
      <c r="HEY5">
        <v>7</v>
      </c>
      <c r="HEZ5">
        <v>7</v>
      </c>
      <c r="HFA5">
        <v>7</v>
      </c>
      <c r="HFB5">
        <v>7</v>
      </c>
      <c r="HFC5">
        <v>7</v>
      </c>
      <c r="HFD5">
        <v>7</v>
      </c>
      <c r="HFE5">
        <v>7</v>
      </c>
      <c r="HFF5">
        <v>7</v>
      </c>
      <c r="HFG5">
        <v>7</v>
      </c>
      <c r="HFH5">
        <v>7</v>
      </c>
      <c r="HFI5">
        <v>7</v>
      </c>
      <c r="HFJ5">
        <v>7</v>
      </c>
      <c r="HFK5">
        <v>7</v>
      </c>
      <c r="HFL5">
        <v>7</v>
      </c>
      <c r="HFM5">
        <v>7</v>
      </c>
      <c r="HFN5">
        <v>7</v>
      </c>
      <c r="HFO5">
        <v>7</v>
      </c>
      <c r="IQM5">
        <v>8</v>
      </c>
      <c r="IQN5">
        <v>8</v>
      </c>
      <c r="IQO5">
        <v>8</v>
      </c>
      <c r="IQP5">
        <v>8</v>
      </c>
      <c r="IQQ5">
        <v>8</v>
      </c>
      <c r="IQR5">
        <v>8</v>
      </c>
      <c r="IQS5">
        <v>8</v>
      </c>
      <c r="IQT5">
        <v>8</v>
      </c>
      <c r="IQU5">
        <v>8</v>
      </c>
      <c r="IQV5">
        <v>8</v>
      </c>
      <c r="IQW5">
        <v>8</v>
      </c>
      <c r="IQX5">
        <v>8</v>
      </c>
      <c r="IQY5">
        <v>8</v>
      </c>
      <c r="IQZ5">
        <v>8</v>
      </c>
      <c r="IRA5">
        <v>8</v>
      </c>
      <c r="IRB5">
        <v>8</v>
      </c>
      <c r="IRC5">
        <v>8</v>
      </c>
      <c r="IRD5">
        <v>8</v>
      </c>
      <c r="IRE5">
        <v>8</v>
      </c>
      <c r="IRF5">
        <v>8</v>
      </c>
      <c r="IRG5">
        <v>8</v>
      </c>
      <c r="IRH5">
        <v>8</v>
      </c>
      <c r="IRI5">
        <v>8</v>
      </c>
      <c r="IRJ5">
        <v>8</v>
      </c>
      <c r="IRK5">
        <v>8</v>
      </c>
      <c r="IRL5">
        <v>8</v>
      </c>
      <c r="IRM5">
        <v>8</v>
      </c>
      <c r="IRN5">
        <v>8</v>
      </c>
      <c r="IRO5">
        <v>8</v>
      </c>
      <c r="IRP5">
        <v>8</v>
      </c>
      <c r="IRQ5">
        <v>8</v>
      </c>
      <c r="IRR5">
        <v>8</v>
      </c>
      <c r="IRS5">
        <v>8</v>
      </c>
      <c r="IRT5">
        <v>8</v>
      </c>
      <c r="IRU5">
        <v>8</v>
      </c>
      <c r="IRV5">
        <v>8</v>
      </c>
      <c r="IRW5">
        <v>8</v>
      </c>
      <c r="IRX5">
        <v>8</v>
      </c>
      <c r="IRY5">
        <v>8</v>
      </c>
      <c r="IRZ5">
        <v>8</v>
      </c>
      <c r="ISA5">
        <v>8</v>
      </c>
      <c r="ISB5">
        <v>8</v>
      </c>
      <c r="ISC5">
        <v>8</v>
      </c>
      <c r="ISD5">
        <v>8</v>
      </c>
      <c r="ISE5">
        <v>8</v>
      </c>
      <c r="ISF5">
        <v>8</v>
      </c>
      <c r="ISG5">
        <v>8</v>
      </c>
      <c r="ISH5">
        <v>8</v>
      </c>
      <c r="ISI5">
        <v>8</v>
      </c>
      <c r="ISJ5">
        <v>8</v>
      </c>
      <c r="ISK5">
        <v>8</v>
      </c>
      <c r="ISL5">
        <v>8</v>
      </c>
      <c r="ISM5">
        <v>8</v>
      </c>
      <c r="ISN5">
        <v>8</v>
      </c>
      <c r="ISO5">
        <v>8</v>
      </c>
      <c r="ISP5">
        <v>8</v>
      </c>
      <c r="ISQ5">
        <v>8</v>
      </c>
      <c r="ISR5">
        <v>8</v>
      </c>
      <c r="ISS5">
        <v>8</v>
      </c>
      <c r="IST5">
        <v>8</v>
      </c>
      <c r="ISU5">
        <v>8</v>
      </c>
      <c r="ISV5">
        <v>8</v>
      </c>
      <c r="ISW5">
        <v>8</v>
      </c>
      <c r="ISX5">
        <v>8</v>
      </c>
      <c r="ISY5">
        <v>8</v>
      </c>
      <c r="ISZ5">
        <v>8</v>
      </c>
      <c r="ITA5">
        <v>8</v>
      </c>
      <c r="ITB5">
        <v>8</v>
      </c>
      <c r="ITC5">
        <v>8</v>
      </c>
      <c r="ITD5">
        <v>8</v>
      </c>
      <c r="ITE5">
        <v>8</v>
      </c>
      <c r="ITF5">
        <v>8</v>
      </c>
      <c r="ITG5">
        <v>8</v>
      </c>
      <c r="ITH5">
        <v>8</v>
      </c>
      <c r="ITI5">
        <v>8</v>
      </c>
      <c r="ITJ5">
        <v>8</v>
      </c>
      <c r="ITK5">
        <v>8</v>
      </c>
      <c r="ITL5">
        <v>8</v>
      </c>
      <c r="ITM5">
        <v>8</v>
      </c>
      <c r="ITN5">
        <v>8</v>
      </c>
      <c r="ITO5">
        <v>8</v>
      </c>
      <c r="ITP5">
        <v>8</v>
      </c>
      <c r="ITQ5">
        <v>8</v>
      </c>
      <c r="ITR5">
        <v>8</v>
      </c>
      <c r="ITS5">
        <v>8</v>
      </c>
      <c r="ITT5">
        <v>8</v>
      </c>
      <c r="ITU5">
        <v>8</v>
      </c>
      <c r="ITV5">
        <v>8</v>
      </c>
      <c r="ITW5">
        <v>8</v>
      </c>
      <c r="ITX5">
        <v>8</v>
      </c>
      <c r="ITY5">
        <v>8</v>
      </c>
      <c r="ITZ5">
        <v>8</v>
      </c>
      <c r="IUA5">
        <v>8</v>
      </c>
      <c r="IUB5">
        <v>8</v>
      </c>
      <c r="IUC5">
        <v>8</v>
      </c>
      <c r="IUD5">
        <v>8</v>
      </c>
      <c r="IUE5">
        <v>8</v>
      </c>
      <c r="IUF5">
        <v>8</v>
      </c>
      <c r="IUG5">
        <v>8</v>
      </c>
      <c r="IUH5">
        <v>8</v>
      </c>
      <c r="IUI5">
        <v>8</v>
      </c>
      <c r="IUJ5">
        <v>8</v>
      </c>
      <c r="IUK5">
        <v>8</v>
      </c>
      <c r="IUL5">
        <v>8</v>
      </c>
      <c r="IUM5">
        <v>8</v>
      </c>
      <c r="IUN5">
        <v>8</v>
      </c>
      <c r="IUO5">
        <v>8</v>
      </c>
      <c r="IUP5">
        <v>8</v>
      </c>
      <c r="IUQ5">
        <v>8</v>
      </c>
      <c r="IUR5">
        <v>8</v>
      </c>
      <c r="IUS5">
        <v>8</v>
      </c>
      <c r="IUT5">
        <v>8</v>
      </c>
      <c r="IUU5">
        <v>8</v>
      </c>
      <c r="IUV5">
        <v>8</v>
      </c>
      <c r="IUW5">
        <v>8</v>
      </c>
      <c r="IUX5">
        <v>8</v>
      </c>
      <c r="IUY5">
        <v>8</v>
      </c>
      <c r="IUZ5">
        <v>8</v>
      </c>
      <c r="IVA5">
        <v>8</v>
      </c>
      <c r="IVB5">
        <v>8</v>
      </c>
      <c r="IVC5">
        <v>8</v>
      </c>
      <c r="IVD5">
        <v>8</v>
      </c>
      <c r="IVE5">
        <v>8</v>
      </c>
      <c r="IVF5">
        <v>8</v>
      </c>
      <c r="IVG5">
        <v>8</v>
      </c>
      <c r="IVH5">
        <v>8</v>
      </c>
      <c r="IVI5">
        <v>8</v>
      </c>
      <c r="IVJ5">
        <v>8</v>
      </c>
      <c r="IVK5">
        <v>8</v>
      </c>
      <c r="IVL5">
        <v>8</v>
      </c>
      <c r="IVM5">
        <v>8</v>
      </c>
      <c r="IVN5">
        <v>8</v>
      </c>
      <c r="IVO5">
        <v>8</v>
      </c>
      <c r="IVP5">
        <v>8</v>
      </c>
      <c r="IVQ5">
        <v>8</v>
      </c>
      <c r="IVR5">
        <v>8</v>
      </c>
      <c r="IVS5">
        <v>8</v>
      </c>
      <c r="IVT5">
        <v>8</v>
      </c>
      <c r="IVU5">
        <v>8</v>
      </c>
      <c r="IVV5">
        <v>8</v>
      </c>
      <c r="IVW5">
        <v>8</v>
      </c>
      <c r="IVX5">
        <v>8</v>
      </c>
      <c r="IVY5">
        <v>8</v>
      </c>
      <c r="IVZ5">
        <v>8</v>
      </c>
      <c r="IWA5">
        <v>8</v>
      </c>
      <c r="IWB5">
        <v>8</v>
      </c>
      <c r="IWC5">
        <v>8</v>
      </c>
      <c r="IWD5">
        <v>8</v>
      </c>
      <c r="IWE5">
        <v>8</v>
      </c>
      <c r="IWF5">
        <v>8</v>
      </c>
      <c r="IWG5">
        <v>8</v>
      </c>
      <c r="IWH5">
        <v>8</v>
      </c>
      <c r="IWI5">
        <v>8</v>
      </c>
      <c r="IWJ5">
        <v>8</v>
      </c>
      <c r="IWK5">
        <v>8</v>
      </c>
      <c r="IWL5">
        <v>8</v>
      </c>
      <c r="IWM5">
        <v>8</v>
      </c>
      <c r="IWN5">
        <v>8</v>
      </c>
      <c r="IWO5">
        <v>8</v>
      </c>
      <c r="IWP5">
        <v>8</v>
      </c>
      <c r="IWQ5">
        <v>8</v>
      </c>
      <c r="IWR5">
        <v>8</v>
      </c>
      <c r="IWS5">
        <v>8</v>
      </c>
      <c r="IWT5">
        <v>8</v>
      </c>
      <c r="IWU5">
        <v>8</v>
      </c>
      <c r="IWV5">
        <v>8</v>
      </c>
      <c r="IWW5">
        <v>8</v>
      </c>
      <c r="IWX5">
        <v>8</v>
      </c>
      <c r="IWY5">
        <v>8</v>
      </c>
      <c r="IWZ5">
        <v>8</v>
      </c>
      <c r="IXA5">
        <v>8</v>
      </c>
      <c r="IXB5">
        <v>8</v>
      </c>
      <c r="IXC5">
        <v>8</v>
      </c>
      <c r="IXD5">
        <v>8</v>
      </c>
      <c r="IXE5">
        <v>8</v>
      </c>
      <c r="IXF5">
        <v>8</v>
      </c>
      <c r="IXG5">
        <v>8</v>
      </c>
      <c r="IXH5">
        <v>8</v>
      </c>
      <c r="IXI5">
        <v>8</v>
      </c>
      <c r="IXJ5">
        <v>8</v>
      </c>
      <c r="IXK5">
        <v>8</v>
      </c>
      <c r="IXL5">
        <v>8</v>
      </c>
      <c r="IXM5">
        <v>8</v>
      </c>
      <c r="IXN5">
        <v>8</v>
      </c>
      <c r="IXO5">
        <v>8</v>
      </c>
      <c r="IXP5">
        <v>8</v>
      </c>
      <c r="IXQ5">
        <v>8</v>
      </c>
      <c r="IXR5">
        <v>8</v>
      </c>
      <c r="IXS5">
        <v>8</v>
      </c>
      <c r="IXT5">
        <v>8</v>
      </c>
      <c r="IXU5">
        <v>8</v>
      </c>
      <c r="IXV5">
        <v>8</v>
      </c>
      <c r="IXW5">
        <v>8</v>
      </c>
      <c r="IXX5">
        <v>8</v>
      </c>
      <c r="IXY5">
        <v>8</v>
      </c>
      <c r="IXZ5">
        <v>8</v>
      </c>
      <c r="IYA5">
        <v>8</v>
      </c>
      <c r="IYB5">
        <v>8</v>
      </c>
      <c r="IYC5">
        <v>8</v>
      </c>
      <c r="IYD5">
        <v>8</v>
      </c>
      <c r="KFW5" s="1">
        <f t="shared" si="0"/>
        <v>490</v>
      </c>
      <c r="KFX5">
        <f t="shared" si="1"/>
        <v>234</v>
      </c>
      <c r="KFY5">
        <f t="shared" si="2"/>
        <v>181</v>
      </c>
      <c r="KFZ5">
        <f t="shared" si="3"/>
        <v>193</v>
      </c>
      <c r="KGA5">
        <f t="shared" si="4"/>
        <v>288</v>
      </c>
      <c r="KGB5">
        <f t="shared" si="5"/>
        <v>520</v>
      </c>
      <c r="KGC5">
        <f t="shared" si="6"/>
        <v>443</v>
      </c>
      <c r="KGD5">
        <f t="shared" si="7"/>
        <v>200</v>
      </c>
      <c r="KGE5">
        <f t="shared" si="8"/>
        <v>0</v>
      </c>
      <c r="KGF5">
        <f t="shared" si="9"/>
        <v>0</v>
      </c>
      <c r="KGG5">
        <f t="shared" si="10"/>
        <v>0</v>
      </c>
      <c r="KGH5">
        <f t="shared" si="11"/>
        <v>0</v>
      </c>
      <c r="KGI5">
        <f t="shared" si="12"/>
        <v>0</v>
      </c>
      <c r="KGJ5">
        <f t="shared" si="13"/>
        <v>0</v>
      </c>
      <c r="KGK5">
        <f t="shared" si="14"/>
        <v>0</v>
      </c>
      <c r="KGL5">
        <f t="shared" si="15"/>
        <v>0</v>
      </c>
      <c r="KGM5">
        <f t="shared" si="16"/>
        <v>0</v>
      </c>
      <c r="KGN5">
        <f t="shared" si="17"/>
        <v>0</v>
      </c>
      <c r="KGO5">
        <f t="shared" si="18"/>
        <v>0</v>
      </c>
      <c r="KGP5">
        <f t="shared" si="19"/>
        <v>0</v>
      </c>
      <c r="KGQ5">
        <f t="shared" si="20"/>
        <v>0</v>
      </c>
      <c r="KGR5">
        <f t="shared" si="21"/>
        <v>0</v>
      </c>
      <c r="KGS5">
        <f t="shared" si="22"/>
        <v>0</v>
      </c>
      <c r="KGT5">
        <f t="shared" si="23"/>
        <v>0</v>
      </c>
      <c r="KGU5">
        <f t="shared" si="24"/>
        <v>0</v>
      </c>
      <c r="KGV5">
        <f t="shared" si="25"/>
        <v>0</v>
      </c>
      <c r="KGW5">
        <f t="shared" si="26"/>
        <v>0</v>
      </c>
      <c r="KGX5">
        <f t="shared" si="27"/>
        <v>0</v>
      </c>
      <c r="KGY5">
        <f t="shared" si="28"/>
        <v>0</v>
      </c>
      <c r="KGZ5">
        <f t="shared" si="29"/>
        <v>0</v>
      </c>
      <c r="KHA5">
        <f t="shared" si="30"/>
        <v>0</v>
      </c>
      <c r="KHB5">
        <f t="shared" si="31"/>
        <v>0</v>
      </c>
      <c r="KHC5">
        <f t="shared" si="32"/>
        <v>0</v>
      </c>
      <c r="KHD5">
        <f t="shared" si="33"/>
        <v>0</v>
      </c>
      <c r="KHE5">
        <f t="shared" si="34"/>
        <v>0</v>
      </c>
      <c r="KHF5">
        <f t="shared" si="35"/>
        <v>0</v>
      </c>
      <c r="KHG5">
        <f t="shared" si="36"/>
        <v>0</v>
      </c>
      <c r="KHH5">
        <f t="shared" si="37"/>
        <v>0</v>
      </c>
      <c r="KHI5">
        <f t="shared" si="38"/>
        <v>0</v>
      </c>
      <c r="KHJ5">
        <f t="shared" si="39"/>
        <v>0</v>
      </c>
      <c r="KHK5">
        <f t="shared" si="40"/>
        <v>0</v>
      </c>
      <c r="KHL5">
        <f t="shared" si="41"/>
        <v>0</v>
      </c>
      <c r="KHM5">
        <f t="shared" si="42"/>
        <v>0</v>
      </c>
      <c r="KHN5">
        <f t="shared" si="43"/>
        <v>0</v>
      </c>
      <c r="KHO5">
        <f t="shared" si="44"/>
        <v>0</v>
      </c>
      <c r="KHP5">
        <f t="shared" si="45"/>
        <v>0</v>
      </c>
      <c r="KHQ5">
        <f t="shared" si="46"/>
        <v>0</v>
      </c>
      <c r="KHR5">
        <f t="shared" si="47"/>
        <v>0</v>
      </c>
      <c r="KHS5">
        <f t="shared" si="48"/>
        <v>0</v>
      </c>
      <c r="KHT5">
        <f t="shared" si="49"/>
        <v>0</v>
      </c>
      <c r="KHU5">
        <f t="shared" si="50"/>
        <v>0</v>
      </c>
      <c r="KHV5">
        <f t="shared" si="51"/>
        <v>0</v>
      </c>
      <c r="KHW5">
        <f t="shared" si="52"/>
        <v>0</v>
      </c>
      <c r="KHX5">
        <f t="shared" si="53"/>
        <v>0</v>
      </c>
      <c r="KHY5">
        <f t="shared" si="54"/>
        <v>0</v>
      </c>
      <c r="KHZ5">
        <f t="shared" si="55"/>
        <v>0</v>
      </c>
      <c r="KIA5">
        <f t="shared" si="56"/>
        <v>0</v>
      </c>
      <c r="KIB5">
        <f t="shared" si="57"/>
        <v>0</v>
      </c>
      <c r="KIC5">
        <f t="shared" si="58"/>
        <v>0</v>
      </c>
      <c r="KID5">
        <f t="shared" si="59"/>
        <v>0</v>
      </c>
      <c r="KIE5">
        <f t="shared" si="60"/>
        <v>0</v>
      </c>
      <c r="KIF5">
        <f t="shared" si="61"/>
        <v>0</v>
      </c>
      <c r="KIG5">
        <f t="shared" si="62"/>
        <v>0</v>
      </c>
      <c r="KIH5">
        <f t="shared" si="63"/>
        <v>0</v>
      </c>
      <c r="KII5">
        <f t="shared" si="64"/>
        <v>0</v>
      </c>
      <c r="KIJ5">
        <f t="shared" si="65"/>
        <v>0</v>
      </c>
      <c r="KIK5">
        <f t="shared" si="66"/>
        <v>0</v>
      </c>
      <c r="KIL5">
        <f t="shared" si="67"/>
        <v>0</v>
      </c>
      <c r="KIM5">
        <f t="shared" si="68"/>
        <v>0</v>
      </c>
      <c r="KIN5">
        <f t="shared" si="69"/>
        <v>0</v>
      </c>
      <c r="KIO5">
        <f t="shared" si="70"/>
        <v>0</v>
      </c>
      <c r="KIP5">
        <f t="shared" si="71"/>
        <v>0</v>
      </c>
      <c r="KIQ5">
        <f t="shared" si="72"/>
        <v>0</v>
      </c>
      <c r="KIR5">
        <f t="shared" si="73"/>
        <v>0</v>
      </c>
      <c r="KIS5">
        <f t="shared" si="74"/>
        <v>0</v>
      </c>
      <c r="KIT5">
        <f t="shared" si="75"/>
        <v>0</v>
      </c>
      <c r="KIU5">
        <f t="shared" si="76"/>
        <v>0</v>
      </c>
      <c r="KIV5">
        <f t="shared" si="77"/>
        <v>0</v>
      </c>
      <c r="KIW5">
        <f t="shared" si="78"/>
        <v>0</v>
      </c>
      <c r="KIX5">
        <f t="shared" si="79"/>
        <v>0</v>
      </c>
      <c r="KIY5">
        <f t="shared" si="80"/>
        <v>0</v>
      </c>
      <c r="KIZ5">
        <f t="shared" si="81"/>
        <v>0</v>
      </c>
      <c r="KJA5">
        <f t="shared" si="82"/>
        <v>0</v>
      </c>
      <c r="KJB5">
        <f t="shared" si="83"/>
        <v>0</v>
      </c>
      <c r="KJC5">
        <f t="shared" si="84"/>
        <v>0</v>
      </c>
      <c r="KJD5">
        <f t="shared" si="85"/>
        <v>0</v>
      </c>
      <c r="KJE5">
        <f t="shared" si="86"/>
        <v>0</v>
      </c>
      <c r="KJF5">
        <f t="shared" si="87"/>
        <v>0</v>
      </c>
      <c r="KJG5">
        <f t="shared" si="88"/>
        <v>0</v>
      </c>
      <c r="KJH5">
        <f t="shared" si="89"/>
        <v>0</v>
      </c>
      <c r="KJI5">
        <f t="shared" si="90"/>
        <v>0</v>
      </c>
      <c r="KJJ5">
        <f t="shared" si="91"/>
        <v>0</v>
      </c>
      <c r="KJK5">
        <f t="shared" si="92"/>
        <v>0</v>
      </c>
      <c r="KJL5">
        <f t="shared" si="93"/>
        <v>0</v>
      </c>
      <c r="KJM5">
        <f t="shared" si="94"/>
        <v>0</v>
      </c>
      <c r="KJN5">
        <f t="shared" si="95"/>
        <v>0</v>
      </c>
      <c r="KJO5">
        <f t="shared" si="96"/>
        <v>0</v>
      </c>
      <c r="KJP5">
        <f t="shared" si="97"/>
        <v>0</v>
      </c>
      <c r="KJQ5">
        <f t="shared" si="98"/>
        <v>0</v>
      </c>
      <c r="KJR5">
        <f t="shared" si="99"/>
        <v>0</v>
      </c>
      <c r="KJT5">
        <f t="shared" si="100"/>
        <v>2549</v>
      </c>
      <c r="KJU5">
        <f t="shared" si="100"/>
        <v>2549</v>
      </c>
      <c r="KJW5">
        <f t="shared" si="101"/>
        <v>101.96</v>
      </c>
      <c r="KJX5">
        <f t="shared" si="101"/>
        <v>101.96</v>
      </c>
    </row>
    <row r="6" spans="1:7721">
      <c r="A6" t="s">
        <v>44</v>
      </c>
      <c r="KFW6" s="1">
        <f t="shared" si="0"/>
        <v>0</v>
      </c>
      <c r="KFX6">
        <f t="shared" si="1"/>
        <v>0</v>
      </c>
      <c r="KFY6">
        <f t="shared" si="2"/>
        <v>0</v>
      </c>
      <c r="KFZ6">
        <f t="shared" si="3"/>
        <v>0</v>
      </c>
      <c r="KGA6">
        <f t="shared" si="4"/>
        <v>0</v>
      </c>
      <c r="KGB6">
        <f t="shared" si="5"/>
        <v>0</v>
      </c>
      <c r="KGC6">
        <f t="shared" si="6"/>
        <v>0</v>
      </c>
      <c r="KGD6">
        <f t="shared" si="7"/>
        <v>0</v>
      </c>
      <c r="KGE6">
        <f t="shared" si="8"/>
        <v>0</v>
      </c>
      <c r="KGF6">
        <f t="shared" si="9"/>
        <v>0</v>
      </c>
      <c r="KGG6">
        <f t="shared" si="10"/>
        <v>0</v>
      </c>
      <c r="KGH6">
        <f t="shared" si="11"/>
        <v>0</v>
      </c>
      <c r="KGI6">
        <f t="shared" si="12"/>
        <v>0</v>
      </c>
      <c r="KGJ6">
        <f t="shared" si="13"/>
        <v>0</v>
      </c>
      <c r="KGK6">
        <f t="shared" si="14"/>
        <v>0</v>
      </c>
      <c r="KGL6">
        <f t="shared" si="15"/>
        <v>0</v>
      </c>
      <c r="KGM6">
        <f t="shared" si="16"/>
        <v>0</v>
      </c>
      <c r="KGN6">
        <f t="shared" si="17"/>
        <v>0</v>
      </c>
      <c r="KGO6">
        <f t="shared" si="18"/>
        <v>0</v>
      </c>
      <c r="KGP6">
        <f t="shared" si="19"/>
        <v>0</v>
      </c>
      <c r="KGQ6">
        <f t="shared" si="20"/>
        <v>0</v>
      </c>
      <c r="KGR6">
        <f t="shared" si="21"/>
        <v>0</v>
      </c>
      <c r="KGS6">
        <f t="shared" si="22"/>
        <v>0</v>
      </c>
      <c r="KGT6">
        <f t="shared" si="23"/>
        <v>0</v>
      </c>
      <c r="KGU6">
        <f t="shared" si="24"/>
        <v>0</v>
      </c>
      <c r="KGV6">
        <f t="shared" si="25"/>
        <v>0</v>
      </c>
      <c r="KGW6">
        <f t="shared" si="26"/>
        <v>0</v>
      </c>
      <c r="KGX6">
        <f t="shared" si="27"/>
        <v>0</v>
      </c>
      <c r="KGY6">
        <f t="shared" si="28"/>
        <v>0</v>
      </c>
      <c r="KGZ6">
        <f t="shared" si="29"/>
        <v>0</v>
      </c>
      <c r="KHA6">
        <f t="shared" si="30"/>
        <v>0</v>
      </c>
      <c r="KHB6">
        <f t="shared" si="31"/>
        <v>0</v>
      </c>
      <c r="KHC6">
        <f t="shared" si="32"/>
        <v>0</v>
      </c>
      <c r="KHD6">
        <f t="shared" si="33"/>
        <v>0</v>
      </c>
      <c r="KHE6">
        <f t="shared" si="34"/>
        <v>0</v>
      </c>
      <c r="KHF6">
        <f t="shared" si="35"/>
        <v>0</v>
      </c>
      <c r="KHG6">
        <f t="shared" si="36"/>
        <v>0</v>
      </c>
      <c r="KHH6">
        <f t="shared" si="37"/>
        <v>0</v>
      </c>
      <c r="KHI6">
        <f t="shared" si="38"/>
        <v>0</v>
      </c>
      <c r="KHJ6">
        <f t="shared" si="39"/>
        <v>0</v>
      </c>
      <c r="KHK6">
        <f t="shared" si="40"/>
        <v>0</v>
      </c>
      <c r="KHL6">
        <f t="shared" si="41"/>
        <v>0</v>
      </c>
      <c r="KHM6">
        <f t="shared" si="42"/>
        <v>0</v>
      </c>
      <c r="KHN6">
        <f t="shared" si="43"/>
        <v>0</v>
      </c>
      <c r="KHO6">
        <f t="shared" si="44"/>
        <v>0</v>
      </c>
      <c r="KHP6">
        <f t="shared" si="45"/>
        <v>0</v>
      </c>
      <c r="KHQ6">
        <f t="shared" si="46"/>
        <v>0</v>
      </c>
      <c r="KHR6">
        <f t="shared" si="47"/>
        <v>0</v>
      </c>
      <c r="KHS6">
        <f t="shared" si="48"/>
        <v>0</v>
      </c>
      <c r="KHT6">
        <f t="shared" si="49"/>
        <v>0</v>
      </c>
      <c r="KHU6">
        <f t="shared" si="50"/>
        <v>0</v>
      </c>
      <c r="KHV6">
        <f t="shared" si="51"/>
        <v>0</v>
      </c>
      <c r="KHW6">
        <f t="shared" si="52"/>
        <v>0</v>
      </c>
      <c r="KHX6">
        <f t="shared" si="53"/>
        <v>0</v>
      </c>
      <c r="KHY6">
        <f t="shared" si="54"/>
        <v>0</v>
      </c>
      <c r="KHZ6">
        <f t="shared" si="55"/>
        <v>0</v>
      </c>
      <c r="KIA6">
        <f t="shared" si="56"/>
        <v>0</v>
      </c>
      <c r="KIB6">
        <f t="shared" si="57"/>
        <v>0</v>
      </c>
      <c r="KIC6">
        <f t="shared" si="58"/>
        <v>0</v>
      </c>
      <c r="KID6">
        <f t="shared" si="59"/>
        <v>0</v>
      </c>
      <c r="KIE6">
        <f t="shared" si="60"/>
        <v>0</v>
      </c>
      <c r="KIF6">
        <f t="shared" si="61"/>
        <v>0</v>
      </c>
      <c r="KIG6">
        <f t="shared" si="62"/>
        <v>0</v>
      </c>
      <c r="KIH6">
        <f t="shared" si="63"/>
        <v>0</v>
      </c>
      <c r="KII6">
        <f t="shared" si="64"/>
        <v>0</v>
      </c>
      <c r="KIJ6">
        <f t="shared" si="65"/>
        <v>0</v>
      </c>
      <c r="KIK6">
        <f t="shared" si="66"/>
        <v>0</v>
      </c>
      <c r="KIL6">
        <f t="shared" si="67"/>
        <v>0</v>
      </c>
      <c r="KIM6">
        <f t="shared" si="68"/>
        <v>0</v>
      </c>
      <c r="KIN6">
        <f t="shared" si="69"/>
        <v>0</v>
      </c>
      <c r="KIO6">
        <f t="shared" si="70"/>
        <v>0</v>
      </c>
      <c r="KIP6">
        <f t="shared" si="71"/>
        <v>0</v>
      </c>
      <c r="KIQ6">
        <f t="shared" si="72"/>
        <v>0</v>
      </c>
      <c r="KIR6">
        <f t="shared" si="73"/>
        <v>0</v>
      </c>
      <c r="KIS6">
        <f t="shared" si="74"/>
        <v>0</v>
      </c>
      <c r="KIT6">
        <f t="shared" si="75"/>
        <v>0</v>
      </c>
      <c r="KIU6">
        <f t="shared" si="76"/>
        <v>0</v>
      </c>
      <c r="KIV6">
        <f t="shared" si="77"/>
        <v>0</v>
      </c>
      <c r="KIW6">
        <f t="shared" si="78"/>
        <v>0</v>
      </c>
      <c r="KIX6">
        <f t="shared" si="79"/>
        <v>0</v>
      </c>
      <c r="KIY6">
        <f t="shared" si="80"/>
        <v>0</v>
      </c>
      <c r="KIZ6">
        <f t="shared" si="81"/>
        <v>0</v>
      </c>
      <c r="KJA6">
        <f t="shared" si="82"/>
        <v>0</v>
      </c>
      <c r="KJB6">
        <f t="shared" si="83"/>
        <v>0</v>
      </c>
      <c r="KJC6">
        <f t="shared" si="84"/>
        <v>0</v>
      </c>
      <c r="KJD6">
        <f t="shared" si="85"/>
        <v>0</v>
      </c>
      <c r="KJE6">
        <f t="shared" si="86"/>
        <v>0</v>
      </c>
      <c r="KJF6">
        <f t="shared" si="87"/>
        <v>0</v>
      </c>
      <c r="KJG6">
        <f t="shared" si="88"/>
        <v>0</v>
      </c>
      <c r="KJH6">
        <f t="shared" si="89"/>
        <v>0</v>
      </c>
      <c r="KJI6">
        <f t="shared" si="90"/>
        <v>0</v>
      </c>
      <c r="KJJ6">
        <f t="shared" si="91"/>
        <v>0</v>
      </c>
      <c r="KJK6">
        <f t="shared" si="92"/>
        <v>0</v>
      </c>
      <c r="KJL6">
        <f t="shared" si="93"/>
        <v>0</v>
      </c>
      <c r="KJM6">
        <f t="shared" si="94"/>
        <v>0</v>
      </c>
      <c r="KJN6">
        <f t="shared" si="95"/>
        <v>0</v>
      </c>
      <c r="KJO6">
        <f t="shared" si="96"/>
        <v>0</v>
      </c>
      <c r="KJP6">
        <f t="shared" si="97"/>
        <v>0</v>
      </c>
      <c r="KJQ6">
        <f t="shared" si="98"/>
        <v>0</v>
      </c>
      <c r="KJR6">
        <f t="shared" si="99"/>
        <v>0</v>
      </c>
      <c r="KJT6">
        <f>SUM($KFW6:$KJS6)</f>
        <v>0</v>
      </c>
      <c r="KJV6">
        <f>SUM($KFW6:$KJS6)</f>
        <v>0</v>
      </c>
      <c r="KJW6">
        <f>$KJT6*40/1000</f>
        <v>0</v>
      </c>
      <c r="KJY6">
        <f>$KJT6*40/1000</f>
        <v>0</v>
      </c>
    </row>
    <row r="7" spans="1:7721">
      <c r="A7" t="s">
        <v>43</v>
      </c>
      <c r="KFW7" s="1">
        <f t="shared" si="0"/>
        <v>0</v>
      </c>
      <c r="KFX7">
        <f t="shared" si="1"/>
        <v>0</v>
      </c>
      <c r="KFY7">
        <f t="shared" si="2"/>
        <v>0</v>
      </c>
      <c r="KFZ7">
        <f t="shared" si="3"/>
        <v>0</v>
      </c>
      <c r="KGA7">
        <f t="shared" si="4"/>
        <v>0</v>
      </c>
      <c r="KGB7">
        <f t="shared" si="5"/>
        <v>0</v>
      </c>
      <c r="KGC7">
        <f t="shared" si="6"/>
        <v>0</v>
      </c>
      <c r="KGD7">
        <f t="shared" si="7"/>
        <v>0</v>
      </c>
      <c r="KGE7">
        <f t="shared" si="8"/>
        <v>0</v>
      </c>
      <c r="KGF7">
        <f t="shared" si="9"/>
        <v>0</v>
      </c>
      <c r="KGG7">
        <f t="shared" si="10"/>
        <v>0</v>
      </c>
      <c r="KGH7">
        <f t="shared" si="11"/>
        <v>0</v>
      </c>
      <c r="KGI7">
        <f t="shared" si="12"/>
        <v>0</v>
      </c>
      <c r="KGJ7">
        <f t="shared" si="13"/>
        <v>0</v>
      </c>
      <c r="KGK7">
        <f t="shared" si="14"/>
        <v>0</v>
      </c>
      <c r="KGL7">
        <f t="shared" si="15"/>
        <v>0</v>
      </c>
      <c r="KGM7">
        <f t="shared" si="16"/>
        <v>0</v>
      </c>
      <c r="KGN7">
        <f t="shared" si="17"/>
        <v>0</v>
      </c>
      <c r="KGO7">
        <f t="shared" si="18"/>
        <v>0</v>
      </c>
      <c r="KGP7">
        <f t="shared" si="19"/>
        <v>0</v>
      </c>
      <c r="KGQ7">
        <f t="shared" si="20"/>
        <v>0</v>
      </c>
      <c r="KGR7">
        <f t="shared" si="21"/>
        <v>0</v>
      </c>
      <c r="KGS7">
        <f t="shared" si="22"/>
        <v>0</v>
      </c>
      <c r="KGT7">
        <f t="shared" si="23"/>
        <v>0</v>
      </c>
      <c r="KGU7">
        <f t="shared" si="24"/>
        <v>0</v>
      </c>
      <c r="KGV7">
        <f t="shared" si="25"/>
        <v>0</v>
      </c>
      <c r="KGW7">
        <f t="shared" si="26"/>
        <v>0</v>
      </c>
      <c r="KGX7">
        <f t="shared" si="27"/>
        <v>0</v>
      </c>
      <c r="KGY7">
        <f t="shared" si="28"/>
        <v>0</v>
      </c>
      <c r="KGZ7">
        <f t="shared" si="29"/>
        <v>0</v>
      </c>
      <c r="KHA7">
        <f t="shared" si="30"/>
        <v>0</v>
      </c>
      <c r="KHB7">
        <f t="shared" si="31"/>
        <v>0</v>
      </c>
      <c r="KHC7">
        <f t="shared" si="32"/>
        <v>0</v>
      </c>
      <c r="KHD7">
        <f t="shared" si="33"/>
        <v>0</v>
      </c>
      <c r="KHE7">
        <f t="shared" si="34"/>
        <v>0</v>
      </c>
      <c r="KHF7">
        <f t="shared" si="35"/>
        <v>0</v>
      </c>
      <c r="KHG7">
        <f t="shared" si="36"/>
        <v>0</v>
      </c>
      <c r="KHH7">
        <f t="shared" si="37"/>
        <v>0</v>
      </c>
      <c r="KHI7">
        <f t="shared" si="38"/>
        <v>0</v>
      </c>
      <c r="KHJ7">
        <f t="shared" si="39"/>
        <v>0</v>
      </c>
      <c r="KHK7">
        <f t="shared" si="40"/>
        <v>0</v>
      </c>
      <c r="KHL7">
        <f t="shared" si="41"/>
        <v>0</v>
      </c>
      <c r="KHM7">
        <f t="shared" si="42"/>
        <v>0</v>
      </c>
      <c r="KHN7">
        <f t="shared" si="43"/>
        <v>0</v>
      </c>
      <c r="KHO7">
        <f t="shared" si="44"/>
        <v>0</v>
      </c>
      <c r="KHP7">
        <f t="shared" si="45"/>
        <v>0</v>
      </c>
      <c r="KHQ7">
        <f t="shared" si="46"/>
        <v>0</v>
      </c>
      <c r="KHR7">
        <f t="shared" si="47"/>
        <v>0</v>
      </c>
      <c r="KHS7">
        <f t="shared" si="48"/>
        <v>0</v>
      </c>
      <c r="KHT7">
        <f t="shared" si="49"/>
        <v>0</v>
      </c>
      <c r="KHU7">
        <f t="shared" si="50"/>
        <v>0</v>
      </c>
      <c r="KHV7">
        <f t="shared" si="51"/>
        <v>0</v>
      </c>
      <c r="KHW7">
        <f t="shared" si="52"/>
        <v>0</v>
      </c>
      <c r="KHX7">
        <f t="shared" si="53"/>
        <v>0</v>
      </c>
      <c r="KHY7">
        <f t="shared" si="54"/>
        <v>0</v>
      </c>
      <c r="KHZ7">
        <f t="shared" si="55"/>
        <v>0</v>
      </c>
      <c r="KIA7">
        <f t="shared" si="56"/>
        <v>0</v>
      </c>
      <c r="KIB7">
        <f t="shared" si="57"/>
        <v>0</v>
      </c>
      <c r="KIC7">
        <f t="shared" si="58"/>
        <v>0</v>
      </c>
      <c r="KID7">
        <f t="shared" si="59"/>
        <v>0</v>
      </c>
      <c r="KIE7">
        <f t="shared" si="60"/>
        <v>0</v>
      </c>
      <c r="KIF7">
        <f t="shared" si="61"/>
        <v>0</v>
      </c>
      <c r="KIG7">
        <f t="shared" si="62"/>
        <v>0</v>
      </c>
      <c r="KIH7">
        <f t="shared" si="63"/>
        <v>0</v>
      </c>
      <c r="KII7">
        <f t="shared" si="64"/>
        <v>0</v>
      </c>
      <c r="KIJ7">
        <f t="shared" si="65"/>
        <v>0</v>
      </c>
      <c r="KIK7">
        <f t="shared" si="66"/>
        <v>0</v>
      </c>
      <c r="KIL7">
        <f t="shared" si="67"/>
        <v>0</v>
      </c>
      <c r="KIM7">
        <f t="shared" si="68"/>
        <v>0</v>
      </c>
      <c r="KIN7">
        <f t="shared" si="69"/>
        <v>0</v>
      </c>
      <c r="KIO7">
        <f t="shared" si="70"/>
        <v>0</v>
      </c>
      <c r="KIP7">
        <f t="shared" si="71"/>
        <v>0</v>
      </c>
      <c r="KIQ7">
        <f t="shared" si="72"/>
        <v>0</v>
      </c>
      <c r="KIR7">
        <f t="shared" si="73"/>
        <v>0</v>
      </c>
      <c r="KIS7">
        <f t="shared" si="74"/>
        <v>0</v>
      </c>
      <c r="KIT7">
        <f t="shared" si="75"/>
        <v>0</v>
      </c>
      <c r="KIU7">
        <f t="shared" si="76"/>
        <v>0</v>
      </c>
      <c r="KIV7">
        <f t="shared" si="77"/>
        <v>0</v>
      </c>
      <c r="KIW7">
        <f t="shared" si="78"/>
        <v>0</v>
      </c>
      <c r="KIX7">
        <f t="shared" si="79"/>
        <v>0</v>
      </c>
      <c r="KIY7">
        <f t="shared" si="80"/>
        <v>0</v>
      </c>
      <c r="KIZ7">
        <f t="shared" si="81"/>
        <v>0</v>
      </c>
      <c r="KJA7">
        <f t="shared" si="82"/>
        <v>0</v>
      </c>
      <c r="KJB7">
        <f t="shared" si="83"/>
        <v>0</v>
      </c>
      <c r="KJC7">
        <f t="shared" si="84"/>
        <v>0</v>
      </c>
      <c r="KJD7">
        <f t="shared" si="85"/>
        <v>0</v>
      </c>
      <c r="KJE7">
        <f t="shared" si="86"/>
        <v>0</v>
      </c>
      <c r="KJF7">
        <f t="shared" si="87"/>
        <v>0</v>
      </c>
      <c r="KJG7">
        <f t="shared" si="88"/>
        <v>0</v>
      </c>
      <c r="KJH7">
        <f t="shared" si="89"/>
        <v>0</v>
      </c>
      <c r="KJI7">
        <f t="shared" si="90"/>
        <v>0</v>
      </c>
      <c r="KJJ7">
        <f t="shared" si="91"/>
        <v>0</v>
      </c>
      <c r="KJK7">
        <f t="shared" si="92"/>
        <v>0</v>
      </c>
      <c r="KJL7">
        <f t="shared" si="93"/>
        <v>0</v>
      </c>
      <c r="KJM7">
        <f t="shared" si="94"/>
        <v>0</v>
      </c>
      <c r="KJN7">
        <f t="shared" si="95"/>
        <v>0</v>
      </c>
      <c r="KJO7">
        <f t="shared" si="96"/>
        <v>0</v>
      </c>
      <c r="KJP7">
        <f t="shared" si="97"/>
        <v>0</v>
      </c>
      <c r="KJQ7">
        <f t="shared" si="98"/>
        <v>0</v>
      </c>
      <c r="KJR7">
        <f t="shared" si="99"/>
        <v>0</v>
      </c>
      <c r="KJT7">
        <f>SUM($KFW7:$KJS7)</f>
        <v>0</v>
      </c>
      <c r="KJV7">
        <f>SUM($KFW7:$KJS7)</f>
        <v>0</v>
      </c>
      <c r="KJW7">
        <f>$KJT7*40/1000</f>
        <v>0</v>
      </c>
      <c r="KJY7">
        <f>$KJT7*40/1000</f>
        <v>0</v>
      </c>
    </row>
    <row r="8" spans="1:7721">
      <c r="A8" t="s">
        <v>42</v>
      </c>
      <c r="B8">
        <v>3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1</v>
      </c>
      <c r="BVU8">
        <v>1</v>
      </c>
      <c r="BVV8">
        <v>1</v>
      </c>
      <c r="JJR8">
        <v>3</v>
      </c>
      <c r="JJS8">
        <v>3</v>
      </c>
      <c r="JJT8">
        <v>3</v>
      </c>
      <c r="JJU8">
        <v>3</v>
      </c>
      <c r="JJV8">
        <v>3</v>
      </c>
      <c r="JJW8">
        <v>3</v>
      </c>
      <c r="JJX8">
        <v>3</v>
      </c>
      <c r="JJY8">
        <v>3</v>
      </c>
      <c r="JJZ8">
        <v>3</v>
      </c>
      <c r="JKA8">
        <v>3</v>
      </c>
      <c r="JKB8">
        <v>3</v>
      </c>
      <c r="JKC8">
        <v>3</v>
      </c>
      <c r="JKD8">
        <v>3</v>
      </c>
      <c r="JKE8">
        <v>3</v>
      </c>
      <c r="KFW8" s="1">
        <f t="shared" si="0"/>
        <v>12</v>
      </c>
      <c r="KFX8">
        <f t="shared" si="1"/>
        <v>0</v>
      </c>
      <c r="KFY8">
        <f t="shared" si="2"/>
        <v>14</v>
      </c>
      <c r="KFZ8">
        <f t="shared" si="3"/>
        <v>0</v>
      </c>
      <c r="KGA8">
        <f t="shared" si="4"/>
        <v>0</v>
      </c>
      <c r="KGB8">
        <f t="shared" si="5"/>
        <v>0</v>
      </c>
      <c r="KGC8">
        <f t="shared" si="6"/>
        <v>0</v>
      </c>
      <c r="KGD8">
        <f t="shared" si="7"/>
        <v>0</v>
      </c>
      <c r="KGE8">
        <f t="shared" si="8"/>
        <v>0</v>
      </c>
      <c r="KGF8">
        <f t="shared" si="9"/>
        <v>0</v>
      </c>
      <c r="KGG8">
        <f t="shared" si="10"/>
        <v>0</v>
      </c>
      <c r="KGH8">
        <f t="shared" si="11"/>
        <v>0</v>
      </c>
      <c r="KGI8">
        <f t="shared" si="12"/>
        <v>0</v>
      </c>
      <c r="KGJ8">
        <f t="shared" si="13"/>
        <v>0</v>
      </c>
      <c r="KGK8">
        <f t="shared" si="14"/>
        <v>0</v>
      </c>
      <c r="KGL8">
        <f t="shared" si="15"/>
        <v>0</v>
      </c>
      <c r="KGM8">
        <f t="shared" si="16"/>
        <v>0</v>
      </c>
      <c r="KGN8">
        <f t="shared" si="17"/>
        <v>0</v>
      </c>
      <c r="KGO8">
        <f t="shared" si="18"/>
        <v>0</v>
      </c>
      <c r="KGP8">
        <f t="shared" si="19"/>
        <v>0</v>
      </c>
      <c r="KGQ8">
        <f t="shared" si="20"/>
        <v>0</v>
      </c>
      <c r="KGR8">
        <f t="shared" si="21"/>
        <v>0</v>
      </c>
      <c r="KGS8">
        <f t="shared" si="22"/>
        <v>0</v>
      </c>
      <c r="KGT8">
        <f t="shared" si="23"/>
        <v>0</v>
      </c>
      <c r="KGU8">
        <f t="shared" si="24"/>
        <v>0</v>
      </c>
      <c r="KGV8">
        <f t="shared" si="25"/>
        <v>0</v>
      </c>
      <c r="KGW8">
        <f t="shared" si="26"/>
        <v>0</v>
      </c>
      <c r="KGX8">
        <f t="shared" si="27"/>
        <v>0</v>
      </c>
      <c r="KGY8">
        <f t="shared" si="28"/>
        <v>0</v>
      </c>
      <c r="KGZ8">
        <f t="shared" si="29"/>
        <v>0</v>
      </c>
      <c r="KHA8">
        <f t="shared" si="30"/>
        <v>0</v>
      </c>
      <c r="KHB8">
        <f t="shared" si="31"/>
        <v>0</v>
      </c>
      <c r="KHC8">
        <f t="shared" si="32"/>
        <v>0</v>
      </c>
      <c r="KHD8">
        <f t="shared" si="33"/>
        <v>0</v>
      </c>
      <c r="KHE8">
        <f t="shared" si="34"/>
        <v>0</v>
      </c>
      <c r="KHF8">
        <f t="shared" si="35"/>
        <v>0</v>
      </c>
      <c r="KHG8">
        <f t="shared" si="36"/>
        <v>0</v>
      </c>
      <c r="KHH8">
        <f t="shared" si="37"/>
        <v>0</v>
      </c>
      <c r="KHI8">
        <f t="shared" si="38"/>
        <v>0</v>
      </c>
      <c r="KHJ8">
        <f t="shared" si="39"/>
        <v>0</v>
      </c>
      <c r="KHK8">
        <f t="shared" si="40"/>
        <v>0</v>
      </c>
      <c r="KHL8">
        <f t="shared" si="41"/>
        <v>0</v>
      </c>
      <c r="KHM8">
        <f t="shared" si="42"/>
        <v>0</v>
      </c>
      <c r="KHN8">
        <f t="shared" si="43"/>
        <v>0</v>
      </c>
      <c r="KHO8">
        <f t="shared" si="44"/>
        <v>0</v>
      </c>
      <c r="KHP8">
        <f t="shared" si="45"/>
        <v>0</v>
      </c>
      <c r="KHQ8">
        <f t="shared" si="46"/>
        <v>0</v>
      </c>
      <c r="KHR8">
        <f t="shared" si="47"/>
        <v>0</v>
      </c>
      <c r="KHS8">
        <f t="shared" si="48"/>
        <v>0</v>
      </c>
      <c r="KHT8">
        <f t="shared" si="49"/>
        <v>0</v>
      </c>
      <c r="KHU8">
        <f t="shared" si="50"/>
        <v>0</v>
      </c>
      <c r="KHV8">
        <f t="shared" si="51"/>
        <v>0</v>
      </c>
      <c r="KHW8">
        <f t="shared" si="52"/>
        <v>0</v>
      </c>
      <c r="KHX8">
        <f t="shared" si="53"/>
        <v>0</v>
      </c>
      <c r="KHY8">
        <f t="shared" si="54"/>
        <v>0</v>
      </c>
      <c r="KHZ8">
        <f t="shared" si="55"/>
        <v>0</v>
      </c>
      <c r="KIA8">
        <f t="shared" si="56"/>
        <v>0</v>
      </c>
      <c r="KIB8">
        <f t="shared" si="57"/>
        <v>0</v>
      </c>
      <c r="KIC8">
        <f t="shared" si="58"/>
        <v>0</v>
      </c>
      <c r="KID8">
        <f t="shared" si="59"/>
        <v>0</v>
      </c>
      <c r="KIE8">
        <f t="shared" si="60"/>
        <v>0</v>
      </c>
      <c r="KIF8">
        <f t="shared" si="61"/>
        <v>0</v>
      </c>
      <c r="KIG8">
        <f t="shared" si="62"/>
        <v>0</v>
      </c>
      <c r="KIH8">
        <f t="shared" si="63"/>
        <v>0</v>
      </c>
      <c r="KII8">
        <f t="shared" si="64"/>
        <v>0</v>
      </c>
      <c r="KIJ8">
        <f t="shared" si="65"/>
        <v>0</v>
      </c>
      <c r="KIK8">
        <f t="shared" si="66"/>
        <v>0</v>
      </c>
      <c r="KIL8">
        <f t="shared" si="67"/>
        <v>0</v>
      </c>
      <c r="KIM8">
        <f t="shared" si="68"/>
        <v>0</v>
      </c>
      <c r="KIN8">
        <f t="shared" si="69"/>
        <v>0</v>
      </c>
      <c r="KIO8">
        <f t="shared" si="70"/>
        <v>0</v>
      </c>
      <c r="KIP8">
        <f t="shared" si="71"/>
        <v>0</v>
      </c>
      <c r="KIQ8">
        <f t="shared" si="72"/>
        <v>0</v>
      </c>
      <c r="KIR8">
        <f t="shared" si="73"/>
        <v>0</v>
      </c>
      <c r="KIS8">
        <f t="shared" si="74"/>
        <v>0</v>
      </c>
      <c r="KIT8">
        <f t="shared" si="75"/>
        <v>0</v>
      </c>
      <c r="KIU8">
        <f t="shared" si="76"/>
        <v>0</v>
      </c>
      <c r="KIV8">
        <f t="shared" si="77"/>
        <v>0</v>
      </c>
      <c r="KIW8">
        <f t="shared" si="78"/>
        <v>0</v>
      </c>
      <c r="KIX8">
        <f t="shared" si="79"/>
        <v>0</v>
      </c>
      <c r="KIY8">
        <f t="shared" si="80"/>
        <v>0</v>
      </c>
      <c r="KIZ8">
        <f t="shared" si="81"/>
        <v>0</v>
      </c>
      <c r="KJA8">
        <f t="shared" si="82"/>
        <v>0</v>
      </c>
      <c r="KJB8">
        <f t="shared" si="83"/>
        <v>0</v>
      </c>
      <c r="KJC8">
        <f t="shared" si="84"/>
        <v>0</v>
      </c>
      <c r="KJD8">
        <f t="shared" si="85"/>
        <v>0</v>
      </c>
      <c r="KJE8">
        <f t="shared" si="86"/>
        <v>0</v>
      </c>
      <c r="KJF8">
        <f t="shared" si="87"/>
        <v>0</v>
      </c>
      <c r="KJG8">
        <f t="shared" si="88"/>
        <v>0</v>
      </c>
      <c r="KJH8">
        <f t="shared" si="89"/>
        <v>0</v>
      </c>
      <c r="KJI8">
        <f t="shared" si="90"/>
        <v>0</v>
      </c>
      <c r="KJJ8">
        <f t="shared" si="91"/>
        <v>0</v>
      </c>
      <c r="KJK8">
        <f t="shared" si="92"/>
        <v>0</v>
      </c>
      <c r="KJL8">
        <f t="shared" si="93"/>
        <v>0</v>
      </c>
      <c r="KJM8">
        <f t="shared" si="94"/>
        <v>0</v>
      </c>
      <c r="KJN8">
        <f t="shared" si="95"/>
        <v>0</v>
      </c>
      <c r="KJO8">
        <f t="shared" si="96"/>
        <v>0</v>
      </c>
      <c r="KJP8">
        <f t="shared" si="97"/>
        <v>0</v>
      </c>
      <c r="KJQ8">
        <f t="shared" si="98"/>
        <v>0</v>
      </c>
      <c r="KJR8">
        <f t="shared" si="99"/>
        <v>0</v>
      </c>
      <c r="KJT8">
        <f>SUM($KFW8:$KJS8)</f>
        <v>26</v>
      </c>
      <c r="KJV8">
        <f>SUM($KFW8:$KJS8)</f>
        <v>26</v>
      </c>
      <c r="KJW8">
        <f>$KJT8*40/1000</f>
        <v>1.04</v>
      </c>
      <c r="KJY8">
        <f>$KJT8*40/1000</f>
        <v>1.04</v>
      </c>
    </row>
    <row r="9" spans="1:7721">
      <c r="A9" t="s">
        <v>41</v>
      </c>
      <c r="KFW9" s="1">
        <f t="shared" si="0"/>
        <v>0</v>
      </c>
      <c r="KFX9">
        <f t="shared" si="1"/>
        <v>0</v>
      </c>
      <c r="KFY9">
        <f t="shared" si="2"/>
        <v>0</v>
      </c>
      <c r="KFZ9">
        <f t="shared" si="3"/>
        <v>0</v>
      </c>
      <c r="KGA9">
        <f t="shared" si="4"/>
        <v>0</v>
      </c>
      <c r="KGB9">
        <f t="shared" si="5"/>
        <v>0</v>
      </c>
      <c r="KGC9">
        <f t="shared" si="6"/>
        <v>0</v>
      </c>
      <c r="KGD9">
        <f t="shared" si="7"/>
        <v>0</v>
      </c>
      <c r="KGE9">
        <f t="shared" si="8"/>
        <v>0</v>
      </c>
      <c r="KGF9">
        <f t="shared" si="9"/>
        <v>0</v>
      </c>
      <c r="KGG9">
        <f t="shared" si="10"/>
        <v>0</v>
      </c>
      <c r="KGH9">
        <f t="shared" si="11"/>
        <v>0</v>
      </c>
      <c r="KGI9">
        <f t="shared" si="12"/>
        <v>0</v>
      </c>
      <c r="KGJ9">
        <f t="shared" si="13"/>
        <v>0</v>
      </c>
      <c r="KGK9">
        <f t="shared" si="14"/>
        <v>0</v>
      </c>
      <c r="KGL9">
        <f t="shared" si="15"/>
        <v>0</v>
      </c>
      <c r="KGM9">
        <f t="shared" si="16"/>
        <v>0</v>
      </c>
      <c r="KGN9">
        <f t="shared" si="17"/>
        <v>0</v>
      </c>
      <c r="KGO9">
        <f t="shared" si="18"/>
        <v>0</v>
      </c>
      <c r="KGP9">
        <f t="shared" si="19"/>
        <v>0</v>
      </c>
      <c r="KGQ9">
        <f t="shared" si="20"/>
        <v>0</v>
      </c>
      <c r="KGR9">
        <f t="shared" si="21"/>
        <v>0</v>
      </c>
      <c r="KGS9">
        <f t="shared" si="22"/>
        <v>0</v>
      </c>
      <c r="KGT9">
        <f t="shared" si="23"/>
        <v>0</v>
      </c>
      <c r="KGU9">
        <f t="shared" si="24"/>
        <v>0</v>
      </c>
      <c r="KGV9">
        <f t="shared" si="25"/>
        <v>0</v>
      </c>
      <c r="KGW9">
        <f t="shared" si="26"/>
        <v>0</v>
      </c>
      <c r="KGX9">
        <f t="shared" si="27"/>
        <v>0</v>
      </c>
      <c r="KGY9">
        <f t="shared" si="28"/>
        <v>0</v>
      </c>
      <c r="KGZ9">
        <f t="shared" si="29"/>
        <v>0</v>
      </c>
      <c r="KHA9">
        <f t="shared" si="30"/>
        <v>0</v>
      </c>
      <c r="KHB9">
        <f t="shared" si="31"/>
        <v>0</v>
      </c>
      <c r="KHC9">
        <f t="shared" si="32"/>
        <v>0</v>
      </c>
      <c r="KHD9">
        <f t="shared" si="33"/>
        <v>0</v>
      </c>
      <c r="KHE9">
        <f t="shared" si="34"/>
        <v>0</v>
      </c>
      <c r="KHF9">
        <f t="shared" si="35"/>
        <v>0</v>
      </c>
      <c r="KHG9">
        <f t="shared" si="36"/>
        <v>0</v>
      </c>
      <c r="KHH9">
        <f t="shared" si="37"/>
        <v>0</v>
      </c>
      <c r="KHI9">
        <f t="shared" si="38"/>
        <v>0</v>
      </c>
      <c r="KHJ9">
        <f t="shared" si="39"/>
        <v>0</v>
      </c>
      <c r="KHK9">
        <f t="shared" si="40"/>
        <v>0</v>
      </c>
      <c r="KHL9">
        <f t="shared" si="41"/>
        <v>0</v>
      </c>
      <c r="KHM9">
        <f t="shared" si="42"/>
        <v>0</v>
      </c>
      <c r="KHN9">
        <f t="shared" si="43"/>
        <v>0</v>
      </c>
      <c r="KHO9">
        <f t="shared" si="44"/>
        <v>0</v>
      </c>
      <c r="KHP9">
        <f t="shared" si="45"/>
        <v>0</v>
      </c>
      <c r="KHQ9">
        <f t="shared" si="46"/>
        <v>0</v>
      </c>
      <c r="KHR9">
        <f t="shared" si="47"/>
        <v>0</v>
      </c>
      <c r="KHS9">
        <f t="shared" si="48"/>
        <v>0</v>
      </c>
      <c r="KHT9">
        <f t="shared" si="49"/>
        <v>0</v>
      </c>
      <c r="KHU9">
        <f t="shared" si="50"/>
        <v>0</v>
      </c>
      <c r="KHV9">
        <f t="shared" si="51"/>
        <v>0</v>
      </c>
      <c r="KHW9">
        <f t="shared" si="52"/>
        <v>0</v>
      </c>
      <c r="KHX9">
        <f t="shared" si="53"/>
        <v>0</v>
      </c>
      <c r="KHY9">
        <f t="shared" si="54"/>
        <v>0</v>
      </c>
      <c r="KHZ9">
        <f t="shared" si="55"/>
        <v>0</v>
      </c>
      <c r="KIA9">
        <f t="shared" si="56"/>
        <v>0</v>
      </c>
      <c r="KIB9">
        <f t="shared" si="57"/>
        <v>0</v>
      </c>
      <c r="KIC9">
        <f t="shared" si="58"/>
        <v>0</v>
      </c>
      <c r="KID9">
        <f t="shared" si="59"/>
        <v>0</v>
      </c>
      <c r="KIE9">
        <f t="shared" si="60"/>
        <v>0</v>
      </c>
      <c r="KIF9">
        <f t="shared" si="61"/>
        <v>0</v>
      </c>
      <c r="KIG9">
        <f t="shared" si="62"/>
        <v>0</v>
      </c>
      <c r="KIH9">
        <f t="shared" si="63"/>
        <v>0</v>
      </c>
      <c r="KII9">
        <f t="shared" si="64"/>
        <v>0</v>
      </c>
      <c r="KIJ9">
        <f t="shared" si="65"/>
        <v>0</v>
      </c>
      <c r="KIK9">
        <f t="shared" si="66"/>
        <v>0</v>
      </c>
      <c r="KIL9">
        <f t="shared" si="67"/>
        <v>0</v>
      </c>
      <c r="KIM9">
        <f t="shared" si="68"/>
        <v>0</v>
      </c>
      <c r="KIN9">
        <f t="shared" si="69"/>
        <v>0</v>
      </c>
      <c r="KIO9">
        <f t="shared" si="70"/>
        <v>0</v>
      </c>
      <c r="KIP9">
        <f t="shared" si="71"/>
        <v>0</v>
      </c>
      <c r="KIQ9">
        <f t="shared" si="72"/>
        <v>0</v>
      </c>
      <c r="KIR9">
        <f t="shared" si="73"/>
        <v>0</v>
      </c>
      <c r="KIS9">
        <f t="shared" si="74"/>
        <v>0</v>
      </c>
      <c r="KIT9">
        <f t="shared" si="75"/>
        <v>0</v>
      </c>
      <c r="KIU9">
        <f t="shared" si="76"/>
        <v>0</v>
      </c>
      <c r="KIV9">
        <f t="shared" si="77"/>
        <v>0</v>
      </c>
      <c r="KIW9">
        <f t="shared" si="78"/>
        <v>0</v>
      </c>
      <c r="KIX9">
        <f t="shared" si="79"/>
        <v>0</v>
      </c>
      <c r="KIY9">
        <f t="shared" si="80"/>
        <v>0</v>
      </c>
      <c r="KIZ9">
        <f t="shared" si="81"/>
        <v>0</v>
      </c>
      <c r="KJA9">
        <f t="shared" si="82"/>
        <v>0</v>
      </c>
      <c r="KJB9">
        <f t="shared" si="83"/>
        <v>0</v>
      </c>
      <c r="KJC9">
        <f t="shared" si="84"/>
        <v>0</v>
      </c>
      <c r="KJD9">
        <f t="shared" si="85"/>
        <v>0</v>
      </c>
      <c r="KJE9">
        <f t="shared" si="86"/>
        <v>0</v>
      </c>
      <c r="KJF9">
        <f t="shared" si="87"/>
        <v>0</v>
      </c>
      <c r="KJG9">
        <f t="shared" si="88"/>
        <v>0</v>
      </c>
      <c r="KJH9">
        <f t="shared" si="89"/>
        <v>0</v>
      </c>
      <c r="KJI9">
        <f t="shared" si="90"/>
        <v>0</v>
      </c>
      <c r="KJJ9">
        <f t="shared" si="91"/>
        <v>0</v>
      </c>
      <c r="KJK9">
        <f t="shared" si="92"/>
        <v>0</v>
      </c>
      <c r="KJL9">
        <f t="shared" si="93"/>
        <v>0</v>
      </c>
      <c r="KJM9">
        <f t="shared" si="94"/>
        <v>0</v>
      </c>
      <c r="KJN9">
        <f t="shared" si="95"/>
        <v>0</v>
      </c>
      <c r="KJO9">
        <f t="shared" si="96"/>
        <v>0</v>
      </c>
      <c r="KJP9">
        <f t="shared" si="97"/>
        <v>0</v>
      </c>
      <c r="KJQ9">
        <f t="shared" si="98"/>
        <v>0</v>
      </c>
      <c r="KJR9">
        <f t="shared" si="99"/>
        <v>0</v>
      </c>
      <c r="KJT9">
        <f>SUM($KFW9:$KJS9)</f>
        <v>0</v>
      </c>
      <c r="KJV9">
        <f>SUM($KFW9:$KJS9)</f>
        <v>0</v>
      </c>
      <c r="KJW9">
        <f>$KJT9*40/1000</f>
        <v>0</v>
      </c>
      <c r="KJY9">
        <f>$KJT9*40/1000</f>
        <v>0</v>
      </c>
    </row>
    <row r="10" spans="1:7721">
      <c r="A10" s="1" t="s">
        <v>5</v>
      </c>
      <c r="B10">
        <v>108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FI10">
        <v>2</v>
      </c>
      <c r="FJ10">
        <v>2</v>
      </c>
      <c r="FK10">
        <v>2</v>
      </c>
      <c r="GW10">
        <v>3</v>
      </c>
      <c r="GX10">
        <v>3</v>
      </c>
      <c r="GY10">
        <v>3</v>
      </c>
      <c r="GZ10">
        <v>3</v>
      </c>
      <c r="HA10">
        <v>3</v>
      </c>
      <c r="HB10">
        <v>3</v>
      </c>
      <c r="HC10">
        <v>3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JK10">
        <v>4</v>
      </c>
      <c r="JL10">
        <v>4</v>
      </c>
      <c r="JM10">
        <v>4</v>
      </c>
      <c r="JN10">
        <v>4</v>
      </c>
      <c r="JO10">
        <v>4</v>
      </c>
      <c r="JP10">
        <v>4</v>
      </c>
      <c r="JQ10">
        <v>4</v>
      </c>
      <c r="JR10">
        <v>4</v>
      </c>
      <c r="JS10">
        <v>4</v>
      </c>
      <c r="JT10">
        <v>4</v>
      </c>
      <c r="JU10">
        <v>4</v>
      </c>
      <c r="JV10">
        <v>4</v>
      </c>
      <c r="JW10">
        <v>4</v>
      </c>
      <c r="JX10">
        <v>4</v>
      </c>
      <c r="KC10">
        <v>5</v>
      </c>
      <c r="KD10">
        <v>5</v>
      </c>
      <c r="KE10">
        <v>5</v>
      </c>
      <c r="KF10">
        <v>5</v>
      </c>
      <c r="KG10">
        <v>5</v>
      </c>
      <c r="KH10">
        <v>5</v>
      </c>
      <c r="KI10">
        <v>5</v>
      </c>
      <c r="KJ10">
        <v>5</v>
      </c>
      <c r="KK10">
        <v>5</v>
      </c>
      <c r="KL10">
        <v>5</v>
      </c>
      <c r="KM10">
        <v>5</v>
      </c>
      <c r="KN10">
        <v>5</v>
      </c>
      <c r="KO10">
        <v>5</v>
      </c>
      <c r="KP10">
        <v>5</v>
      </c>
      <c r="KQ10">
        <v>5</v>
      </c>
      <c r="KR10">
        <v>5</v>
      </c>
      <c r="KS10">
        <v>5</v>
      </c>
      <c r="KT10">
        <v>5</v>
      </c>
      <c r="KU10">
        <v>5</v>
      </c>
      <c r="LJ10">
        <v>6</v>
      </c>
      <c r="LK10">
        <v>6</v>
      </c>
      <c r="LL10">
        <v>6</v>
      </c>
      <c r="LM10">
        <v>6</v>
      </c>
      <c r="LN10">
        <v>6</v>
      </c>
      <c r="LO10">
        <v>6</v>
      </c>
      <c r="LP10">
        <v>6</v>
      </c>
      <c r="LQ10">
        <v>6</v>
      </c>
      <c r="LR10">
        <v>6</v>
      </c>
      <c r="LS10">
        <v>6</v>
      </c>
      <c r="LT10">
        <v>6</v>
      </c>
      <c r="LU10">
        <v>6</v>
      </c>
      <c r="LV10">
        <v>6</v>
      </c>
      <c r="LW10">
        <v>6</v>
      </c>
      <c r="LX10">
        <v>6</v>
      </c>
      <c r="LY10">
        <v>6</v>
      </c>
      <c r="LZ10">
        <v>6</v>
      </c>
      <c r="MA10">
        <v>6</v>
      </c>
      <c r="MB10">
        <v>6</v>
      </c>
      <c r="MC10">
        <v>6</v>
      </c>
      <c r="MD10">
        <v>6</v>
      </c>
      <c r="ME10">
        <v>6</v>
      </c>
      <c r="MF10">
        <v>6</v>
      </c>
      <c r="MG10">
        <v>6</v>
      </c>
      <c r="MH10">
        <v>6</v>
      </c>
      <c r="MI10">
        <v>6</v>
      </c>
      <c r="PE10">
        <v>7</v>
      </c>
      <c r="PF10">
        <v>7</v>
      </c>
      <c r="PG10">
        <v>7</v>
      </c>
      <c r="PH10">
        <v>7</v>
      </c>
      <c r="PI10">
        <v>7</v>
      </c>
      <c r="PJ10">
        <v>7</v>
      </c>
      <c r="PK10">
        <v>7</v>
      </c>
      <c r="PL10">
        <v>7</v>
      </c>
      <c r="PM10">
        <v>7</v>
      </c>
      <c r="PN10">
        <v>7</v>
      </c>
      <c r="PO10">
        <v>7</v>
      </c>
      <c r="PP10">
        <v>7</v>
      </c>
      <c r="PQ10">
        <v>7</v>
      </c>
      <c r="PR10">
        <v>7</v>
      </c>
      <c r="PS10">
        <v>7</v>
      </c>
      <c r="PT10">
        <v>7</v>
      </c>
      <c r="PU10">
        <v>7</v>
      </c>
      <c r="PV10">
        <v>7</v>
      </c>
      <c r="PW10">
        <v>7</v>
      </c>
      <c r="PX10">
        <v>7</v>
      </c>
      <c r="PY10">
        <v>7</v>
      </c>
      <c r="PZ10">
        <v>7</v>
      </c>
      <c r="QA10">
        <v>7</v>
      </c>
      <c r="QB10">
        <v>7</v>
      </c>
      <c r="QC10">
        <v>7</v>
      </c>
      <c r="QD10">
        <v>7</v>
      </c>
      <c r="QE10">
        <v>7</v>
      </c>
      <c r="QF10">
        <v>7</v>
      </c>
      <c r="QG10">
        <v>7</v>
      </c>
      <c r="QH10">
        <v>7</v>
      </c>
      <c r="QI10">
        <v>7</v>
      </c>
      <c r="QJ10">
        <v>7</v>
      </c>
      <c r="QK10">
        <v>7</v>
      </c>
      <c r="QL10">
        <v>7</v>
      </c>
      <c r="QM10">
        <v>7</v>
      </c>
      <c r="QN10">
        <v>7</v>
      </c>
      <c r="QO10">
        <v>7</v>
      </c>
      <c r="QP10">
        <v>7</v>
      </c>
      <c r="QQ10">
        <v>7</v>
      </c>
      <c r="QR10">
        <v>7</v>
      </c>
      <c r="QS10">
        <v>7</v>
      </c>
      <c r="QT10">
        <v>7</v>
      </c>
      <c r="QU10">
        <v>7</v>
      </c>
      <c r="QV10">
        <v>7</v>
      </c>
      <c r="QW10">
        <v>7</v>
      </c>
      <c r="QX10">
        <v>7</v>
      </c>
      <c r="QY10">
        <v>7</v>
      </c>
      <c r="QZ10">
        <v>7</v>
      </c>
      <c r="RA10">
        <v>7</v>
      </c>
      <c r="RB10">
        <v>7</v>
      </c>
      <c r="RC10">
        <v>7</v>
      </c>
      <c r="RD10">
        <v>7</v>
      </c>
      <c r="RE10">
        <v>7</v>
      </c>
      <c r="RF10">
        <v>7</v>
      </c>
      <c r="RG10">
        <v>7</v>
      </c>
      <c r="RH10">
        <v>7</v>
      </c>
      <c r="RI10">
        <v>7</v>
      </c>
      <c r="RJ10">
        <v>7</v>
      </c>
      <c r="RK10">
        <v>7</v>
      </c>
      <c r="RL10">
        <v>7</v>
      </c>
      <c r="RM10">
        <v>7</v>
      </c>
      <c r="RN10">
        <v>7</v>
      </c>
      <c r="RO10">
        <v>7</v>
      </c>
      <c r="RP10">
        <v>7</v>
      </c>
      <c r="RQ10">
        <v>7</v>
      </c>
      <c r="RR10">
        <v>7</v>
      </c>
      <c r="RS10">
        <v>7</v>
      </c>
      <c r="RT10">
        <v>7</v>
      </c>
      <c r="RU10">
        <v>7</v>
      </c>
      <c r="RV10">
        <v>7</v>
      </c>
      <c r="RW10">
        <v>7</v>
      </c>
      <c r="RX10">
        <v>7</v>
      </c>
      <c r="RY10">
        <v>7</v>
      </c>
      <c r="RZ10">
        <v>7</v>
      </c>
      <c r="SA10">
        <v>7</v>
      </c>
      <c r="SB10">
        <v>7</v>
      </c>
      <c r="SC10">
        <v>7</v>
      </c>
      <c r="SD10">
        <v>7</v>
      </c>
      <c r="SE10">
        <v>7</v>
      </c>
      <c r="SF10">
        <v>7</v>
      </c>
      <c r="SG10">
        <v>7</v>
      </c>
      <c r="SH10">
        <v>7</v>
      </c>
      <c r="SI10">
        <v>7</v>
      </c>
      <c r="SJ10">
        <v>7</v>
      </c>
      <c r="SK10">
        <v>7</v>
      </c>
      <c r="VN10">
        <v>8</v>
      </c>
      <c r="VO10">
        <v>8</v>
      </c>
      <c r="VP10">
        <v>8</v>
      </c>
      <c r="VQ10">
        <v>8</v>
      </c>
      <c r="VR10">
        <v>8</v>
      </c>
      <c r="VS10">
        <v>8</v>
      </c>
      <c r="VT10">
        <v>8</v>
      </c>
      <c r="AAS10">
        <v>9</v>
      </c>
      <c r="AAT10">
        <v>9</v>
      </c>
      <c r="AAU10">
        <v>9</v>
      </c>
      <c r="AAV10">
        <v>9</v>
      </c>
      <c r="AAW10">
        <v>9</v>
      </c>
      <c r="AAX10">
        <v>9</v>
      </c>
      <c r="AAY10">
        <v>9</v>
      </c>
      <c r="AAZ10">
        <v>9</v>
      </c>
      <c r="ABA10">
        <v>9</v>
      </c>
      <c r="ABB10">
        <v>9</v>
      </c>
      <c r="ABC10">
        <v>9</v>
      </c>
      <c r="ABD10">
        <v>9</v>
      </c>
      <c r="ABE10">
        <v>9</v>
      </c>
      <c r="ABF10">
        <v>9</v>
      </c>
      <c r="ABG10">
        <v>9</v>
      </c>
      <c r="ABH10">
        <v>9</v>
      </c>
      <c r="ABI10">
        <v>9</v>
      </c>
      <c r="ABJ10">
        <v>9</v>
      </c>
      <c r="ABK10">
        <v>9</v>
      </c>
      <c r="ABL10">
        <v>9</v>
      </c>
      <c r="ABM10">
        <v>9</v>
      </c>
      <c r="ABN10">
        <v>9</v>
      </c>
      <c r="ABO10">
        <v>9</v>
      </c>
      <c r="ABP10">
        <v>9</v>
      </c>
      <c r="ABQ10">
        <v>9</v>
      </c>
      <c r="ABR10">
        <v>9</v>
      </c>
      <c r="ABS10">
        <v>9</v>
      </c>
      <c r="ABT10">
        <v>9</v>
      </c>
      <c r="ABU10">
        <v>9</v>
      </c>
      <c r="ABV10">
        <v>9</v>
      </c>
      <c r="ABW10">
        <v>9</v>
      </c>
      <c r="ACR10">
        <v>10</v>
      </c>
      <c r="ACS10">
        <v>10</v>
      </c>
      <c r="ACT10">
        <v>10</v>
      </c>
      <c r="ACU10">
        <v>10</v>
      </c>
      <c r="ACV10">
        <v>10</v>
      </c>
      <c r="ACW10">
        <v>10</v>
      </c>
      <c r="ACX10">
        <v>10</v>
      </c>
      <c r="ACY10">
        <v>10</v>
      </c>
      <c r="ACZ10">
        <v>10</v>
      </c>
      <c r="ADA10">
        <v>10</v>
      </c>
      <c r="ADB10">
        <v>10</v>
      </c>
      <c r="ADC10">
        <v>10</v>
      </c>
      <c r="ADD10">
        <v>10</v>
      </c>
      <c r="ADE10">
        <v>10</v>
      </c>
      <c r="ADF10">
        <v>10</v>
      </c>
      <c r="ADG10">
        <v>10</v>
      </c>
      <c r="ADH10">
        <v>10</v>
      </c>
      <c r="ADI10">
        <v>10</v>
      </c>
      <c r="ADJ10">
        <v>10</v>
      </c>
      <c r="ADK10">
        <v>10</v>
      </c>
      <c r="ADL10">
        <v>10</v>
      </c>
      <c r="ADM10">
        <v>10</v>
      </c>
      <c r="AEA10">
        <v>11</v>
      </c>
      <c r="AEB10">
        <v>11</v>
      </c>
      <c r="AEC10">
        <v>11</v>
      </c>
      <c r="AEJ10">
        <v>12</v>
      </c>
      <c r="AEK10">
        <v>12</v>
      </c>
      <c r="AEL10">
        <v>12</v>
      </c>
      <c r="AEM10">
        <v>12</v>
      </c>
      <c r="AEN10">
        <v>12</v>
      </c>
      <c r="AEO10">
        <v>12</v>
      </c>
      <c r="AEP10">
        <v>12</v>
      </c>
      <c r="AEQ10">
        <v>12</v>
      </c>
      <c r="AER10">
        <v>12</v>
      </c>
      <c r="AES10">
        <v>12</v>
      </c>
      <c r="AET10">
        <v>12</v>
      </c>
      <c r="AEU10">
        <v>12</v>
      </c>
      <c r="AEV10">
        <v>12</v>
      </c>
      <c r="AEW10">
        <v>12</v>
      </c>
      <c r="AEX10">
        <v>12</v>
      </c>
      <c r="AEY10">
        <v>12</v>
      </c>
      <c r="AEZ10">
        <v>12</v>
      </c>
      <c r="AFA10">
        <v>12</v>
      </c>
      <c r="AFB10">
        <v>12</v>
      </c>
      <c r="AFC10">
        <v>12</v>
      </c>
      <c r="AFD10">
        <v>12</v>
      </c>
      <c r="AFE10">
        <v>12</v>
      </c>
      <c r="AFF10">
        <v>12</v>
      </c>
      <c r="AFG10">
        <v>12</v>
      </c>
      <c r="AFH10">
        <v>12</v>
      </c>
      <c r="AFI10">
        <v>12</v>
      </c>
      <c r="AFJ10">
        <v>12</v>
      </c>
      <c r="AFK10">
        <v>12</v>
      </c>
      <c r="AFL10">
        <v>12</v>
      </c>
      <c r="AFM10">
        <v>12</v>
      </c>
      <c r="AFN10">
        <v>12</v>
      </c>
      <c r="AFO10">
        <v>12</v>
      </c>
      <c r="AFP10">
        <v>12</v>
      </c>
      <c r="AFQ10">
        <v>12</v>
      </c>
      <c r="AFR10">
        <v>12</v>
      </c>
      <c r="AFS10">
        <v>12</v>
      </c>
      <c r="AFT10">
        <v>12</v>
      </c>
      <c r="AFU10">
        <v>12</v>
      </c>
      <c r="AFV10">
        <v>12</v>
      </c>
      <c r="AFW10">
        <v>12</v>
      </c>
      <c r="AFX10">
        <v>12</v>
      </c>
      <c r="AFY10">
        <v>12</v>
      </c>
      <c r="AFZ10">
        <v>12</v>
      </c>
      <c r="AGA10">
        <v>12</v>
      </c>
      <c r="AGB10">
        <v>12</v>
      </c>
      <c r="AGC10">
        <v>12</v>
      </c>
      <c r="AGD10">
        <v>12</v>
      </c>
      <c r="AGE10">
        <v>12</v>
      </c>
      <c r="AGF10">
        <v>12</v>
      </c>
      <c r="AGG10">
        <v>12</v>
      </c>
      <c r="AGH10">
        <v>12</v>
      </c>
      <c r="AGI10">
        <v>12</v>
      </c>
      <c r="AGJ10">
        <v>12</v>
      </c>
      <c r="AGK10">
        <v>12</v>
      </c>
      <c r="AGL10">
        <v>12</v>
      </c>
      <c r="AGM10">
        <v>12</v>
      </c>
      <c r="AGN10">
        <v>12</v>
      </c>
      <c r="AGO10">
        <v>12</v>
      </c>
      <c r="AGP10">
        <v>12</v>
      </c>
      <c r="AGQ10">
        <v>12</v>
      </c>
      <c r="AGR10">
        <v>12</v>
      </c>
      <c r="AGS10">
        <v>12</v>
      </c>
      <c r="AGT10">
        <v>12</v>
      </c>
      <c r="AGU10">
        <v>12</v>
      </c>
      <c r="AGV10">
        <v>12</v>
      </c>
      <c r="AGW10">
        <v>12</v>
      </c>
      <c r="AGX10">
        <v>12</v>
      </c>
      <c r="AGY10">
        <v>12</v>
      </c>
      <c r="AGZ10">
        <v>12</v>
      </c>
      <c r="AHA10">
        <v>12</v>
      </c>
      <c r="AHB10">
        <v>12</v>
      </c>
      <c r="AHC10">
        <v>12</v>
      </c>
      <c r="AHD10">
        <v>12</v>
      </c>
      <c r="AHE10">
        <v>12</v>
      </c>
      <c r="AHF10">
        <v>12</v>
      </c>
      <c r="AHG10">
        <v>12</v>
      </c>
      <c r="AHH10">
        <v>12</v>
      </c>
      <c r="AHI10">
        <v>12</v>
      </c>
      <c r="AHJ10">
        <v>12</v>
      </c>
      <c r="AJE10">
        <v>13</v>
      </c>
      <c r="AJF10">
        <v>13</v>
      </c>
      <c r="AJG10">
        <v>13</v>
      </c>
      <c r="AJH10">
        <v>13</v>
      </c>
      <c r="AJI10">
        <v>13</v>
      </c>
      <c r="AJJ10">
        <v>13</v>
      </c>
      <c r="AJK10">
        <v>13</v>
      </c>
      <c r="AJL10">
        <v>13</v>
      </c>
      <c r="AJM10">
        <v>13</v>
      </c>
      <c r="AJN10">
        <v>13</v>
      </c>
      <c r="AJO10">
        <v>13</v>
      </c>
      <c r="AJP10">
        <v>13</v>
      </c>
      <c r="AJQ10">
        <v>13</v>
      </c>
      <c r="AJR10">
        <v>13</v>
      </c>
      <c r="AJS10">
        <v>13</v>
      </c>
      <c r="AJT10">
        <v>13</v>
      </c>
      <c r="AJU10">
        <v>13</v>
      </c>
      <c r="AJV10">
        <v>13</v>
      </c>
      <c r="AJW10">
        <v>13</v>
      </c>
      <c r="AJX10">
        <v>13</v>
      </c>
      <c r="AJY10">
        <v>13</v>
      </c>
      <c r="AJZ10">
        <v>13</v>
      </c>
      <c r="AKA10">
        <v>13</v>
      </c>
      <c r="AKB10">
        <v>13</v>
      </c>
      <c r="AKC10">
        <v>13</v>
      </c>
      <c r="AKD10">
        <v>13</v>
      </c>
      <c r="AKE10">
        <v>13</v>
      </c>
      <c r="AMN10">
        <v>14</v>
      </c>
      <c r="AMO10">
        <v>14</v>
      </c>
      <c r="AMP10">
        <v>14</v>
      </c>
      <c r="AMQ10">
        <v>14</v>
      </c>
      <c r="AMR10">
        <v>14</v>
      </c>
      <c r="AMS10">
        <v>14</v>
      </c>
      <c r="AMT10">
        <v>14</v>
      </c>
      <c r="AMU10">
        <v>14</v>
      </c>
      <c r="AMV10">
        <v>14</v>
      </c>
      <c r="AMW10">
        <v>14</v>
      </c>
      <c r="AMX10">
        <v>14</v>
      </c>
      <c r="AMY10">
        <v>14</v>
      </c>
      <c r="AMZ10">
        <v>14</v>
      </c>
      <c r="ANA10">
        <v>14</v>
      </c>
      <c r="ANB10">
        <v>14</v>
      </c>
      <c r="ANC10">
        <v>14</v>
      </c>
      <c r="AND10">
        <v>14</v>
      </c>
      <c r="ANE10">
        <v>14</v>
      </c>
      <c r="ANF10">
        <v>14</v>
      </c>
      <c r="ANG10">
        <v>14</v>
      </c>
      <c r="AOG10">
        <v>15</v>
      </c>
      <c r="AOH10">
        <v>15</v>
      </c>
      <c r="AOI10">
        <v>15</v>
      </c>
      <c r="AOJ10">
        <v>15</v>
      </c>
      <c r="AOK10">
        <v>15</v>
      </c>
      <c r="AOL10">
        <v>15</v>
      </c>
      <c r="AOM10">
        <v>15</v>
      </c>
      <c r="AON10">
        <v>15</v>
      </c>
      <c r="AOO10">
        <v>15</v>
      </c>
      <c r="AOP10">
        <v>15</v>
      </c>
      <c r="AOQ10">
        <v>15</v>
      </c>
      <c r="AOR10">
        <v>15</v>
      </c>
      <c r="AOS10">
        <v>15</v>
      </c>
      <c r="AOT10">
        <v>15</v>
      </c>
      <c r="AOU10">
        <v>15</v>
      </c>
      <c r="AOV10">
        <v>15</v>
      </c>
      <c r="AOW10">
        <v>15</v>
      </c>
      <c r="AOX10">
        <v>15</v>
      </c>
      <c r="AOY10">
        <v>15</v>
      </c>
      <c r="AOZ10">
        <v>15</v>
      </c>
      <c r="APA10">
        <v>15</v>
      </c>
      <c r="APB10">
        <v>15</v>
      </c>
      <c r="APC10">
        <v>15</v>
      </c>
      <c r="APD10">
        <v>15</v>
      </c>
      <c r="APE10">
        <v>15</v>
      </c>
      <c r="APF10">
        <v>15</v>
      </c>
      <c r="APG10">
        <v>15</v>
      </c>
      <c r="APH10">
        <v>15</v>
      </c>
      <c r="API10">
        <v>15</v>
      </c>
      <c r="APJ10">
        <v>15</v>
      </c>
      <c r="APK10">
        <v>15</v>
      </c>
      <c r="APL10">
        <v>15</v>
      </c>
      <c r="APM10">
        <v>15</v>
      </c>
      <c r="APN10">
        <v>15</v>
      </c>
      <c r="APO10">
        <v>15</v>
      </c>
      <c r="APP10">
        <v>15</v>
      </c>
      <c r="APQ10">
        <v>15</v>
      </c>
      <c r="APR10">
        <v>15</v>
      </c>
      <c r="APS10">
        <v>15</v>
      </c>
      <c r="APT10">
        <v>15</v>
      </c>
      <c r="APU10">
        <v>15</v>
      </c>
      <c r="APV10">
        <v>15</v>
      </c>
      <c r="APW10">
        <v>15</v>
      </c>
      <c r="APX10">
        <v>15</v>
      </c>
      <c r="APY10">
        <v>15</v>
      </c>
      <c r="APZ10">
        <v>15</v>
      </c>
      <c r="AQA10">
        <v>15</v>
      </c>
      <c r="AQB10">
        <v>15</v>
      </c>
      <c r="AQC10">
        <v>15</v>
      </c>
      <c r="AQD10">
        <v>15</v>
      </c>
      <c r="AQE10">
        <v>15</v>
      </c>
      <c r="AQL10">
        <v>16</v>
      </c>
      <c r="AQM10">
        <v>16</v>
      </c>
      <c r="AQN10">
        <v>16</v>
      </c>
      <c r="AQO10">
        <v>16</v>
      </c>
      <c r="AQP10">
        <v>16</v>
      </c>
      <c r="AQQ10">
        <v>16</v>
      </c>
      <c r="AQR10">
        <v>16</v>
      </c>
      <c r="AQS10">
        <v>16</v>
      </c>
      <c r="AQT10">
        <v>16</v>
      </c>
      <c r="AQU10">
        <v>16</v>
      </c>
      <c r="AQV10">
        <v>16</v>
      </c>
      <c r="AQW10">
        <v>16</v>
      </c>
      <c r="AQX10">
        <v>16</v>
      </c>
      <c r="AQY10">
        <v>16</v>
      </c>
      <c r="AQZ10">
        <v>16</v>
      </c>
      <c r="ARA10">
        <v>16</v>
      </c>
      <c r="ARI10">
        <v>17</v>
      </c>
      <c r="ARJ10">
        <v>17</v>
      </c>
      <c r="ARK10">
        <v>17</v>
      </c>
      <c r="ARL10">
        <v>17</v>
      </c>
      <c r="ARM10">
        <v>17</v>
      </c>
      <c r="ARN10">
        <v>17</v>
      </c>
      <c r="ARO10">
        <v>17</v>
      </c>
      <c r="ARP10">
        <v>17</v>
      </c>
      <c r="ARQ10">
        <v>17</v>
      </c>
      <c r="ARR10">
        <v>17</v>
      </c>
      <c r="ARS10">
        <v>17</v>
      </c>
      <c r="ART10">
        <v>17</v>
      </c>
      <c r="ARU10">
        <v>17</v>
      </c>
      <c r="ARV10">
        <v>17</v>
      </c>
      <c r="ARW10">
        <v>17</v>
      </c>
      <c r="ARX10">
        <v>17</v>
      </c>
      <c r="ARY10">
        <v>17</v>
      </c>
      <c r="ARZ10">
        <v>17</v>
      </c>
      <c r="ASA10">
        <v>17</v>
      </c>
      <c r="ASB10">
        <v>17</v>
      </c>
      <c r="ASC10">
        <v>17</v>
      </c>
      <c r="ASD10">
        <v>17</v>
      </c>
      <c r="ASE10">
        <v>17</v>
      </c>
      <c r="ASF10">
        <v>17</v>
      </c>
      <c r="ASG10">
        <v>17</v>
      </c>
      <c r="ASH10">
        <v>17</v>
      </c>
      <c r="ASI10">
        <v>17</v>
      </c>
      <c r="ASJ10">
        <v>17</v>
      </c>
      <c r="ASK10">
        <v>17</v>
      </c>
      <c r="ASL10">
        <v>17</v>
      </c>
      <c r="ASM10">
        <v>17</v>
      </c>
      <c r="ASN10">
        <v>17</v>
      </c>
      <c r="ASO10">
        <v>17</v>
      </c>
      <c r="ASP10">
        <v>17</v>
      </c>
      <c r="ASQ10">
        <v>17</v>
      </c>
      <c r="ASR10">
        <v>17</v>
      </c>
      <c r="ASS10">
        <v>17</v>
      </c>
      <c r="AUA10">
        <v>18</v>
      </c>
      <c r="AUB10">
        <v>18</v>
      </c>
      <c r="AUC10">
        <v>18</v>
      </c>
      <c r="AUD10">
        <v>18</v>
      </c>
      <c r="AUE10">
        <v>18</v>
      </c>
      <c r="AUF10">
        <v>18</v>
      </c>
      <c r="AUG10">
        <v>18</v>
      </c>
      <c r="AUH10">
        <v>18</v>
      </c>
      <c r="AUI10">
        <v>18</v>
      </c>
      <c r="AUJ10">
        <v>18</v>
      </c>
      <c r="AUK10">
        <v>18</v>
      </c>
      <c r="AUL10">
        <v>18</v>
      </c>
      <c r="AVO10">
        <v>19</v>
      </c>
      <c r="AVP10">
        <v>19</v>
      </c>
      <c r="AVQ10">
        <v>19</v>
      </c>
      <c r="AVR10">
        <v>19</v>
      </c>
      <c r="AVS10">
        <v>19</v>
      </c>
      <c r="AVT10">
        <v>19</v>
      </c>
      <c r="AVU10">
        <v>19</v>
      </c>
      <c r="AVV10">
        <v>19</v>
      </c>
      <c r="AVW10">
        <v>19</v>
      </c>
      <c r="AVX10">
        <v>19</v>
      </c>
      <c r="AVY10">
        <v>19</v>
      </c>
      <c r="AVZ10">
        <v>19</v>
      </c>
      <c r="AWA10">
        <v>19</v>
      </c>
      <c r="AWB10">
        <v>19</v>
      </c>
      <c r="AWC10">
        <v>19</v>
      </c>
      <c r="AWD10">
        <v>19</v>
      </c>
      <c r="AWE10">
        <v>19</v>
      </c>
      <c r="AWF10">
        <v>19</v>
      </c>
      <c r="AWG10">
        <v>19</v>
      </c>
      <c r="AWH10">
        <v>19</v>
      </c>
      <c r="AWI10">
        <v>19</v>
      </c>
      <c r="AWJ10">
        <v>19</v>
      </c>
      <c r="AWK10">
        <v>19</v>
      </c>
      <c r="AWL10">
        <v>19</v>
      </c>
      <c r="AWM10">
        <v>19</v>
      </c>
      <c r="AWN10">
        <v>19</v>
      </c>
      <c r="AWO10">
        <v>19</v>
      </c>
      <c r="AWP10">
        <v>19</v>
      </c>
      <c r="AWQ10">
        <v>19</v>
      </c>
      <c r="AWR10">
        <v>19</v>
      </c>
      <c r="AWS10">
        <v>19</v>
      </c>
      <c r="AWT10">
        <v>19</v>
      </c>
      <c r="AWU10">
        <v>19</v>
      </c>
      <c r="AWV10">
        <v>19</v>
      </c>
      <c r="AWW10">
        <v>19</v>
      </c>
      <c r="AWX10">
        <v>19</v>
      </c>
      <c r="AWY10">
        <v>19</v>
      </c>
      <c r="AWZ10">
        <v>19</v>
      </c>
      <c r="AXA10">
        <v>19</v>
      </c>
      <c r="AXB10">
        <v>19</v>
      </c>
      <c r="AXC10">
        <v>19</v>
      </c>
      <c r="AXD10">
        <v>19</v>
      </c>
      <c r="AXE10">
        <v>19</v>
      </c>
      <c r="AXF10">
        <v>19</v>
      </c>
      <c r="AXG10">
        <v>19</v>
      </c>
      <c r="AXH10">
        <v>19</v>
      </c>
      <c r="AXI10">
        <v>19</v>
      </c>
      <c r="AXJ10">
        <v>19</v>
      </c>
      <c r="AXK10">
        <v>19</v>
      </c>
      <c r="AXL10">
        <v>19</v>
      </c>
      <c r="AXM10">
        <v>19</v>
      </c>
      <c r="AXN10">
        <v>19</v>
      </c>
      <c r="AXO10">
        <v>19</v>
      </c>
      <c r="AXP10">
        <v>19</v>
      </c>
      <c r="AXQ10">
        <v>19</v>
      </c>
      <c r="AXR10">
        <v>19</v>
      </c>
      <c r="AXS10">
        <v>19</v>
      </c>
      <c r="AXT10">
        <v>19</v>
      </c>
      <c r="AXY10">
        <v>20</v>
      </c>
      <c r="AXZ10">
        <v>20</v>
      </c>
      <c r="AYA10">
        <v>20</v>
      </c>
      <c r="AYB10">
        <v>20</v>
      </c>
      <c r="AYC10">
        <v>20</v>
      </c>
      <c r="AYD10">
        <v>20</v>
      </c>
      <c r="AZH10">
        <v>21</v>
      </c>
      <c r="AZI10">
        <v>21</v>
      </c>
      <c r="AZJ10">
        <v>21</v>
      </c>
      <c r="AZK10">
        <v>21</v>
      </c>
      <c r="AZL10">
        <v>21</v>
      </c>
      <c r="AZM10">
        <v>21</v>
      </c>
      <c r="AZN10">
        <v>21</v>
      </c>
      <c r="AZO10">
        <v>21</v>
      </c>
      <c r="AZP10">
        <v>21</v>
      </c>
      <c r="AZQ10">
        <v>21</v>
      </c>
      <c r="AZR10">
        <v>21</v>
      </c>
      <c r="AZS10">
        <v>21</v>
      </c>
      <c r="AZT10">
        <v>21</v>
      </c>
      <c r="AZU10">
        <v>21</v>
      </c>
      <c r="AZV10">
        <v>21</v>
      </c>
      <c r="AZW10">
        <v>21</v>
      </c>
      <c r="AZX10">
        <v>21</v>
      </c>
      <c r="AZY10">
        <v>21</v>
      </c>
      <c r="AZZ10">
        <v>21</v>
      </c>
      <c r="BAA10">
        <v>21</v>
      </c>
      <c r="BAB10">
        <v>21</v>
      </c>
      <c r="BAC10">
        <v>21</v>
      </c>
      <c r="BAD10">
        <v>21</v>
      </c>
      <c r="BAE10">
        <v>21</v>
      </c>
      <c r="BAF10">
        <v>21</v>
      </c>
      <c r="BAG10">
        <v>21</v>
      </c>
      <c r="BAH10">
        <v>21</v>
      </c>
      <c r="BAI10">
        <v>21</v>
      </c>
      <c r="BAJ10">
        <v>21</v>
      </c>
      <c r="BAK10">
        <v>21</v>
      </c>
      <c r="BAL10">
        <v>21</v>
      </c>
      <c r="BAM10">
        <v>21</v>
      </c>
      <c r="BAN10">
        <v>21</v>
      </c>
      <c r="BAO10">
        <v>21</v>
      </c>
      <c r="BAP10">
        <v>21</v>
      </c>
      <c r="BAQ10">
        <v>21</v>
      </c>
      <c r="BAR10">
        <v>21</v>
      </c>
      <c r="BAS10">
        <v>21</v>
      </c>
      <c r="BAT10">
        <v>21</v>
      </c>
      <c r="BAU10">
        <v>21</v>
      </c>
      <c r="BAV10">
        <v>21</v>
      </c>
      <c r="BAW10">
        <v>21</v>
      </c>
      <c r="BAX10">
        <v>21</v>
      </c>
      <c r="BAY10">
        <v>21</v>
      </c>
      <c r="BAZ10">
        <v>21</v>
      </c>
      <c r="BBA10">
        <v>21</v>
      </c>
      <c r="BBB10">
        <v>21</v>
      </c>
      <c r="BBC10">
        <v>21</v>
      </c>
      <c r="BBD10">
        <v>21</v>
      </c>
      <c r="BBE10">
        <v>21</v>
      </c>
      <c r="BBF10">
        <v>21</v>
      </c>
      <c r="BBG10">
        <v>21</v>
      </c>
      <c r="BBH10">
        <v>21</v>
      </c>
      <c r="BBI10">
        <v>21</v>
      </c>
      <c r="BBJ10">
        <v>21</v>
      </c>
      <c r="BBK10">
        <v>21</v>
      </c>
      <c r="BBL10">
        <v>21</v>
      </c>
      <c r="BBM10">
        <v>21</v>
      </c>
      <c r="BBS10">
        <v>22</v>
      </c>
      <c r="BBT10">
        <v>22</v>
      </c>
      <c r="BBU10">
        <v>22</v>
      </c>
      <c r="BBV10">
        <v>22</v>
      </c>
      <c r="BBW10">
        <v>22</v>
      </c>
      <c r="BEB10">
        <v>23</v>
      </c>
      <c r="BEC10">
        <v>23</v>
      </c>
      <c r="BED10">
        <v>23</v>
      </c>
      <c r="BEE10">
        <v>23</v>
      </c>
      <c r="BEF10">
        <v>23</v>
      </c>
      <c r="BEG10">
        <v>23</v>
      </c>
      <c r="BEH10">
        <v>23</v>
      </c>
      <c r="BEI10">
        <v>23</v>
      </c>
      <c r="BEJ10">
        <v>23</v>
      </c>
      <c r="BEK10">
        <v>23</v>
      </c>
      <c r="BEL10">
        <v>23</v>
      </c>
      <c r="BEM10">
        <v>23</v>
      </c>
      <c r="BGI10">
        <v>24</v>
      </c>
      <c r="BGJ10">
        <v>24</v>
      </c>
      <c r="BGK10">
        <v>24</v>
      </c>
      <c r="BGL10">
        <v>24</v>
      </c>
      <c r="BGM10">
        <v>24</v>
      </c>
      <c r="BGN10">
        <v>24</v>
      </c>
      <c r="BGO10">
        <v>24</v>
      </c>
      <c r="BGP10">
        <v>24</v>
      </c>
      <c r="BGQ10">
        <v>24</v>
      </c>
      <c r="BGR10">
        <v>24</v>
      </c>
      <c r="BGS10">
        <v>24</v>
      </c>
      <c r="BGT10">
        <v>24</v>
      </c>
      <c r="BGU10">
        <v>24</v>
      </c>
      <c r="BGV10">
        <v>24</v>
      </c>
      <c r="BGW10">
        <v>24</v>
      </c>
      <c r="BGX10">
        <v>24</v>
      </c>
      <c r="BGY10">
        <v>24</v>
      </c>
      <c r="BGZ10">
        <v>24</v>
      </c>
      <c r="BHA10">
        <v>24</v>
      </c>
      <c r="BHB10">
        <v>24</v>
      </c>
      <c r="BHC10">
        <v>24</v>
      </c>
      <c r="BHD10">
        <v>24</v>
      </c>
      <c r="BHE10">
        <v>24</v>
      </c>
      <c r="BHF10">
        <v>24</v>
      </c>
      <c r="BHG10">
        <v>24</v>
      </c>
      <c r="BHH10">
        <v>24</v>
      </c>
      <c r="BHI10">
        <v>24</v>
      </c>
      <c r="BHJ10">
        <v>24</v>
      </c>
      <c r="BHK10">
        <v>24</v>
      </c>
      <c r="BHL10">
        <v>24</v>
      </c>
      <c r="BHM10">
        <v>24</v>
      </c>
      <c r="BHN10">
        <v>24</v>
      </c>
      <c r="BHO10">
        <v>24</v>
      </c>
      <c r="BHP10">
        <v>24</v>
      </c>
      <c r="BHQ10">
        <v>24</v>
      </c>
      <c r="BHR10">
        <v>24</v>
      </c>
      <c r="BHS10">
        <v>24</v>
      </c>
      <c r="BHT10">
        <v>24</v>
      </c>
      <c r="BHU10">
        <v>24</v>
      </c>
      <c r="BHV10">
        <v>24</v>
      </c>
      <c r="BHW10">
        <v>24</v>
      </c>
      <c r="BHX10">
        <v>24</v>
      </c>
      <c r="BHY10">
        <v>24</v>
      </c>
      <c r="BHZ10">
        <v>24</v>
      </c>
      <c r="BIA10">
        <v>24</v>
      </c>
      <c r="BIB10">
        <v>24</v>
      </c>
      <c r="BIC10">
        <v>24</v>
      </c>
      <c r="BID10">
        <v>24</v>
      </c>
      <c r="BIE10">
        <v>24</v>
      </c>
      <c r="BIF10">
        <v>24</v>
      </c>
      <c r="BIG10">
        <v>24</v>
      </c>
      <c r="BIH10">
        <v>24</v>
      </c>
      <c r="BII10">
        <v>24</v>
      </c>
      <c r="BVW10">
        <v>25</v>
      </c>
      <c r="BVX10">
        <v>25</v>
      </c>
      <c r="BVY10">
        <v>25</v>
      </c>
      <c r="BVZ10">
        <v>25</v>
      </c>
      <c r="BWA10">
        <v>25</v>
      </c>
      <c r="BWB10">
        <v>25</v>
      </c>
      <c r="BWC10">
        <v>25</v>
      </c>
      <c r="BWD10">
        <v>25</v>
      </c>
      <c r="BWE10">
        <v>25</v>
      </c>
      <c r="BWF10">
        <v>25</v>
      </c>
      <c r="BWG10">
        <v>25</v>
      </c>
      <c r="BWH10">
        <v>25</v>
      </c>
      <c r="BWI10">
        <v>25</v>
      </c>
      <c r="BWJ10">
        <v>25</v>
      </c>
      <c r="BWK10">
        <v>25</v>
      </c>
      <c r="BWL10">
        <v>25</v>
      </c>
      <c r="BWM10">
        <v>25</v>
      </c>
      <c r="BWN10">
        <v>25</v>
      </c>
      <c r="BWO10">
        <v>25</v>
      </c>
      <c r="BWP10">
        <v>25</v>
      </c>
      <c r="BWQ10">
        <v>25</v>
      </c>
      <c r="BWR10">
        <v>25</v>
      </c>
      <c r="BWS10">
        <v>25</v>
      </c>
      <c r="BWT10">
        <v>25</v>
      </c>
      <c r="BWU10">
        <v>25</v>
      </c>
      <c r="BWV10">
        <v>25</v>
      </c>
      <c r="BWW10">
        <v>25</v>
      </c>
      <c r="BWX10">
        <v>25</v>
      </c>
      <c r="BWY10">
        <v>25</v>
      </c>
      <c r="BWZ10">
        <v>25</v>
      </c>
      <c r="CAC10">
        <v>26</v>
      </c>
      <c r="CAD10">
        <v>26</v>
      </c>
      <c r="CAE10">
        <v>26</v>
      </c>
      <c r="CAF10">
        <v>26</v>
      </c>
      <c r="CAG10">
        <v>26</v>
      </c>
      <c r="CAH10">
        <v>26</v>
      </c>
      <c r="CAI10">
        <v>26</v>
      </c>
      <c r="CAJ10">
        <v>26</v>
      </c>
      <c r="CAK10">
        <v>26</v>
      </c>
      <c r="CAL10">
        <v>26</v>
      </c>
      <c r="CAM10">
        <v>26</v>
      </c>
      <c r="CAN10">
        <v>26</v>
      </c>
      <c r="CAO10">
        <v>26</v>
      </c>
      <c r="CAP10">
        <v>26</v>
      </c>
      <c r="CAQ10">
        <v>26</v>
      </c>
      <c r="CAR10">
        <v>26</v>
      </c>
      <c r="CAS10">
        <v>26</v>
      </c>
      <c r="CAT10">
        <v>26</v>
      </c>
      <c r="CAU10">
        <v>26</v>
      </c>
      <c r="CBZ10">
        <v>27</v>
      </c>
      <c r="CCA10">
        <v>27</v>
      </c>
      <c r="CCB10">
        <v>27</v>
      </c>
      <c r="CCC10">
        <v>27</v>
      </c>
      <c r="CCD10">
        <v>27</v>
      </c>
      <c r="CCE10">
        <v>27</v>
      </c>
      <c r="CCF10">
        <v>27</v>
      </c>
      <c r="CCG10">
        <v>27</v>
      </c>
      <c r="CCH10">
        <v>27</v>
      </c>
      <c r="CCI10">
        <v>27</v>
      </c>
      <c r="CCJ10">
        <v>27</v>
      </c>
      <c r="CCR10">
        <v>28</v>
      </c>
      <c r="CCS10">
        <v>28</v>
      </c>
      <c r="CCT10">
        <v>28</v>
      </c>
      <c r="CCU10">
        <v>28</v>
      </c>
      <c r="CCV10">
        <v>28</v>
      </c>
      <c r="CCW10">
        <v>28</v>
      </c>
      <c r="CCX10">
        <v>28</v>
      </c>
      <c r="CCY10">
        <v>28</v>
      </c>
      <c r="CDG10">
        <v>29</v>
      </c>
      <c r="CDH10">
        <v>29</v>
      </c>
      <c r="CDI10">
        <v>29</v>
      </c>
      <c r="CDJ10">
        <v>29</v>
      </c>
      <c r="CDK10">
        <v>29</v>
      </c>
      <c r="CDL10">
        <v>29</v>
      </c>
      <c r="CDM10">
        <v>29</v>
      </c>
      <c r="CDN10">
        <v>29</v>
      </c>
      <c r="CDO10">
        <v>29</v>
      </c>
      <c r="CDP10">
        <v>29</v>
      </c>
      <c r="CDQ10">
        <v>29</v>
      </c>
      <c r="CDR10">
        <v>29</v>
      </c>
      <c r="CDS10">
        <v>29</v>
      </c>
      <c r="CDT10">
        <v>29</v>
      </c>
      <c r="CDU10">
        <v>29</v>
      </c>
      <c r="CDV10">
        <v>29</v>
      </c>
      <c r="CDW10">
        <v>29</v>
      </c>
      <c r="CDX10">
        <v>29</v>
      </c>
      <c r="CDY10">
        <v>29</v>
      </c>
      <c r="CDZ10">
        <v>29</v>
      </c>
      <c r="CEA10">
        <v>29</v>
      </c>
      <c r="CEB10">
        <v>29</v>
      </c>
      <c r="CEC10">
        <v>29</v>
      </c>
      <c r="CED10">
        <v>29</v>
      </c>
      <c r="CFO10">
        <v>30</v>
      </c>
      <c r="CFP10">
        <v>30</v>
      </c>
      <c r="CFQ10">
        <v>30</v>
      </c>
      <c r="CFR10">
        <v>30</v>
      </c>
      <c r="CFS10">
        <v>30</v>
      </c>
      <c r="CFT10">
        <v>30</v>
      </c>
      <c r="CFU10">
        <v>30</v>
      </c>
      <c r="CFV10">
        <v>30</v>
      </c>
      <c r="CFW10">
        <v>30</v>
      </c>
      <c r="CFX10">
        <v>30</v>
      </c>
      <c r="CFY10">
        <v>30</v>
      </c>
      <c r="CFZ10">
        <v>30</v>
      </c>
      <c r="CGA10">
        <v>30</v>
      </c>
      <c r="CGB10">
        <v>30</v>
      </c>
      <c r="CGC10">
        <v>30</v>
      </c>
      <c r="CGD10">
        <v>30</v>
      </c>
      <c r="CGE10">
        <v>30</v>
      </c>
      <c r="CGF10">
        <v>30</v>
      </c>
      <c r="CGG10">
        <v>30</v>
      </c>
      <c r="CGH10">
        <v>30</v>
      </c>
      <c r="CGI10">
        <v>30</v>
      </c>
      <c r="CGJ10">
        <v>30</v>
      </c>
      <c r="CGK10">
        <v>30</v>
      </c>
      <c r="CGL10">
        <v>30</v>
      </c>
      <c r="CGM10">
        <v>30</v>
      </c>
      <c r="CGN10">
        <v>30</v>
      </c>
      <c r="CGO10">
        <v>30</v>
      </c>
      <c r="CGP10">
        <v>30</v>
      </c>
      <c r="CGQ10">
        <v>30</v>
      </c>
      <c r="CGR10">
        <v>30</v>
      </c>
      <c r="CGS10">
        <v>30</v>
      </c>
      <c r="CGT10">
        <v>30</v>
      </c>
      <c r="CGU10">
        <v>30</v>
      </c>
      <c r="CGV10">
        <v>30</v>
      </c>
      <c r="CGW10">
        <v>30</v>
      </c>
      <c r="CGX10">
        <v>30</v>
      </c>
      <c r="CHG10">
        <v>31</v>
      </c>
      <c r="CHH10">
        <v>31</v>
      </c>
      <c r="CHI10">
        <v>31</v>
      </c>
      <c r="CHJ10">
        <v>31</v>
      </c>
      <c r="CHK10">
        <v>31</v>
      </c>
      <c r="CHL10">
        <v>31</v>
      </c>
      <c r="CHM10">
        <v>31</v>
      </c>
      <c r="CHN10">
        <v>31</v>
      </c>
      <c r="CHO10">
        <v>31</v>
      </c>
      <c r="CHP10">
        <v>31</v>
      </c>
      <c r="CHQ10">
        <v>31</v>
      </c>
      <c r="CHW10">
        <v>32</v>
      </c>
      <c r="CHX10">
        <v>32</v>
      </c>
      <c r="CHY10">
        <v>32</v>
      </c>
      <c r="CHZ10">
        <v>32</v>
      </c>
      <c r="CIA10">
        <v>32</v>
      </c>
      <c r="CIB10">
        <v>32</v>
      </c>
      <c r="CIC10">
        <v>32</v>
      </c>
      <c r="CID10">
        <v>32</v>
      </c>
      <c r="CIE10">
        <v>32</v>
      </c>
      <c r="CIF10">
        <v>32</v>
      </c>
      <c r="CIG10">
        <v>32</v>
      </c>
      <c r="CIH10">
        <v>32</v>
      </c>
      <c r="CII10">
        <v>32</v>
      </c>
      <c r="CIJ10">
        <v>32</v>
      </c>
      <c r="CIK10">
        <v>32</v>
      </c>
      <c r="CIL10">
        <v>32</v>
      </c>
      <c r="CIM10">
        <v>32</v>
      </c>
      <c r="CIN10">
        <v>32</v>
      </c>
      <c r="CIO10">
        <v>32</v>
      </c>
      <c r="CIP10">
        <v>32</v>
      </c>
      <c r="CIQ10">
        <v>32</v>
      </c>
      <c r="CIR10">
        <v>32</v>
      </c>
      <c r="CIS10">
        <v>32</v>
      </c>
      <c r="CIT10">
        <v>32</v>
      </c>
      <c r="CIU10">
        <v>32</v>
      </c>
      <c r="CIV10">
        <v>32</v>
      </c>
      <c r="CIW10">
        <v>32</v>
      </c>
      <c r="CIX10">
        <v>32</v>
      </c>
      <c r="CIY10">
        <v>32</v>
      </c>
      <c r="CIZ10">
        <v>32</v>
      </c>
      <c r="CJA10">
        <v>32</v>
      </c>
      <c r="CJB10">
        <v>32</v>
      </c>
      <c r="CJC10">
        <v>32</v>
      </c>
      <c r="CJD10">
        <v>32</v>
      </c>
      <c r="CJE10">
        <v>32</v>
      </c>
      <c r="CJF10">
        <v>32</v>
      </c>
      <c r="CJG10">
        <v>32</v>
      </c>
      <c r="CJH10">
        <v>32</v>
      </c>
      <c r="CJI10">
        <v>32</v>
      </c>
      <c r="CJJ10">
        <v>32</v>
      </c>
      <c r="CJK10">
        <v>32</v>
      </c>
      <c r="CJL10">
        <v>32</v>
      </c>
      <c r="CJM10">
        <v>32</v>
      </c>
      <c r="CJN10">
        <v>32</v>
      </c>
      <c r="CJO10">
        <v>32</v>
      </c>
      <c r="CJP10">
        <v>32</v>
      </c>
      <c r="CJQ10">
        <v>32</v>
      </c>
      <c r="CJR10">
        <v>32</v>
      </c>
      <c r="CJS10">
        <v>32</v>
      </c>
      <c r="CJT10">
        <v>32</v>
      </c>
      <c r="CJU10">
        <v>32</v>
      </c>
      <c r="CJV10">
        <v>32</v>
      </c>
      <c r="CJW10">
        <v>32</v>
      </c>
      <c r="CJX10">
        <v>32</v>
      </c>
      <c r="CJY10">
        <v>32</v>
      </c>
      <c r="CJZ10">
        <v>32</v>
      </c>
      <c r="CKA10">
        <v>32</v>
      </c>
      <c r="CKB10">
        <v>32</v>
      </c>
      <c r="CKC10">
        <v>32</v>
      </c>
      <c r="CKD10">
        <v>32</v>
      </c>
      <c r="CKE10">
        <v>32</v>
      </c>
      <c r="CKF10">
        <v>32</v>
      </c>
      <c r="CLI10">
        <v>33</v>
      </c>
      <c r="CLJ10">
        <v>33</v>
      </c>
      <c r="CLK10">
        <v>33</v>
      </c>
      <c r="CLL10">
        <v>33</v>
      </c>
      <c r="CLM10">
        <v>33</v>
      </c>
      <c r="CLN10">
        <v>33</v>
      </c>
      <c r="CLO10">
        <v>33</v>
      </c>
      <c r="CLP10">
        <v>33</v>
      </c>
      <c r="CLZ10">
        <v>34</v>
      </c>
      <c r="CMA10">
        <v>34</v>
      </c>
      <c r="CMB10">
        <v>34</v>
      </c>
      <c r="CMC10">
        <v>34</v>
      </c>
      <c r="CMD10">
        <v>34</v>
      </c>
      <c r="CME10">
        <v>34</v>
      </c>
      <c r="CMF10">
        <v>34</v>
      </c>
      <c r="CMG10">
        <v>34</v>
      </c>
      <c r="CMH10">
        <v>34</v>
      </c>
      <c r="CMI10">
        <v>34</v>
      </c>
      <c r="CMJ10">
        <v>34</v>
      </c>
      <c r="CMK10">
        <v>34</v>
      </c>
      <c r="CML10">
        <v>34</v>
      </c>
      <c r="CMM10">
        <v>34</v>
      </c>
      <c r="CMN10">
        <v>34</v>
      </c>
      <c r="CMO10">
        <v>34</v>
      </c>
      <c r="CMP10">
        <v>34</v>
      </c>
      <c r="CMQ10">
        <v>34</v>
      </c>
      <c r="CMR10">
        <v>34</v>
      </c>
      <c r="CMS10">
        <v>34</v>
      </c>
      <c r="CMT10">
        <v>34</v>
      </c>
      <c r="CMU10">
        <v>34</v>
      </c>
      <c r="CMV10">
        <v>34</v>
      </c>
      <c r="CMW10">
        <v>34</v>
      </c>
      <c r="CMX10">
        <v>34</v>
      </c>
      <c r="CMY10">
        <v>34</v>
      </c>
      <c r="CMZ10">
        <v>34</v>
      </c>
      <c r="CNA10">
        <v>34</v>
      </c>
      <c r="CNB10">
        <v>34</v>
      </c>
      <c r="CNC10">
        <v>34</v>
      </c>
      <c r="CND10">
        <v>34</v>
      </c>
      <c r="CNE10">
        <v>34</v>
      </c>
      <c r="CNF10">
        <v>34</v>
      </c>
      <c r="CNG10">
        <v>34</v>
      </c>
      <c r="CNH10">
        <v>34</v>
      </c>
      <c r="CNI10">
        <v>34</v>
      </c>
      <c r="CNJ10">
        <v>34</v>
      </c>
      <c r="CNK10">
        <v>34</v>
      </c>
      <c r="CNL10">
        <v>34</v>
      </c>
      <c r="CNM10">
        <v>34</v>
      </c>
      <c r="CNN10">
        <v>34</v>
      </c>
      <c r="CNO10">
        <v>34</v>
      </c>
      <c r="CNP10">
        <v>34</v>
      </c>
      <c r="CNQ10">
        <v>34</v>
      </c>
      <c r="CNR10">
        <v>34</v>
      </c>
      <c r="CNS10">
        <v>34</v>
      </c>
      <c r="CNT10">
        <v>34</v>
      </c>
      <c r="CNU10">
        <v>34</v>
      </c>
      <c r="CNV10">
        <v>34</v>
      </c>
      <c r="CNW10">
        <v>34</v>
      </c>
      <c r="CNX10">
        <v>34</v>
      </c>
      <c r="CNY10">
        <v>34</v>
      </c>
      <c r="CNZ10">
        <v>34</v>
      </c>
      <c r="COA10">
        <v>34</v>
      </c>
      <c r="COB10">
        <v>34</v>
      </c>
      <c r="COC10">
        <v>34</v>
      </c>
      <c r="COD10">
        <v>34</v>
      </c>
      <c r="COE10">
        <v>34</v>
      </c>
      <c r="COF10">
        <v>34</v>
      </c>
      <c r="COT10">
        <v>35</v>
      </c>
      <c r="COU10">
        <v>35</v>
      </c>
      <c r="COV10">
        <v>35</v>
      </c>
      <c r="COW10">
        <v>35</v>
      </c>
      <c r="COX10">
        <v>35</v>
      </c>
      <c r="COY10">
        <v>35</v>
      </c>
      <c r="COZ10">
        <v>35</v>
      </c>
      <c r="CPA10">
        <v>35</v>
      </c>
      <c r="CPB10">
        <v>35</v>
      </c>
      <c r="CPC10">
        <v>35</v>
      </c>
      <c r="CPD10">
        <v>35</v>
      </c>
      <c r="CPE10">
        <v>35</v>
      </c>
      <c r="CPF10">
        <v>35</v>
      </c>
      <c r="CPG10">
        <v>35</v>
      </c>
      <c r="CPH10">
        <v>35</v>
      </c>
      <c r="CPI10">
        <v>35</v>
      </c>
      <c r="CPJ10">
        <v>35</v>
      </c>
      <c r="CPK10">
        <v>35</v>
      </c>
      <c r="CPL10">
        <v>35</v>
      </c>
      <c r="CPM10">
        <v>35</v>
      </c>
      <c r="CPN10">
        <v>35</v>
      </c>
      <c r="CPO10">
        <v>35</v>
      </c>
      <c r="CPP10">
        <v>35</v>
      </c>
      <c r="CPQ10">
        <v>35</v>
      </c>
      <c r="CPR10">
        <v>35</v>
      </c>
      <c r="CPS10">
        <v>35</v>
      </c>
      <c r="CPT10">
        <v>35</v>
      </c>
      <c r="CPU10">
        <v>35</v>
      </c>
      <c r="CPV10">
        <v>35</v>
      </c>
      <c r="CPW10">
        <v>35</v>
      </c>
      <c r="CPX10">
        <v>35</v>
      </c>
      <c r="CPY10">
        <v>35</v>
      </c>
      <c r="CPZ10">
        <v>35</v>
      </c>
      <c r="CQA10">
        <v>35</v>
      </c>
      <c r="CQB10">
        <v>35</v>
      </c>
      <c r="CQC10">
        <v>35</v>
      </c>
      <c r="CQD10">
        <v>35</v>
      </c>
      <c r="CQE10">
        <v>35</v>
      </c>
      <c r="CQF10">
        <v>35</v>
      </c>
      <c r="CQG10">
        <v>35</v>
      </c>
      <c r="CQH10">
        <v>35</v>
      </c>
      <c r="CQI10">
        <v>35</v>
      </c>
      <c r="CQJ10">
        <v>35</v>
      </c>
      <c r="CQK10">
        <v>35</v>
      </c>
      <c r="CQL10">
        <v>35</v>
      </c>
      <c r="CQM10">
        <v>35</v>
      </c>
      <c r="CQN10">
        <v>35</v>
      </c>
      <c r="CQO10">
        <v>35</v>
      </c>
      <c r="CQP10">
        <v>35</v>
      </c>
      <c r="CQQ10">
        <v>35</v>
      </c>
      <c r="CQR10">
        <v>35</v>
      </c>
      <c r="CQS10">
        <v>35</v>
      </c>
      <c r="CQT10">
        <v>35</v>
      </c>
      <c r="CQU10">
        <v>35</v>
      </c>
      <c r="CQV10">
        <v>35</v>
      </c>
      <c r="CQW10">
        <v>35</v>
      </c>
      <c r="CQX10">
        <v>35</v>
      </c>
      <c r="CQY10">
        <v>35</v>
      </c>
      <c r="CQZ10">
        <v>35</v>
      </c>
      <c r="CTL10">
        <v>36</v>
      </c>
      <c r="CTM10">
        <v>36</v>
      </c>
      <c r="CTN10">
        <v>36</v>
      </c>
      <c r="CTO10">
        <v>36</v>
      </c>
      <c r="CTP10">
        <v>36</v>
      </c>
      <c r="CTQ10">
        <v>36</v>
      </c>
      <c r="CTR10">
        <v>36</v>
      </c>
      <c r="CTS10">
        <v>36</v>
      </c>
      <c r="CTT10">
        <v>36</v>
      </c>
      <c r="CTU10">
        <v>36</v>
      </c>
      <c r="CTV10">
        <v>36</v>
      </c>
      <c r="CTW10">
        <v>36</v>
      </c>
      <c r="CTX10">
        <v>36</v>
      </c>
      <c r="CTY10">
        <v>36</v>
      </c>
      <c r="CYB10">
        <v>37</v>
      </c>
      <c r="CYC10">
        <v>37</v>
      </c>
      <c r="CYD10">
        <v>37</v>
      </c>
      <c r="CYE10">
        <v>37</v>
      </c>
      <c r="CYF10">
        <v>37</v>
      </c>
      <c r="CYG10">
        <v>37</v>
      </c>
      <c r="CYH10">
        <v>37</v>
      </c>
      <c r="CYI10">
        <v>37</v>
      </c>
      <c r="CYJ10">
        <v>37</v>
      </c>
      <c r="CYK10">
        <v>37</v>
      </c>
      <c r="CYL10">
        <v>37</v>
      </c>
      <c r="CYM10">
        <v>37</v>
      </c>
      <c r="CYN10">
        <v>37</v>
      </c>
      <c r="CYO10">
        <v>37</v>
      </c>
      <c r="CYP10">
        <v>37</v>
      </c>
      <c r="CYQ10">
        <v>37</v>
      </c>
      <c r="CYR10">
        <v>37</v>
      </c>
      <c r="CYS10">
        <v>37</v>
      </c>
      <c r="CYT10">
        <v>37</v>
      </c>
      <c r="CYU10">
        <v>37</v>
      </c>
      <c r="CYV10">
        <v>37</v>
      </c>
      <c r="CYW10">
        <v>37</v>
      </c>
      <c r="CYX10">
        <v>37</v>
      </c>
      <c r="CYY10">
        <v>37</v>
      </c>
      <c r="CYZ10">
        <v>37</v>
      </c>
      <c r="CZA10">
        <v>37</v>
      </c>
      <c r="CZB10">
        <v>37</v>
      </c>
      <c r="CZC10">
        <v>37</v>
      </c>
      <c r="CZD10">
        <v>37</v>
      </c>
      <c r="CZE10">
        <v>37</v>
      </c>
      <c r="CZF10">
        <v>37</v>
      </c>
      <c r="CZG10">
        <v>37</v>
      </c>
      <c r="CZH10">
        <v>37</v>
      </c>
      <c r="CZI10">
        <v>37</v>
      </c>
      <c r="CZJ10">
        <v>37</v>
      </c>
      <c r="CZK10">
        <v>37</v>
      </c>
      <c r="CZL10">
        <v>37</v>
      </c>
      <c r="CZM10">
        <v>37</v>
      </c>
      <c r="CZN10">
        <v>37</v>
      </c>
      <c r="CZO10">
        <v>37</v>
      </c>
      <c r="CZP10">
        <v>37</v>
      </c>
      <c r="CZQ10">
        <v>37</v>
      </c>
      <c r="CZR10">
        <v>37</v>
      </c>
      <c r="CZS10">
        <v>37</v>
      </c>
      <c r="CZT10">
        <v>37</v>
      </c>
      <c r="CZU10">
        <v>37</v>
      </c>
      <c r="CZV10">
        <v>37</v>
      </c>
      <c r="CZW10">
        <v>37</v>
      </c>
      <c r="CZX10">
        <v>37</v>
      </c>
      <c r="CZY10">
        <v>37</v>
      </c>
      <c r="CZZ10">
        <v>37</v>
      </c>
      <c r="DAA10">
        <v>37</v>
      </c>
      <c r="DAB10">
        <v>37</v>
      </c>
      <c r="DAC10">
        <v>37</v>
      </c>
      <c r="DAI10">
        <v>38</v>
      </c>
      <c r="DAJ10">
        <v>38</v>
      </c>
      <c r="DAK10">
        <v>38</v>
      </c>
      <c r="DAL10">
        <v>38</v>
      </c>
      <c r="DAM10">
        <v>38</v>
      </c>
      <c r="DAN10">
        <v>38</v>
      </c>
      <c r="DAO10">
        <v>38</v>
      </c>
      <c r="DAP10">
        <v>38</v>
      </c>
      <c r="DAQ10">
        <v>38</v>
      </c>
      <c r="DAR10">
        <v>38</v>
      </c>
      <c r="DAS10">
        <v>38</v>
      </c>
      <c r="DAT10">
        <v>38</v>
      </c>
      <c r="DAU10">
        <v>38</v>
      </c>
      <c r="DAV10">
        <v>38</v>
      </c>
      <c r="DAW10">
        <v>38</v>
      </c>
      <c r="DAX10">
        <v>38</v>
      </c>
      <c r="DAY10">
        <v>38</v>
      </c>
      <c r="DAZ10">
        <v>38</v>
      </c>
      <c r="DBA10">
        <v>38</v>
      </c>
      <c r="DBB10">
        <v>38</v>
      </c>
      <c r="DBC10">
        <v>38</v>
      </c>
      <c r="DBD10">
        <v>38</v>
      </c>
      <c r="DBE10">
        <v>38</v>
      </c>
      <c r="DBF10">
        <v>38</v>
      </c>
      <c r="DBK10">
        <v>39</v>
      </c>
      <c r="DBL10">
        <v>39</v>
      </c>
      <c r="DBM10">
        <v>39</v>
      </c>
      <c r="DBN10">
        <v>39</v>
      </c>
      <c r="DBO10">
        <v>39</v>
      </c>
      <c r="DBP10">
        <v>39</v>
      </c>
      <c r="DBQ10">
        <v>39</v>
      </c>
      <c r="DBR10">
        <v>39</v>
      </c>
      <c r="DBS10">
        <v>39</v>
      </c>
      <c r="DBT10">
        <v>39</v>
      </c>
      <c r="DBU10">
        <v>39</v>
      </c>
      <c r="DBV10">
        <v>39</v>
      </c>
      <c r="DBW10">
        <v>39</v>
      </c>
      <c r="DBX10">
        <v>39</v>
      </c>
      <c r="DBY10">
        <v>39</v>
      </c>
      <c r="DBZ10">
        <v>39</v>
      </c>
      <c r="DCA10">
        <v>39</v>
      </c>
      <c r="DCR10">
        <v>40</v>
      </c>
      <c r="DCS10">
        <v>40</v>
      </c>
      <c r="DCT10">
        <v>40</v>
      </c>
      <c r="DCU10">
        <v>40</v>
      </c>
      <c r="DCV10">
        <v>40</v>
      </c>
      <c r="DCW10">
        <v>40</v>
      </c>
      <c r="DCX10">
        <v>40</v>
      </c>
      <c r="DCY10">
        <v>40</v>
      </c>
      <c r="DCZ10">
        <v>40</v>
      </c>
      <c r="DDA10">
        <v>40</v>
      </c>
      <c r="DDU10">
        <v>41</v>
      </c>
      <c r="DDV10">
        <v>41</v>
      </c>
      <c r="DDW10">
        <v>41</v>
      </c>
      <c r="DDX10">
        <v>41</v>
      </c>
      <c r="DDY10">
        <v>41</v>
      </c>
      <c r="DDZ10">
        <v>41</v>
      </c>
      <c r="DEA10">
        <v>41</v>
      </c>
      <c r="DEB10">
        <v>41</v>
      </c>
      <c r="DEC10">
        <v>41</v>
      </c>
      <c r="DED10">
        <v>41</v>
      </c>
      <c r="DEE10">
        <v>41</v>
      </c>
      <c r="DEF10">
        <v>41</v>
      </c>
      <c r="DEG10">
        <v>41</v>
      </c>
      <c r="DEH10">
        <v>41</v>
      </c>
      <c r="DEI10">
        <v>41</v>
      </c>
      <c r="DEJ10">
        <v>41</v>
      </c>
      <c r="DEK10">
        <v>41</v>
      </c>
      <c r="DEL10">
        <v>41</v>
      </c>
      <c r="DEM10">
        <v>41</v>
      </c>
      <c r="DEN10">
        <v>41</v>
      </c>
      <c r="DEO10">
        <v>41</v>
      </c>
      <c r="DEP10">
        <v>41</v>
      </c>
      <c r="DEQ10">
        <v>41</v>
      </c>
      <c r="DIY10">
        <v>42</v>
      </c>
      <c r="DIZ10">
        <v>42</v>
      </c>
      <c r="DJA10">
        <v>42</v>
      </c>
      <c r="DJB10">
        <v>42</v>
      </c>
      <c r="DJC10">
        <v>42</v>
      </c>
      <c r="DJD10">
        <v>42</v>
      </c>
      <c r="DJE10">
        <v>42</v>
      </c>
      <c r="DJF10">
        <v>42</v>
      </c>
      <c r="DJG10">
        <v>42</v>
      </c>
      <c r="DJH10">
        <v>42</v>
      </c>
      <c r="DJI10">
        <v>42</v>
      </c>
      <c r="DJJ10">
        <v>42</v>
      </c>
      <c r="DJK10">
        <v>42</v>
      </c>
      <c r="DJL10">
        <v>42</v>
      </c>
      <c r="DJM10">
        <v>42</v>
      </c>
      <c r="DJN10">
        <v>42</v>
      </c>
      <c r="DJO10">
        <v>42</v>
      </c>
      <c r="DJP10">
        <v>42</v>
      </c>
      <c r="DJQ10">
        <v>42</v>
      </c>
      <c r="DJR10">
        <v>42</v>
      </c>
      <c r="DJS10">
        <v>42</v>
      </c>
      <c r="DJT10">
        <v>42</v>
      </c>
      <c r="DJU10">
        <v>42</v>
      </c>
      <c r="DJV10">
        <v>42</v>
      </c>
      <c r="DJW10">
        <v>42</v>
      </c>
      <c r="DJX10">
        <v>42</v>
      </c>
      <c r="DJY10">
        <v>42</v>
      </c>
      <c r="DJZ10">
        <v>42</v>
      </c>
      <c r="DKA10">
        <v>42</v>
      </c>
      <c r="DKB10">
        <v>42</v>
      </c>
      <c r="DKC10">
        <v>42</v>
      </c>
      <c r="DKD10">
        <v>42</v>
      </c>
      <c r="DKE10">
        <v>42</v>
      </c>
      <c r="DKF10">
        <v>42</v>
      </c>
      <c r="DKG10">
        <v>42</v>
      </c>
      <c r="DKH10">
        <v>42</v>
      </c>
      <c r="DKI10">
        <v>42</v>
      </c>
      <c r="DKJ10">
        <v>42</v>
      </c>
      <c r="DKK10">
        <v>42</v>
      </c>
      <c r="DKL10">
        <v>42</v>
      </c>
      <c r="DKM10">
        <v>42</v>
      </c>
      <c r="DKN10">
        <v>42</v>
      </c>
      <c r="DKO10">
        <v>42</v>
      </c>
      <c r="DKP10">
        <v>42</v>
      </c>
      <c r="DKQ10">
        <v>42</v>
      </c>
      <c r="DKR10">
        <v>42</v>
      </c>
      <c r="DKS10">
        <v>42</v>
      </c>
      <c r="DKT10">
        <v>42</v>
      </c>
      <c r="DKU10">
        <v>42</v>
      </c>
      <c r="DKV10">
        <v>42</v>
      </c>
      <c r="DKW10">
        <v>42</v>
      </c>
      <c r="DKX10">
        <v>42</v>
      </c>
      <c r="DKY10">
        <v>42</v>
      </c>
      <c r="DKZ10">
        <v>42</v>
      </c>
      <c r="DLA10">
        <v>42</v>
      </c>
      <c r="DLB10">
        <v>42</v>
      </c>
      <c r="DLC10">
        <v>42</v>
      </c>
      <c r="DLD10">
        <v>42</v>
      </c>
      <c r="DMN10">
        <v>43</v>
      </c>
      <c r="DMO10">
        <v>43</v>
      </c>
      <c r="DMP10">
        <v>43</v>
      </c>
      <c r="DMQ10">
        <v>43</v>
      </c>
      <c r="DMR10">
        <v>43</v>
      </c>
      <c r="DMS10">
        <v>43</v>
      </c>
      <c r="DMT10">
        <v>43</v>
      </c>
      <c r="DMU10">
        <v>43</v>
      </c>
      <c r="DMV10">
        <v>43</v>
      </c>
      <c r="DMW10">
        <v>43</v>
      </c>
      <c r="DMX10">
        <v>43</v>
      </c>
      <c r="DMY10">
        <v>43</v>
      </c>
      <c r="DMZ10">
        <v>43</v>
      </c>
      <c r="DNA10">
        <v>43</v>
      </c>
      <c r="DNB10">
        <v>43</v>
      </c>
      <c r="DNC10">
        <v>43</v>
      </c>
      <c r="DQE10">
        <v>44</v>
      </c>
      <c r="DQF10">
        <v>44</v>
      </c>
      <c r="DQG10">
        <v>44</v>
      </c>
      <c r="DQH10">
        <v>44</v>
      </c>
      <c r="DQI10">
        <v>44</v>
      </c>
      <c r="DQJ10">
        <v>44</v>
      </c>
      <c r="DQK10">
        <v>44</v>
      </c>
      <c r="DQL10">
        <v>44</v>
      </c>
      <c r="DQM10">
        <v>44</v>
      </c>
      <c r="DQN10">
        <v>44</v>
      </c>
      <c r="DQO10">
        <v>44</v>
      </c>
      <c r="DQP10">
        <v>44</v>
      </c>
      <c r="DQQ10">
        <v>44</v>
      </c>
      <c r="DQR10">
        <v>44</v>
      </c>
      <c r="DQS10">
        <v>44</v>
      </c>
      <c r="DQT10">
        <v>44</v>
      </c>
      <c r="DQU10">
        <v>44</v>
      </c>
      <c r="DQV10">
        <v>44</v>
      </c>
      <c r="DQW10">
        <v>44</v>
      </c>
      <c r="DQX10">
        <v>44</v>
      </c>
      <c r="DQY10">
        <v>44</v>
      </c>
      <c r="DQZ10">
        <v>44</v>
      </c>
      <c r="DRA10">
        <v>44</v>
      </c>
      <c r="DRB10">
        <v>44</v>
      </c>
      <c r="DRC10">
        <v>44</v>
      </c>
      <c r="DRD10">
        <v>44</v>
      </c>
      <c r="DRE10">
        <v>44</v>
      </c>
      <c r="DRF10">
        <v>44</v>
      </c>
      <c r="DRG10">
        <v>44</v>
      </c>
      <c r="DRH10">
        <v>44</v>
      </c>
      <c r="DRI10">
        <v>44</v>
      </c>
      <c r="DRJ10">
        <v>44</v>
      </c>
      <c r="DRK10">
        <v>44</v>
      </c>
      <c r="DRL10">
        <v>44</v>
      </c>
      <c r="DRM10">
        <v>44</v>
      </c>
      <c r="DRN10">
        <v>44</v>
      </c>
      <c r="DRO10">
        <v>44</v>
      </c>
      <c r="DRP10">
        <v>44</v>
      </c>
      <c r="DRQ10">
        <v>44</v>
      </c>
      <c r="DRR10">
        <v>44</v>
      </c>
      <c r="DRS10">
        <v>44</v>
      </c>
      <c r="DRT10">
        <v>44</v>
      </c>
      <c r="DRU10">
        <v>44</v>
      </c>
      <c r="DRV10">
        <v>44</v>
      </c>
      <c r="DRW10">
        <v>44</v>
      </c>
      <c r="DRX10">
        <v>44</v>
      </c>
      <c r="DRY10">
        <v>44</v>
      </c>
      <c r="DRZ10">
        <v>44</v>
      </c>
      <c r="DSA10">
        <v>44</v>
      </c>
      <c r="DTI10">
        <v>45</v>
      </c>
      <c r="DTJ10">
        <v>45</v>
      </c>
      <c r="DTK10">
        <v>45</v>
      </c>
      <c r="DTL10">
        <v>45</v>
      </c>
      <c r="DTM10">
        <v>45</v>
      </c>
      <c r="DTN10">
        <v>45</v>
      </c>
      <c r="DTO10">
        <v>45</v>
      </c>
      <c r="DTP10">
        <v>45</v>
      </c>
      <c r="DTQ10">
        <v>45</v>
      </c>
      <c r="DTR10">
        <v>45</v>
      </c>
      <c r="DTS10">
        <v>45</v>
      </c>
      <c r="DTX10">
        <v>46</v>
      </c>
      <c r="DTY10">
        <v>46</v>
      </c>
      <c r="DTZ10">
        <v>46</v>
      </c>
      <c r="DUA10">
        <v>46</v>
      </c>
      <c r="DUB10">
        <v>46</v>
      </c>
      <c r="DUC10">
        <v>46</v>
      </c>
      <c r="DUD10">
        <v>46</v>
      </c>
      <c r="DUE10">
        <v>46</v>
      </c>
      <c r="DUF10">
        <v>46</v>
      </c>
      <c r="DUG10">
        <v>46</v>
      </c>
      <c r="DUH10">
        <v>46</v>
      </c>
      <c r="DUI10">
        <v>46</v>
      </c>
      <c r="DUJ10">
        <v>46</v>
      </c>
      <c r="DUK10">
        <v>46</v>
      </c>
      <c r="DWK10">
        <v>47</v>
      </c>
      <c r="DWL10">
        <v>47</v>
      </c>
      <c r="DWM10">
        <v>47</v>
      </c>
      <c r="DWN10">
        <v>47</v>
      </c>
      <c r="DWO10">
        <v>47</v>
      </c>
      <c r="DWP10">
        <v>47</v>
      </c>
      <c r="DWQ10">
        <v>47</v>
      </c>
      <c r="DWR10">
        <v>47</v>
      </c>
      <c r="DWS10">
        <v>47</v>
      </c>
      <c r="DWT10">
        <v>47</v>
      </c>
      <c r="DWU10">
        <v>47</v>
      </c>
      <c r="DWV10">
        <v>47</v>
      </c>
      <c r="DWW10">
        <v>47</v>
      </c>
      <c r="DZG10">
        <v>48</v>
      </c>
      <c r="DZH10">
        <v>48</v>
      </c>
      <c r="DZI10">
        <v>48</v>
      </c>
      <c r="DZJ10">
        <v>48</v>
      </c>
      <c r="DZK10">
        <v>48</v>
      </c>
      <c r="DZL10">
        <v>48</v>
      </c>
      <c r="DZM10">
        <v>48</v>
      </c>
      <c r="DZN10">
        <v>48</v>
      </c>
      <c r="DZO10">
        <v>48</v>
      </c>
      <c r="DZP10">
        <v>48</v>
      </c>
      <c r="DZQ10">
        <v>48</v>
      </c>
      <c r="DZR10">
        <v>48</v>
      </c>
      <c r="DZS10">
        <v>48</v>
      </c>
      <c r="DZT10">
        <v>48</v>
      </c>
      <c r="DZU10">
        <v>48</v>
      </c>
      <c r="DZV10">
        <v>48</v>
      </c>
      <c r="DZW10">
        <v>48</v>
      </c>
      <c r="DZX10">
        <v>48</v>
      </c>
      <c r="DZY10">
        <v>48</v>
      </c>
      <c r="DZZ10">
        <v>48</v>
      </c>
      <c r="EAA10">
        <v>48</v>
      </c>
      <c r="EAB10">
        <v>48</v>
      </c>
      <c r="EAC10">
        <v>48</v>
      </c>
      <c r="EAH10">
        <v>49</v>
      </c>
      <c r="EAI10">
        <v>49</v>
      </c>
      <c r="EAJ10">
        <v>49</v>
      </c>
      <c r="EAK10">
        <v>49</v>
      </c>
      <c r="ECM10">
        <v>50</v>
      </c>
      <c r="ECN10">
        <v>50</v>
      </c>
      <c r="ECO10">
        <v>50</v>
      </c>
      <c r="ECP10">
        <v>50</v>
      </c>
      <c r="ECQ10">
        <v>50</v>
      </c>
      <c r="ECR10">
        <v>50</v>
      </c>
      <c r="ECS10">
        <v>50</v>
      </c>
      <c r="ECT10">
        <v>50</v>
      </c>
      <c r="ECZ10">
        <v>51</v>
      </c>
      <c r="EDA10">
        <v>51</v>
      </c>
      <c r="EDB10">
        <v>51</v>
      </c>
      <c r="EDC10">
        <v>51</v>
      </c>
      <c r="EDD10">
        <v>51</v>
      </c>
      <c r="EDE10">
        <v>51</v>
      </c>
      <c r="EDF10">
        <v>51</v>
      </c>
      <c r="EDG10">
        <v>51</v>
      </c>
      <c r="EDH10">
        <v>51</v>
      </c>
      <c r="EDI10">
        <v>51</v>
      </c>
      <c r="EDJ10">
        <v>51</v>
      </c>
      <c r="EDK10">
        <v>51</v>
      </c>
      <c r="EDL10">
        <v>51</v>
      </c>
      <c r="EDR10">
        <v>52</v>
      </c>
      <c r="EDS10">
        <v>52</v>
      </c>
      <c r="EDT10">
        <v>52</v>
      </c>
      <c r="EDU10">
        <v>52</v>
      </c>
      <c r="EDV10">
        <v>52</v>
      </c>
      <c r="EDW10">
        <v>52</v>
      </c>
      <c r="EDX10">
        <v>52</v>
      </c>
      <c r="EDY10">
        <v>52</v>
      </c>
      <c r="EDZ10">
        <v>52</v>
      </c>
      <c r="EEA10">
        <v>52</v>
      </c>
      <c r="EEB10">
        <v>52</v>
      </c>
      <c r="EEC10">
        <v>52</v>
      </c>
      <c r="EED10">
        <v>52</v>
      </c>
      <c r="EEE10">
        <v>52</v>
      </c>
      <c r="EEF10">
        <v>52</v>
      </c>
      <c r="EEG10">
        <v>52</v>
      </c>
      <c r="EEH10">
        <v>52</v>
      </c>
      <c r="EEI10">
        <v>52</v>
      </c>
      <c r="EEJ10">
        <v>52</v>
      </c>
      <c r="EEK10">
        <v>52</v>
      </c>
      <c r="EEL10">
        <v>52</v>
      </c>
      <c r="EEM10">
        <v>52</v>
      </c>
      <c r="EEN10">
        <v>52</v>
      </c>
      <c r="EEO10">
        <v>52</v>
      </c>
      <c r="EEP10">
        <v>52</v>
      </c>
      <c r="EEQ10">
        <v>52</v>
      </c>
      <c r="EFD10">
        <v>53</v>
      </c>
      <c r="EFE10">
        <v>53</v>
      </c>
      <c r="EFF10">
        <v>53</v>
      </c>
      <c r="EFG10">
        <v>53</v>
      </c>
      <c r="EFH10">
        <v>53</v>
      </c>
      <c r="EFI10">
        <v>53</v>
      </c>
      <c r="EFJ10">
        <v>53</v>
      </c>
      <c r="EFK10">
        <v>53</v>
      </c>
      <c r="EFL10">
        <v>53</v>
      </c>
      <c r="EFM10">
        <v>53</v>
      </c>
      <c r="EFN10">
        <v>53</v>
      </c>
      <c r="EFO10">
        <v>53</v>
      </c>
      <c r="EFP10">
        <v>53</v>
      </c>
      <c r="EFQ10">
        <v>53</v>
      </c>
      <c r="EFR10">
        <v>53</v>
      </c>
      <c r="EFS10">
        <v>53</v>
      </c>
      <c r="EFT10">
        <v>53</v>
      </c>
      <c r="EFU10">
        <v>53</v>
      </c>
      <c r="EFV10">
        <v>53</v>
      </c>
      <c r="EFW10">
        <v>53</v>
      </c>
      <c r="EGZ10">
        <v>54</v>
      </c>
      <c r="EHA10">
        <v>54</v>
      </c>
      <c r="EHB10">
        <v>54</v>
      </c>
      <c r="EHC10">
        <v>54</v>
      </c>
      <c r="EHD10">
        <v>54</v>
      </c>
      <c r="EHE10">
        <v>54</v>
      </c>
      <c r="EHF10">
        <v>54</v>
      </c>
      <c r="EHG10">
        <v>54</v>
      </c>
      <c r="EHH10">
        <v>54</v>
      </c>
      <c r="EHI10">
        <v>54</v>
      </c>
      <c r="EHJ10">
        <v>54</v>
      </c>
      <c r="EHK10">
        <v>54</v>
      </c>
      <c r="EHL10">
        <v>54</v>
      </c>
      <c r="EHM10">
        <v>54</v>
      </c>
      <c r="EHN10">
        <v>54</v>
      </c>
      <c r="EHO10">
        <v>54</v>
      </c>
      <c r="EHP10">
        <v>54</v>
      </c>
      <c r="EHQ10">
        <v>54</v>
      </c>
      <c r="EHR10">
        <v>54</v>
      </c>
      <c r="EHS10">
        <v>54</v>
      </c>
      <c r="EIP10">
        <v>55</v>
      </c>
      <c r="EIQ10">
        <v>55</v>
      </c>
      <c r="EIR10">
        <v>55</v>
      </c>
      <c r="EIS10">
        <v>55</v>
      </c>
      <c r="EIT10">
        <v>55</v>
      </c>
      <c r="EIU10">
        <v>55</v>
      </c>
      <c r="EIV10">
        <v>55</v>
      </c>
      <c r="EIW10">
        <v>55</v>
      </c>
      <c r="EIX10">
        <v>55</v>
      </c>
      <c r="EJP10">
        <v>56</v>
      </c>
      <c r="EJQ10">
        <v>56</v>
      </c>
      <c r="EJR10">
        <v>56</v>
      </c>
      <c r="EJS10">
        <v>56</v>
      </c>
      <c r="EJT10">
        <v>56</v>
      </c>
      <c r="EJU10">
        <v>56</v>
      </c>
      <c r="EJV10">
        <v>56</v>
      </c>
      <c r="EJW10">
        <v>56</v>
      </c>
      <c r="EJX10">
        <v>56</v>
      </c>
      <c r="EJY10">
        <v>56</v>
      </c>
      <c r="EJZ10">
        <v>56</v>
      </c>
      <c r="EKA10">
        <v>56</v>
      </c>
      <c r="EKB10">
        <v>56</v>
      </c>
      <c r="EKC10">
        <v>56</v>
      </c>
      <c r="EKD10">
        <v>56</v>
      </c>
      <c r="EKE10">
        <v>56</v>
      </c>
      <c r="EKF10">
        <v>56</v>
      </c>
      <c r="EKG10">
        <v>56</v>
      </c>
      <c r="EKH10">
        <v>56</v>
      </c>
      <c r="EKI10">
        <v>56</v>
      </c>
      <c r="EKJ10">
        <v>56</v>
      </c>
      <c r="EKK10">
        <v>56</v>
      </c>
      <c r="EKL10">
        <v>56</v>
      </c>
      <c r="EKM10">
        <v>56</v>
      </c>
      <c r="ELU10">
        <v>57</v>
      </c>
      <c r="ELV10">
        <v>57</v>
      </c>
      <c r="ELW10">
        <v>57</v>
      </c>
      <c r="ELX10">
        <v>57</v>
      </c>
      <c r="ELY10">
        <v>57</v>
      </c>
      <c r="ELZ10">
        <v>57</v>
      </c>
      <c r="EMA10">
        <v>57</v>
      </c>
      <c r="EQF10">
        <v>58</v>
      </c>
      <c r="EQG10">
        <v>58</v>
      </c>
      <c r="EQH10">
        <v>58</v>
      </c>
      <c r="EQI10">
        <v>58</v>
      </c>
      <c r="EQJ10">
        <v>58</v>
      </c>
      <c r="EQK10">
        <v>58</v>
      </c>
      <c r="EQL10">
        <v>58</v>
      </c>
      <c r="EQM10">
        <v>58</v>
      </c>
      <c r="EQN10">
        <v>58</v>
      </c>
      <c r="EQO10">
        <v>58</v>
      </c>
      <c r="EQP10">
        <v>58</v>
      </c>
      <c r="EQQ10">
        <v>58</v>
      </c>
      <c r="EQZ10">
        <v>59</v>
      </c>
      <c r="ERA10">
        <v>59</v>
      </c>
      <c r="ERB10">
        <v>59</v>
      </c>
      <c r="ERC10">
        <v>59</v>
      </c>
      <c r="ERD10">
        <v>59</v>
      </c>
      <c r="ERE10">
        <v>59</v>
      </c>
      <c r="ERF10">
        <v>59</v>
      </c>
      <c r="ERG10">
        <v>59</v>
      </c>
      <c r="ERH10">
        <v>59</v>
      </c>
      <c r="ERI10">
        <v>59</v>
      </c>
      <c r="ERJ10">
        <v>59</v>
      </c>
      <c r="ERK10">
        <v>59</v>
      </c>
      <c r="ERL10">
        <v>59</v>
      </c>
      <c r="ERM10">
        <v>59</v>
      </c>
      <c r="ERN10">
        <v>59</v>
      </c>
      <c r="ERO10">
        <v>59</v>
      </c>
      <c r="ERP10">
        <v>59</v>
      </c>
      <c r="ERQ10">
        <v>59</v>
      </c>
      <c r="ERR10">
        <v>59</v>
      </c>
      <c r="ERS10">
        <v>59</v>
      </c>
      <c r="ERT10">
        <v>59</v>
      </c>
      <c r="ERU10">
        <v>59</v>
      </c>
      <c r="ERV10">
        <v>59</v>
      </c>
      <c r="ERW10">
        <v>59</v>
      </c>
      <c r="ERX10">
        <v>59</v>
      </c>
      <c r="ERY10">
        <v>59</v>
      </c>
      <c r="ERZ10">
        <v>59</v>
      </c>
      <c r="ESA10">
        <v>59</v>
      </c>
      <c r="ESB10">
        <v>59</v>
      </c>
      <c r="ESC10">
        <v>59</v>
      </c>
      <c r="ESD10">
        <v>59</v>
      </c>
      <c r="ESE10">
        <v>59</v>
      </c>
      <c r="EUF10">
        <v>60</v>
      </c>
      <c r="EUG10">
        <v>60</v>
      </c>
      <c r="EUH10">
        <v>60</v>
      </c>
      <c r="EUI10">
        <v>60</v>
      </c>
      <c r="EUJ10">
        <v>60</v>
      </c>
      <c r="EUK10">
        <v>60</v>
      </c>
      <c r="EUL10">
        <v>60</v>
      </c>
      <c r="EUM10">
        <v>60</v>
      </c>
      <c r="EUN10">
        <v>60</v>
      </c>
      <c r="EUO10">
        <v>60</v>
      </c>
      <c r="EUP10">
        <v>60</v>
      </c>
      <c r="EUQ10">
        <v>60</v>
      </c>
      <c r="EUR10">
        <v>60</v>
      </c>
      <c r="EUS10">
        <v>60</v>
      </c>
      <c r="EUT10">
        <v>60</v>
      </c>
      <c r="EUU10">
        <v>60</v>
      </c>
      <c r="EUV10">
        <v>60</v>
      </c>
      <c r="EUW10">
        <v>60</v>
      </c>
      <c r="EUX10">
        <v>60</v>
      </c>
      <c r="EUY10">
        <v>60</v>
      </c>
      <c r="EUZ10">
        <v>60</v>
      </c>
      <c r="EVA10">
        <v>60</v>
      </c>
      <c r="EWZ10">
        <v>61</v>
      </c>
      <c r="EXA10">
        <v>61</v>
      </c>
      <c r="EXB10">
        <v>61</v>
      </c>
      <c r="EXC10">
        <v>61</v>
      </c>
      <c r="EXD10">
        <v>61</v>
      </c>
      <c r="EXE10">
        <v>61</v>
      </c>
      <c r="EXF10">
        <v>61</v>
      </c>
      <c r="EXG10">
        <v>61</v>
      </c>
      <c r="EXH10">
        <v>61</v>
      </c>
      <c r="EXZ10">
        <v>62</v>
      </c>
      <c r="EYA10">
        <v>62</v>
      </c>
      <c r="EYB10">
        <v>62</v>
      </c>
      <c r="EYC10">
        <v>62</v>
      </c>
      <c r="EYD10">
        <v>62</v>
      </c>
      <c r="EYE10">
        <v>62</v>
      </c>
      <c r="EYF10">
        <v>62</v>
      </c>
      <c r="EYG10">
        <v>62</v>
      </c>
      <c r="FLK10">
        <v>63</v>
      </c>
      <c r="FLL10">
        <v>63</v>
      </c>
      <c r="FLM10">
        <v>63</v>
      </c>
      <c r="FLN10">
        <v>63</v>
      </c>
      <c r="FLO10">
        <v>63</v>
      </c>
      <c r="FLP10">
        <v>63</v>
      </c>
      <c r="FLQ10">
        <v>63</v>
      </c>
      <c r="FLR10">
        <v>63</v>
      </c>
      <c r="FLS10">
        <v>63</v>
      </c>
      <c r="FLT10">
        <v>63</v>
      </c>
      <c r="FLU10">
        <v>63</v>
      </c>
      <c r="FLV10">
        <v>63</v>
      </c>
      <c r="FLW10">
        <v>63</v>
      </c>
      <c r="FLX10">
        <v>63</v>
      </c>
      <c r="FLY10">
        <v>63</v>
      </c>
      <c r="FLZ10">
        <v>63</v>
      </c>
      <c r="FMA10">
        <v>63</v>
      </c>
      <c r="FMB10">
        <v>63</v>
      </c>
      <c r="FMC10">
        <v>63</v>
      </c>
      <c r="FMD10">
        <v>63</v>
      </c>
      <c r="FME10">
        <v>63</v>
      </c>
      <c r="FNT10">
        <v>64</v>
      </c>
      <c r="FNU10">
        <v>64</v>
      </c>
      <c r="FNV10">
        <v>64</v>
      </c>
      <c r="FNW10">
        <v>64</v>
      </c>
      <c r="FNX10">
        <v>64</v>
      </c>
      <c r="FNY10">
        <v>64</v>
      </c>
      <c r="FNZ10">
        <v>64</v>
      </c>
      <c r="FOA10">
        <v>64</v>
      </c>
      <c r="FOB10">
        <v>64</v>
      </c>
      <c r="FOC10">
        <v>64</v>
      </c>
      <c r="FOD10">
        <v>64</v>
      </c>
      <c r="FOE10">
        <v>64</v>
      </c>
      <c r="FOF10">
        <v>64</v>
      </c>
      <c r="FOG10">
        <v>64</v>
      </c>
      <c r="FOH10">
        <v>64</v>
      </c>
      <c r="FOI10">
        <v>64</v>
      </c>
      <c r="FOJ10">
        <v>64</v>
      </c>
      <c r="FOK10">
        <v>64</v>
      </c>
      <c r="FOL10">
        <v>64</v>
      </c>
      <c r="FOM10">
        <v>64</v>
      </c>
      <c r="FON10">
        <v>64</v>
      </c>
      <c r="FOO10">
        <v>64</v>
      </c>
      <c r="FOP10">
        <v>64</v>
      </c>
      <c r="FOQ10">
        <v>64</v>
      </c>
      <c r="FOR10">
        <v>64</v>
      </c>
      <c r="FOS10">
        <v>64</v>
      </c>
      <c r="FOT10">
        <v>64</v>
      </c>
      <c r="FOU10">
        <v>64</v>
      </c>
      <c r="FOV10">
        <v>64</v>
      </c>
      <c r="FOW10">
        <v>64</v>
      </c>
      <c r="FOX10">
        <v>64</v>
      </c>
      <c r="FOY10">
        <v>64</v>
      </c>
      <c r="FOZ10">
        <v>64</v>
      </c>
      <c r="FPA10">
        <v>64</v>
      </c>
      <c r="FPB10">
        <v>64</v>
      </c>
      <c r="FPC10">
        <v>64</v>
      </c>
      <c r="FPD10">
        <v>64</v>
      </c>
      <c r="FPE10">
        <v>64</v>
      </c>
      <c r="FPF10">
        <v>64</v>
      </c>
      <c r="FPG10">
        <v>64</v>
      </c>
      <c r="FPH10">
        <v>64</v>
      </c>
      <c r="FPI10">
        <v>64</v>
      </c>
      <c r="FPJ10">
        <v>64</v>
      </c>
      <c r="FPK10">
        <v>64</v>
      </c>
      <c r="FRB10">
        <v>65</v>
      </c>
      <c r="FRC10">
        <v>65</v>
      </c>
      <c r="FRD10">
        <v>65</v>
      </c>
      <c r="FRE10">
        <v>65</v>
      </c>
      <c r="FRF10">
        <v>65</v>
      </c>
      <c r="FRG10">
        <v>65</v>
      </c>
      <c r="FRH10">
        <v>65</v>
      </c>
      <c r="FRI10">
        <v>65</v>
      </c>
      <c r="FRJ10">
        <v>65</v>
      </c>
      <c r="FSQ10">
        <v>66</v>
      </c>
      <c r="FSR10">
        <v>66</v>
      </c>
      <c r="FSS10">
        <v>66</v>
      </c>
      <c r="FST10">
        <v>66</v>
      </c>
      <c r="FSU10">
        <v>66</v>
      </c>
      <c r="FTJ10">
        <v>67</v>
      </c>
      <c r="FTK10">
        <v>67</v>
      </c>
      <c r="FTL10">
        <v>67</v>
      </c>
      <c r="FTM10">
        <v>67</v>
      </c>
      <c r="FTN10">
        <v>67</v>
      </c>
      <c r="FTO10">
        <v>67</v>
      </c>
      <c r="FYB10">
        <v>68</v>
      </c>
      <c r="FYC10">
        <v>68</v>
      </c>
      <c r="FYD10">
        <v>68</v>
      </c>
      <c r="FYE10">
        <v>68</v>
      </c>
      <c r="FYF10">
        <v>68</v>
      </c>
      <c r="FYG10">
        <v>68</v>
      </c>
      <c r="FYH10">
        <v>68</v>
      </c>
      <c r="FYI10">
        <v>68</v>
      </c>
      <c r="FYJ10">
        <v>68</v>
      </c>
      <c r="FYK10">
        <v>68</v>
      </c>
      <c r="FYL10">
        <v>68</v>
      </c>
      <c r="FYM10">
        <v>68</v>
      </c>
      <c r="FYN10">
        <v>68</v>
      </c>
      <c r="FYO10">
        <v>68</v>
      </c>
      <c r="FYP10">
        <v>68</v>
      </c>
      <c r="FYQ10">
        <v>68</v>
      </c>
      <c r="FYR10">
        <v>68</v>
      </c>
      <c r="FYS10">
        <v>68</v>
      </c>
      <c r="FYT10">
        <v>68</v>
      </c>
      <c r="FYU10">
        <v>68</v>
      </c>
      <c r="FYV10">
        <v>68</v>
      </c>
      <c r="FYW10">
        <v>68</v>
      </c>
      <c r="FYX10">
        <v>68</v>
      </c>
      <c r="FYY10">
        <v>68</v>
      </c>
      <c r="FYZ10">
        <v>68</v>
      </c>
      <c r="FZA10">
        <v>68</v>
      </c>
      <c r="FZB10">
        <v>68</v>
      </c>
      <c r="FZC10">
        <v>68</v>
      </c>
      <c r="FZD10">
        <v>68</v>
      </c>
      <c r="FZE10">
        <v>68</v>
      </c>
      <c r="FZF10">
        <v>68</v>
      </c>
      <c r="FZG10">
        <v>68</v>
      </c>
      <c r="FZH10">
        <v>68</v>
      </c>
      <c r="FZI10">
        <v>68</v>
      </c>
      <c r="FZJ10">
        <v>68</v>
      </c>
      <c r="FZK10">
        <v>68</v>
      </c>
      <c r="FZL10">
        <v>68</v>
      </c>
      <c r="FZM10">
        <v>68</v>
      </c>
      <c r="FZN10">
        <v>68</v>
      </c>
      <c r="FZO10">
        <v>68</v>
      </c>
      <c r="FZP10">
        <v>68</v>
      </c>
      <c r="FZQ10">
        <v>68</v>
      </c>
      <c r="FZR10">
        <v>68</v>
      </c>
      <c r="FZS10">
        <v>68</v>
      </c>
      <c r="FZT10">
        <v>68</v>
      </c>
      <c r="FZU10">
        <v>68</v>
      </c>
      <c r="FZV10">
        <v>68</v>
      </c>
      <c r="FZW10">
        <v>68</v>
      </c>
      <c r="FZX10">
        <v>68</v>
      </c>
      <c r="FZY10">
        <v>68</v>
      </c>
      <c r="FZZ10">
        <v>68</v>
      </c>
      <c r="GAA10">
        <v>68</v>
      </c>
      <c r="GAB10">
        <v>68</v>
      </c>
      <c r="GAC10">
        <v>68</v>
      </c>
      <c r="GEF10">
        <v>69</v>
      </c>
      <c r="GEG10">
        <v>69</v>
      </c>
      <c r="GEH10">
        <v>69</v>
      </c>
      <c r="GEI10">
        <v>69</v>
      </c>
      <c r="GEJ10">
        <v>69</v>
      </c>
      <c r="GEK10">
        <v>69</v>
      </c>
      <c r="GEL10">
        <v>69</v>
      </c>
      <c r="GEM10">
        <v>69</v>
      </c>
      <c r="GEN10">
        <v>69</v>
      </c>
      <c r="GEO10">
        <v>69</v>
      </c>
      <c r="GEP10">
        <v>69</v>
      </c>
      <c r="GFN10">
        <v>70</v>
      </c>
      <c r="GFO10">
        <v>70</v>
      </c>
      <c r="GFP10">
        <v>70</v>
      </c>
      <c r="GFQ10">
        <v>70</v>
      </c>
      <c r="GFR10">
        <v>70</v>
      </c>
      <c r="GFS10">
        <v>70</v>
      </c>
      <c r="GFT10">
        <v>70</v>
      </c>
      <c r="GFU10">
        <v>70</v>
      </c>
      <c r="GGJ10">
        <v>71</v>
      </c>
      <c r="GGK10">
        <v>71</v>
      </c>
      <c r="GGL10">
        <v>71</v>
      </c>
      <c r="GGM10">
        <v>71</v>
      </c>
      <c r="GGN10">
        <v>71</v>
      </c>
      <c r="GGO10">
        <v>71</v>
      </c>
      <c r="GGP10">
        <v>71</v>
      </c>
      <c r="GGQ10">
        <v>71</v>
      </c>
      <c r="GGR10">
        <v>71</v>
      </c>
      <c r="GGS10">
        <v>71</v>
      </c>
      <c r="GGT10">
        <v>71</v>
      </c>
      <c r="GGU10">
        <v>71</v>
      </c>
      <c r="GGV10">
        <v>71</v>
      </c>
      <c r="GGW10">
        <v>71</v>
      </c>
      <c r="GGX10">
        <v>71</v>
      </c>
      <c r="GGY10">
        <v>71</v>
      </c>
      <c r="GGZ10">
        <v>71</v>
      </c>
      <c r="GHA10">
        <v>71</v>
      </c>
      <c r="GHB10">
        <v>71</v>
      </c>
      <c r="GHC10">
        <v>71</v>
      </c>
      <c r="GHD10">
        <v>71</v>
      </c>
      <c r="GHE10">
        <v>71</v>
      </c>
      <c r="GHF10">
        <v>71</v>
      </c>
      <c r="GHG10">
        <v>71</v>
      </c>
      <c r="GHH10">
        <v>71</v>
      </c>
      <c r="GHI10">
        <v>71</v>
      </c>
      <c r="GHJ10">
        <v>71</v>
      </c>
      <c r="GJH10">
        <v>72</v>
      </c>
      <c r="GJI10">
        <v>72</v>
      </c>
      <c r="GJJ10">
        <v>72</v>
      </c>
      <c r="GJK10">
        <v>72</v>
      </c>
      <c r="GJL10">
        <v>72</v>
      </c>
      <c r="GJM10">
        <v>72</v>
      </c>
      <c r="GJN10">
        <v>72</v>
      </c>
      <c r="GJO10">
        <v>72</v>
      </c>
      <c r="GJP10">
        <v>72</v>
      </c>
      <c r="GJQ10">
        <v>72</v>
      </c>
      <c r="GJR10">
        <v>72</v>
      </c>
      <c r="GLL10">
        <v>73</v>
      </c>
      <c r="GLM10">
        <v>73</v>
      </c>
      <c r="GLN10">
        <v>73</v>
      </c>
      <c r="GLO10">
        <v>73</v>
      </c>
      <c r="GMN10">
        <v>74</v>
      </c>
      <c r="GMO10">
        <v>74</v>
      </c>
      <c r="GMP10">
        <v>74</v>
      </c>
      <c r="GMQ10">
        <v>74</v>
      </c>
      <c r="GMR10">
        <v>74</v>
      </c>
      <c r="GMS10">
        <v>74</v>
      </c>
      <c r="GMT10">
        <v>74</v>
      </c>
      <c r="GMU10">
        <v>74</v>
      </c>
      <c r="GMV10">
        <v>74</v>
      </c>
      <c r="GMW10">
        <v>74</v>
      </c>
      <c r="GMX10">
        <v>74</v>
      </c>
      <c r="GMY10">
        <v>74</v>
      </c>
      <c r="GMZ10">
        <v>74</v>
      </c>
      <c r="GNA10">
        <v>74</v>
      </c>
      <c r="GNB10">
        <v>74</v>
      </c>
      <c r="GNC10">
        <v>74</v>
      </c>
      <c r="GND10">
        <v>74</v>
      </c>
      <c r="GNE10">
        <v>74</v>
      </c>
      <c r="GNN10">
        <v>75</v>
      </c>
      <c r="GNO10">
        <v>75</v>
      </c>
      <c r="GNP10">
        <v>75</v>
      </c>
      <c r="GNQ10">
        <v>75</v>
      </c>
      <c r="GNR10">
        <v>75</v>
      </c>
      <c r="GNS10">
        <v>75</v>
      </c>
      <c r="GNT10">
        <v>75</v>
      </c>
      <c r="GNU10">
        <v>75</v>
      </c>
      <c r="GNV10">
        <v>75</v>
      </c>
      <c r="GNW10">
        <v>75</v>
      </c>
      <c r="GNX10">
        <v>75</v>
      </c>
      <c r="GNY10">
        <v>75</v>
      </c>
      <c r="GOD10">
        <v>76</v>
      </c>
      <c r="GOE10">
        <v>76</v>
      </c>
      <c r="GOF10">
        <v>76</v>
      </c>
      <c r="GOG10">
        <v>76</v>
      </c>
      <c r="GOH10">
        <v>76</v>
      </c>
      <c r="GOI10">
        <v>76</v>
      </c>
      <c r="GON10">
        <v>77</v>
      </c>
      <c r="GOO10">
        <v>77</v>
      </c>
      <c r="GOP10">
        <v>77</v>
      </c>
      <c r="GOQ10">
        <v>77</v>
      </c>
      <c r="GOR10">
        <v>77</v>
      </c>
      <c r="GOS10">
        <v>77</v>
      </c>
      <c r="GOX10">
        <v>78</v>
      </c>
      <c r="GOY10">
        <v>78</v>
      </c>
      <c r="GOZ10">
        <v>78</v>
      </c>
      <c r="GPA10">
        <v>78</v>
      </c>
      <c r="GQK10">
        <v>79</v>
      </c>
      <c r="GQL10">
        <v>79</v>
      </c>
      <c r="GQM10">
        <v>79</v>
      </c>
      <c r="GQN10">
        <v>79</v>
      </c>
      <c r="GQO10">
        <v>79</v>
      </c>
      <c r="GQP10">
        <v>79</v>
      </c>
      <c r="GQQ10">
        <v>79</v>
      </c>
      <c r="GQR10">
        <v>79</v>
      </c>
      <c r="GQS10">
        <v>79</v>
      </c>
      <c r="GQT10">
        <v>79</v>
      </c>
      <c r="GQU10">
        <v>79</v>
      </c>
      <c r="GRW10">
        <v>80</v>
      </c>
      <c r="GRX10">
        <v>80</v>
      </c>
      <c r="GRY10">
        <v>80</v>
      </c>
      <c r="GRZ10">
        <v>80</v>
      </c>
      <c r="GSA10">
        <v>80</v>
      </c>
      <c r="GSB10">
        <v>80</v>
      </c>
      <c r="GSC10">
        <v>80</v>
      </c>
      <c r="GSD10">
        <v>80</v>
      </c>
      <c r="GSE10">
        <v>80</v>
      </c>
      <c r="GSF10">
        <v>80</v>
      </c>
      <c r="GSG10">
        <v>80</v>
      </c>
      <c r="GSH10">
        <v>80</v>
      </c>
      <c r="GSI10">
        <v>80</v>
      </c>
      <c r="GSJ10">
        <v>80</v>
      </c>
      <c r="GSK10">
        <v>80</v>
      </c>
      <c r="GSL10">
        <v>80</v>
      </c>
      <c r="GSM10">
        <v>80</v>
      </c>
      <c r="GSN10">
        <v>80</v>
      </c>
      <c r="GSO10">
        <v>80</v>
      </c>
      <c r="GSP10">
        <v>80</v>
      </c>
      <c r="GSQ10">
        <v>80</v>
      </c>
      <c r="GSR10">
        <v>80</v>
      </c>
      <c r="GSS10">
        <v>80</v>
      </c>
      <c r="GST10">
        <v>80</v>
      </c>
      <c r="GSU10">
        <v>80</v>
      </c>
      <c r="GSV10">
        <v>80</v>
      </c>
      <c r="GSW10">
        <v>80</v>
      </c>
      <c r="GSX10">
        <v>80</v>
      </c>
      <c r="GSY10">
        <v>80</v>
      </c>
      <c r="GSZ10">
        <v>80</v>
      </c>
      <c r="GTA10">
        <v>80</v>
      </c>
      <c r="GTB10">
        <v>80</v>
      </c>
      <c r="GTC10">
        <v>80</v>
      </c>
      <c r="GUN10">
        <v>81</v>
      </c>
      <c r="GUO10">
        <v>81</v>
      </c>
      <c r="GUP10">
        <v>81</v>
      </c>
      <c r="GUQ10">
        <v>81</v>
      </c>
      <c r="GUR10">
        <v>81</v>
      </c>
      <c r="GXJ10">
        <v>82</v>
      </c>
      <c r="GXK10">
        <v>82</v>
      </c>
      <c r="GXL10">
        <v>82</v>
      </c>
      <c r="GXM10">
        <v>82</v>
      </c>
      <c r="GXN10">
        <v>82</v>
      </c>
      <c r="GXO10">
        <v>82</v>
      </c>
      <c r="GXP10">
        <v>82</v>
      </c>
      <c r="GXQ10">
        <v>82</v>
      </c>
      <c r="GXR10">
        <v>82</v>
      </c>
      <c r="GXS10">
        <v>82</v>
      </c>
      <c r="GXT10">
        <v>82</v>
      </c>
      <c r="GXU10">
        <v>82</v>
      </c>
      <c r="GXV10">
        <v>82</v>
      </c>
      <c r="HFN10">
        <v>83</v>
      </c>
      <c r="HFO10">
        <v>83</v>
      </c>
      <c r="HFP10">
        <v>83</v>
      </c>
      <c r="HFQ10">
        <v>83</v>
      </c>
      <c r="HFR10">
        <v>83</v>
      </c>
      <c r="HFS10">
        <v>83</v>
      </c>
      <c r="HFT10">
        <v>83</v>
      </c>
      <c r="HFU10">
        <v>83</v>
      </c>
      <c r="HFV10">
        <v>83</v>
      </c>
      <c r="HFW10">
        <v>83</v>
      </c>
      <c r="HFX10">
        <v>83</v>
      </c>
      <c r="HFY10">
        <v>83</v>
      </c>
      <c r="HFZ10">
        <v>83</v>
      </c>
      <c r="HGA10">
        <v>83</v>
      </c>
      <c r="HGB10">
        <v>83</v>
      </c>
      <c r="HGC10">
        <v>83</v>
      </c>
      <c r="HGD10">
        <v>83</v>
      </c>
      <c r="HGE10">
        <v>83</v>
      </c>
      <c r="HGF10">
        <v>83</v>
      </c>
      <c r="HGG10">
        <v>83</v>
      </c>
      <c r="HGH10">
        <v>83</v>
      </c>
      <c r="HGI10">
        <v>83</v>
      </c>
      <c r="HGJ10">
        <v>83</v>
      </c>
      <c r="HGK10">
        <v>83</v>
      </c>
      <c r="HGL10">
        <v>83</v>
      </c>
      <c r="HGM10">
        <v>83</v>
      </c>
      <c r="HGN10">
        <v>83</v>
      </c>
      <c r="HGO10">
        <v>83</v>
      </c>
      <c r="HGP10">
        <v>83</v>
      </c>
      <c r="HGQ10">
        <v>83</v>
      </c>
      <c r="HGR10">
        <v>83</v>
      </c>
      <c r="HGS10">
        <v>83</v>
      </c>
      <c r="HGT10">
        <v>83</v>
      </c>
      <c r="HGU10">
        <v>83</v>
      </c>
      <c r="HGV10">
        <v>83</v>
      </c>
      <c r="HGW10">
        <v>83</v>
      </c>
      <c r="HGX10">
        <v>83</v>
      </c>
      <c r="HGY10">
        <v>83</v>
      </c>
      <c r="HGZ10">
        <v>83</v>
      </c>
      <c r="HHA10">
        <v>83</v>
      </c>
      <c r="HHB10">
        <v>83</v>
      </c>
      <c r="HIK10">
        <v>84</v>
      </c>
      <c r="HIL10">
        <v>84</v>
      </c>
      <c r="HIM10">
        <v>84</v>
      </c>
      <c r="HIN10">
        <v>84</v>
      </c>
      <c r="HIO10">
        <v>84</v>
      </c>
      <c r="HIP10">
        <v>84</v>
      </c>
      <c r="HNO10">
        <v>85</v>
      </c>
      <c r="HNP10">
        <v>85</v>
      </c>
      <c r="HNQ10">
        <v>85</v>
      </c>
      <c r="HNR10">
        <v>85</v>
      </c>
      <c r="HNS10">
        <v>85</v>
      </c>
      <c r="HNT10">
        <v>85</v>
      </c>
      <c r="HNU10">
        <v>85</v>
      </c>
      <c r="HNV10">
        <v>85</v>
      </c>
      <c r="HNW10">
        <v>85</v>
      </c>
      <c r="HUX10">
        <v>86</v>
      </c>
      <c r="HUY10">
        <v>86</v>
      </c>
      <c r="HUZ10">
        <v>86</v>
      </c>
      <c r="HVJ10">
        <v>87</v>
      </c>
      <c r="HVK10">
        <v>87</v>
      </c>
      <c r="HVL10">
        <v>87</v>
      </c>
      <c r="HVM10">
        <v>87</v>
      </c>
      <c r="HWI10">
        <v>88</v>
      </c>
      <c r="HWJ10">
        <v>88</v>
      </c>
      <c r="HWK10">
        <v>88</v>
      </c>
      <c r="HWL10">
        <v>88</v>
      </c>
      <c r="HWM10">
        <v>88</v>
      </c>
      <c r="HWN10">
        <v>88</v>
      </c>
      <c r="IAA10">
        <v>89</v>
      </c>
      <c r="IAB10">
        <v>89</v>
      </c>
      <c r="IAC10">
        <v>89</v>
      </c>
      <c r="IAD10">
        <v>89</v>
      </c>
      <c r="IAE10">
        <v>89</v>
      </c>
      <c r="IAF10">
        <v>89</v>
      </c>
      <c r="IAG10">
        <v>89</v>
      </c>
      <c r="IAH10">
        <v>89</v>
      </c>
      <c r="IAI10">
        <v>89</v>
      </c>
      <c r="IAJ10">
        <v>89</v>
      </c>
      <c r="IAK10">
        <v>89</v>
      </c>
      <c r="IAL10">
        <v>89</v>
      </c>
      <c r="IAM10">
        <v>89</v>
      </c>
      <c r="IAN10">
        <v>89</v>
      </c>
      <c r="IAO10">
        <v>89</v>
      </c>
      <c r="IAP10">
        <v>89</v>
      </c>
      <c r="IAQ10">
        <v>89</v>
      </c>
      <c r="IAR10">
        <v>89</v>
      </c>
      <c r="IAS10">
        <v>89</v>
      </c>
      <c r="IAT10">
        <v>89</v>
      </c>
      <c r="IAU10">
        <v>89</v>
      </c>
      <c r="IAV10">
        <v>89</v>
      </c>
      <c r="IAW10">
        <v>89</v>
      </c>
      <c r="IAX10">
        <v>89</v>
      </c>
      <c r="IAY10">
        <v>89</v>
      </c>
      <c r="IAZ10">
        <v>89</v>
      </c>
      <c r="IBA10">
        <v>89</v>
      </c>
      <c r="IBB10">
        <v>89</v>
      </c>
      <c r="IBC10">
        <v>89</v>
      </c>
      <c r="IBD10">
        <v>89</v>
      </c>
      <c r="IBE10">
        <v>89</v>
      </c>
      <c r="IBF10">
        <v>89</v>
      </c>
      <c r="IBG10">
        <v>89</v>
      </c>
      <c r="IBH10">
        <v>89</v>
      </c>
      <c r="IBI10">
        <v>89</v>
      </c>
      <c r="IBJ10">
        <v>89</v>
      </c>
      <c r="ICI10">
        <v>90</v>
      </c>
      <c r="ICJ10">
        <v>90</v>
      </c>
      <c r="ICK10">
        <v>90</v>
      </c>
      <c r="ICL10">
        <v>90</v>
      </c>
      <c r="ICM10">
        <v>90</v>
      </c>
      <c r="ICN10">
        <v>90</v>
      </c>
      <c r="ICO10">
        <v>90</v>
      </c>
      <c r="ICP10">
        <v>90</v>
      </c>
      <c r="ICQ10">
        <v>90</v>
      </c>
      <c r="ICR10">
        <v>90</v>
      </c>
      <c r="ICS10">
        <v>90</v>
      </c>
      <c r="IEO10">
        <v>91</v>
      </c>
      <c r="IEP10">
        <v>91</v>
      </c>
      <c r="IEQ10">
        <v>91</v>
      </c>
      <c r="IER10">
        <v>91</v>
      </c>
      <c r="IGL10">
        <v>92</v>
      </c>
      <c r="IGM10">
        <v>92</v>
      </c>
      <c r="IGN10">
        <v>92</v>
      </c>
      <c r="IGO10">
        <v>92</v>
      </c>
      <c r="IGP10">
        <v>92</v>
      </c>
      <c r="IGQ10">
        <v>92</v>
      </c>
      <c r="IGR10">
        <v>92</v>
      </c>
      <c r="IGS10">
        <v>92</v>
      </c>
      <c r="IGT10">
        <v>92</v>
      </c>
      <c r="IGU10">
        <v>92</v>
      </c>
      <c r="IGV10">
        <v>92</v>
      </c>
      <c r="IGW10">
        <v>92</v>
      </c>
      <c r="IGX10">
        <v>92</v>
      </c>
      <c r="IGY10">
        <v>92</v>
      </c>
      <c r="IGZ10">
        <v>92</v>
      </c>
      <c r="IHA10">
        <v>92</v>
      </c>
      <c r="IHB10">
        <v>92</v>
      </c>
      <c r="IHC10">
        <v>92</v>
      </c>
      <c r="IHD10">
        <v>92</v>
      </c>
      <c r="IHE10">
        <v>92</v>
      </c>
      <c r="IHF10">
        <v>92</v>
      </c>
      <c r="IHG10">
        <v>92</v>
      </c>
      <c r="IHH10">
        <v>92</v>
      </c>
      <c r="IHI10">
        <v>92</v>
      </c>
      <c r="IHJ10">
        <v>92</v>
      </c>
      <c r="IHK10">
        <v>92</v>
      </c>
      <c r="IHL10">
        <v>92</v>
      </c>
      <c r="IHM10">
        <v>92</v>
      </c>
      <c r="IHN10">
        <v>92</v>
      </c>
      <c r="IHO10">
        <v>92</v>
      </c>
      <c r="IHP10">
        <v>92</v>
      </c>
      <c r="IHQ10">
        <v>92</v>
      </c>
      <c r="IHR10">
        <v>92</v>
      </c>
      <c r="IHS10">
        <v>92</v>
      </c>
      <c r="IHT10">
        <v>92</v>
      </c>
      <c r="IHU10">
        <v>92</v>
      </c>
      <c r="IHV10">
        <v>92</v>
      </c>
      <c r="IHW10">
        <v>92</v>
      </c>
      <c r="IHX10">
        <v>92</v>
      </c>
      <c r="IHY10">
        <v>92</v>
      </c>
      <c r="IHZ10">
        <v>92</v>
      </c>
      <c r="IIA10">
        <v>92</v>
      </c>
      <c r="IIB10">
        <v>92</v>
      </c>
      <c r="IIC10">
        <v>92</v>
      </c>
      <c r="IID10">
        <v>92</v>
      </c>
      <c r="IIE10">
        <v>92</v>
      </c>
      <c r="IQD10">
        <v>93</v>
      </c>
      <c r="IQE10">
        <v>93</v>
      </c>
      <c r="IQF10">
        <v>93</v>
      </c>
      <c r="IQG10">
        <v>93</v>
      </c>
      <c r="IQH10">
        <v>93</v>
      </c>
      <c r="IQI10">
        <v>93</v>
      </c>
      <c r="IQJ10">
        <v>93</v>
      </c>
      <c r="IQK10">
        <v>93</v>
      </c>
      <c r="IQL10">
        <v>93</v>
      </c>
      <c r="IQM10">
        <v>93</v>
      </c>
      <c r="IQN10">
        <v>93</v>
      </c>
      <c r="IQO10">
        <v>93</v>
      </c>
      <c r="IQP10">
        <v>93</v>
      </c>
      <c r="IQQ10">
        <v>93</v>
      </c>
      <c r="IQR10">
        <v>93</v>
      </c>
      <c r="IQS10">
        <v>93</v>
      </c>
      <c r="IQT10">
        <v>93</v>
      </c>
      <c r="IQU10">
        <v>93</v>
      </c>
      <c r="IRV10">
        <v>94</v>
      </c>
      <c r="IRW10">
        <v>94</v>
      </c>
      <c r="IRX10">
        <v>94</v>
      </c>
      <c r="IRY10">
        <v>94</v>
      </c>
      <c r="IRZ10">
        <v>94</v>
      </c>
      <c r="ISA10">
        <v>94</v>
      </c>
      <c r="ISB10">
        <v>94</v>
      </c>
      <c r="ISC10">
        <v>94</v>
      </c>
      <c r="ISD10">
        <v>94</v>
      </c>
      <c r="ISE10">
        <v>94</v>
      </c>
      <c r="ISF10">
        <v>94</v>
      </c>
      <c r="IVA10">
        <v>95</v>
      </c>
      <c r="IVB10">
        <v>95</v>
      </c>
      <c r="IVC10">
        <v>95</v>
      </c>
      <c r="IVD10">
        <v>95</v>
      </c>
      <c r="IVE10">
        <v>95</v>
      </c>
      <c r="IVF10">
        <v>95</v>
      </c>
      <c r="IVG10">
        <v>95</v>
      </c>
      <c r="IVH10">
        <v>95</v>
      </c>
      <c r="IVI10">
        <v>95</v>
      </c>
      <c r="IVJ10">
        <v>95</v>
      </c>
      <c r="IVK10">
        <v>95</v>
      </c>
      <c r="IVL10">
        <v>95</v>
      </c>
      <c r="IVM10">
        <v>95</v>
      </c>
      <c r="IVN10">
        <v>95</v>
      </c>
      <c r="IVO10">
        <v>95</v>
      </c>
      <c r="IVP10">
        <v>95</v>
      </c>
      <c r="IVQ10">
        <v>95</v>
      </c>
      <c r="IVR10">
        <v>95</v>
      </c>
      <c r="IVS10">
        <v>95</v>
      </c>
      <c r="IVT10">
        <v>95</v>
      </c>
      <c r="IVU10">
        <v>95</v>
      </c>
      <c r="IVV10">
        <v>95</v>
      </c>
      <c r="IVW10">
        <v>95</v>
      </c>
      <c r="IVX10">
        <v>95</v>
      </c>
      <c r="IWQ10">
        <v>96</v>
      </c>
      <c r="IWR10">
        <v>96</v>
      </c>
      <c r="IWS10">
        <v>96</v>
      </c>
      <c r="IWT10">
        <v>96</v>
      </c>
      <c r="IWU10">
        <v>96</v>
      </c>
      <c r="IWV10">
        <v>96</v>
      </c>
      <c r="IWW10">
        <v>96</v>
      </c>
      <c r="IWX10">
        <v>96</v>
      </c>
      <c r="IWY10">
        <v>96</v>
      </c>
      <c r="IWZ10">
        <v>96</v>
      </c>
      <c r="IXU10">
        <v>97</v>
      </c>
      <c r="IXV10">
        <v>97</v>
      </c>
      <c r="IXW10">
        <v>97</v>
      </c>
      <c r="IXX10">
        <v>97</v>
      </c>
      <c r="IXY10">
        <v>97</v>
      </c>
      <c r="IXZ10">
        <v>97</v>
      </c>
      <c r="IYA10">
        <v>97</v>
      </c>
      <c r="IYB10">
        <v>97</v>
      </c>
      <c r="IYC10">
        <v>97</v>
      </c>
      <c r="IYD10">
        <v>97</v>
      </c>
      <c r="IYE10">
        <v>97</v>
      </c>
      <c r="IZD10">
        <v>98</v>
      </c>
      <c r="IZE10">
        <v>98</v>
      </c>
      <c r="IZF10">
        <v>98</v>
      </c>
      <c r="IZG10">
        <v>98</v>
      </c>
      <c r="IZH10">
        <v>98</v>
      </c>
      <c r="JBC10">
        <v>99</v>
      </c>
      <c r="JBD10">
        <v>99</v>
      </c>
      <c r="JBE10">
        <v>99</v>
      </c>
      <c r="JBF10">
        <v>99</v>
      </c>
      <c r="JBG10">
        <v>99</v>
      </c>
      <c r="JBH10">
        <v>99</v>
      </c>
      <c r="JBI10">
        <v>99</v>
      </c>
      <c r="JBJ10">
        <v>99</v>
      </c>
      <c r="JBK10">
        <v>99</v>
      </c>
      <c r="JBL10">
        <v>99</v>
      </c>
      <c r="JBR10">
        <v>100</v>
      </c>
      <c r="JBS10">
        <v>100</v>
      </c>
      <c r="JBT10">
        <v>100</v>
      </c>
      <c r="JBU10">
        <v>100</v>
      </c>
      <c r="JBV10">
        <v>100</v>
      </c>
      <c r="JBW10">
        <v>100</v>
      </c>
      <c r="JBX10">
        <v>100</v>
      </c>
      <c r="JBY10">
        <v>100</v>
      </c>
      <c r="JBZ10">
        <v>100</v>
      </c>
      <c r="JCA10">
        <v>100</v>
      </c>
      <c r="JCB10">
        <v>100</v>
      </c>
      <c r="JCC10">
        <v>100</v>
      </c>
      <c r="JCD10">
        <v>100</v>
      </c>
      <c r="JCE10">
        <v>100</v>
      </c>
      <c r="JCF10">
        <v>100</v>
      </c>
      <c r="JCG10">
        <v>100</v>
      </c>
      <c r="JCH10">
        <v>100</v>
      </c>
      <c r="JCI10">
        <v>100</v>
      </c>
      <c r="JCJ10">
        <v>100</v>
      </c>
      <c r="JCK10">
        <v>100</v>
      </c>
      <c r="JDC10">
        <v>101</v>
      </c>
      <c r="JDD10">
        <v>101</v>
      </c>
      <c r="JDE10">
        <v>101</v>
      </c>
      <c r="JDF10">
        <v>101</v>
      </c>
      <c r="JDG10">
        <v>101</v>
      </c>
      <c r="JDH10">
        <v>101</v>
      </c>
      <c r="JDI10">
        <v>101</v>
      </c>
      <c r="JDJ10">
        <v>101</v>
      </c>
      <c r="JDK10">
        <v>101</v>
      </c>
      <c r="JDL10">
        <v>101</v>
      </c>
      <c r="JDM10">
        <v>101</v>
      </c>
      <c r="JDN10">
        <v>101</v>
      </c>
      <c r="JDO10">
        <v>101</v>
      </c>
      <c r="JDP10">
        <v>101</v>
      </c>
      <c r="JDQ10">
        <v>101</v>
      </c>
      <c r="JDR10">
        <v>101</v>
      </c>
      <c r="JDS10">
        <v>101</v>
      </c>
      <c r="JDT10">
        <v>101</v>
      </c>
      <c r="JDU10">
        <v>101</v>
      </c>
      <c r="JDV10">
        <v>101</v>
      </c>
      <c r="JES10">
        <v>102</v>
      </c>
      <c r="JET10">
        <v>102</v>
      </c>
      <c r="JEU10">
        <v>102</v>
      </c>
      <c r="JEV10">
        <v>102</v>
      </c>
      <c r="JEW10">
        <v>102</v>
      </c>
      <c r="JEX10">
        <v>102</v>
      </c>
      <c r="JEY10">
        <v>102</v>
      </c>
      <c r="JEZ10">
        <v>102</v>
      </c>
      <c r="JFA10">
        <v>102</v>
      </c>
      <c r="JFB10">
        <v>102</v>
      </c>
      <c r="JFC10">
        <v>102</v>
      </c>
      <c r="JFD10">
        <v>102</v>
      </c>
      <c r="JFE10">
        <v>102</v>
      </c>
      <c r="JFF10">
        <v>102</v>
      </c>
      <c r="JFG10">
        <v>102</v>
      </c>
      <c r="JFH10">
        <v>102</v>
      </c>
      <c r="JFI10">
        <v>102</v>
      </c>
      <c r="JFJ10">
        <v>102</v>
      </c>
      <c r="JFK10">
        <v>102</v>
      </c>
      <c r="JFL10">
        <v>102</v>
      </c>
      <c r="JFM10">
        <v>102</v>
      </c>
      <c r="JFN10">
        <v>102</v>
      </c>
      <c r="JFO10">
        <v>102</v>
      </c>
      <c r="JFP10">
        <v>102</v>
      </c>
      <c r="JFQ10">
        <v>102</v>
      </c>
      <c r="JFR10">
        <v>102</v>
      </c>
      <c r="JGS10">
        <v>103</v>
      </c>
      <c r="JGT10">
        <v>103</v>
      </c>
      <c r="JGU10">
        <v>103</v>
      </c>
      <c r="JGV10">
        <v>103</v>
      </c>
      <c r="JGW10">
        <v>103</v>
      </c>
      <c r="JGX10">
        <v>103</v>
      </c>
      <c r="JGY10">
        <v>103</v>
      </c>
      <c r="JGZ10">
        <v>103</v>
      </c>
      <c r="JHA10">
        <v>103</v>
      </c>
      <c r="JHB10">
        <v>103</v>
      </c>
      <c r="JHC10">
        <v>103</v>
      </c>
      <c r="JHD10">
        <v>103</v>
      </c>
      <c r="JHE10">
        <v>103</v>
      </c>
      <c r="JHF10">
        <v>103</v>
      </c>
      <c r="JHG10">
        <v>103</v>
      </c>
      <c r="JHH10">
        <v>103</v>
      </c>
      <c r="JHI10">
        <v>103</v>
      </c>
      <c r="JHJ10">
        <v>103</v>
      </c>
      <c r="JHK10">
        <v>103</v>
      </c>
      <c r="JHL10">
        <v>103</v>
      </c>
      <c r="JHM10">
        <v>103</v>
      </c>
      <c r="JHN10">
        <v>103</v>
      </c>
      <c r="JHO10">
        <v>103</v>
      </c>
      <c r="JHP10">
        <v>103</v>
      </c>
      <c r="JHQ10">
        <v>103</v>
      </c>
      <c r="JHR10">
        <v>103</v>
      </c>
      <c r="JHS10">
        <v>103</v>
      </c>
      <c r="JHT10">
        <v>103</v>
      </c>
      <c r="JHU10">
        <v>103</v>
      </c>
      <c r="JHV10">
        <v>103</v>
      </c>
      <c r="JHW10">
        <v>103</v>
      </c>
      <c r="JIN10">
        <v>104</v>
      </c>
      <c r="JIO10">
        <v>104</v>
      </c>
      <c r="JIP10">
        <v>104</v>
      </c>
      <c r="JIQ10">
        <v>104</v>
      </c>
      <c r="JIR10">
        <v>104</v>
      </c>
      <c r="JIS10">
        <v>104</v>
      </c>
      <c r="JIT10">
        <v>104</v>
      </c>
      <c r="JIU10">
        <v>104</v>
      </c>
      <c r="JKK10">
        <v>105</v>
      </c>
      <c r="JKL10">
        <v>105</v>
      </c>
      <c r="JKM10">
        <v>105</v>
      </c>
      <c r="JKN10">
        <v>105</v>
      </c>
      <c r="JKO10">
        <v>105</v>
      </c>
      <c r="JOM10">
        <v>106</v>
      </c>
      <c r="JON10">
        <v>106</v>
      </c>
      <c r="JOO10">
        <v>106</v>
      </c>
      <c r="JOP10">
        <v>106</v>
      </c>
      <c r="JOQ10">
        <v>106</v>
      </c>
      <c r="JOR10">
        <v>106</v>
      </c>
      <c r="JOS10">
        <v>106</v>
      </c>
      <c r="JOT10">
        <v>106</v>
      </c>
      <c r="JPE10">
        <v>107</v>
      </c>
      <c r="JPF10">
        <v>107</v>
      </c>
      <c r="JPG10">
        <v>107</v>
      </c>
      <c r="JPH10">
        <v>107</v>
      </c>
      <c r="JPI10">
        <v>107</v>
      </c>
      <c r="JPJ10">
        <v>107</v>
      </c>
      <c r="JPK10">
        <v>107</v>
      </c>
      <c r="JPL10">
        <v>107</v>
      </c>
      <c r="JPM10">
        <v>107</v>
      </c>
      <c r="JPN10">
        <v>107</v>
      </c>
      <c r="JPO10">
        <v>107</v>
      </c>
      <c r="JPP10">
        <v>107</v>
      </c>
      <c r="JPQ10">
        <v>107</v>
      </c>
      <c r="JPR10">
        <v>107</v>
      </c>
      <c r="JPS10">
        <v>107</v>
      </c>
      <c r="JPT10">
        <v>107</v>
      </c>
      <c r="JPU10">
        <v>107</v>
      </c>
      <c r="JPV10">
        <v>107</v>
      </c>
      <c r="JPW10">
        <v>107</v>
      </c>
      <c r="JPX10">
        <v>107</v>
      </c>
      <c r="JPY10">
        <v>107</v>
      </c>
      <c r="JPZ10">
        <v>107</v>
      </c>
      <c r="JQA10">
        <v>107</v>
      </c>
      <c r="JQB10">
        <v>107</v>
      </c>
      <c r="JQC10">
        <v>107</v>
      </c>
      <c r="JQD10">
        <v>107</v>
      </c>
      <c r="JQE10">
        <v>107</v>
      </c>
      <c r="JQF10">
        <v>107</v>
      </c>
      <c r="JQG10">
        <v>107</v>
      </c>
      <c r="JQH10">
        <v>107</v>
      </c>
      <c r="JQI10">
        <v>107</v>
      </c>
      <c r="JQJ10">
        <v>107</v>
      </c>
      <c r="JQK10">
        <v>107</v>
      </c>
      <c r="JQL10">
        <v>107</v>
      </c>
      <c r="JQM10">
        <v>107</v>
      </c>
      <c r="JQN10">
        <v>107</v>
      </c>
      <c r="JQO10">
        <v>107</v>
      </c>
      <c r="JQP10">
        <v>107</v>
      </c>
      <c r="JQQ10">
        <v>107</v>
      </c>
      <c r="JQR10">
        <v>107</v>
      </c>
      <c r="JQS10">
        <v>107</v>
      </c>
      <c r="JQT10">
        <v>107</v>
      </c>
      <c r="JQU10">
        <v>107</v>
      </c>
      <c r="JQV10">
        <v>107</v>
      </c>
      <c r="JQW10">
        <v>107</v>
      </c>
      <c r="JQX10">
        <v>107</v>
      </c>
      <c r="JQY10">
        <v>107</v>
      </c>
      <c r="JQZ10">
        <v>107</v>
      </c>
      <c r="JRA10">
        <v>107</v>
      </c>
      <c r="JRB10">
        <v>107</v>
      </c>
      <c r="JRC10">
        <v>107</v>
      </c>
      <c r="JRD10">
        <v>107</v>
      </c>
      <c r="JRE10">
        <v>107</v>
      </c>
      <c r="JRF10">
        <v>107</v>
      </c>
      <c r="JRG10">
        <v>107</v>
      </c>
      <c r="JRH10">
        <v>107</v>
      </c>
      <c r="JRI10">
        <v>107</v>
      </c>
      <c r="JRJ10">
        <v>107</v>
      </c>
      <c r="JRK10">
        <v>107</v>
      </c>
      <c r="JRL10">
        <v>107</v>
      </c>
      <c r="JRM10">
        <v>107</v>
      </c>
      <c r="JRN10">
        <v>107</v>
      </c>
      <c r="JRO10">
        <v>107</v>
      </c>
      <c r="JRP10">
        <v>107</v>
      </c>
      <c r="JRQ10">
        <v>107</v>
      </c>
      <c r="JRR10">
        <v>107</v>
      </c>
      <c r="JRS10">
        <v>107</v>
      </c>
      <c r="JRT10">
        <v>107</v>
      </c>
      <c r="JRU10">
        <v>107</v>
      </c>
      <c r="JRV10">
        <v>107</v>
      </c>
      <c r="JRW10">
        <v>107</v>
      </c>
      <c r="JRX10">
        <v>107</v>
      </c>
      <c r="JRY10">
        <v>107</v>
      </c>
      <c r="JRZ10">
        <v>107</v>
      </c>
      <c r="JSA10">
        <v>107</v>
      </c>
      <c r="JSB10">
        <v>107</v>
      </c>
      <c r="JSC10">
        <v>107</v>
      </c>
      <c r="KBN10">
        <v>108</v>
      </c>
      <c r="KBO10">
        <v>108</v>
      </c>
      <c r="KBP10">
        <v>108</v>
      </c>
      <c r="KBQ10">
        <v>108</v>
      </c>
      <c r="KBR10">
        <v>108</v>
      </c>
      <c r="KBS10">
        <v>108</v>
      </c>
      <c r="KBT10">
        <v>108</v>
      </c>
      <c r="KBU10">
        <v>108</v>
      </c>
      <c r="KBV10">
        <v>108</v>
      </c>
      <c r="KBW10">
        <v>108</v>
      </c>
      <c r="KBX10">
        <v>108</v>
      </c>
      <c r="KBY10">
        <v>108</v>
      </c>
      <c r="KBZ10">
        <v>108</v>
      </c>
      <c r="KCA10">
        <v>108</v>
      </c>
      <c r="KCB10">
        <v>108</v>
      </c>
      <c r="KCC10">
        <v>108</v>
      </c>
      <c r="KFW10" s="1">
        <f t="shared" si="0"/>
        <v>18</v>
      </c>
      <c r="KFX10">
        <f t="shared" si="1"/>
        <v>3</v>
      </c>
      <c r="KFY10">
        <f t="shared" si="2"/>
        <v>26</v>
      </c>
      <c r="KFZ10">
        <f t="shared" si="3"/>
        <v>14</v>
      </c>
      <c r="KGA10">
        <f t="shared" si="4"/>
        <v>19</v>
      </c>
      <c r="KGB10">
        <f t="shared" si="5"/>
        <v>26</v>
      </c>
      <c r="KGC10">
        <f t="shared" si="6"/>
        <v>85</v>
      </c>
      <c r="KGD10">
        <f t="shared" si="7"/>
        <v>7</v>
      </c>
      <c r="KGE10">
        <f t="shared" si="8"/>
        <v>31</v>
      </c>
      <c r="KGF10">
        <f t="shared" si="9"/>
        <v>22</v>
      </c>
      <c r="KGG10">
        <f t="shared" si="10"/>
        <v>3</v>
      </c>
      <c r="KGH10">
        <f t="shared" si="11"/>
        <v>79</v>
      </c>
      <c r="KGI10">
        <f t="shared" si="12"/>
        <v>27</v>
      </c>
      <c r="KGJ10">
        <f t="shared" si="13"/>
        <v>20</v>
      </c>
      <c r="KGK10">
        <f t="shared" si="14"/>
        <v>51</v>
      </c>
      <c r="KGL10">
        <f t="shared" si="15"/>
        <v>16</v>
      </c>
      <c r="KGM10">
        <f t="shared" si="16"/>
        <v>37</v>
      </c>
      <c r="KGN10">
        <f t="shared" si="17"/>
        <v>12</v>
      </c>
      <c r="KGO10">
        <f t="shared" si="18"/>
        <v>58</v>
      </c>
      <c r="KGP10">
        <f t="shared" si="19"/>
        <v>6</v>
      </c>
      <c r="KGQ10">
        <f t="shared" si="20"/>
        <v>58</v>
      </c>
      <c r="KGR10">
        <f t="shared" si="21"/>
        <v>5</v>
      </c>
      <c r="KGS10">
        <f t="shared" si="22"/>
        <v>12</v>
      </c>
      <c r="KGT10">
        <f t="shared" si="23"/>
        <v>53</v>
      </c>
      <c r="KGU10">
        <f t="shared" si="24"/>
        <v>30</v>
      </c>
      <c r="KGV10">
        <f t="shared" si="25"/>
        <v>19</v>
      </c>
      <c r="KGW10">
        <f t="shared" si="26"/>
        <v>11</v>
      </c>
      <c r="KGX10">
        <f t="shared" si="27"/>
        <v>8</v>
      </c>
      <c r="KGY10">
        <f t="shared" si="28"/>
        <v>24</v>
      </c>
      <c r="KGZ10">
        <f t="shared" si="29"/>
        <v>36</v>
      </c>
      <c r="KHA10">
        <f t="shared" si="30"/>
        <v>11</v>
      </c>
      <c r="KHB10">
        <f t="shared" si="31"/>
        <v>62</v>
      </c>
      <c r="KHC10">
        <f t="shared" si="32"/>
        <v>8</v>
      </c>
      <c r="KHD10">
        <f t="shared" si="33"/>
        <v>59</v>
      </c>
      <c r="KHE10">
        <f t="shared" si="34"/>
        <v>59</v>
      </c>
      <c r="KHF10">
        <f t="shared" si="35"/>
        <v>14</v>
      </c>
      <c r="KHG10">
        <f t="shared" si="36"/>
        <v>54</v>
      </c>
      <c r="KHH10">
        <f t="shared" si="37"/>
        <v>24</v>
      </c>
      <c r="KHI10">
        <f t="shared" si="38"/>
        <v>17</v>
      </c>
      <c r="KHJ10">
        <f t="shared" si="39"/>
        <v>10</v>
      </c>
      <c r="KHK10">
        <f t="shared" si="40"/>
        <v>23</v>
      </c>
      <c r="KHL10">
        <f t="shared" si="41"/>
        <v>58</v>
      </c>
      <c r="KHM10">
        <f t="shared" si="42"/>
        <v>16</v>
      </c>
      <c r="KHN10">
        <f t="shared" si="43"/>
        <v>49</v>
      </c>
      <c r="KHO10">
        <f t="shared" si="44"/>
        <v>11</v>
      </c>
      <c r="KHP10">
        <f t="shared" si="45"/>
        <v>14</v>
      </c>
      <c r="KHQ10">
        <f t="shared" si="46"/>
        <v>13</v>
      </c>
      <c r="KHR10">
        <f t="shared" si="47"/>
        <v>23</v>
      </c>
      <c r="KHS10">
        <f t="shared" si="48"/>
        <v>4</v>
      </c>
      <c r="KHT10">
        <f t="shared" si="49"/>
        <v>8</v>
      </c>
      <c r="KHU10">
        <f t="shared" si="50"/>
        <v>13</v>
      </c>
      <c r="KHV10">
        <f t="shared" si="51"/>
        <v>26</v>
      </c>
      <c r="KHW10">
        <f t="shared" si="52"/>
        <v>20</v>
      </c>
      <c r="KHX10">
        <f t="shared" si="53"/>
        <v>20</v>
      </c>
      <c r="KHY10">
        <f t="shared" si="54"/>
        <v>9</v>
      </c>
      <c r="KHZ10">
        <f t="shared" si="55"/>
        <v>24</v>
      </c>
      <c r="KIA10">
        <f t="shared" si="56"/>
        <v>7</v>
      </c>
      <c r="KIB10">
        <f t="shared" si="57"/>
        <v>12</v>
      </c>
      <c r="KIC10">
        <f t="shared" si="58"/>
        <v>32</v>
      </c>
      <c r="KID10">
        <f t="shared" si="59"/>
        <v>22</v>
      </c>
      <c r="KIE10">
        <f t="shared" si="60"/>
        <v>9</v>
      </c>
      <c r="KIF10">
        <f t="shared" si="61"/>
        <v>8</v>
      </c>
      <c r="KIG10">
        <f t="shared" si="62"/>
        <v>21</v>
      </c>
      <c r="KIH10">
        <f t="shared" si="63"/>
        <v>44</v>
      </c>
      <c r="KII10" s="1">
        <f t="shared" si="64"/>
        <v>9</v>
      </c>
      <c r="KIJ10" s="1">
        <f t="shared" si="65"/>
        <v>5</v>
      </c>
      <c r="KIK10" s="1">
        <f t="shared" si="66"/>
        <v>6</v>
      </c>
      <c r="KIL10" s="1">
        <f t="shared" si="67"/>
        <v>54</v>
      </c>
      <c r="KIM10" s="1">
        <f t="shared" si="68"/>
        <v>11</v>
      </c>
      <c r="KIN10" s="1">
        <f t="shared" si="69"/>
        <v>8</v>
      </c>
      <c r="KIO10" s="1">
        <f t="shared" si="70"/>
        <v>27</v>
      </c>
      <c r="KIP10" s="1">
        <f t="shared" si="71"/>
        <v>11</v>
      </c>
      <c r="KIQ10" s="1">
        <f t="shared" si="72"/>
        <v>4</v>
      </c>
      <c r="KIR10" s="1">
        <f t="shared" si="73"/>
        <v>18</v>
      </c>
      <c r="KIS10" s="1">
        <f t="shared" si="74"/>
        <v>12</v>
      </c>
      <c r="KIT10" s="1">
        <f t="shared" si="75"/>
        <v>6</v>
      </c>
      <c r="KIU10" s="1">
        <f t="shared" si="76"/>
        <v>8</v>
      </c>
      <c r="KIV10" s="1">
        <f t="shared" si="77"/>
        <v>4</v>
      </c>
      <c r="KIW10" s="1">
        <f t="shared" si="78"/>
        <v>11</v>
      </c>
      <c r="KIX10" s="1">
        <f t="shared" si="79"/>
        <v>33</v>
      </c>
      <c r="KIY10" s="1">
        <f t="shared" si="80"/>
        <v>5</v>
      </c>
      <c r="KIZ10" s="1">
        <f t="shared" si="81"/>
        <v>13</v>
      </c>
      <c r="KJA10" s="1">
        <f t="shared" si="82"/>
        <v>41</v>
      </c>
      <c r="KJB10" s="1">
        <f t="shared" si="83"/>
        <v>6</v>
      </c>
      <c r="KJC10" s="1">
        <f t="shared" si="84"/>
        <v>9</v>
      </c>
      <c r="KJD10" s="1">
        <f t="shared" si="85"/>
        <v>3</v>
      </c>
      <c r="KJE10" s="1">
        <f t="shared" si="86"/>
        <v>4</v>
      </c>
      <c r="KJF10" s="1">
        <f t="shared" si="87"/>
        <v>6</v>
      </c>
      <c r="KJG10" s="1">
        <f t="shared" si="88"/>
        <v>36</v>
      </c>
      <c r="KJH10" s="1">
        <f t="shared" si="89"/>
        <v>11</v>
      </c>
      <c r="KJI10" s="1">
        <f t="shared" si="90"/>
        <v>4</v>
      </c>
      <c r="KJJ10" s="1">
        <f t="shared" si="91"/>
        <v>46</v>
      </c>
      <c r="KJK10" s="1">
        <f t="shared" si="92"/>
        <v>18</v>
      </c>
      <c r="KJL10" s="1">
        <f t="shared" si="93"/>
        <v>11</v>
      </c>
      <c r="KJM10" s="1">
        <f t="shared" si="94"/>
        <v>24</v>
      </c>
      <c r="KJN10" s="1">
        <f t="shared" si="95"/>
        <v>10</v>
      </c>
      <c r="KJO10" s="1">
        <f t="shared" si="96"/>
        <v>11</v>
      </c>
      <c r="KJP10" s="1">
        <f t="shared" si="97"/>
        <v>5</v>
      </c>
      <c r="KJQ10" s="1">
        <f t="shared" si="98"/>
        <v>10</v>
      </c>
      <c r="KJR10" s="1">
        <f t="shared" si="99"/>
        <v>20</v>
      </c>
      <c r="KJS10" s="1"/>
      <c r="KJT10">
        <f t="shared" si="100"/>
        <v>2140</v>
      </c>
      <c r="KJV10">
        <f t="shared" si="100"/>
        <v>2140</v>
      </c>
      <c r="KJW10" s="1">
        <f t="shared" si="101"/>
        <v>85.6</v>
      </c>
      <c r="KJX10" s="1"/>
      <c r="KJY10" s="1">
        <f t="shared" si="101"/>
        <v>85.6</v>
      </c>
    </row>
    <row r="11" spans="1:7721" ht="13.2" customHeight="1">
      <c r="A11" t="s">
        <v>6</v>
      </c>
      <c r="B11">
        <v>15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MK11">
        <v>2</v>
      </c>
      <c r="ML11">
        <v>2</v>
      </c>
      <c r="MM11">
        <v>2</v>
      </c>
      <c r="MN11">
        <v>2</v>
      </c>
      <c r="MO11">
        <v>2</v>
      </c>
      <c r="MP11">
        <v>2</v>
      </c>
      <c r="MQ11">
        <v>2</v>
      </c>
      <c r="MR11">
        <v>2</v>
      </c>
      <c r="MS11">
        <v>2</v>
      </c>
      <c r="MT11">
        <v>2</v>
      </c>
      <c r="MU11">
        <v>2</v>
      </c>
      <c r="MV11">
        <v>2</v>
      </c>
      <c r="MW11">
        <v>2</v>
      </c>
      <c r="MX11">
        <v>2</v>
      </c>
      <c r="MY11">
        <v>2</v>
      </c>
      <c r="MZ11">
        <v>2</v>
      </c>
      <c r="NA11">
        <v>2</v>
      </c>
      <c r="NB11">
        <v>2</v>
      </c>
      <c r="NC11">
        <v>2</v>
      </c>
      <c r="ND11">
        <v>2</v>
      </c>
      <c r="NE11">
        <v>2</v>
      </c>
      <c r="NF11">
        <v>2</v>
      </c>
      <c r="NG11">
        <v>2</v>
      </c>
      <c r="NH11">
        <v>2</v>
      </c>
      <c r="NI11">
        <v>2</v>
      </c>
      <c r="NJ11">
        <v>2</v>
      </c>
      <c r="NK11">
        <v>2</v>
      </c>
      <c r="NL11">
        <v>2</v>
      </c>
      <c r="NM11">
        <v>2</v>
      </c>
      <c r="NN11">
        <v>2</v>
      </c>
      <c r="NO11">
        <v>2</v>
      </c>
      <c r="NP11">
        <v>2</v>
      </c>
      <c r="NQ11">
        <v>2</v>
      </c>
      <c r="NR11">
        <v>2</v>
      </c>
      <c r="NS11">
        <v>2</v>
      </c>
      <c r="NT11">
        <v>2</v>
      </c>
      <c r="NU11">
        <v>2</v>
      </c>
      <c r="NV11">
        <v>2</v>
      </c>
      <c r="NW11">
        <v>2</v>
      </c>
      <c r="NX11">
        <v>2</v>
      </c>
      <c r="NY11">
        <v>2</v>
      </c>
      <c r="NZ11">
        <v>2</v>
      </c>
      <c r="OA11">
        <v>2</v>
      </c>
      <c r="OB11">
        <v>2</v>
      </c>
      <c r="OC11">
        <v>2</v>
      </c>
      <c r="OD11">
        <v>2</v>
      </c>
      <c r="OE11">
        <v>2</v>
      </c>
      <c r="OF11">
        <v>2</v>
      </c>
      <c r="OG11">
        <v>2</v>
      </c>
      <c r="OH11">
        <v>2</v>
      </c>
      <c r="OI11">
        <v>2</v>
      </c>
      <c r="OJ11">
        <v>2</v>
      </c>
      <c r="OK11">
        <v>2</v>
      </c>
      <c r="OL11">
        <v>2</v>
      </c>
      <c r="OM11">
        <v>2</v>
      </c>
      <c r="ON11">
        <v>2</v>
      </c>
      <c r="OO11">
        <v>2</v>
      </c>
      <c r="BBX11">
        <v>3</v>
      </c>
      <c r="BBY11">
        <v>3</v>
      </c>
      <c r="BBZ11">
        <v>3</v>
      </c>
      <c r="BCA11">
        <v>3</v>
      </c>
      <c r="BCB11">
        <v>3</v>
      </c>
      <c r="BCC11">
        <v>3</v>
      </c>
      <c r="BCD11">
        <v>3</v>
      </c>
      <c r="BCE11">
        <v>3</v>
      </c>
      <c r="BCF11">
        <v>3</v>
      </c>
      <c r="BCG11">
        <v>3</v>
      </c>
      <c r="BCH11">
        <v>3</v>
      </c>
      <c r="BCI11">
        <v>3</v>
      </c>
      <c r="BCJ11">
        <v>3</v>
      </c>
      <c r="BCK11">
        <v>3</v>
      </c>
      <c r="BCL11">
        <v>3</v>
      </c>
      <c r="BCM11">
        <v>3</v>
      </c>
      <c r="BCN11">
        <v>3</v>
      </c>
      <c r="BCO11">
        <v>3</v>
      </c>
      <c r="BCP11">
        <v>3</v>
      </c>
      <c r="BCQ11">
        <v>3</v>
      </c>
      <c r="BCR11">
        <v>3</v>
      </c>
      <c r="BCS11">
        <v>3</v>
      </c>
      <c r="BCT11">
        <v>3</v>
      </c>
      <c r="BCU11">
        <v>3</v>
      </c>
      <c r="BCV11">
        <v>3</v>
      </c>
      <c r="BCW11">
        <v>3</v>
      </c>
      <c r="BCX11">
        <v>3</v>
      </c>
      <c r="BCY11">
        <v>3</v>
      </c>
      <c r="BCZ11">
        <v>3</v>
      </c>
      <c r="BDA11">
        <v>3</v>
      </c>
      <c r="BDB11">
        <v>3</v>
      </c>
      <c r="BDC11">
        <v>3</v>
      </c>
      <c r="BDD11">
        <v>3</v>
      </c>
      <c r="BDE11">
        <v>3</v>
      </c>
      <c r="BDF11">
        <v>3</v>
      </c>
      <c r="BDG11">
        <v>3</v>
      </c>
      <c r="BDH11">
        <v>3</v>
      </c>
      <c r="BDI11">
        <v>3</v>
      </c>
      <c r="BDJ11">
        <v>3</v>
      </c>
      <c r="BDK11">
        <v>3</v>
      </c>
      <c r="BDL11">
        <v>3</v>
      </c>
      <c r="BDM11">
        <v>3</v>
      </c>
      <c r="BDN11">
        <v>3</v>
      </c>
      <c r="BDO11">
        <v>3</v>
      </c>
      <c r="BDP11">
        <v>3</v>
      </c>
      <c r="BDQ11">
        <v>3</v>
      </c>
      <c r="BDR11">
        <v>3</v>
      </c>
      <c r="BDS11">
        <v>3</v>
      </c>
      <c r="BDT11">
        <v>3</v>
      </c>
      <c r="BDU11">
        <v>3</v>
      </c>
      <c r="BDV11">
        <v>3</v>
      </c>
      <c r="BDW11">
        <v>3</v>
      </c>
      <c r="BDX11">
        <v>3</v>
      </c>
      <c r="BDY11">
        <v>3</v>
      </c>
      <c r="BDZ11">
        <v>3</v>
      </c>
      <c r="CRB11">
        <v>4</v>
      </c>
      <c r="CRC11">
        <v>4</v>
      </c>
      <c r="CRD11">
        <v>4</v>
      </c>
      <c r="CRE11">
        <v>4</v>
      </c>
      <c r="CRF11">
        <v>4</v>
      </c>
      <c r="CRG11">
        <v>4</v>
      </c>
      <c r="CRH11">
        <v>4</v>
      </c>
      <c r="CRI11">
        <v>4</v>
      </c>
      <c r="CRJ11">
        <v>4</v>
      </c>
      <c r="CRK11">
        <v>4</v>
      </c>
      <c r="CRL11">
        <v>4</v>
      </c>
      <c r="CRM11">
        <v>4</v>
      </c>
      <c r="CRN11">
        <v>4</v>
      </c>
      <c r="CRO11">
        <v>4</v>
      </c>
      <c r="CRP11">
        <v>4</v>
      </c>
      <c r="CRQ11">
        <v>4</v>
      </c>
      <c r="CRR11">
        <v>4</v>
      </c>
      <c r="CRS11">
        <v>4</v>
      </c>
      <c r="CRT11">
        <v>4</v>
      </c>
      <c r="CRU11">
        <v>4</v>
      </c>
      <c r="CRV11">
        <v>4</v>
      </c>
      <c r="CRW11">
        <v>4</v>
      </c>
      <c r="CRX11">
        <v>4</v>
      </c>
      <c r="CRY11">
        <v>4</v>
      </c>
      <c r="CRZ11">
        <v>4</v>
      </c>
      <c r="CSA11">
        <v>4</v>
      </c>
      <c r="CSB11">
        <v>4</v>
      </c>
      <c r="CSC11">
        <v>4</v>
      </c>
      <c r="CSD11">
        <v>4</v>
      </c>
      <c r="CSE11">
        <v>4</v>
      </c>
      <c r="CSF11">
        <v>4</v>
      </c>
      <c r="CSG11">
        <v>4</v>
      </c>
      <c r="CSH11">
        <v>4</v>
      </c>
      <c r="CSI11">
        <v>4</v>
      </c>
      <c r="CSJ11">
        <v>4</v>
      </c>
      <c r="CSK11">
        <v>4</v>
      </c>
      <c r="CSL11">
        <v>4</v>
      </c>
      <c r="CSM11">
        <v>4</v>
      </c>
      <c r="CSN11">
        <v>4</v>
      </c>
      <c r="CSO11">
        <v>4</v>
      </c>
      <c r="CSP11">
        <v>4</v>
      </c>
      <c r="CSQ11">
        <v>4</v>
      </c>
      <c r="CSR11">
        <v>4</v>
      </c>
      <c r="CSS11">
        <v>4</v>
      </c>
      <c r="CST11">
        <v>4</v>
      </c>
      <c r="CSU11">
        <v>4</v>
      </c>
      <c r="CSV11">
        <v>4</v>
      </c>
      <c r="CSW11">
        <v>4</v>
      </c>
      <c r="CSX11">
        <v>4</v>
      </c>
      <c r="CSY11">
        <v>4</v>
      </c>
      <c r="CSZ11">
        <v>4</v>
      </c>
      <c r="CTA11">
        <v>4</v>
      </c>
      <c r="CTB11">
        <v>4</v>
      </c>
      <c r="CTC11">
        <v>4</v>
      </c>
      <c r="CTD11">
        <v>4</v>
      </c>
      <c r="CTE11">
        <v>4</v>
      </c>
      <c r="CTF11">
        <v>4</v>
      </c>
      <c r="CTG11">
        <v>4</v>
      </c>
      <c r="CTH11">
        <v>4</v>
      </c>
      <c r="CTI11">
        <v>4</v>
      </c>
      <c r="CTJ11">
        <v>4</v>
      </c>
      <c r="CTK11">
        <v>4</v>
      </c>
      <c r="DSP11">
        <v>5</v>
      </c>
      <c r="DSQ11">
        <v>5</v>
      </c>
      <c r="DSR11">
        <v>5</v>
      </c>
      <c r="DSS11">
        <v>5</v>
      </c>
      <c r="DST11">
        <v>5</v>
      </c>
      <c r="DSU11">
        <v>5</v>
      </c>
      <c r="DSV11">
        <v>5</v>
      </c>
      <c r="DSW11">
        <v>5</v>
      </c>
      <c r="DSX11">
        <v>5</v>
      </c>
      <c r="DSY11">
        <v>5</v>
      </c>
      <c r="DSZ11">
        <v>5</v>
      </c>
      <c r="DTA11">
        <v>5</v>
      </c>
      <c r="DTB11">
        <v>5</v>
      </c>
      <c r="DTC11">
        <v>5</v>
      </c>
      <c r="DTD11">
        <v>5</v>
      </c>
      <c r="DTE11">
        <v>5</v>
      </c>
      <c r="DTF11">
        <v>5</v>
      </c>
      <c r="DTG11">
        <v>5</v>
      </c>
      <c r="DTH11">
        <v>5</v>
      </c>
      <c r="DUL11">
        <v>6</v>
      </c>
      <c r="DUM11">
        <v>6</v>
      </c>
      <c r="DUN11">
        <v>6</v>
      </c>
      <c r="DUO11">
        <v>6</v>
      </c>
      <c r="DUP11">
        <v>6</v>
      </c>
      <c r="DUQ11">
        <v>6</v>
      </c>
      <c r="DUR11">
        <v>6</v>
      </c>
      <c r="DUS11">
        <v>6</v>
      </c>
      <c r="DUT11">
        <v>6</v>
      </c>
      <c r="DUU11">
        <v>6</v>
      </c>
      <c r="DUV11">
        <v>6</v>
      </c>
      <c r="DUW11">
        <v>6</v>
      </c>
      <c r="DUX11">
        <v>6</v>
      </c>
      <c r="DUY11">
        <v>6</v>
      </c>
      <c r="DUZ11">
        <v>6</v>
      </c>
      <c r="DVA11">
        <v>6</v>
      </c>
      <c r="DVB11">
        <v>6</v>
      </c>
      <c r="DVC11">
        <v>6</v>
      </c>
      <c r="DVD11">
        <v>6</v>
      </c>
      <c r="DVE11">
        <v>6</v>
      </c>
      <c r="DVF11">
        <v>6</v>
      </c>
      <c r="DVG11">
        <v>6</v>
      </c>
      <c r="DVH11">
        <v>6</v>
      </c>
      <c r="DVI11">
        <v>6</v>
      </c>
      <c r="DVJ11">
        <v>6</v>
      </c>
      <c r="DVK11">
        <v>6</v>
      </c>
      <c r="DVL11">
        <v>6</v>
      </c>
      <c r="DVM11">
        <v>6</v>
      </c>
      <c r="DVN11">
        <v>6</v>
      </c>
      <c r="DVO11">
        <v>6</v>
      </c>
      <c r="DVP11">
        <v>6</v>
      </c>
      <c r="DVQ11">
        <v>6</v>
      </c>
      <c r="DVR11">
        <v>6</v>
      </c>
      <c r="DVS11">
        <v>6</v>
      </c>
      <c r="DVT11">
        <v>6</v>
      </c>
      <c r="DVU11">
        <v>6</v>
      </c>
      <c r="DVV11">
        <v>6</v>
      </c>
      <c r="DVW11">
        <v>6</v>
      </c>
      <c r="DVX11">
        <v>6</v>
      </c>
      <c r="DVY11">
        <v>6</v>
      </c>
      <c r="DVZ11">
        <v>6</v>
      </c>
      <c r="DWA11">
        <v>6</v>
      </c>
      <c r="DWB11">
        <v>6</v>
      </c>
      <c r="DWC11">
        <v>6</v>
      </c>
      <c r="DWD11">
        <v>6</v>
      </c>
      <c r="DWE11">
        <v>6</v>
      </c>
      <c r="DWF11">
        <v>6</v>
      </c>
      <c r="DWG11">
        <v>6</v>
      </c>
      <c r="DWH11">
        <v>6</v>
      </c>
      <c r="DWI11">
        <v>6</v>
      </c>
      <c r="DWJ11">
        <v>6</v>
      </c>
      <c r="EBL11">
        <v>7</v>
      </c>
      <c r="EBM11">
        <v>7</v>
      </c>
      <c r="EBN11">
        <v>7</v>
      </c>
      <c r="EBO11">
        <v>7</v>
      </c>
      <c r="EBP11">
        <v>7</v>
      </c>
      <c r="EBQ11">
        <v>7</v>
      </c>
      <c r="EBR11">
        <v>7</v>
      </c>
      <c r="EBS11">
        <v>7</v>
      </c>
      <c r="EBT11">
        <v>7</v>
      </c>
      <c r="EBU11">
        <v>7</v>
      </c>
      <c r="EBV11">
        <v>7</v>
      </c>
      <c r="EBW11">
        <v>7</v>
      </c>
      <c r="EBX11">
        <v>7</v>
      </c>
      <c r="EBY11">
        <v>7</v>
      </c>
      <c r="EBZ11">
        <v>7</v>
      </c>
      <c r="ECA11">
        <v>7</v>
      </c>
      <c r="ECB11">
        <v>7</v>
      </c>
      <c r="ECC11">
        <v>7</v>
      </c>
      <c r="ECD11">
        <v>7</v>
      </c>
      <c r="EIY11">
        <v>8</v>
      </c>
      <c r="EIZ11">
        <v>8</v>
      </c>
      <c r="EJA11">
        <v>8</v>
      </c>
      <c r="EJB11">
        <v>8</v>
      </c>
      <c r="EJC11">
        <v>8</v>
      </c>
      <c r="EJD11">
        <v>8</v>
      </c>
      <c r="EJE11">
        <v>8</v>
      </c>
      <c r="EJF11">
        <v>8</v>
      </c>
      <c r="EJG11">
        <v>8</v>
      </c>
      <c r="EJH11">
        <v>8</v>
      </c>
      <c r="EJI11">
        <v>8</v>
      </c>
      <c r="EJJ11">
        <v>8</v>
      </c>
      <c r="EJK11">
        <v>8</v>
      </c>
      <c r="EJL11">
        <v>8</v>
      </c>
      <c r="EJM11">
        <v>8</v>
      </c>
      <c r="EJN11">
        <v>8</v>
      </c>
      <c r="EJO11">
        <v>8</v>
      </c>
      <c r="ELI11">
        <v>9</v>
      </c>
      <c r="ELJ11">
        <v>9</v>
      </c>
      <c r="ELK11">
        <v>9</v>
      </c>
      <c r="ELL11">
        <v>9</v>
      </c>
      <c r="ELM11">
        <v>9</v>
      </c>
      <c r="ELN11">
        <v>9</v>
      </c>
      <c r="ELO11">
        <v>9</v>
      </c>
      <c r="ELP11">
        <v>9</v>
      </c>
      <c r="EMN11">
        <v>10</v>
      </c>
      <c r="EMO11">
        <v>10</v>
      </c>
      <c r="EMP11">
        <v>10</v>
      </c>
      <c r="EMQ11">
        <v>10</v>
      </c>
      <c r="EMR11">
        <v>10</v>
      </c>
      <c r="EMS11">
        <v>10</v>
      </c>
      <c r="EMT11">
        <v>10</v>
      </c>
      <c r="EMU11">
        <v>10</v>
      </c>
      <c r="EMV11">
        <v>10</v>
      </c>
      <c r="EMW11">
        <v>10</v>
      </c>
      <c r="EMX11">
        <v>10</v>
      </c>
      <c r="EMY11">
        <v>10</v>
      </c>
      <c r="EMZ11">
        <v>10</v>
      </c>
      <c r="ENA11">
        <v>10</v>
      </c>
      <c r="ENB11">
        <v>10</v>
      </c>
      <c r="ENC11">
        <v>10</v>
      </c>
      <c r="END11">
        <v>10</v>
      </c>
      <c r="ENE11">
        <v>10</v>
      </c>
      <c r="ENF11">
        <v>10</v>
      </c>
      <c r="ENG11">
        <v>10</v>
      </c>
      <c r="ENH11">
        <v>10</v>
      </c>
      <c r="ENI11">
        <v>10</v>
      </c>
      <c r="ENJ11">
        <v>10</v>
      </c>
      <c r="ENK11">
        <v>10</v>
      </c>
      <c r="ENL11">
        <v>10</v>
      </c>
      <c r="ENM11">
        <v>10</v>
      </c>
      <c r="ENN11">
        <v>10</v>
      </c>
      <c r="ENO11">
        <v>10</v>
      </c>
      <c r="ENP11">
        <v>10</v>
      </c>
      <c r="ENQ11">
        <v>10</v>
      </c>
      <c r="ENR11">
        <v>10</v>
      </c>
      <c r="HNC11">
        <v>11</v>
      </c>
      <c r="HND11">
        <v>11</v>
      </c>
      <c r="HNE11">
        <v>11</v>
      </c>
      <c r="HNF11">
        <v>11</v>
      </c>
      <c r="HNG11">
        <v>11</v>
      </c>
      <c r="HNH11">
        <v>11</v>
      </c>
      <c r="HNI11">
        <v>11</v>
      </c>
      <c r="HNJ11">
        <v>11</v>
      </c>
      <c r="HNK11">
        <v>11</v>
      </c>
      <c r="HNL11">
        <v>11</v>
      </c>
      <c r="HNM11">
        <v>11</v>
      </c>
      <c r="HNN11">
        <v>11</v>
      </c>
      <c r="HRI11">
        <v>12</v>
      </c>
      <c r="HRJ11">
        <v>12</v>
      </c>
      <c r="HRK11">
        <v>12</v>
      </c>
      <c r="HRL11">
        <v>12</v>
      </c>
      <c r="HRM11">
        <v>12</v>
      </c>
      <c r="HRN11">
        <v>12</v>
      </c>
      <c r="HRO11">
        <v>12</v>
      </c>
      <c r="HRP11">
        <v>12</v>
      </c>
      <c r="HRQ11">
        <v>12</v>
      </c>
      <c r="HRR11">
        <v>12</v>
      </c>
      <c r="HRS11">
        <v>12</v>
      </c>
      <c r="HRT11">
        <v>12</v>
      </c>
      <c r="HRU11">
        <v>12</v>
      </c>
      <c r="HRV11">
        <v>12</v>
      </c>
      <c r="HRW11">
        <v>12</v>
      </c>
      <c r="HRX11">
        <v>12</v>
      </c>
      <c r="HRY11">
        <v>12</v>
      </c>
      <c r="HRZ11">
        <v>12</v>
      </c>
      <c r="HSA11">
        <v>12</v>
      </c>
      <c r="HSB11">
        <v>12</v>
      </c>
      <c r="HSC11">
        <v>12</v>
      </c>
      <c r="HSD11">
        <v>12</v>
      </c>
      <c r="HSE11">
        <v>12</v>
      </c>
      <c r="HSF11">
        <v>12</v>
      </c>
      <c r="HSG11">
        <v>12</v>
      </c>
      <c r="HSH11">
        <v>12</v>
      </c>
      <c r="HSI11">
        <v>12</v>
      </c>
      <c r="HSJ11">
        <v>12</v>
      </c>
      <c r="HSK11">
        <v>12</v>
      </c>
      <c r="HSL11">
        <v>12</v>
      </c>
      <c r="HSM11">
        <v>12</v>
      </c>
      <c r="HSN11">
        <v>12</v>
      </c>
      <c r="HSO11">
        <v>12</v>
      </c>
      <c r="HSP11">
        <v>12</v>
      </c>
      <c r="HSQ11">
        <v>12</v>
      </c>
      <c r="HSR11">
        <v>12</v>
      </c>
      <c r="HSS11">
        <v>12</v>
      </c>
      <c r="HST11">
        <v>12</v>
      </c>
      <c r="HSU11">
        <v>12</v>
      </c>
      <c r="HSV11">
        <v>12</v>
      </c>
      <c r="HSW11">
        <v>12</v>
      </c>
      <c r="HSX11">
        <v>12</v>
      </c>
      <c r="HSY11">
        <v>12</v>
      </c>
      <c r="HSZ11">
        <v>12</v>
      </c>
      <c r="HTA11">
        <v>12</v>
      </c>
      <c r="HTB11">
        <v>12</v>
      </c>
      <c r="HTC11">
        <v>12</v>
      </c>
      <c r="HTD11">
        <v>12</v>
      </c>
      <c r="HTE11">
        <v>12</v>
      </c>
      <c r="HTF11">
        <v>12</v>
      </c>
      <c r="HTG11">
        <v>12</v>
      </c>
      <c r="HTH11">
        <v>12</v>
      </c>
      <c r="HTI11">
        <v>12</v>
      </c>
      <c r="HTJ11">
        <v>12</v>
      </c>
      <c r="HTK11">
        <v>12</v>
      </c>
      <c r="HTL11">
        <v>12</v>
      </c>
      <c r="HTM11">
        <v>12</v>
      </c>
      <c r="HTN11">
        <v>12</v>
      </c>
      <c r="HTO11">
        <v>12</v>
      </c>
      <c r="HTP11">
        <v>12</v>
      </c>
      <c r="HTQ11">
        <v>12</v>
      </c>
      <c r="HTR11">
        <v>12</v>
      </c>
      <c r="HTS11">
        <v>12</v>
      </c>
      <c r="ICT11">
        <v>13</v>
      </c>
      <c r="ICU11">
        <v>13</v>
      </c>
      <c r="ICV11">
        <v>13</v>
      </c>
      <c r="ICW11">
        <v>13</v>
      </c>
      <c r="ICX11">
        <v>13</v>
      </c>
      <c r="ICY11">
        <v>13</v>
      </c>
      <c r="ICZ11">
        <v>13</v>
      </c>
      <c r="IDA11">
        <v>13</v>
      </c>
      <c r="IDB11">
        <v>13</v>
      </c>
      <c r="IDC11">
        <v>13</v>
      </c>
      <c r="IDD11">
        <v>13</v>
      </c>
      <c r="IDE11">
        <v>13</v>
      </c>
      <c r="JIV11">
        <v>14</v>
      </c>
      <c r="JIW11">
        <v>14</v>
      </c>
      <c r="JIX11">
        <v>14</v>
      </c>
      <c r="JIY11">
        <v>14</v>
      </c>
      <c r="JIZ11">
        <v>14</v>
      </c>
      <c r="JJA11">
        <v>14</v>
      </c>
      <c r="JJB11">
        <v>14</v>
      </c>
      <c r="JJC11">
        <v>14</v>
      </c>
      <c r="JJD11">
        <v>14</v>
      </c>
      <c r="JJE11">
        <v>14</v>
      </c>
      <c r="JJF11">
        <v>14</v>
      </c>
      <c r="JJG11">
        <v>14</v>
      </c>
      <c r="JJH11">
        <v>14</v>
      </c>
      <c r="JJI11">
        <v>14</v>
      </c>
      <c r="JJJ11">
        <v>14</v>
      </c>
      <c r="JJK11">
        <v>14</v>
      </c>
      <c r="JJL11">
        <v>14</v>
      </c>
      <c r="JJM11">
        <v>14</v>
      </c>
      <c r="JJN11">
        <v>14</v>
      </c>
      <c r="JJO11">
        <v>14</v>
      </c>
      <c r="JJP11">
        <v>14</v>
      </c>
      <c r="JJQ11">
        <v>14</v>
      </c>
      <c r="JJR11">
        <v>14</v>
      </c>
      <c r="JJS11">
        <v>14</v>
      </c>
      <c r="JJT11">
        <v>14</v>
      </c>
      <c r="JJU11">
        <v>14</v>
      </c>
      <c r="JJV11">
        <v>14</v>
      </c>
      <c r="JJW11">
        <v>14</v>
      </c>
      <c r="JJX11">
        <v>14</v>
      </c>
      <c r="JJY11">
        <v>14</v>
      </c>
      <c r="JJZ11">
        <v>14</v>
      </c>
      <c r="JKA11">
        <v>14</v>
      </c>
      <c r="JKB11">
        <v>14</v>
      </c>
      <c r="JKC11">
        <v>14</v>
      </c>
      <c r="JKD11">
        <v>14</v>
      </c>
      <c r="JKE11">
        <v>14</v>
      </c>
      <c r="JKF11">
        <v>14</v>
      </c>
      <c r="JKG11">
        <v>14</v>
      </c>
      <c r="JKH11">
        <v>14</v>
      </c>
      <c r="JTU11">
        <v>15</v>
      </c>
      <c r="JTV11">
        <v>15</v>
      </c>
      <c r="JTW11">
        <v>15</v>
      </c>
      <c r="JTX11">
        <v>15</v>
      </c>
      <c r="JTY11">
        <v>15</v>
      </c>
      <c r="JTZ11">
        <v>15</v>
      </c>
      <c r="JUA11">
        <v>15</v>
      </c>
      <c r="JUB11">
        <v>15</v>
      </c>
      <c r="JUC11">
        <v>15</v>
      </c>
      <c r="JUD11">
        <v>15</v>
      </c>
      <c r="JUE11">
        <v>15</v>
      </c>
      <c r="JUF11">
        <v>15</v>
      </c>
      <c r="JUG11">
        <v>15</v>
      </c>
      <c r="JUH11">
        <v>15</v>
      </c>
      <c r="JUI11">
        <v>15</v>
      </c>
      <c r="JUJ11">
        <v>15</v>
      </c>
      <c r="JUK11">
        <v>15</v>
      </c>
      <c r="JUL11">
        <v>15</v>
      </c>
      <c r="JUM11">
        <v>15</v>
      </c>
      <c r="JUN11">
        <v>15</v>
      </c>
      <c r="JUO11">
        <v>15</v>
      </c>
      <c r="JUP11">
        <v>15</v>
      </c>
      <c r="JUQ11">
        <v>15</v>
      </c>
      <c r="JUR11">
        <v>15</v>
      </c>
      <c r="JUS11">
        <v>15</v>
      </c>
      <c r="JUT11">
        <v>15</v>
      </c>
      <c r="JUU11">
        <v>15</v>
      </c>
      <c r="JUV11">
        <v>15</v>
      </c>
      <c r="JUW11">
        <v>15</v>
      </c>
      <c r="JUX11">
        <v>15</v>
      </c>
      <c r="JUY11">
        <v>15</v>
      </c>
      <c r="JUZ11">
        <v>15</v>
      </c>
      <c r="JVA11">
        <v>15</v>
      </c>
      <c r="JVB11">
        <v>15</v>
      </c>
      <c r="JVC11">
        <v>15</v>
      </c>
      <c r="JVD11">
        <v>15</v>
      </c>
      <c r="JVE11">
        <v>15</v>
      </c>
      <c r="JVF11">
        <v>15</v>
      </c>
      <c r="JVG11">
        <v>15</v>
      </c>
      <c r="JVH11">
        <v>15</v>
      </c>
      <c r="JVI11">
        <v>15</v>
      </c>
      <c r="JVJ11">
        <v>15</v>
      </c>
      <c r="JVK11">
        <v>15</v>
      </c>
      <c r="JVL11">
        <v>15</v>
      </c>
      <c r="JVM11">
        <v>15</v>
      </c>
      <c r="JVN11">
        <v>15</v>
      </c>
      <c r="JVO11">
        <v>15</v>
      </c>
      <c r="JVP11">
        <v>15</v>
      </c>
      <c r="JVQ11">
        <v>15</v>
      </c>
      <c r="JVR11">
        <v>15</v>
      </c>
      <c r="JVS11">
        <v>15</v>
      </c>
      <c r="JVT11">
        <v>15</v>
      </c>
      <c r="JVU11">
        <v>15</v>
      </c>
      <c r="JVV11">
        <v>15</v>
      </c>
      <c r="JVW11">
        <v>15</v>
      </c>
      <c r="JVX11">
        <v>15</v>
      </c>
      <c r="JVY11">
        <v>15</v>
      </c>
      <c r="JVZ11">
        <v>15</v>
      </c>
      <c r="JWA11">
        <v>15</v>
      </c>
      <c r="JWB11">
        <v>15</v>
      </c>
      <c r="JWC11">
        <v>15</v>
      </c>
      <c r="JWD11">
        <v>15</v>
      </c>
      <c r="JWE11">
        <v>15</v>
      </c>
      <c r="JWF11">
        <v>15</v>
      </c>
      <c r="JWG11">
        <v>15</v>
      </c>
      <c r="JWH11">
        <v>15</v>
      </c>
      <c r="JWI11">
        <v>15</v>
      </c>
      <c r="JWJ11">
        <v>15</v>
      </c>
      <c r="JWK11">
        <v>15</v>
      </c>
      <c r="JWL11">
        <v>15</v>
      </c>
      <c r="JWM11">
        <v>15</v>
      </c>
      <c r="JWN11">
        <v>15</v>
      </c>
      <c r="JWO11">
        <v>15</v>
      </c>
      <c r="JWP11">
        <v>15</v>
      </c>
      <c r="JWQ11">
        <v>15</v>
      </c>
      <c r="JWR11">
        <v>15</v>
      </c>
      <c r="JWS11">
        <v>15</v>
      </c>
      <c r="JWT11">
        <v>15</v>
      </c>
      <c r="JWU11">
        <v>15</v>
      </c>
      <c r="JWV11">
        <v>15</v>
      </c>
      <c r="JWW11">
        <v>15</v>
      </c>
      <c r="JWX11">
        <v>15</v>
      </c>
      <c r="JWY11">
        <v>15</v>
      </c>
      <c r="JWZ11">
        <v>15</v>
      </c>
      <c r="JXA11">
        <v>15</v>
      </c>
      <c r="JXB11">
        <v>15</v>
      </c>
      <c r="JXC11">
        <v>15</v>
      </c>
      <c r="JXD11">
        <v>15</v>
      </c>
      <c r="JXE11">
        <v>15</v>
      </c>
      <c r="JXF11">
        <v>15</v>
      </c>
      <c r="JXG11">
        <v>15</v>
      </c>
      <c r="JXH11">
        <v>15</v>
      </c>
      <c r="JXI11">
        <v>15</v>
      </c>
      <c r="JXJ11">
        <v>15</v>
      </c>
      <c r="JXK11">
        <v>15</v>
      </c>
      <c r="JXL11">
        <v>15</v>
      </c>
      <c r="JXM11">
        <v>15</v>
      </c>
      <c r="JXN11">
        <v>15</v>
      </c>
      <c r="JXO11">
        <v>15</v>
      </c>
      <c r="JXP11">
        <v>15</v>
      </c>
      <c r="JXQ11">
        <v>15</v>
      </c>
      <c r="JXR11">
        <v>15</v>
      </c>
      <c r="JXS11">
        <v>15</v>
      </c>
      <c r="JXT11">
        <v>15</v>
      </c>
      <c r="JXU11">
        <v>15</v>
      </c>
      <c r="JXV11">
        <v>15</v>
      </c>
      <c r="JXW11">
        <v>15</v>
      </c>
      <c r="JXX11">
        <v>15</v>
      </c>
      <c r="JXY11">
        <v>15</v>
      </c>
      <c r="JXZ11">
        <v>15</v>
      </c>
      <c r="JYA11">
        <v>15</v>
      </c>
      <c r="JYB11">
        <v>15</v>
      </c>
      <c r="JYC11">
        <v>15</v>
      </c>
      <c r="KFW11" s="1">
        <f t="shared" si="0"/>
        <v>81</v>
      </c>
      <c r="KFX11">
        <f t="shared" si="1"/>
        <v>57</v>
      </c>
      <c r="KFY11">
        <f t="shared" si="2"/>
        <v>55</v>
      </c>
      <c r="KFZ11">
        <f t="shared" si="3"/>
        <v>62</v>
      </c>
      <c r="KGA11">
        <f t="shared" si="4"/>
        <v>19</v>
      </c>
      <c r="KGB11">
        <f t="shared" si="5"/>
        <v>51</v>
      </c>
      <c r="KGC11">
        <f t="shared" si="6"/>
        <v>19</v>
      </c>
      <c r="KGD11">
        <f t="shared" si="7"/>
        <v>17</v>
      </c>
      <c r="KGE11">
        <f t="shared" si="8"/>
        <v>8</v>
      </c>
      <c r="KGF11">
        <f t="shared" si="9"/>
        <v>31</v>
      </c>
      <c r="KGG11">
        <f t="shared" si="10"/>
        <v>12</v>
      </c>
      <c r="KGH11">
        <f t="shared" si="11"/>
        <v>63</v>
      </c>
      <c r="KGI11">
        <f t="shared" si="12"/>
        <v>12</v>
      </c>
      <c r="KGJ11">
        <f t="shared" si="13"/>
        <v>39</v>
      </c>
      <c r="KGK11">
        <f t="shared" si="14"/>
        <v>113</v>
      </c>
      <c r="KGL11">
        <f t="shared" si="15"/>
        <v>0</v>
      </c>
      <c r="KGM11">
        <f t="shared" si="16"/>
        <v>0</v>
      </c>
      <c r="KGN11">
        <f t="shared" si="17"/>
        <v>0</v>
      </c>
      <c r="KGO11">
        <f t="shared" si="18"/>
        <v>0</v>
      </c>
      <c r="KGP11">
        <f t="shared" si="19"/>
        <v>0</v>
      </c>
      <c r="KGQ11">
        <f t="shared" si="20"/>
        <v>0</v>
      </c>
      <c r="KGR11">
        <f t="shared" si="21"/>
        <v>0</v>
      </c>
      <c r="KGS11">
        <f t="shared" si="22"/>
        <v>0</v>
      </c>
      <c r="KGT11">
        <f t="shared" si="23"/>
        <v>0</v>
      </c>
      <c r="KGU11">
        <f t="shared" si="24"/>
        <v>0</v>
      </c>
      <c r="KGV11">
        <f t="shared" si="25"/>
        <v>0</v>
      </c>
      <c r="KGW11">
        <f t="shared" si="26"/>
        <v>0</v>
      </c>
      <c r="KGX11">
        <f t="shared" si="27"/>
        <v>0</v>
      </c>
      <c r="KGY11">
        <f t="shared" si="28"/>
        <v>0</v>
      </c>
      <c r="KGZ11">
        <f t="shared" si="29"/>
        <v>0</v>
      </c>
      <c r="KHA11">
        <f t="shared" si="30"/>
        <v>0</v>
      </c>
      <c r="KHB11">
        <f t="shared" si="31"/>
        <v>0</v>
      </c>
      <c r="KHC11">
        <f t="shared" si="32"/>
        <v>0</v>
      </c>
      <c r="KHD11">
        <f t="shared" si="33"/>
        <v>0</v>
      </c>
      <c r="KHE11">
        <f t="shared" si="34"/>
        <v>0</v>
      </c>
      <c r="KHF11">
        <f t="shared" si="35"/>
        <v>0</v>
      </c>
      <c r="KHG11">
        <f t="shared" si="36"/>
        <v>0</v>
      </c>
      <c r="KHH11">
        <f t="shared" si="37"/>
        <v>0</v>
      </c>
      <c r="KHI11">
        <f t="shared" si="38"/>
        <v>0</v>
      </c>
      <c r="KHJ11">
        <f t="shared" si="39"/>
        <v>0</v>
      </c>
      <c r="KHK11">
        <f t="shared" si="40"/>
        <v>0</v>
      </c>
      <c r="KHL11">
        <f t="shared" si="41"/>
        <v>0</v>
      </c>
      <c r="KHM11">
        <f t="shared" si="42"/>
        <v>0</v>
      </c>
      <c r="KHN11">
        <f t="shared" si="43"/>
        <v>0</v>
      </c>
      <c r="KHO11">
        <f t="shared" si="44"/>
        <v>0</v>
      </c>
      <c r="KHP11">
        <f t="shared" si="45"/>
        <v>0</v>
      </c>
      <c r="KHQ11">
        <f t="shared" si="46"/>
        <v>0</v>
      </c>
      <c r="KHR11">
        <f t="shared" si="47"/>
        <v>0</v>
      </c>
      <c r="KHS11">
        <f t="shared" si="48"/>
        <v>0</v>
      </c>
      <c r="KHT11">
        <f t="shared" si="49"/>
        <v>0</v>
      </c>
      <c r="KHU11">
        <f t="shared" si="50"/>
        <v>0</v>
      </c>
      <c r="KHV11">
        <f t="shared" si="51"/>
        <v>0</v>
      </c>
      <c r="KHW11">
        <f t="shared" si="52"/>
        <v>0</v>
      </c>
      <c r="KHX11">
        <f t="shared" si="53"/>
        <v>0</v>
      </c>
      <c r="KHY11">
        <f t="shared" si="54"/>
        <v>0</v>
      </c>
      <c r="KHZ11">
        <f t="shared" si="55"/>
        <v>0</v>
      </c>
      <c r="KIA11">
        <f t="shared" si="56"/>
        <v>0</v>
      </c>
      <c r="KIB11">
        <f t="shared" si="57"/>
        <v>0</v>
      </c>
      <c r="KIC11">
        <f t="shared" si="58"/>
        <v>0</v>
      </c>
      <c r="KID11">
        <f t="shared" si="59"/>
        <v>0</v>
      </c>
      <c r="KIE11">
        <f t="shared" si="60"/>
        <v>0</v>
      </c>
      <c r="KIF11">
        <f t="shared" si="61"/>
        <v>0</v>
      </c>
      <c r="KIG11">
        <f t="shared" si="62"/>
        <v>0</v>
      </c>
      <c r="KIH11">
        <f t="shared" si="63"/>
        <v>0</v>
      </c>
      <c r="KII11">
        <f t="shared" si="64"/>
        <v>0</v>
      </c>
      <c r="KIJ11">
        <f t="shared" si="65"/>
        <v>0</v>
      </c>
      <c r="KIK11">
        <f t="shared" si="66"/>
        <v>0</v>
      </c>
      <c r="KIL11">
        <f t="shared" si="67"/>
        <v>0</v>
      </c>
      <c r="KIM11">
        <f t="shared" si="68"/>
        <v>0</v>
      </c>
      <c r="KIN11">
        <f t="shared" si="69"/>
        <v>0</v>
      </c>
      <c r="KIO11">
        <f t="shared" si="70"/>
        <v>0</v>
      </c>
      <c r="KIP11">
        <f t="shared" si="71"/>
        <v>0</v>
      </c>
      <c r="KIQ11">
        <f t="shared" si="72"/>
        <v>0</v>
      </c>
      <c r="KIR11">
        <f t="shared" si="73"/>
        <v>0</v>
      </c>
      <c r="KIS11">
        <f t="shared" si="74"/>
        <v>0</v>
      </c>
      <c r="KIT11">
        <f t="shared" si="75"/>
        <v>0</v>
      </c>
      <c r="KIU11">
        <f t="shared" si="76"/>
        <v>0</v>
      </c>
      <c r="KIV11">
        <f t="shared" si="77"/>
        <v>0</v>
      </c>
      <c r="KIW11">
        <f t="shared" si="78"/>
        <v>0</v>
      </c>
      <c r="KIX11">
        <f t="shared" si="79"/>
        <v>0</v>
      </c>
      <c r="KIY11">
        <f t="shared" si="80"/>
        <v>0</v>
      </c>
      <c r="KIZ11">
        <f t="shared" si="81"/>
        <v>0</v>
      </c>
      <c r="KJA11">
        <f t="shared" si="82"/>
        <v>0</v>
      </c>
      <c r="KJB11">
        <f t="shared" si="83"/>
        <v>0</v>
      </c>
      <c r="KJC11">
        <f t="shared" si="84"/>
        <v>0</v>
      </c>
      <c r="KJD11">
        <f t="shared" si="85"/>
        <v>0</v>
      </c>
      <c r="KJE11">
        <f t="shared" si="86"/>
        <v>0</v>
      </c>
      <c r="KJF11">
        <f t="shared" si="87"/>
        <v>0</v>
      </c>
      <c r="KJG11">
        <f t="shared" si="88"/>
        <v>0</v>
      </c>
      <c r="KJH11">
        <f t="shared" si="89"/>
        <v>0</v>
      </c>
      <c r="KJI11">
        <f t="shared" si="90"/>
        <v>0</v>
      </c>
      <c r="KJJ11">
        <f t="shared" si="91"/>
        <v>0</v>
      </c>
      <c r="KJK11">
        <f t="shared" si="92"/>
        <v>0</v>
      </c>
      <c r="KJL11">
        <f t="shared" si="93"/>
        <v>0</v>
      </c>
      <c r="KJM11">
        <f t="shared" si="94"/>
        <v>0</v>
      </c>
      <c r="KJN11">
        <f t="shared" si="95"/>
        <v>0</v>
      </c>
      <c r="KJO11">
        <f t="shared" si="96"/>
        <v>0</v>
      </c>
      <c r="KJP11">
        <f t="shared" si="97"/>
        <v>0</v>
      </c>
      <c r="KJQ11">
        <f t="shared" si="98"/>
        <v>0</v>
      </c>
      <c r="KJR11">
        <f t="shared" si="99"/>
        <v>0</v>
      </c>
      <c r="KJT11">
        <f t="shared" si="100"/>
        <v>639</v>
      </c>
      <c r="KJV11">
        <f t="shared" si="100"/>
        <v>639</v>
      </c>
      <c r="KJW11">
        <f t="shared" si="101"/>
        <v>25.56</v>
      </c>
      <c r="KJY11" s="1">
        <f t="shared" si="101"/>
        <v>25.56</v>
      </c>
    </row>
    <row r="12" spans="1:7721">
      <c r="A12" t="s">
        <v>7</v>
      </c>
      <c r="B12">
        <v>13</v>
      </c>
      <c r="BTQ12">
        <v>1</v>
      </c>
      <c r="BTR12">
        <v>1</v>
      </c>
      <c r="BTS12">
        <v>1</v>
      </c>
      <c r="BTT12">
        <v>1</v>
      </c>
      <c r="BTU12">
        <v>1</v>
      </c>
      <c r="BTV12">
        <v>1</v>
      </c>
      <c r="BTW12">
        <v>1</v>
      </c>
      <c r="BTX12">
        <v>1</v>
      </c>
      <c r="BTY12">
        <v>1</v>
      </c>
      <c r="BTZ12">
        <v>1</v>
      </c>
      <c r="BUA12">
        <v>1</v>
      </c>
      <c r="BUB12">
        <v>1</v>
      </c>
      <c r="BUC12">
        <v>1</v>
      </c>
      <c r="BUD12">
        <v>1</v>
      </c>
      <c r="BUE12">
        <v>1</v>
      </c>
      <c r="BUF12">
        <v>1</v>
      </c>
      <c r="BUG12">
        <v>1</v>
      </c>
      <c r="BUH12">
        <v>1</v>
      </c>
      <c r="BUI12">
        <v>1</v>
      </c>
      <c r="BUJ12">
        <v>1</v>
      </c>
      <c r="BUK12">
        <v>1</v>
      </c>
      <c r="BUL12">
        <v>1</v>
      </c>
      <c r="BUM12">
        <v>1</v>
      </c>
      <c r="BUN12">
        <v>1</v>
      </c>
      <c r="BUO12">
        <v>1</v>
      </c>
      <c r="BUP12">
        <v>1</v>
      </c>
      <c r="BUQ12">
        <v>1</v>
      </c>
      <c r="BUR12">
        <v>1</v>
      </c>
      <c r="BUS12">
        <v>1</v>
      </c>
      <c r="BUT12">
        <v>1</v>
      </c>
      <c r="BUU12">
        <v>1</v>
      </c>
      <c r="BUV12">
        <v>1</v>
      </c>
      <c r="BUW12">
        <v>1</v>
      </c>
      <c r="BUX12">
        <v>1</v>
      </c>
      <c r="BUY12">
        <v>1</v>
      </c>
      <c r="BUZ12">
        <v>1</v>
      </c>
      <c r="BVA12">
        <v>1</v>
      </c>
      <c r="BVB12">
        <v>1</v>
      </c>
      <c r="BVC12">
        <v>1</v>
      </c>
      <c r="BVD12">
        <v>1</v>
      </c>
      <c r="BVE12">
        <v>1</v>
      </c>
      <c r="BVF12">
        <v>1</v>
      </c>
      <c r="BVG12">
        <v>1</v>
      </c>
      <c r="BVH12">
        <v>1</v>
      </c>
      <c r="BVI12">
        <v>1</v>
      </c>
      <c r="BVJ12">
        <v>1</v>
      </c>
      <c r="BVK12">
        <v>1</v>
      </c>
      <c r="BVL12">
        <v>1</v>
      </c>
      <c r="BVM12">
        <v>1</v>
      </c>
      <c r="BVN12">
        <v>1</v>
      </c>
      <c r="BVO12">
        <v>1</v>
      </c>
      <c r="BVP12">
        <v>1</v>
      </c>
      <c r="BVQ12">
        <v>1</v>
      </c>
      <c r="BVR12">
        <v>1</v>
      </c>
      <c r="BVS12">
        <v>1</v>
      </c>
      <c r="BVT12">
        <v>1</v>
      </c>
      <c r="BVU12">
        <v>1</v>
      </c>
      <c r="BVV12">
        <v>1</v>
      </c>
      <c r="DWX12">
        <v>2</v>
      </c>
      <c r="DWY12">
        <v>2</v>
      </c>
      <c r="DWZ12">
        <v>2</v>
      </c>
      <c r="DXA12">
        <v>2</v>
      </c>
      <c r="DXB12">
        <v>2</v>
      </c>
      <c r="DXC12">
        <v>2</v>
      </c>
      <c r="DXD12">
        <v>2</v>
      </c>
      <c r="DXE12">
        <v>2</v>
      </c>
      <c r="DXF12">
        <v>2</v>
      </c>
      <c r="DXG12">
        <v>2</v>
      </c>
      <c r="DXH12">
        <v>2</v>
      </c>
      <c r="DXI12">
        <v>2</v>
      </c>
      <c r="DXJ12">
        <v>2</v>
      </c>
      <c r="DXK12">
        <v>2</v>
      </c>
      <c r="DXL12">
        <v>2</v>
      </c>
      <c r="DXM12">
        <v>2</v>
      </c>
      <c r="DXN12">
        <v>2</v>
      </c>
      <c r="DXO12">
        <v>2</v>
      </c>
      <c r="DXP12">
        <v>2</v>
      </c>
      <c r="DXQ12">
        <v>2</v>
      </c>
      <c r="DXR12">
        <v>2</v>
      </c>
      <c r="DXS12">
        <v>2</v>
      </c>
      <c r="DXT12">
        <v>2</v>
      </c>
      <c r="DXU12">
        <v>2</v>
      </c>
      <c r="DXV12">
        <v>2</v>
      </c>
      <c r="DXW12">
        <v>2</v>
      </c>
      <c r="DXX12">
        <v>2</v>
      </c>
      <c r="DXY12">
        <v>2</v>
      </c>
      <c r="DXZ12">
        <v>2</v>
      </c>
      <c r="DYA12">
        <v>2</v>
      </c>
      <c r="DYB12">
        <v>2</v>
      </c>
      <c r="DYC12">
        <v>2</v>
      </c>
      <c r="DYD12">
        <v>2</v>
      </c>
      <c r="DYE12">
        <v>2</v>
      </c>
      <c r="DYF12">
        <v>2</v>
      </c>
      <c r="DYG12">
        <v>2</v>
      </c>
      <c r="DYH12">
        <v>2</v>
      </c>
      <c r="DYI12">
        <v>2</v>
      </c>
      <c r="DYJ12">
        <v>2</v>
      </c>
      <c r="DYK12">
        <v>2</v>
      </c>
      <c r="DYL12">
        <v>2</v>
      </c>
      <c r="DYM12">
        <v>2</v>
      </c>
      <c r="DYN12">
        <v>2</v>
      </c>
      <c r="DYO12">
        <v>2</v>
      </c>
      <c r="DYP12">
        <v>2</v>
      </c>
      <c r="DYQ12">
        <v>2</v>
      </c>
      <c r="DYR12">
        <v>2</v>
      </c>
      <c r="DYS12">
        <v>2</v>
      </c>
      <c r="DYT12">
        <v>2</v>
      </c>
      <c r="DYU12">
        <v>2</v>
      </c>
      <c r="DYV12">
        <v>2</v>
      </c>
      <c r="DYW12">
        <v>2</v>
      </c>
      <c r="DYX12">
        <v>2</v>
      </c>
      <c r="DYY12">
        <v>2</v>
      </c>
      <c r="DYZ12">
        <v>2</v>
      </c>
      <c r="DZA12">
        <v>2</v>
      </c>
      <c r="DZB12">
        <v>2</v>
      </c>
      <c r="DZC12">
        <v>2</v>
      </c>
      <c r="DZD12">
        <v>2</v>
      </c>
      <c r="DZE12">
        <v>2</v>
      </c>
      <c r="DZF12">
        <v>2</v>
      </c>
      <c r="EDM12">
        <v>3</v>
      </c>
      <c r="EDN12">
        <v>3</v>
      </c>
      <c r="EDO12">
        <v>3</v>
      </c>
      <c r="EDP12">
        <v>3</v>
      </c>
      <c r="EDQ12">
        <v>3</v>
      </c>
      <c r="EEW12">
        <v>4</v>
      </c>
      <c r="EEX12">
        <v>4</v>
      </c>
      <c r="EEY12">
        <v>4</v>
      </c>
      <c r="EEZ12">
        <v>4</v>
      </c>
      <c r="EFA12">
        <v>4</v>
      </c>
      <c r="EFB12">
        <v>4</v>
      </c>
      <c r="EFC12">
        <v>4</v>
      </c>
      <c r="EGL12">
        <v>5</v>
      </c>
      <c r="EGM12">
        <v>5</v>
      </c>
      <c r="EGN12">
        <v>5</v>
      </c>
      <c r="EGO12">
        <v>5</v>
      </c>
      <c r="EGP12">
        <v>5</v>
      </c>
      <c r="EGQ12">
        <v>5</v>
      </c>
      <c r="EGR12">
        <v>5</v>
      </c>
      <c r="EGS12">
        <v>5</v>
      </c>
      <c r="EGT12">
        <v>5</v>
      </c>
      <c r="EGU12">
        <v>5</v>
      </c>
      <c r="EGV12">
        <v>5</v>
      </c>
      <c r="EGW12">
        <v>5</v>
      </c>
      <c r="EGX12">
        <v>5</v>
      </c>
      <c r="EGY12">
        <v>5</v>
      </c>
      <c r="EHT12">
        <v>6</v>
      </c>
      <c r="EHU12">
        <v>6</v>
      </c>
      <c r="EHV12">
        <v>6</v>
      </c>
      <c r="EHW12">
        <v>6</v>
      </c>
      <c r="EHX12">
        <v>6</v>
      </c>
      <c r="EHY12">
        <v>6</v>
      </c>
      <c r="EHZ12">
        <v>6</v>
      </c>
      <c r="EIA12">
        <v>6</v>
      </c>
      <c r="EIB12">
        <v>6</v>
      </c>
      <c r="EIC12">
        <v>6</v>
      </c>
      <c r="EID12">
        <v>6</v>
      </c>
      <c r="EIE12">
        <v>6</v>
      </c>
      <c r="EIF12">
        <v>6</v>
      </c>
      <c r="EIG12">
        <v>6</v>
      </c>
      <c r="EIH12">
        <v>6</v>
      </c>
      <c r="EII12">
        <v>6</v>
      </c>
      <c r="EIJ12">
        <v>6</v>
      </c>
      <c r="EIK12">
        <v>6</v>
      </c>
      <c r="EIL12">
        <v>6</v>
      </c>
      <c r="EIM12">
        <v>6</v>
      </c>
      <c r="EIN12">
        <v>6</v>
      </c>
      <c r="EIO12">
        <v>6</v>
      </c>
      <c r="ENS12">
        <v>7</v>
      </c>
      <c r="ENT12">
        <v>7</v>
      </c>
      <c r="ENU12">
        <v>7</v>
      </c>
      <c r="ENV12">
        <v>7</v>
      </c>
      <c r="ENW12">
        <v>7</v>
      </c>
      <c r="ENX12">
        <v>7</v>
      </c>
      <c r="ENY12">
        <v>7</v>
      </c>
      <c r="ENZ12">
        <v>7</v>
      </c>
      <c r="EOA12">
        <v>7</v>
      </c>
      <c r="EOB12">
        <v>7</v>
      </c>
      <c r="EOC12">
        <v>7</v>
      </c>
      <c r="EOD12">
        <v>7</v>
      </c>
      <c r="EOE12">
        <v>7</v>
      </c>
      <c r="EOF12">
        <v>7</v>
      </c>
      <c r="EOG12">
        <v>7</v>
      </c>
      <c r="EOH12">
        <v>7</v>
      </c>
      <c r="EOI12">
        <v>7</v>
      </c>
      <c r="EOJ12">
        <v>7</v>
      </c>
      <c r="EOK12">
        <v>7</v>
      </c>
      <c r="EOL12">
        <v>7</v>
      </c>
      <c r="EOM12">
        <v>7</v>
      </c>
      <c r="EON12">
        <v>7</v>
      </c>
      <c r="EOO12">
        <v>7</v>
      </c>
      <c r="EOP12">
        <v>7</v>
      </c>
      <c r="EOQ12">
        <v>7</v>
      </c>
      <c r="EOR12">
        <v>7</v>
      </c>
      <c r="EOS12">
        <v>7</v>
      </c>
      <c r="EOT12">
        <v>7</v>
      </c>
      <c r="EOU12">
        <v>7</v>
      </c>
      <c r="EOV12">
        <v>7</v>
      </c>
      <c r="EOW12">
        <v>7</v>
      </c>
      <c r="EOX12">
        <v>7</v>
      </c>
      <c r="EOY12">
        <v>7</v>
      </c>
      <c r="EOZ12">
        <v>7</v>
      </c>
      <c r="EPA12">
        <v>7</v>
      </c>
      <c r="EPB12">
        <v>7</v>
      </c>
      <c r="EPC12">
        <v>7</v>
      </c>
      <c r="EPD12">
        <v>7</v>
      </c>
      <c r="EPE12">
        <v>7</v>
      </c>
      <c r="EPF12">
        <v>7</v>
      </c>
      <c r="EPG12">
        <v>7</v>
      </c>
      <c r="EPH12">
        <v>7</v>
      </c>
      <c r="EPI12">
        <v>7</v>
      </c>
      <c r="EPJ12">
        <v>7</v>
      </c>
      <c r="EPK12">
        <v>7</v>
      </c>
      <c r="EPL12">
        <v>7</v>
      </c>
      <c r="EPM12">
        <v>7</v>
      </c>
      <c r="EPN12">
        <v>7</v>
      </c>
      <c r="EPO12">
        <v>7</v>
      </c>
      <c r="EPP12">
        <v>7</v>
      </c>
      <c r="EPQ12">
        <v>7</v>
      </c>
      <c r="EPR12">
        <v>7</v>
      </c>
      <c r="EPS12">
        <v>7</v>
      </c>
      <c r="EPT12">
        <v>7</v>
      </c>
      <c r="EPU12">
        <v>7</v>
      </c>
      <c r="EPV12">
        <v>7</v>
      </c>
      <c r="EPW12">
        <v>7</v>
      </c>
      <c r="EPX12">
        <v>7</v>
      </c>
      <c r="EPY12">
        <v>7</v>
      </c>
      <c r="EPZ12">
        <v>7</v>
      </c>
      <c r="EQA12">
        <v>7</v>
      </c>
      <c r="EQB12">
        <v>7</v>
      </c>
      <c r="EQC12">
        <v>7</v>
      </c>
      <c r="EQD12">
        <v>7</v>
      </c>
      <c r="EQE12">
        <v>7</v>
      </c>
      <c r="EQR12">
        <v>8</v>
      </c>
      <c r="EQS12">
        <v>8</v>
      </c>
      <c r="EQT12">
        <v>8</v>
      </c>
      <c r="EQU12">
        <v>8</v>
      </c>
      <c r="EQV12">
        <v>8</v>
      </c>
      <c r="EQW12">
        <v>8</v>
      </c>
      <c r="EQX12">
        <v>8</v>
      </c>
      <c r="EQY12">
        <v>8</v>
      </c>
      <c r="FWY12">
        <v>9</v>
      </c>
      <c r="FWZ12">
        <v>9</v>
      </c>
      <c r="FXA12">
        <v>9</v>
      </c>
      <c r="FXB12">
        <v>9</v>
      </c>
      <c r="FXC12">
        <v>9</v>
      </c>
      <c r="FXD12">
        <v>9</v>
      </c>
      <c r="FXE12">
        <v>9</v>
      </c>
      <c r="FXF12">
        <v>9</v>
      </c>
      <c r="FXG12">
        <v>9</v>
      </c>
      <c r="FXH12">
        <v>9</v>
      </c>
      <c r="FXI12">
        <v>9</v>
      </c>
      <c r="FXJ12">
        <v>9</v>
      </c>
      <c r="FXK12">
        <v>9</v>
      </c>
      <c r="FXL12">
        <v>9</v>
      </c>
      <c r="FXM12">
        <v>9</v>
      </c>
      <c r="FXN12">
        <v>9</v>
      </c>
      <c r="FXO12">
        <v>9</v>
      </c>
      <c r="FXP12">
        <v>9</v>
      </c>
      <c r="FXQ12">
        <v>9</v>
      </c>
      <c r="FXR12">
        <v>9</v>
      </c>
      <c r="FXS12">
        <v>9</v>
      </c>
      <c r="FXT12">
        <v>9</v>
      </c>
      <c r="FXU12">
        <v>9</v>
      </c>
      <c r="FXV12">
        <v>9</v>
      </c>
      <c r="FXW12">
        <v>9</v>
      </c>
      <c r="FXX12">
        <v>9</v>
      </c>
      <c r="FXY12">
        <v>9</v>
      </c>
      <c r="FXZ12">
        <v>9</v>
      </c>
      <c r="FYA12">
        <v>9</v>
      </c>
      <c r="GEQ12">
        <v>10</v>
      </c>
      <c r="GER12">
        <v>10</v>
      </c>
      <c r="GES12">
        <v>10</v>
      </c>
      <c r="GET12">
        <v>10</v>
      </c>
      <c r="GEU12">
        <v>10</v>
      </c>
      <c r="GEV12">
        <v>10</v>
      </c>
      <c r="GEW12">
        <v>10</v>
      </c>
      <c r="GEX12">
        <v>10</v>
      </c>
      <c r="GEY12">
        <v>10</v>
      </c>
      <c r="GEZ12">
        <v>10</v>
      </c>
      <c r="GFA12">
        <v>10</v>
      </c>
      <c r="GFB12">
        <v>10</v>
      </c>
      <c r="GFC12">
        <v>10</v>
      </c>
      <c r="GFD12">
        <v>10</v>
      </c>
      <c r="GFE12">
        <v>10</v>
      </c>
      <c r="GFF12">
        <v>10</v>
      </c>
      <c r="GFG12">
        <v>10</v>
      </c>
      <c r="GFH12">
        <v>10</v>
      </c>
      <c r="GFI12">
        <v>10</v>
      </c>
      <c r="GFJ12">
        <v>10</v>
      </c>
      <c r="GFK12">
        <v>10</v>
      </c>
      <c r="GFL12">
        <v>10</v>
      </c>
      <c r="GFV12">
        <v>11</v>
      </c>
      <c r="GFW12">
        <v>11</v>
      </c>
      <c r="GFX12">
        <v>11</v>
      </c>
      <c r="GFY12">
        <v>11</v>
      </c>
      <c r="GFZ12">
        <v>11</v>
      </c>
      <c r="GGA12">
        <v>11</v>
      </c>
      <c r="GGB12">
        <v>11</v>
      </c>
      <c r="GGC12">
        <v>11</v>
      </c>
      <c r="GGD12">
        <v>11</v>
      </c>
      <c r="GGE12">
        <v>11</v>
      </c>
      <c r="GGF12">
        <v>11</v>
      </c>
      <c r="GGG12">
        <v>11</v>
      </c>
      <c r="GGH12">
        <v>11</v>
      </c>
      <c r="GGI12">
        <v>11</v>
      </c>
      <c r="IDI12">
        <v>12</v>
      </c>
      <c r="IDJ12">
        <v>12</v>
      </c>
      <c r="IDK12">
        <v>12</v>
      </c>
      <c r="IDL12">
        <v>12</v>
      </c>
      <c r="IDM12">
        <v>12</v>
      </c>
      <c r="IDN12">
        <v>12</v>
      </c>
      <c r="IDO12">
        <v>12</v>
      </c>
      <c r="IDP12">
        <v>12</v>
      </c>
      <c r="IDQ12">
        <v>12</v>
      </c>
      <c r="IDR12">
        <v>12</v>
      </c>
      <c r="IDS12">
        <v>12</v>
      </c>
      <c r="IDT12">
        <v>12</v>
      </c>
      <c r="IDU12">
        <v>12</v>
      </c>
      <c r="IDV12">
        <v>12</v>
      </c>
      <c r="IDW12">
        <v>12</v>
      </c>
      <c r="IDX12">
        <v>12</v>
      </c>
      <c r="IDY12">
        <v>12</v>
      </c>
      <c r="IDZ12">
        <v>12</v>
      </c>
      <c r="IEA12">
        <v>12</v>
      </c>
      <c r="IEB12">
        <v>12</v>
      </c>
      <c r="IEC12">
        <v>12</v>
      </c>
      <c r="IED12">
        <v>12</v>
      </c>
      <c r="IEE12">
        <v>12</v>
      </c>
      <c r="IEF12">
        <v>12</v>
      </c>
      <c r="IEG12">
        <v>12</v>
      </c>
      <c r="IEH12">
        <v>12</v>
      </c>
      <c r="IEI12">
        <v>12</v>
      </c>
      <c r="IEJ12">
        <v>12</v>
      </c>
      <c r="IEK12">
        <v>12</v>
      </c>
      <c r="IEL12">
        <v>12</v>
      </c>
      <c r="IEM12">
        <v>12</v>
      </c>
      <c r="IEN12">
        <v>12</v>
      </c>
      <c r="JYL12">
        <v>13</v>
      </c>
      <c r="JYM12">
        <v>13</v>
      </c>
      <c r="JYN12">
        <v>13</v>
      </c>
      <c r="JYO12">
        <v>13</v>
      </c>
      <c r="JYP12">
        <v>13</v>
      </c>
      <c r="JYQ12">
        <v>13</v>
      </c>
      <c r="JYR12">
        <v>13</v>
      </c>
      <c r="JYS12">
        <v>13</v>
      </c>
      <c r="JYT12">
        <v>13</v>
      </c>
      <c r="JYU12">
        <v>13</v>
      </c>
      <c r="JYV12">
        <v>13</v>
      </c>
      <c r="JYW12">
        <v>13</v>
      </c>
      <c r="JYX12">
        <v>13</v>
      </c>
      <c r="JYY12">
        <v>13</v>
      </c>
      <c r="JYZ12">
        <v>13</v>
      </c>
      <c r="JZA12">
        <v>13</v>
      </c>
      <c r="JZB12">
        <v>13</v>
      </c>
      <c r="JZC12">
        <v>13</v>
      </c>
      <c r="JZD12">
        <v>13</v>
      </c>
      <c r="JZE12">
        <v>13</v>
      </c>
      <c r="JZF12">
        <v>13</v>
      </c>
      <c r="JZG12">
        <v>13</v>
      </c>
      <c r="JZH12">
        <v>13</v>
      </c>
      <c r="JZI12">
        <v>13</v>
      </c>
      <c r="JZJ12">
        <v>13</v>
      </c>
      <c r="JZK12">
        <v>13</v>
      </c>
      <c r="JZL12">
        <v>13</v>
      </c>
      <c r="JZM12">
        <v>13</v>
      </c>
      <c r="JZN12">
        <v>13</v>
      </c>
      <c r="JZO12">
        <v>13</v>
      </c>
      <c r="JZP12">
        <v>13</v>
      </c>
      <c r="JZQ12">
        <v>13</v>
      </c>
      <c r="JZR12">
        <v>13</v>
      </c>
      <c r="JZS12">
        <v>13</v>
      </c>
      <c r="JZT12">
        <v>13</v>
      </c>
      <c r="JZU12">
        <v>13</v>
      </c>
      <c r="JZV12">
        <v>13</v>
      </c>
      <c r="JZW12">
        <v>13</v>
      </c>
      <c r="JZX12">
        <v>13</v>
      </c>
      <c r="JZY12">
        <v>13</v>
      </c>
      <c r="JZZ12">
        <v>13</v>
      </c>
      <c r="KAA12">
        <v>13</v>
      </c>
      <c r="KAB12">
        <v>13</v>
      </c>
      <c r="KAC12">
        <v>13</v>
      </c>
      <c r="KAD12">
        <v>13</v>
      </c>
      <c r="KAE12">
        <v>13</v>
      </c>
      <c r="KAF12">
        <v>13</v>
      </c>
      <c r="KAG12">
        <v>13</v>
      </c>
      <c r="KAH12">
        <v>13</v>
      </c>
      <c r="KAI12">
        <v>13</v>
      </c>
      <c r="KAJ12">
        <v>13</v>
      </c>
      <c r="KAK12">
        <v>13</v>
      </c>
      <c r="KAL12">
        <v>13</v>
      </c>
      <c r="KAM12">
        <v>13</v>
      </c>
      <c r="KAN12">
        <v>13</v>
      </c>
      <c r="KAO12">
        <v>13</v>
      </c>
      <c r="KAP12">
        <v>13</v>
      </c>
      <c r="KAQ12">
        <v>13</v>
      </c>
      <c r="KAR12">
        <v>13</v>
      </c>
      <c r="KAS12">
        <v>13</v>
      </c>
      <c r="KAT12">
        <v>13</v>
      </c>
      <c r="KAU12">
        <v>13</v>
      </c>
      <c r="KAV12">
        <v>13</v>
      </c>
      <c r="KAW12">
        <v>13</v>
      </c>
      <c r="KAX12">
        <v>13</v>
      </c>
      <c r="KAY12">
        <v>13</v>
      </c>
      <c r="KAZ12">
        <v>13</v>
      </c>
      <c r="KBA12">
        <v>13</v>
      </c>
      <c r="KBB12">
        <v>13</v>
      </c>
      <c r="KBC12">
        <v>13</v>
      </c>
      <c r="KBD12">
        <v>13</v>
      </c>
      <c r="KBE12">
        <v>13</v>
      </c>
      <c r="KBF12">
        <v>13</v>
      </c>
      <c r="KBG12">
        <v>13</v>
      </c>
      <c r="KBH12">
        <v>13</v>
      </c>
      <c r="KBI12">
        <v>13</v>
      </c>
      <c r="KBJ12">
        <v>13</v>
      </c>
      <c r="KBK12">
        <v>13</v>
      </c>
      <c r="KBL12">
        <v>13</v>
      </c>
      <c r="KBM12">
        <v>13</v>
      </c>
      <c r="KFW12" s="1">
        <f t="shared" si="0"/>
        <v>58</v>
      </c>
      <c r="KFX12">
        <f t="shared" si="1"/>
        <v>61</v>
      </c>
      <c r="KFY12">
        <f t="shared" si="2"/>
        <v>5</v>
      </c>
      <c r="KFZ12">
        <f t="shared" si="3"/>
        <v>7</v>
      </c>
      <c r="KGA12">
        <f t="shared" si="4"/>
        <v>14</v>
      </c>
      <c r="KGB12">
        <f t="shared" si="5"/>
        <v>22</v>
      </c>
      <c r="KGC12">
        <f t="shared" si="6"/>
        <v>65</v>
      </c>
      <c r="KGD12">
        <f t="shared" si="7"/>
        <v>8</v>
      </c>
      <c r="KGE12">
        <f t="shared" si="8"/>
        <v>29</v>
      </c>
      <c r="KGF12">
        <f t="shared" si="9"/>
        <v>22</v>
      </c>
      <c r="KGG12">
        <f t="shared" si="10"/>
        <v>14</v>
      </c>
      <c r="KGH12">
        <f t="shared" si="11"/>
        <v>32</v>
      </c>
      <c r="KGI12">
        <f t="shared" si="12"/>
        <v>80</v>
      </c>
      <c r="KGJ12">
        <f t="shared" si="13"/>
        <v>0</v>
      </c>
      <c r="KGK12">
        <f t="shared" si="14"/>
        <v>0</v>
      </c>
      <c r="KGL12">
        <f t="shared" si="15"/>
        <v>0</v>
      </c>
      <c r="KGM12">
        <f t="shared" si="16"/>
        <v>0</v>
      </c>
      <c r="KGN12">
        <f t="shared" si="17"/>
        <v>0</v>
      </c>
      <c r="KGO12">
        <f t="shared" si="18"/>
        <v>0</v>
      </c>
      <c r="KGP12">
        <f t="shared" si="19"/>
        <v>0</v>
      </c>
      <c r="KGQ12">
        <f t="shared" si="20"/>
        <v>0</v>
      </c>
      <c r="KGR12">
        <f t="shared" si="21"/>
        <v>0</v>
      </c>
      <c r="KGS12">
        <f t="shared" si="22"/>
        <v>0</v>
      </c>
      <c r="KGT12">
        <f t="shared" si="23"/>
        <v>0</v>
      </c>
      <c r="KGU12">
        <f t="shared" si="24"/>
        <v>0</v>
      </c>
      <c r="KGV12">
        <f t="shared" si="25"/>
        <v>0</v>
      </c>
      <c r="KGW12">
        <f t="shared" si="26"/>
        <v>0</v>
      </c>
      <c r="KGX12">
        <f t="shared" si="27"/>
        <v>0</v>
      </c>
      <c r="KGY12">
        <f t="shared" si="28"/>
        <v>0</v>
      </c>
      <c r="KGZ12">
        <f t="shared" si="29"/>
        <v>0</v>
      </c>
      <c r="KHA12">
        <f t="shared" si="30"/>
        <v>0</v>
      </c>
      <c r="KHB12">
        <f t="shared" si="31"/>
        <v>0</v>
      </c>
      <c r="KHC12">
        <f t="shared" si="32"/>
        <v>0</v>
      </c>
      <c r="KHD12">
        <f t="shared" si="33"/>
        <v>0</v>
      </c>
      <c r="KHE12">
        <f t="shared" si="34"/>
        <v>0</v>
      </c>
      <c r="KHF12">
        <f t="shared" si="35"/>
        <v>0</v>
      </c>
      <c r="KHG12">
        <f t="shared" si="36"/>
        <v>0</v>
      </c>
      <c r="KHH12">
        <f t="shared" si="37"/>
        <v>0</v>
      </c>
      <c r="KHI12">
        <f t="shared" si="38"/>
        <v>0</v>
      </c>
      <c r="KHJ12">
        <f t="shared" si="39"/>
        <v>0</v>
      </c>
      <c r="KHK12">
        <f t="shared" si="40"/>
        <v>0</v>
      </c>
      <c r="KHL12">
        <f t="shared" si="41"/>
        <v>0</v>
      </c>
      <c r="KHM12">
        <f t="shared" si="42"/>
        <v>0</v>
      </c>
      <c r="KHN12">
        <f t="shared" si="43"/>
        <v>0</v>
      </c>
      <c r="KHO12">
        <f t="shared" si="44"/>
        <v>0</v>
      </c>
      <c r="KHP12">
        <f t="shared" si="45"/>
        <v>0</v>
      </c>
      <c r="KHQ12">
        <f t="shared" si="46"/>
        <v>0</v>
      </c>
      <c r="KHR12">
        <f t="shared" si="47"/>
        <v>0</v>
      </c>
      <c r="KHS12">
        <f t="shared" si="48"/>
        <v>0</v>
      </c>
      <c r="KHT12">
        <f t="shared" si="49"/>
        <v>0</v>
      </c>
      <c r="KHU12">
        <f t="shared" si="50"/>
        <v>0</v>
      </c>
      <c r="KHV12">
        <f t="shared" si="51"/>
        <v>0</v>
      </c>
      <c r="KHW12">
        <f t="shared" si="52"/>
        <v>0</v>
      </c>
      <c r="KHX12">
        <f t="shared" si="53"/>
        <v>0</v>
      </c>
      <c r="KHY12">
        <f t="shared" si="54"/>
        <v>0</v>
      </c>
      <c r="KHZ12">
        <f t="shared" si="55"/>
        <v>0</v>
      </c>
      <c r="KIA12">
        <f t="shared" si="56"/>
        <v>0</v>
      </c>
      <c r="KIB12">
        <f t="shared" si="57"/>
        <v>0</v>
      </c>
      <c r="KIC12">
        <f t="shared" si="58"/>
        <v>0</v>
      </c>
      <c r="KID12">
        <f t="shared" si="59"/>
        <v>0</v>
      </c>
      <c r="KIE12">
        <f t="shared" si="60"/>
        <v>0</v>
      </c>
      <c r="KIF12">
        <f t="shared" si="61"/>
        <v>0</v>
      </c>
      <c r="KIG12">
        <f t="shared" si="62"/>
        <v>0</v>
      </c>
      <c r="KIH12">
        <f t="shared" si="63"/>
        <v>0</v>
      </c>
      <c r="KII12">
        <f t="shared" si="64"/>
        <v>0</v>
      </c>
      <c r="KIJ12">
        <f t="shared" si="65"/>
        <v>0</v>
      </c>
      <c r="KIK12">
        <f t="shared" si="66"/>
        <v>0</v>
      </c>
      <c r="KIL12">
        <f t="shared" si="67"/>
        <v>0</v>
      </c>
      <c r="KIM12">
        <f t="shared" si="68"/>
        <v>0</v>
      </c>
      <c r="KIN12">
        <f t="shared" si="69"/>
        <v>0</v>
      </c>
      <c r="KIO12">
        <f t="shared" si="70"/>
        <v>0</v>
      </c>
      <c r="KIP12">
        <f t="shared" si="71"/>
        <v>0</v>
      </c>
      <c r="KIQ12">
        <f t="shared" si="72"/>
        <v>0</v>
      </c>
      <c r="KIR12">
        <f t="shared" si="73"/>
        <v>0</v>
      </c>
      <c r="KIS12">
        <f t="shared" si="74"/>
        <v>0</v>
      </c>
      <c r="KIT12">
        <f t="shared" si="75"/>
        <v>0</v>
      </c>
      <c r="KIU12">
        <f t="shared" si="76"/>
        <v>0</v>
      </c>
      <c r="KIV12">
        <f t="shared" si="77"/>
        <v>0</v>
      </c>
      <c r="KIW12">
        <f t="shared" si="78"/>
        <v>0</v>
      </c>
      <c r="KIX12">
        <f t="shared" si="79"/>
        <v>0</v>
      </c>
      <c r="KIY12">
        <f t="shared" si="80"/>
        <v>0</v>
      </c>
      <c r="KIZ12">
        <f t="shared" si="81"/>
        <v>0</v>
      </c>
      <c r="KJA12">
        <f t="shared" si="82"/>
        <v>0</v>
      </c>
      <c r="KJB12">
        <f t="shared" si="83"/>
        <v>0</v>
      </c>
      <c r="KJC12">
        <f t="shared" si="84"/>
        <v>0</v>
      </c>
      <c r="KJD12">
        <f t="shared" si="85"/>
        <v>0</v>
      </c>
      <c r="KJE12">
        <f t="shared" si="86"/>
        <v>0</v>
      </c>
      <c r="KJF12">
        <f t="shared" si="87"/>
        <v>0</v>
      </c>
      <c r="KJG12">
        <f t="shared" si="88"/>
        <v>0</v>
      </c>
      <c r="KJH12">
        <f t="shared" si="89"/>
        <v>0</v>
      </c>
      <c r="KJI12">
        <f t="shared" si="90"/>
        <v>0</v>
      </c>
      <c r="KJJ12">
        <f t="shared" si="91"/>
        <v>0</v>
      </c>
      <c r="KJK12">
        <f t="shared" si="92"/>
        <v>0</v>
      </c>
      <c r="KJL12">
        <f t="shared" si="93"/>
        <v>0</v>
      </c>
      <c r="KJM12">
        <f t="shared" si="94"/>
        <v>0</v>
      </c>
      <c r="KJN12">
        <f t="shared" si="95"/>
        <v>0</v>
      </c>
      <c r="KJO12">
        <f t="shared" si="96"/>
        <v>0</v>
      </c>
      <c r="KJP12">
        <f t="shared" si="97"/>
        <v>0</v>
      </c>
      <c r="KJQ12">
        <f t="shared" si="98"/>
        <v>0</v>
      </c>
      <c r="KJR12">
        <f t="shared" si="99"/>
        <v>0</v>
      </c>
      <c r="KJT12">
        <f t="shared" si="100"/>
        <v>417</v>
      </c>
      <c r="KJV12">
        <f t="shared" si="100"/>
        <v>417</v>
      </c>
      <c r="KJW12">
        <f t="shared" si="101"/>
        <v>16.68</v>
      </c>
      <c r="KJY12" s="1">
        <f t="shared" si="101"/>
        <v>16.68</v>
      </c>
    </row>
    <row r="13" spans="1:7721">
      <c r="A13" t="s">
        <v>45</v>
      </c>
      <c r="B13">
        <v>15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  <c r="ALO13">
        <v>1</v>
      </c>
      <c r="ALP13">
        <v>1</v>
      </c>
      <c r="ALQ13">
        <v>1</v>
      </c>
      <c r="ALR13">
        <v>1</v>
      </c>
      <c r="ALS13">
        <v>1</v>
      </c>
      <c r="ALT13">
        <v>1</v>
      </c>
      <c r="ALU13">
        <v>1</v>
      </c>
      <c r="ALV13">
        <v>1</v>
      </c>
      <c r="ALW13">
        <v>1</v>
      </c>
      <c r="ALX13">
        <v>1</v>
      </c>
      <c r="ALY13">
        <v>1</v>
      </c>
      <c r="ALZ13">
        <v>1</v>
      </c>
      <c r="AMA13">
        <v>1</v>
      </c>
      <c r="AMB13">
        <v>1</v>
      </c>
      <c r="AMC13">
        <v>1</v>
      </c>
      <c r="AMD13">
        <v>1</v>
      </c>
      <c r="AME13">
        <v>1</v>
      </c>
      <c r="AMF13">
        <v>1</v>
      </c>
      <c r="AMG13">
        <v>1</v>
      </c>
      <c r="AMH13">
        <v>1</v>
      </c>
      <c r="AMI13">
        <v>1</v>
      </c>
      <c r="AMJ13">
        <v>1</v>
      </c>
      <c r="AMK13">
        <v>1</v>
      </c>
      <c r="AML13">
        <v>1</v>
      </c>
      <c r="AMM13">
        <v>1</v>
      </c>
      <c r="AST13">
        <v>2</v>
      </c>
      <c r="ASU13">
        <v>2</v>
      </c>
      <c r="ASV13">
        <v>2</v>
      </c>
      <c r="ASW13">
        <v>2</v>
      </c>
      <c r="ASX13">
        <v>2</v>
      </c>
      <c r="ASY13">
        <v>2</v>
      </c>
      <c r="ASZ13">
        <v>2</v>
      </c>
      <c r="ATA13">
        <v>2</v>
      </c>
      <c r="ATB13">
        <v>2</v>
      </c>
      <c r="ATC13">
        <v>2</v>
      </c>
      <c r="ATD13">
        <v>2</v>
      </c>
      <c r="ATE13">
        <v>2</v>
      </c>
      <c r="ATF13">
        <v>2</v>
      </c>
      <c r="ATG13">
        <v>2</v>
      </c>
      <c r="ATH13">
        <v>2</v>
      </c>
      <c r="ATI13">
        <v>2</v>
      </c>
      <c r="ATJ13">
        <v>2</v>
      </c>
      <c r="ATK13">
        <v>2</v>
      </c>
      <c r="ATL13">
        <v>2</v>
      </c>
      <c r="ATM13">
        <v>2</v>
      </c>
      <c r="ATN13">
        <v>2</v>
      </c>
      <c r="ATO13">
        <v>2</v>
      </c>
      <c r="ATP13">
        <v>2</v>
      </c>
      <c r="ATQ13">
        <v>2</v>
      </c>
      <c r="ATR13">
        <v>2</v>
      </c>
      <c r="ATS13">
        <v>2</v>
      </c>
      <c r="ATT13">
        <v>2</v>
      </c>
      <c r="ATU13">
        <v>2</v>
      </c>
      <c r="ATV13">
        <v>2</v>
      </c>
      <c r="ATW13">
        <v>2</v>
      </c>
      <c r="ATX13">
        <v>2</v>
      </c>
      <c r="ATY13">
        <v>2</v>
      </c>
      <c r="AYE13">
        <v>3</v>
      </c>
      <c r="AYF13">
        <v>3</v>
      </c>
      <c r="AYG13">
        <v>3</v>
      </c>
      <c r="AYH13">
        <v>3</v>
      </c>
      <c r="AYI13">
        <v>3</v>
      </c>
      <c r="AYJ13">
        <v>3</v>
      </c>
      <c r="AYK13">
        <v>3</v>
      </c>
      <c r="AYL13">
        <v>3</v>
      </c>
      <c r="AYM13">
        <v>3</v>
      </c>
      <c r="AYN13">
        <v>3</v>
      </c>
      <c r="AYO13">
        <v>3</v>
      </c>
      <c r="AYP13">
        <v>3</v>
      </c>
      <c r="AYQ13">
        <v>3</v>
      </c>
      <c r="AYR13">
        <v>3</v>
      </c>
      <c r="AYS13">
        <v>3</v>
      </c>
      <c r="AYT13">
        <v>3</v>
      </c>
      <c r="AYU13">
        <v>3</v>
      </c>
      <c r="AYV13">
        <v>3</v>
      </c>
      <c r="AYW13">
        <v>3</v>
      </c>
      <c r="AYX13">
        <v>3</v>
      </c>
      <c r="BEN13">
        <v>4</v>
      </c>
      <c r="BEO13">
        <v>4</v>
      </c>
      <c r="BEP13">
        <v>4</v>
      </c>
      <c r="BEQ13">
        <v>4</v>
      </c>
      <c r="BER13">
        <v>4</v>
      </c>
      <c r="BES13">
        <v>4</v>
      </c>
      <c r="BET13">
        <v>4</v>
      </c>
      <c r="BEU13">
        <v>4</v>
      </c>
      <c r="BEV13">
        <v>4</v>
      </c>
      <c r="BEW13">
        <v>4</v>
      </c>
      <c r="BEX13">
        <v>4</v>
      </c>
      <c r="BEY13">
        <v>4</v>
      </c>
      <c r="BEZ13">
        <v>4</v>
      </c>
      <c r="BFA13">
        <v>4</v>
      </c>
      <c r="BFB13">
        <v>4</v>
      </c>
      <c r="BFC13">
        <v>4</v>
      </c>
      <c r="BFD13">
        <v>4</v>
      </c>
      <c r="BFE13">
        <v>4</v>
      </c>
      <c r="BFF13">
        <v>4</v>
      </c>
      <c r="BFG13">
        <v>4</v>
      </c>
      <c r="BFH13">
        <v>4</v>
      </c>
      <c r="BFI13">
        <v>4</v>
      </c>
      <c r="BFJ13">
        <v>4</v>
      </c>
      <c r="BFK13">
        <v>4</v>
      </c>
      <c r="BFL13">
        <v>4</v>
      </c>
      <c r="BFM13">
        <v>4</v>
      </c>
      <c r="BFN13">
        <v>4</v>
      </c>
      <c r="BFO13">
        <v>4</v>
      </c>
      <c r="BFP13">
        <v>4</v>
      </c>
      <c r="BFQ13">
        <v>4</v>
      </c>
      <c r="BFR13">
        <v>4</v>
      </c>
      <c r="BFS13">
        <v>4</v>
      </c>
      <c r="BFT13">
        <v>4</v>
      </c>
      <c r="BFU13">
        <v>4</v>
      </c>
      <c r="BFV13">
        <v>4</v>
      </c>
      <c r="BFW13">
        <v>4</v>
      </c>
      <c r="BFX13">
        <v>4</v>
      </c>
      <c r="BFY13">
        <v>4</v>
      </c>
      <c r="BFZ13">
        <v>4</v>
      </c>
      <c r="BGA13">
        <v>4</v>
      </c>
      <c r="BGB13">
        <v>4</v>
      </c>
      <c r="BGC13">
        <v>4</v>
      </c>
      <c r="BGD13">
        <v>4</v>
      </c>
      <c r="BGE13">
        <v>4</v>
      </c>
      <c r="BGF13">
        <v>4</v>
      </c>
      <c r="BGG13">
        <v>4</v>
      </c>
      <c r="BGH13">
        <v>4</v>
      </c>
      <c r="COG13">
        <v>5</v>
      </c>
      <c r="COH13">
        <v>5</v>
      </c>
      <c r="COI13">
        <v>5</v>
      </c>
      <c r="COJ13">
        <v>5</v>
      </c>
      <c r="COK13">
        <v>5</v>
      </c>
      <c r="COL13">
        <v>5</v>
      </c>
      <c r="COM13">
        <v>5</v>
      </c>
      <c r="CON13">
        <v>5</v>
      </c>
      <c r="COO13">
        <v>5</v>
      </c>
      <c r="COP13">
        <v>5</v>
      </c>
      <c r="COQ13">
        <v>5</v>
      </c>
      <c r="COR13">
        <v>5</v>
      </c>
      <c r="COS13">
        <v>5</v>
      </c>
      <c r="DFN13">
        <v>6</v>
      </c>
      <c r="DFO13">
        <v>6</v>
      </c>
      <c r="DFP13">
        <v>6</v>
      </c>
      <c r="DFQ13">
        <v>6</v>
      </c>
      <c r="DFR13">
        <v>6</v>
      </c>
      <c r="DFS13">
        <v>6</v>
      </c>
      <c r="DFT13">
        <v>6</v>
      </c>
      <c r="DFU13">
        <v>6</v>
      </c>
      <c r="DFV13">
        <v>6</v>
      </c>
      <c r="DFW13">
        <v>6</v>
      </c>
      <c r="DFX13">
        <v>6</v>
      </c>
      <c r="DFY13">
        <v>6</v>
      </c>
      <c r="DFZ13">
        <v>6</v>
      </c>
      <c r="DGA13">
        <v>6</v>
      </c>
      <c r="DGB13">
        <v>6</v>
      </c>
      <c r="DGC13">
        <v>6</v>
      </c>
      <c r="DGD13">
        <v>6</v>
      </c>
      <c r="DGE13">
        <v>6</v>
      </c>
      <c r="DGF13">
        <v>6</v>
      </c>
      <c r="DGG13">
        <v>6</v>
      </c>
      <c r="DGH13">
        <v>6</v>
      </c>
      <c r="DGI13">
        <v>6</v>
      </c>
      <c r="DGJ13">
        <v>6</v>
      </c>
      <c r="DGK13">
        <v>6</v>
      </c>
      <c r="DGL13">
        <v>6</v>
      </c>
      <c r="DGM13">
        <v>6</v>
      </c>
      <c r="DGN13">
        <v>6</v>
      </c>
      <c r="DGO13">
        <v>6</v>
      </c>
      <c r="DGP13">
        <v>6</v>
      </c>
      <c r="DGQ13">
        <v>6</v>
      </c>
      <c r="DGR13">
        <v>6</v>
      </c>
      <c r="DGS13">
        <v>6</v>
      </c>
      <c r="DGT13">
        <v>6</v>
      </c>
      <c r="DGU13">
        <v>6</v>
      </c>
      <c r="DGV13">
        <v>6</v>
      </c>
      <c r="DGW13">
        <v>6</v>
      </c>
      <c r="DGX13">
        <v>6</v>
      </c>
      <c r="DGY13">
        <v>6</v>
      </c>
      <c r="DGZ13">
        <v>6</v>
      </c>
      <c r="DHA13">
        <v>6</v>
      </c>
      <c r="DHB13">
        <v>6</v>
      </c>
      <c r="DHC13">
        <v>6</v>
      </c>
      <c r="DHD13">
        <v>6</v>
      </c>
      <c r="DHE13">
        <v>6</v>
      </c>
      <c r="DHF13">
        <v>6</v>
      </c>
      <c r="DHG13">
        <v>6</v>
      </c>
      <c r="DHH13">
        <v>6</v>
      </c>
      <c r="DHI13">
        <v>6</v>
      </c>
      <c r="DHJ13">
        <v>6</v>
      </c>
      <c r="DHK13">
        <v>6</v>
      </c>
      <c r="DHL13">
        <v>6</v>
      </c>
      <c r="DHM13">
        <v>6</v>
      </c>
      <c r="DHN13">
        <v>6</v>
      </c>
      <c r="DHO13">
        <v>6</v>
      </c>
      <c r="DHP13">
        <v>6</v>
      </c>
      <c r="DHQ13">
        <v>6</v>
      </c>
      <c r="DHR13">
        <v>6</v>
      </c>
      <c r="DHS13">
        <v>6</v>
      </c>
      <c r="DHT13">
        <v>6</v>
      </c>
      <c r="DHU13">
        <v>6</v>
      </c>
      <c r="DHV13">
        <v>6</v>
      </c>
      <c r="DHW13">
        <v>6</v>
      </c>
      <c r="DHX13">
        <v>6</v>
      </c>
      <c r="DHY13">
        <v>6</v>
      </c>
      <c r="DHZ13">
        <v>6</v>
      </c>
      <c r="DIA13">
        <v>6</v>
      </c>
      <c r="DIB13">
        <v>6</v>
      </c>
      <c r="DIC13">
        <v>6</v>
      </c>
      <c r="DID13">
        <v>6</v>
      </c>
      <c r="DIE13">
        <v>6</v>
      </c>
      <c r="DIF13">
        <v>6</v>
      </c>
      <c r="DIG13">
        <v>6</v>
      </c>
      <c r="DIH13">
        <v>6</v>
      </c>
      <c r="DII13">
        <v>6</v>
      </c>
      <c r="DIJ13">
        <v>6</v>
      </c>
      <c r="DIK13">
        <v>6</v>
      </c>
      <c r="DIL13">
        <v>6</v>
      </c>
      <c r="DIM13">
        <v>6</v>
      </c>
      <c r="DIN13">
        <v>6</v>
      </c>
      <c r="DIO13">
        <v>6</v>
      </c>
      <c r="DIP13">
        <v>6</v>
      </c>
      <c r="DIQ13">
        <v>6</v>
      </c>
      <c r="DIR13">
        <v>6</v>
      </c>
      <c r="DIS13">
        <v>6</v>
      </c>
      <c r="DIT13">
        <v>6</v>
      </c>
      <c r="DIU13">
        <v>6</v>
      </c>
      <c r="DIV13">
        <v>6</v>
      </c>
      <c r="DIW13">
        <v>6</v>
      </c>
      <c r="DIX13">
        <v>6</v>
      </c>
      <c r="EAL13">
        <v>7</v>
      </c>
      <c r="EAM13">
        <v>7</v>
      </c>
      <c r="EAN13">
        <v>7</v>
      </c>
      <c r="EAO13">
        <v>7</v>
      </c>
      <c r="EAP13">
        <v>7</v>
      </c>
      <c r="EAQ13">
        <v>7</v>
      </c>
      <c r="EAR13">
        <v>7</v>
      </c>
      <c r="EAS13">
        <v>7</v>
      </c>
      <c r="EAT13">
        <v>7</v>
      </c>
      <c r="EAU13">
        <v>7</v>
      </c>
      <c r="EAV13">
        <v>7</v>
      </c>
      <c r="EAW13">
        <v>7</v>
      </c>
      <c r="EAX13">
        <v>7</v>
      </c>
      <c r="EAY13">
        <v>7</v>
      </c>
      <c r="EAZ13">
        <v>7</v>
      </c>
      <c r="EBA13">
        <v>7</v>
      </c>
      <c r="EBB13">
        <v>7</v>
      </c>
      <c r="EBC13">
        <v>7</v>
      </c>
      <c r="EBD13">
        <v>7</v>
      </c>
      <c r="EBE13">
        <v>7</v>
      </c>
      <c r="EBF13">
        <v>7</v>
      </c>
      <c r="EBG13">
        <v>7</v>
      </c>
      <c r="EBH13">
        <v>7</v>
      </c>
      <c r="EBI13">
        <v>7</v>
      </c>
      <c r="EBJ13">
        <v>7</v>
      </c>
      <c r="EBK13">
        <v>7</v>
      </c>
      <c r="ECE13">
        <v>8</v>
      </c>
      <c r="ECF13">
        <v>8</v>
      </c>
      <c r="ECG13">
        <v>8</v>
      </c>
      <c r="ECH13">
        <v>8</v>
      </c>
      <c r="ECI13">
        <v>8</v>
      </c>
      <c r="ECJ13">
        <v>8</v>
      </c>
      <c r="ECK13">
        <v>8</v>
      </c>
      <c r="ECL13">
        <v>8</v>
      </c>
      <c r="GHK13">
        <v>9</v>
      </c>
      <c r="GHL13">
        <v>9</v>
      </c>
      <c r="GHM13">
        <v>9</v>
      </c>
      <c r="GHN13">
        <v>9</v>
      </c>
      <c r="GHO13">
        <v>9</v>
      </c>
      <c r="GHP13">
        <v>9</v>
      </c>
      <c r="GHQ13">
        <v>9</v>
      </c>
      <c r="GHR13">
        <v>9</v>
      </c>
      <c r="GHS13">
        <v>9</v>
      </c>
      <c r="GHT13">
        <v>9</v>
      </c>
      <c r="GHU13">
        <v>9</v>
      </c>
      <c r="GHV13">
        <v>9</v>
      </c>
      <c r="GHW13">
        <v>9</v>
      </c>
      <c r="GHX13">
        <v>9</v>
      </c>
      <c r="GHY13">
        <v>9</v>
      </c>
      <c r="GHZ13">
        <v>9</v>
      </c>
      <c r="GIA13">
        <v>9</v>
      </c>
      <c r="GIB13">
        <v>9</v>
      </c>
      <c r="GIC13">
        <v>9</v>
      </c>
      <c r="GID13">
        <v>9</v>
      </c>
      <c r="GIE13">
        <v>9</v>
      </c>
      <c r="GIF13">
        <v>9</v>
      </c>
      <c r="GIG13">
        <v>9</v>
      </c>
      <c r="GIH13">
        <v>9</v>
      </c>
      <c r="GII13">
        <v>9</v>
      </c>
      <c r="GIJ13">
        <v>9</v>
      </c>
      <c r="GIK13">
        <v>9</v>
      </c>
      <c r="GIL13">
        <v>9</v>
      </c>
      <c r="GIM13">
        <v>9</v>
      </c>
      <c r="GIN13">
        <v>9</v>
      </c>
      <c r="GIO13">
        <v>9</v>
      </c>
      <c r="GIP13">
        <v>9</v>
      </c>
      <c r="GIQ13">
        <v>9</v>
      </c>
      <c r="GIR13">
        <v>9</v>
      </c>
      <c r="GIS13">
        <v>9</v>
      </c>
      <c r="GIT13">
        <v>9</v>
      </c>
      <c r="GIU13">
        <v>9</v>
      </c>
      <c r="GIV13">
        <v>9</v>
      </c>
      <c r="GIW13">
        <v>9</v>
      </c>
      <c r="GIX13">
        <v>9</v>
      </c>
      <c r="GIY13">
        <v>9</v>
      </c>
      <c r="GIZ13">
        <v>9</v>
      </c>
      <c r="GJA13">
        <v>9</v>
      </c>
      <c r="GJB13">
        <v>9</v>
      </c>
      <c r="GJC13">
        <v>9</v>
      </c>
      <c r="GJD13">
        <v>9</v>
      </c>
      <c r="GJE13">
        <v>9</v>
      </c>
      <c r="GJF13">
        <v>9</v>
      </c>
      <c r="GJG13">
        <v>9</v>
      </c>
      <c r="GYA13">
        <v>10</v>
      </c>
      <c r="GYB13">
        <v>10</v>
      </c>
      <c r="GYC13">
        <v>10</v>
      </c>
      <c r="GYD13">
        <v>10</v>
      </c>
      <c r="GYE13">
        <v>10</v>
      </c>
      <c r="GYF13">
        <v>10</v>
      </c>
      <c r="GYG13">
        <v>10</v>
      </c>
      <c r="GYH13">
        <v>10</v>
      </c>
      <c r="GYI13">
        <v>10</v>
      </c>
      <c r="GYJ13">
        <v>10</v>
      </c>
      <c r="GYK13">
        <v>10</v>
      </c>
      <c r="GYL13">
        <v>10</v>
      </c>
      <c r="GYM13">
        <v>10</v>
      </c>
      <c r="GYN13">
        <v>10</v>
      </c>
      <c r="GYO13">
        <v>10</v>
      </c>
      <c r="GYP13">
        <v>10</v>
      </c>
      <c r="GYQ13">
        <v>10</v>
      </c>
      <c r="GYR13">
        <v>10</v>
      </c>
      <c r="GYS13">
        <v>10</v>
      </c>
      <c r="GYT13">
        <v>10</v>
      </c>
      <c r="GYU13">
        <v>10</v>
      </c>
      <c r="GYV13">
        <v>10</v>
      </c>
      <c r="GYW13">
        <v>10</v>
      </c>
      <c r="GYX13">
        <v>10</v>
      </c>
      <c r="GYY13">
        <v>10</v>
      </c>
      <c r="GYZ13">
        <v>10</v>
      </c>
      <c r="GZA13">
        <v>10</v>
      </c>
      <c r="GZB13">
        <v>10</v>
      </c>
      <c r="GZC13">
        <v>10</v>
      </c>
      <c r="GZD13">
        <v>10</v>
      </c>
      <c r="GZE13">
        <v>10</v>
      </c>
      <c r="GZF13">
        <v>10</v>
      </c>
      <c r="GZG13">
        <v>10</v>
      </c>
      <c r="GZH13">
        <v>10</v>
      </c>
      <c r="GZI13">
        <v>10</v>
      </c>
      <c r="GZJ13">
        <v>10</v>
      </c>
      <c r="GZK13">
        <v>10</v>
      </c>
      <c r="GZL13">
        <v>10</v>
      </c>
      <c r="GZM13">
        <v>10</v>
      </c>
      <c r="GZN13">
        <v>10</v>
      </c>
      <c r="GZO13">
        <v>10</v>
      </c>
      <c r="GZP13">
        <v>10</v>
      </c>
      <c r="GZQ13">
        <v>10</v>
      </c>
      <c r="GZR13">
        <v>10</v>
      </c>
      <c r="GZS13">
        <v>10</v>
      </c>
      <c r="GZT13">
        <v>10</v>
      </c>
      <c r="GZU13">
        <v>10</v>
      </c>
      <c r="GZV13">
        <v>10</v>
      </c>
      <c r="GZW13">
        <v>10</v>
      </c>
      <c r="GZX13">
        <v>10</v>
      </c>
      <c r="GZY13">
        <v>10</v>
      </c>
      <c r="GZZ13">
        <v>10</v>
      </c>
      <c r="HAA13">
        <v>10</v>
      </c>
      <c r="HAB13">
        <v>10</v>
      </c>
      <c r="HAC13">
        <v>10</v>
      </c>
      <c r="HAD13">
        <v>10</v>
      </c>
      <c r="HAE13">
        <v>10</v>
      </c>
      <c r="HAF13">
        <v>10</v>
      </c>
      <c r="HAG13">
        <v>10</v>
      </c>
      <c r="HAH13">
        <v>10</v>
      </c>
      <c r="HAI13">
        <v>10</v>
      </c>
      <c r="HAJ13">
        <v>10</v>
      </c>
      <c r="HAK13">
        <v>10</v>
      </c>
      <c r="HAL13">
        <v>10</v>
      </c>
      <c r="HAM13">
        <v>10</v>
      </c>
      <c r="HAN13">
        <v>10</v>
      </c>
      <c r="HAO13">
        <v>10</v>
      </c>
      <c r="HAP13">
        <v>10</v>
      </c>
      <c r="HAQ13">
        <v>10</v>
      </c>
      <c r="HAR13">
        <v>10</v>
      </c>
      <c r="HAS13">
        <v>10</v>
      </c>
      <c r="HAT13">
        <v>10</v>
      </c>
      <c r="HAU13">
        <v>10</v>
      </c>
      <c r="HAV13">
        <v>10</v>
      </c>
      <c r="HAW13">
        <v>10</v>
      </c>
      <c r="HAX13">
        <v>10</v>
      </c>
      <c r="HAY13">
        <v>10</v>
      </c>
      <c r="HAZ13">
        <v>10</v>
      </c>
      <c r="HBA13">
        <v>10</v>
      </c>
      <c r="HBB13">
        <v>10</v>
      </c>
      <c r="HBC13">
        <v>10</v>
      </c>
      <c r="HBD13">
        <v>10</v>
      </c>
      <c r="HBE13">
        <v>10</v>
      </c>
      <c r="HBF13">
        <v>10</v>
      </c>
      <c r="HBG13">
        <v>10</v>
      </c>
      <c r="HBH13">
        <v>10</v>
      </c>
      <c r="HBI13">
        <v>10</v>
      </c>
      <c r="HBJ13">
        <v>10</v>
      </c>
      <c r="HBK13">
        <v>10</v>
      </c>
      <c r="HBL13">
        <v>10</v>
      </c>
      <c r="HBM13">
        <v>10</v>
      </c>
      <c r="HBN13">
        <v>10</v>
      </c>
      <c r="HBO13">
        <v>10</v>
      </c>
      <c r="HBP13">
        <v>10</v>
      </c>
      <c r="HBQ13">
        <v>10</v>
      </c>
      <c r="HBR13">
        <v>10</v>
      </c>
      <c r="HBS13">
        <v>10</v>
      </c>
      <c r="HBT13">
        <v>10</v>
      </c>
      <c r="HBU13">
        <v>10</v>
      </c>
      <c r="HBV13">
        <v>10</v>
      </c>
      <c r="HBW13">
        <v>10</v>
      </c>
      <c r="HBX13">
        <v>10</v>
      </c>
      <c r="HBY13">
        <v>10</v>
      </c>
      <c r="HBZ13">
        <v>10</v>
      </c>
      <c r="HCA13">
        <v>10</v>
      </c>
      <c r="HCB13">
        <v>10</v>
      </c>
      <c r="HCC13">
        <v>10</v>
      </c>
      <c r="HCD13">
        <v>10</v>
      </c>
      <c r="HCE13">
        <v>10</v>
      </c>
      <c r="HCF13">
        <v>10</v>
      </c>
      <c r="HCG13">
        <v>10</v>
      </c>
      <c r="HCH13">
        <v>10</v>
      </c>
      <c r="HCI13">
        <v>10</v>
      </c>
      <c r="HCJ13">
        <v>10</v>
      </c>
      <c r="HCK13">
        <v>10</v>
      </c>
      <c r="HCL13">
        <v>10</v>
      </c>
      <c r="HCM13">
        <v>10</v>
      </c>
      <c r="HCN13">
        <v>10</v>
      </c>
      <c r="HCO13">
        <v>10</v>
      </c>
      <c r="HCP13">
        <v>10</v>
      </c>
      <c r="HCQ13">
        <v>10</v>
      </c>
      <c r="HCR13">
        <v>10</v>
      </c>
      <c r="HCS13">
        <v>10</v>
      </c>
      <c r="HCT13">
        <v>10</v>
      </c>
      <c r="HCU13">
        <v>10</v>
      </c>
      <c r="HCV13">
        <v>10</v>
      </c>
      <c r="HCW13">
        <v>10</v>
      </c>
      <c r="HCX13">
        <v>10</v>
      </c>
      <c r="HCY13">
        <v>10</v>
      </c>
      <c r="HCZ13">
        <v>10</v>
      </c>
      <c r="HDA13">
        <v>10</v>
      </c>
      <c r="HDB13">
        <v>10</v>
      </c>
      <c r="HDC13">
        <v>10</v>
      </c>
      <c r="HDD13">
        <v>10</v>
      </c>
      <c r="HDE13">
        <v>10</v>
      </c>
      <c r="HDF13">
        <v>10</v>
      </c>
      <c r="HDG13">
        <v>10</v>
      </c>
      <c r="HDH13">
        <v>10</v>
      </c>
      <c r="HDI13">
        <v>10</v>
      </c>
      <c r="HDJ13">
        <v>10</v>
      </c>
      <c r="HDK13">
        <v>10</v>
      </c>
      <c r="HDL13">
        <v>10</v>
      </c>
      <c r="HDM13">
        <v>10</v>
      </c>
      <c r="HDN13">
        <v>10</v>
      </c>
      <c r="HDO13">
        <v>10</v>
      </c>
      <c r="HDP13">
        <v>10</v>
      </c>
      <c r="HDQ13">
        <v>10</v>
      </c>
      <c r="HDR13">
        <v>10</v>
      </c>
      <c r="HDS13">
        <v>10</v>
      </c>
      <c r="HDT13">
        <v>10</v>
      </c>
      <c r="HDU13">
        <v>10</v>
      </c>
      <c r="HDV13">
        <v>10</v>
      </c>
      <c r="HDW13">
        <v>10</v>
      </c>
      <c r="HDX13">
        <v>10</v>
      </c>
      <c r="HDY13">
        <v>10</v>
      </c>
      <c r="HDZ13">
        <v>10</v>
      </c>
      <c r="HEA13">
        <v>10</v>
      </c>
      <c r="HEB13">
        <v>10</v>
      </c>
      <c r="HEC13">
        <v>10</v>
      </c>
      <c r="HED13">
        <v>10</v>
      </c>
      <c r="HEE13">
        <v>10</v>
      </c>
      <c r="HEF13">
        <v>10</v>
      </c>
      <c r="HEG13">
        <v>10</v>
      </c>
      <c r="HEH13">
        <v>10</v>
      </c>
      <c r="HEI13">
        <v>10</v>
      </c>
      <c r="HEJ13">
        <v>10</v>
      </c>
      <c r="HEK13">
        <v>10</v>
      </c>
      <c r="HEL13">
        <v>10</v>
      </c>
      <c r="HEM13">
        <v>10</v>
      </c>
      <c r="HEN13">
        <v>10</v>
      </c>
      <c r="HEO13">
        <v>10</v>
      </c>
      <c r="HEP13">
        <v>10</v>
      </c>
      <c r="HEQ13">
        <v>10</v>
      </c>
      <c r="HER13">
        <v>10</v>
      </c>
      <c r="HES13">
        <v>10</v>
      </c>
      <c r="HET13">
        <v>10</v>
      </c>
      <c r="HEU13">
        <v>10</v>
      </c>
      <c r="HEV13">
        <v>10</v>
      </c>
      <c r="HEW13">
        <v>10</v>
      </c>
      <c r="HEX13">
        <v>10</v>
      </c>
      <c r="HEY13">
        <v>10</v>
      </c>
      <c r="HEZ13">
        <v>10</v>
      </c>
      <c r="HFA13">
        <v>10</v>
      </c>
      <c r="HFB13">
        <v>10</v>
      </c>
      <c r="HFC13">
        <v>10</v>
      </c>
      <c r="HFD13">
        <v>10</v>
      </c>
      <c r="HFE13">
        <v>10</v>
      </c>
      <c r="HFF13">
        <v>10</v>
      </c>
      <c r="HFG13">
        <v>10</v>
      </c>
      <c r="HTT13">
        <v>11</v>
      </c>
      <c r="HTU13">
        <v>11</v>
      </c>
      <c r="HTV13">
        <v>11</v>
      </c>
      <c r="HTW13">
        <v>11</v>
      </c>
      <c r="HTX13">
        <v>11</v>
      </c>
      <c r="HTY13">
        <v>11</v>
      </c>
      <c r="HTZ13">
        <v>11</v>
      </c>
      <c r="HUA13">
        <v>11</v>
      </c>
      <c r="HUB13">
        <v>11</v>
      </c>
      <c r="HUC13">
        <v>11</v>
      </c>
      <c r="HUD13">
        <v>11</v>
      </c>
      <c r="HUE13">
        <v>11</v>
      </c>
      <c r="HUF13">
        <v>11</v>
      </c>
      <c r="HUG13">
        <v>11</v>
      </c>
      <c r="HUH13">
        <v>11</v>
      </c>
      <c r="HUI13">
        <v>11</v>
      </c>
      <c r="HUJ13">
        <v>11</v>
      </c>
      <c r="HUK13">
        <v>11</v>
      </c>
      <c r="HUL13">
        <v>11</v>
      </c>
      <c r="HUM13">
        <v>11</v>
      </c>
      <c r="IDF13">
        <v>12</v>
      </c>
      <c r="IDG13">
        <v>12</v>
      </c>
      <c r="IDH13">
        <v>12</v>
      </c>
      <c r="JKP13">
        <v>13</v>
      </c>
      <c r="JKQ13">
        <v>13</v>
      </c>
      <c r="JKR13">
        <v>13</v>
      </c>
      <c r="JKS13">
        <v>13</v>
      </c>
      <c r="JKT13">
        <v>13</v>
      </c>
      <c r="JKU13">
        <v>13</v>
      </c>
      <c r="JKV13">
        <v>13</v>
      </c>
      <c r="JKW13">
        <v>13</v>
      </c>
      <c r="JKX13">
        <v>13</v>
      </c>
      <c r="JKY13">
        <v>13</v>
      </c>
      <c r="JKZ13">
        <v>13</v>
      </c>
      <c r="JLA13">
        <v>13</v>
      </c>
      <c r="JLB13">
        <v>13</v>
      </c>
      <c r="JLC13">
        <v>13</v>
      </c>
      <c r="JLD13">
        <v>13</v>
      </c>
      <c r="JLE13">
        <v>13</v>
      </c>
      <c r="JLF13">
        <v>13</v>
      </c>
      <c r="JLG13">
        <v>13</v>
      </c>
      <c r="JLH13">
        <v>13</v>
      </c>
      <c r="JLI13">
        <v>13</v>
      </c>
      <c r="JLJ13">
        <v>13</v>
      </c>
      <c r="JLK13">
        <v>13</v>
      </c>
      <c r="JLL13">
        <v>13</v>
      </c>
      <c r="JLM13">
        <v>13</v>
      </c>
      <c r="JLN13">
        <v>13</v>
      </c>
      <c r="JLO13">
        <v>13</v>
      </c>
      <c r="JLP13">
        <v>13</v>
      </c>
      <c r="JLQ13">
        <v>13</v>
      </c>
      <c r="JLR13">
        <v>13</v>
      </c>
      <c r="JLS13">
        <v>13</v>
      </c>
      <c r="JLT13">
        <v>13</v>
      </c>
      <c r="JLU13">
        <v>13</v>
      </c>
      <c r="JLV13">
        <v>13</v>
      </c>
      <c r="JLW13">
        <v>13</v>
      </c>
      <c r="JLX13">
        <v>13</v>
      </c>
      <c r="JLY13">
        <v>13</v>
      </c>
      <c r="JLZ13">
        <v>13</v>
      </c>
      <c r="JMA13">
        <v>13</v>
      </c>
      <c r="JMB13">
        <v>13</v>
      </c>
      <c r="JMC13">
        <v>13</v>
      </c>
      <c r="JMD13">
        <v>13</v>
      </c>
      <c r="JME13">
        <v>13</v>
      </c>
      <c r="JMF13">
        <v>13</v>
      </c>
      <c r="JMG13">
        <v>13</v>
      </c>
      <c r="JMH13">
        <v>13</v>
      </c>
      <c r="JMI13">
        <v>13</v>
      </c>
      <c r="JMJ13">
        <v>13</v>
      </c>
      <c r="JMK13">
        <v>13</v>
      </c>
      <c r="JML13">
        <v>13</v>
      </c>
      <c r="JMM13">
        <v>13</v>
      </c>
      <c r="JMN13">
        <v>13</v>
      </c>
      <c r="JMO13">
        <v>13</v>
      </c>
      <c r="JMP13">
        <v>13</v>
      </c>
      <c r="JMQ13">
        <v>13</v>
      </c>
      <c r="JMR13">
        <v>13</v>
      </c>
      <c r="JMS13">
        <v>13</v>
      </c>
      <c r="JMT13">
        <v>13</v>
      </c>
      <c r="JMU13">
        <v>13</v>
      </c>
      <c r="JMV13">
        <v>13</v>
      </c>
      <c r="JMW13">
        <v>13</v>
      </c>
      <c r="JMX13">
        <v>13</v>
      </c>
      <c r="JMY13">
        <v>13</v>
      </c>
      <c r="JMZ13">
        <v>13</v>
      </c>
      <c r="JNA13">
        <v>13</v>
      </c>
      <c r="JNB13">
        <v>13</v>
      </c>
      <c r="JNC13">
        <v>13</v>
      </c>
      <c r="JND13">
        <v>13</v>
      </c>
      <c r="JNE13">
        <v>13</v>
      </c>
      <c r="JNF13">
        <v>13</v>
      </c>
      <c r="JNG13">
        <v>13</v>
      </c>
      <c r="JNH13">
        <v>13</v>
      </c>
      <c r="JNI13">
        <v>13</v>
      </c>
      <c r="JNJ13">
        <v>13</v>
      </c>
      <c r="JNK13">
        <v>13</v>
      </c>
      <c r="JNL13">
        <v>13</v>
      </c>
      <c r="JNM13">
        <v>13</v>
      </c>
      <c r="JNN13">
        <v>13</v>
      </c>
      <c r="JNO13">
        <v>13</v>
      </c>
      <c r="JNP13">
        <v>13</v>
      </c>
      <c r="JNQ13">
        <v>13</v>
      </c>
      <c r="JNR13">
        <v>13</v>
      </c>
      <c r="JNS13">
        <v>13</v>
      </c>
      <c r="JNT13">
        <v>13</v>
      </c>
      <c r="JNU13">
        <v>13</v>
      </c>
      <c r="JNV13">
        <v>13</v>
      </c>
      <c r="JNW13">
        <v>13</v>
      </c>
      <c r="JNX13">
        <v>13</v>
      </c>
      <c r="JNY13">
        <v>13</v>
      </c>
      <c r="JNZ13">
        <v>13</v>
      </c>
      <c r="JOA13">
        <v>13</v>
      </c>
      <c r="JOB13">
        <v>13</v>
      </c>
      <c r="JOC13">
        <v>13</v>
      </c>
      <c r="JOD13">
        <v>13</v>
      </c>
      <c r="JOE13">
        <v>13</v>
      </c>
      <c r="JOF13">
        <v>13</v>
      </c>
      <c r="JOG13">
        <v>13</v>
      </c>
      <c r="JOH13">
        <v>13</v>
      </c>
      <c r="JOI13">
        <v>13</v>
      </c>
      <c r="JOJ13">
        <v>13</v>
      </c>
      <c r="JOK13">
        <v>13</v>
      </c>
      <c r="JSO13">
        <v>14</v>
      </c>
      <c r="JSP13">
        <v>14</v>
      </c>
      <c r="JSQ13">
        <v>14</v>
      </c>
      <c r="JSR13">
        <v>14</v>
      </c>
      <c r="JSS13">
        <v>14</v>
      </c>
      <c r="JST13">
        <v>14</v>
      </c>
      <c r="JSU13">
        <v>14</v>
      </c>
      <c r="JSV13">
        <v>14</v>
      </c>
      <c r="JSW13">
        <v>14</v>
      </c>
      <c r="JSX13">
        <v>14</v>
      </c>
      <c r="JSY13">
        <v>14</v>
      </c>
      <c r="JSZ13">
        <v>14</v>
      </c>
      <c r="JTA13">
        <v>14</v>
      </c>
      <c r="JTB13">
        <v>14</v>
      </c>
      <c r="JTC13">
        <v>14</v>
      </c>
      <c r="JTD13">
        <v>14</v>
      </c>
      <c r="JTE13">
        <v>14</v>
      </c>
      <c r="JTF13">
        <v>14</v>
      </c>
      <c r="JTG13">
        <v>14</v>
      </c>
      <c r="JTH13">
        <v>14</v>
      </c>
      <c r="JTI13">
        <v>14</v>
      </c>
      <c r="JTJ13">
        <v>14</v>
      </c>
      <c r="JTK13">
        <v>14</v>
      </c>
      <c r="JTL13">
        <v>14</v>
      </c>
      <c r="JTM13">
        <v>14</v>
      </c>
      <c r="JTN13">
        <v>14</v>
      </c>
      <c r="JTO13">
        <v>14</v>
      </c>
      <c r="JTP13">
        <v>14</v>
      </c>
      <c r="JTQ13">
        <v>14</v>
      </c>
      <c r="JTR13">
        <v>14</v>
      </c>
      <c r="JTS13">
        <v>14</v>
      </c>
      <c r="JTT13">
        <v>14</v>
      </c>
      <c r="JYD13">
        <v>15</v>
      </c>
      <c r="JYE13">
        <v>15</v>
      </c>
      <c r="JYF13">
        <v>15</v>
      </c>
      <c r="JYG13">
        <v>15</v>
      </c>
      <c r="JYH13">
        <v>15</v>
      </c>
      <c r="JYI13">
        <v>15</v>
      </c>
      <c r="JYJ13">
        <v>15</v>
      </c>
      <c r="JYK13">
        <v>15</v>
      </c>
      <c r="KFW13" s="1">
        <f t="shared" si="0"/>
        <v>60</v>
      </c>
      <c r="KFX13">
        <f t="shared" si="1"/>
        <v>32</v>
      </c>
      <c r="KFY13">
        <f t="shared" si="2"/>
        <v>20</v>
      </c>
      <c r="KFZ13">
        <f t="shared" si="3"/>
        <v>47</v>
      </c>
      <c r="KGA13">
        <f t="shared" si="4"/>
        <v>13</v>
      </c>
      <c r="KGB13">
        <f t="shared" si="5"/>
        <v>89</v>
      </c>
      <c r="KGC13">
        <f t="shared" si="6"/>
        <v>26</v>
      </c>
      <c r="KGD13">
        <f t="shared" si="7"/>
        <v>8</v>
      </c>
      <c r="KGE13">
        <f t="shared" si="8"/>
        <v>49</v>
      </c>
      <c r="KGF13">
        <f t="shared" si="9"/>
        <v>189</v>
      </c>
      <c r="KGG13">
        <f t="shared" si="10"/>
        <v>20</v>
      </c>
      <c r="KGH13">
        <f t="shared" si="11"/>
        <v>3</v>
      </c>
      <c r="KGI13">
        <f t="shared" si="12"/>
        <v>100</v>
      </c>
      <c r="KGJ13">
        <f t="shared" si="13"/>
        <v>32</v>
      </c>
      <c r="KGK13">
        <f t="shared" si="14"/>
        <v>8</v>
      </c>
      <c r="KGL13">
        <f t="shared" si="15"/>
        <v>0</v>
      </c>
      <c r="KGM13">
        <f t="shared" si="16"/>
        <v>0</v>
      </c>
      <c r="KGN13">
        <f t="shared" si="17"/>
        <v>0</v>
      </c>
      <c r="KGO13">
        <f t="shared" si="18"/>
        <v>0</v>
      </c>
      <c r="KGP13">
        <f t="shared" si="19"/>
        <v>0</v>
      </c>
      <c r="KGQ13">
        <f t="shared" si="20"/>
        <v>0</v>
      </c>
      <c r="KGR13">
        <f t="shared" si="21"/>
        <v>0</v>
      </c>
      <c r="KGS13">
        <f t="shared" si="22"/>
        <v>0</v>
      </c>
      <c r="KGT13">
        <f t="shared" si="23"/>
        <v>0</v>
      </c>
      <c r="KGU13">
        <f t="shared" si="24"/>
        <v>0</v>
      </c>
      <c r="KGV13">
        <f t="shared" si="25"/>
        <v>0</v>
      </c>
      <c r="KGW13">
        <f t="shared" si="26"/>
        <v>0</v>
      </c>
      <c r="KGX13">
        <f t="shared" si="27"/>
        <v>0</v>
      </c>
      <c r="KGY13">
        <f t="shared" si="28"/>
        <v>0</v>
      </c>
      <c r="KGZ13">
        <f t="shared" si="29"/>
        <v>0</v>
      </c>
      <c r="KHA13">
        <f t="shared" si="30"/>
        <v>0</v>
      </c>
      <c r="KHB13">
        <f t="shared" si="31"/>
        <v>0</v>
      </c>
      <c r="KHC13">
        <f t="shared" si="32"/>
        <v>0</v>
      </c>
      <c r="KHD13">
        <f t="shared" si="33"/>
        <v>0</v>
      </c>
      <c r="KHE13">
        <f t="shared" si="34"/>
        <v>0</v>
      </c>
      <c r="KHF13">
        <f t="shared" si="35"/>
        <v>0</v>
      </c>
      <c r="KHG13">
        <f t="shared" si="36"/>
        <v>0</v>
      </c>
      <c r="KHH13">
        <f t="shared" si="37"/>
        <v>0</v>
      </c>
      <c r="KHI13">
        <f t="shared" si="38"/>
        <v>0</v>
      </c>
      <c r="KHJ13">
        <f t="shared" si="39"/>
        <v>0</v>
      </c>
      <c r="KHK13">
        <f t="shared" si="40"/>
        <v>0</v>
      </c>
      <c r="KHL13">
        <f t="shared" si="41"/>
        <v>0</v>
      </c>
      <c r="KHM13">
        <f t="shared" si="42"/>
        <v>0</v>
      </c>
      <c r="KHN13">
        <f t="shared" si="43"/>
        <v>0</v>
      </c>
      <c r="KHO13">
        <f t="shared" si="44"/>
        <v>0</v>
      </c>
      <c r="KHP13">
        <f t="shared" si="45"/>
        <v>0</v>
      </c>
      <c r="KHQ13">
        <f t="shared" si="46"/>
        <v>0</v>
      </c>
      <c r="KHR13">
        <f t="shared" si="47"/>
        <v>0</v>
      </c>
      <c r="KHS13">
        <f t="shared" si="48"/>
        <v>0</v>
      </c>
      <c r="KHT13">
        <f t="shared" si="49"/>
        <v>0</v>
      </c>
      <c r="KHU13">
        <f t="shared" si="50"/>
        <v>0</v>
      </c>
      <c r="KHV13">
        <f t="shared" si="51"/>
        <v>0</v>
      </c>
      <c r="KHW13">
        <f t="shared" si="52"/>
        <v>0</v>
      </c>
      <c r="KHX13">
        <f t="shared" si="53"/>
        <v>0</v>
      </c>
      <c r="KHY13">
        <f t="shared" si="54"/>
        <v>0</v>
      </c>
      <c r="KHZ13">
        <f t="shared" si="55"/>
        <v>0</v>
      </c>
      <c r="KIA13">
        <f t="shared" si="56"/>
        <v>0</v>
      </c>
      <c r="KIB13">
        <f t="shared" si="57"/>
        <v>0</v>
      </c>
      <c r="KIC13">
        <f t="shared" si="58"/>
        <v>0</v>
      </c>
      <c r="KID13">
        <f t="shared" si="59"/>
        <v>0</v>
      </c>
      <c r="KIE13">
        <f t="shared" si="60"/>
        <v>0</v>
      </c>
      <c r="KIF13">
        <f t="shared" si="61"/>
        <v>0</v>
      </c>
      <c r="KIG13">
        <f t="shared" si="62"/>
        <v>0</v>
      </c>
      <c r="KIH13">
        <f t="shared" si="63"/>
        <v>0</v>
      </c>
      <c r="KII13">
        <f t="shared" si="64"/>
        <v>0</v>
      </c>
      <c r="KIJ13">
        <f t="shared" si="65"/>
        <v>0</v>
      </c>
      <c r="KIK13">
        <f t="shared" si="66"/>
        <v>0</v>
      </c>
      <c r="KIL13">
        <f t="shared" si="67"/>
        <v>0</v>
      </c>
      <c r="KIM13">
        <f t="shared" si="68"/>
        <v>0</v>
      </c>
      <c r="KIN13">
        <f t="shared" si="69"/>
        <v>0</v>
      </c>
      <c r="KIO13">
        <f t="shared" si="70"/>
        <v>0</v>
      </c>
      <c r="KIP13">
        <f t="shared" si="71"/>
        <v>0</v>
      </c>
      <c r="KIQ13">
        <f t="shared" si="72"/>
        <v>0</v>
      </c>
      <c r="KIR13">
        <f t="shared" si="73"/>
        <v>0</v>
      </c>
      <c r="KIS13">
        <f t="shared" si="74"/>
        <v>0</v>
      </c>
      <c r="KIT13">
        <f t="shared" si="75"/>
        <v>0</v>
      </c>
      <c r="KIU13">
        <f t="shared" si="76"/>
        <v>0</v>
      </c>
      <c r="KIV13">
        <f t="shared" si="77"/>
        <v>0</v>
      </c>
      <c r="KIW13">
        <f t="shared" si="78"/>
        <v>0</v>
      </c>
      <c r="KIX13">
        <f t="shared" si="79"/>
        <v>0</v>
      </c>
      <c r="KIY13">
        <f t="shared" si="80"/>
        <v>0</v>
      </c>
      <c r="KIZ13">
        <f t="shared" si="81"/>
        <v>0</v>
      </c>
      <c r="KJA13">
        <f t="shared" si="82"/>
        <v>0</v>
      </c>
      <c r="KJB13">
        <f t="shared" si="83"/>
        <v>0</v>
      </c>
      <c r="KJC13">
        <f t="shared" si="84"/>
        <v>0</v>
      </c>
      <c r="KJD13">
        <f t="shared" si="85"/>
        <v>0</v>
      </c>
      <c r="KJE13">
        <f t="shared" si="86"/>
        <v>0</v>
      </c>
      <c r="KJF13">
        <f t="shared" si="87"/>
        <v>0</v>
      </c>
      <c r="KJG13">
        <f t="shared" si="88"/>
        <v>0</v>
      </c>
      <c r="KJH13">
        <f t="shared" si="89"/>
        <v>0</v>
      </c>
      <c r="KJI13">
        <f t="shared" si="90"/>
        <v>0</v>
      </c>
      <c r="KJJ13">
        <f t="shared" si="91"/>
        <v>0</v>
      </c>
      <c r="KJK13">
        <f t="shared" si="92"/>
        <v>0</v>
      </c>
      <c r="KJL13">
        <f t="shared" si="93"/>
        <v>0</v>
      </c>
      <c r="KJM13">
        <f t="shared" si="94"/>
        <v>0</v>
      </c>
      <c r="KJN13">
        <f t="shared" si="95"/>
        <v>0</v>
      </c>
      <c r="KJO13">
        <f t="shared" si="96"/>
        <v>0</v>
      </c>
      <c r="KJP13">
        <f t="shared" si="97"/>
        <v>0</v>
      </c>
      <c r="KJQ13">
        <f t="shared" si="98"/>
        <v>0</v>
      </c>
      <c r="KJR13">
        <f t="shared" si="99"/>
        <v>0</v>
      </c>
      <c r="KJT13">
        <f t="shared" si="100"/>
        <v>696</v>
      </c>
      <c r="KJV13">
        <f t="shared" si="100"/>
        <v>696</v>
      </c>
      <c r="KJW13">
        <f t="shared" si="101"/>
        <v>27.84</v>
      </c>
      <c r="KJY13" s="1">
        <f t="shared" si="101"/>
        <v>27.84</v>
      </c>
    </row>
    <row r="14" spans="1:7721">
      <c r="A14" t="s">
        <v>8</v>
      </c>
      <c r="B14">
        <v>1</v>
      </c>
      <c r="KCD14">
        <v>1</v>
      </c>
      <c r="KCE14">
        <v>1</v>
      </c>
      <c r="KCF14">
        <v>1</v>
      </c>
      <c r="KCG14">
        <v>1</v>
      </c>
      <c r="KCH14">
        <v>1</v>
      </c>
      <c r="KCI14">
        <v>1</v>
      </c>
      <c r="KCJ14">
        <v>1</v>
      </c>
      <c r="KCK14">
        <v>1</v>
      </c>
      <c r="KCL14">
        <v>1</v>
      </c>
      <c r="KCM14">
        <v>1</v>
      </c>
      <c r="KCN14">
        <v>1</v>
      </c>
      <c r="KCO14">
        <v>1</v>
      </c>
      <c r="KCP14">
        <v>1</v>
      </c>
      <c r="KCQ14">
        <v>1</v>
      </c>
      <c r="KCR14">
        <v>1</v>
      </c>
      <c r="KCS14">
        <v>1</v>
      </c>
      <c r="KCT14">
        <v>1</v>
      </c>
      <c r="KCU14">
        <v>1</v>
      </c>
      <c r="KCV14">
        <v>1</v>
      </c>
      <c r="KCW14">
        <v>1</v>
      </c>
      <c r="KFW14" s="1">
        <f t="shared" si="0"/>
        <v>20</v>
      </c>
      <c r="KFX14">
        <f t="shared" si="1"/>
        <v>0</v>
      </c>
      <c r="KFY14">
        <f t="shared" si="2"/>
        <v>0</v>
      </c>
      <c r="KFZ14">
        <f t="shared" si="3"/>
        <v>0</v>
      </c>
      <c r="KGA14">
        <f t="shared" si="4"/>
        <v>0</v>
      </c>
      <c r="KGB14">
        <f t="shared" si="5"/>
        <v>0</v>
      </c>
      <c r="KGC14">
        <f t="shared" si="6"/>
        <v>0</v>
      </c>
      <c r="KGD14">
        <f t="shared" si="7"/>
        <v>0</v>
      </c>
      <c r="KGE14">
        <f t="shared" si="8"/>
        <v>0</v>
      </c>
      <c r="KGF14">
        <f t="shared" si="9"/>
        <v>0</v>
      </c>
      <c r="KGG14">
        <f t="shared" si="10"/>
        <v>0</v>
      </c>
      <c r="KGH14">
        <f t="shared" si="11"/>
        <v>0</v>
      </c>
      <c r="KGI14">
        <f t="shared" si="12"/>
        <v>0</v>
      </c>
      <c r="KGJ14">
        <f t="shared" si="13"/>
        <v>0</v>
      </c>
      <c r="KGK14">
        <f t="shared" si="14"/>
        <v>0</v>
      </c>
      <c r="KGL14">
        <f t="shared" si="15"/>
        <v>0</v>
      </c>
      <c r="KGM14">
        <f t="shared" si="16"/>
        <v>0</v>
      </c>
      <c r="KGN14">
        <f t="shared" si="17"/>
        <v>0</v>
      </c>
      <c r="KGO14">
        <f t="shared" si="18"/>
        <v>0</v>
      </c>
      <c r="KGP14">
        <f t="shared" si="19"/>
        <v>0</v>
      </c>
      <c r="KGQ14">
        <f t="shared" si="20"/>
        <v>0</v>
      </c>
      <c r="KGR14">
        <f t="shared" si="21"/>
        <v>0</v>
      </c>
      <c r="KGS14">
        <f t="shared" si="22"/>
        <v>0</v>
      </c>
      <c r="KGT14">
        <f t="shared" si="23"/>
        <v>0</v>
      </c>
      <c r="KGU14">
        <f t="shared" si="24"/>
        <v>0</v>
      </c>
      <c r="KGV14">
        <f t="shared" si="25"/>
        <v>0</v>
      </c>
      <c r="KGW14">
        <f t="shared" si="26"/>
        <v>0</v>
      </c>
      <c r="KGX14">
        <f t="shared" si="27"/>
        <v>0</v>
      </c>
      <c r="KGY14">
        <f t="shared" si="28"/>
        <v>0</v>
      </c>
      <c r="KGZ14">
        <f t="shared" si="29"/>
        <v>0</v>
      </c>
      <c r="KHA14">
        <f t="shared" si="30"/>
        <v>0</v>
      </c>
      <c r="KHB14">
        <f t="shared" si="31"/>
        <v>0</v>
      </c>
      <c r="KHC14">
        <f t="shared" si="32"/>
        <v>0</v>
      </c>
      <c r="KHD14">
        <f t="shared" si="33"/>
        <v>0</v>
      </c>
      <c r="KHE14">
        <f t="shared" si="34"/>
        <v>0</v>
      </c>
      <c r="KHF14">
        <f t="shared" si="35"/>
        <v>0</v>
      </c>
      <c r="KHG14">
        <f t="shared" si="36"/>
        <v>0</v>
      </c>
      <c r="KHH14">
        <f t="shared" si="37"/>
        <v>0</v>
      </c>
      <c r="KHI14">
        <f t="shared" si="38"/>
        <v>0</v>
      </c>
      <c r="KHJ14">
        <f t="shared" si="39"/>
        <v>0</v>
      </c>
      <c r="KHK14">
        <f t="shared" si="40"/>
        <v>0</v>
      </c>
      <c r="KHL14">
        <f t="shared" si="41"/>
        <v>0</v>
      </c>
      <c r="KHM14">
        <f t="shared" si="42"/>
        <v>0</v>
      </c>
      <c r="KHN14">
        <f t="shared" si="43"/>
        <v>0</v>
      </c>
      <c r="KHO14">
        <f t="shared" si="44"/>
        <v>0</v>
      </c>
      <c r="KHP14">
        <f t="shared" si="45"/>
        <v>0</v>
      </c>
      <c r="KHQ14">
        <f t="shared" si="46"/>
        <v>0</v>
      </c>
      <c r="KHR14">
        <f t="shared" si="47"/>
        <v>0</v>
      </c>
      <c r="KHS14">
        <f t="shared" si="48"/>
        <v>0</v>
      </c>
      <c r="KHT14">
        <f t="shared" si="49"/>
        <v>0</v>
      </c>
      <c r="KHU14">
        <f t="shared" si="50"/>
        <v>0</v>
      </c>
      <c r="KHV14">
        <f t="shared" si="51"/>
        <v>0</v>
      </c>
      <c r="KHW14">
        <f t="shared" si="52"/>
        <v>0</v>
      </c>
      <c r="KHX14">
        <f t="shared" si="53"/>
        <v>0</v>
      </c>
      <c r="KHY14">
        <f t="shared" si="54"/>
        <v>0</v>
      </c>
      <c r="KHZ14">
        <f t="shared" si="55"/>
        <v>0</v>
      </c>
      <c r="KIA14">
        <f t="shared" si="56"/>
        <v>0</v>
      </c>
      <c r="KIB14">
        <f t="shared" si="57"/>
        <v>0</v>
      </c>
      <c r="KIC14">
        <f t="shared" si="58"/>
        <v>0</v>
      </c>
      <c r="KID14">
        <f t="shared" si="59"/>
        <v>0</v>
      </c>
      <c r="KIE14">
        <f t="shared" si="60"/>
        <v>0</v>
      </c>
      <c r="KIF14">
        <f t="shared" si="61"/>
        <v>0</v>
      </c>
      <c r="KIG14">
        <f t="shared" si="62"/>
        <v>0</v>
      </c>
      <c r="KIH14">
        <f t="shared" si="63"/>
        <v>0</v>
      </c>
      <c r="KII14">
        <f t="shared" si="64"/>
        <v>0</v>
      </c>
      <c r="KIJ14">
        <f t="shared" si="65"/>
        <v>0</v>
      </c>
      <c r="KIK14">
        <f t="shared" si="66"/>
        <v>0</v>
      </c>
      <c r="KIL14">
        <f t="shared" si="67"/>
        <v>0</v>
      </c>
      <c r="KIM14">
        <f t="shared" si="68"/>
        <v>0</v>
      </c>
      <c r="KIN14">
        <f t="shared" si="69"/>
        <v>0</v>
      </c>
      <c r="KIO14">
        <f t="shared" si="70"/>
        <v>0</v>
      </c>
      <c r="KIP14">
        <f t="shared" si="71"/>
        <v>0</v>
      </c>
      <c r="KIQ14">
        <f t="shared" si="72"/>
        <v>0</v>
      </c>
      <c r="KIR14">
        <f t="shared" si="73"/>
        <v>0</v>
      </c>
      <c r="KIS14">
        <f t="shared" si="74"/>
        <v>0</v>
      </c>
      <c r="KIT14">
        <f t="shared" si="75"/>
        <v>0</v>
      </c>
      <c r="KIU14">
        <f t="shared" si="76"/>
        <v>0</v>
      </c>
      <c r="KIV14">
        <f t="shared" si="77"/>
        <v>0</v>
      </c>
      <c r="KIW14">
        <f t="shared" si="78"/>
        <v>0</v>
      </c>
      <c r="KIX14">
        <f t="shared" si="79"/>
        <v>0</v>
      </c>
      <c r="KIY14">
        <f t="shared" si="80"/>
        <v>0</v>
      </c>
      <c r="KIZ14">
        <f t="shared" si="81"/>
        <v>0</v>
      </c>
      <c r="KJA14">
        <f t="shared" si="82"/>
        <v>0</v>
      </c>
      <c r="KJB14">
        <f t="shared" si="83"/>
        <v>0</v>
      </c>
      <c r="KJC14">
        <f t="shared" si="84"/>
        <v>0</v>
      </c>
      <c r="KJD14">
        <f t="shared" si="85"/>
        <v>0</v>
      </c>
      <c r="KJE14">
        <f t="shared" si="86"/>
        <v>0</v>
      </c>
      <c r="KJF14">
        <f t="shared" si="87"/>
        <v>0</v>
      </c>
      <c r="KJG14">
        <f t="shared" si="88"/>
        <v>0</v>
      </c>
      <c r="KJH14">
        <f t="shared" si="89"/>
        <v>0</v>
      </c>
      <c r="KJI14">
        <f t="shared" si="90"/>
        <v>0</v>
      </c>
      <c r="KJJ14">
        <f t="shared" si="91"/>
        <v>0</v>
      </c>
      <c r="KJK14">
        <f t="shared" si="92"/>
        <v>0</v>
      </c>
      <c r="KJL14">
        <f t="shared" si="93"/>
        <v>0</v>
      </c>
      <c r="KJM14">
        <f t="shared" si="94"/>
        <v>0</v>
      </c>
      <c r="KJN14">
        <f t="shared" si="95"/>
        <v>0</v>
      </c>
      <c r="KJO14">
        <f t="shared" si="96"/>
        <v>0</v>
      </c>
      <c r="KJP14">
        <f t="shared" si="97"/>
        <v>0</v>
      </c>
      <c r="KJQ14">
        <f t="shared" si="98"/>
        <v>0</v>
      </c>
      <c r="KJR14">
        <f t="shared" si="99"/>
        <v>0</v>
      </c>
      <c r="KJT14">
        <f t="shared" si="100"/>
        <v>20</v>
      </c>
      <c r="KJV14">
        <f t="shared" si="100"/>
        <v>20</v>
      </c>
      <c r="KJW14">
        <f t="shared" si="101"/>
        <v>0.8</v>
      </c>
      <c r="KJY14">
        <f t="shared" si="101"/>
        <v>0.8</v>
      </c>
    </row>
    <row r="15" spans="1:7721">
      <c r="A15" t="s">
        <v>23</v>
      </c>
      <c r="KFW15" s="1">
        <f t="shared" si="0"/>
        <v>0</v>
      </c>
      <c r="KFX15">
        <f t="shared" si="1"/>
        <v>0</v>
      </c>
      <c r="KFY15">
        <f t="shared" si="2"/>
        <v>0</v>
      </c>
      <c r="KFZ15">
        <f t="shared" si="3"/>
        <v>0</v>
      </c>
      <c r="KGA15">
        <f t="shared" si="4"/>
        <v>0</v>
      </c>
      <c r="KGB15">
        <f t="shared" si="5"/>
        <v>0</v>
      </c>
      <c r="KGC15">
        <f t="shared" si="6"/>
        <v>0</v>
      </c>
      <c r="KGD15">
        <f t="shared" si="7"/>
        <v>0</v>
      </c>
      <c r="KGE15">
        <f t="shared" si="8"/>
        <v>0</v>
      </c>
      <c r="KGF15">
        <f t="shared" si="9"/>
        <v>0</v>
      </c>
      <c r="KGG15">
        <f t="shared" si="10"/>
        <v>0</v>
      </c>
      <c r="KGH15">
        <f t="shared" si="11"/>
        <v>0</v>
      </c>
      <c r="KGI15">
        <f t="shared" si="12"/>
        <v>0</v>
      </c>
      <c r="KGJ15">
        <f t="shared" si="13"/>
        <v>0</v>
      </c>
      <c r="KGK15">
        <f t="shared" si="14"/>
        <v>0</v>
      </c>
      <c r="KGL15">
        <f t="shared" si="15"/>
        <v>0</v>
      </c>
      <c r="KGM15">
        <f t="shared" si="16"/>
        <v>0</v>
      </c>
      <c r="KGN15">
        <f t="shared" si="17"/>
        <v>0</v>
      </c>
      <c r="KGO15">
        <f t="shared" si="18"/>
        <v>0</v>
      </c>
      <c r="KGP15">
        <f t="shared" si="19"/>
        <v>0</v>
      </c>
      <c r="KGQ15">
        <f t="shared" si="20"/>
        <v>0</v>
      </c>
      <c r="KGR15">
        <f t="shared" si="21"/>
        <v>0</v>
      </c>
      <c r="KGS15">
        <f t="shared" si="22"/>
        <v>0</v>
      </c>
      <c r="KGT15">
        <f t="shared" si="23"/>
        <v>0</v>
      </c>
      <c r="KGU15">
        <f t="shared" si="24"/>
        <v>0</v>
      </c>
      <c r="KGV15">
        <f t="shared" si="25"/>
        <v>0</v>
      </c>
      <c r="KGW15">
        <f t="shared" si="26"/>
        <v>0</v>
      </c>
      <c r="KGX15">
        <f t="shared" si="27"/>
        <v>0</v>
      </c>
      <c r="KGY15">
        <f t="shared" si="28"/>
        <v>0</v>
      </c>
      <c r="KGZ15">
        <f t="shared" si="29"/>
        <v>0</v>
      </c>
      <c r="KHA15">
        <f t="shared" si="30"/>
        <v>0</v>
      </c>
      <c r="KHB15">
        <f t="shared" si="31"/>
        <v>0</v>
      </c>
      <c r="KHC15">
        <f t="shared" si="32"/>
        <v>0</v>
      </c>
      <c r="KHD15">
        <f t="shared" si="33"/>
        <v>0</v>
      </c>
      <c r="KHE15">
        <f t="shared" si="34"/>
        <v>0</v>
      </c>
      <c r="KHF15">
        <f t="shared" si="35"/>
        <v>0</v>
      </c>
      <c r="KHG15">
        <f t="shared" si="36"/>
        <v>0</v>
      </c>
      <c r="KHH15">
        <f t="shared" si="37"/>
        <v>0</v>
      </c>
      <c r="KHI15">
        <f t="shared" si="38"/>
        <v>0</v>
      </c>
      <c r="KHJ15">
        <f t="shared" si="39"/>
        <v>0</v>
      </c>
      <c r="KHK15">
        <f t="shared" si="40"/>
        <v>0</v>
      </c>
      <c r="KHL15">
        <f t="shared" si="41"/>
        <v>0</v>
      </c>
      <c r="KHM15">
        <f t="shared" si="42"/>
        <v>0</v>
      </c>
      <c r="KHN15">
        <f t="shared" si="43"/>
        <v>0</v>
      </c>
      <c r="KHO15">
        <f t="shared" si="44"/>
        <v>0</v>
      </c>
      <c r="KHP15">
        <f t="shared" si="45"/>
        <v>0</v>
      </c>
      <c r="KHQ15">
        <f t="shared" si="46"/>
        <v>0</v>
      </c>
      <c r="KHR15">
        <f t="shared" si="47"/>
        <v>0</v>
      </c>
      <c r="KHS15">
        <f t="shared" si="48"/>
        <v>0</v>
      </c>
      <c r="KHT15">
        <f t="shared" si="49"/>
        <v>0</v>
      </c>
      <c r="KHU15">
        <f t="shared" si="50"/>
        <v>0</v>
      </c>
      <c r="KHV15">
        <f t="shared" si="51"/>
        <v>0</v>
      </c>
      <c r="KHW15">
        <f t="shared" si="52"/>
        <v>0</v>
      </c>
      <c r="KHX15">
        <f t="shared" si="53"/>
        <v>0</v>
      </c>
      <c r="KHY15">
        <f t="shared" si="54"/>
        <v>0</v>
      </c>
      <c r="KHZ15">
        <f t="shared" si="55"/>
        <v>0</v>
      </c>
      <c r="KIA15">
        <f t="shared" si="56"/>
        <v>0</v>
      </c>
      <c r="KIB15">
        <f t="shared" si="57"/>
        <v>0</v>
      </c>
      <c r="KIC15">
        <f t="shared" si="58"/>
        <v>0</v>
      </c>
      <c r="KID15">
        <f t="shared" si="59"/>
        <v>0</v>
      </c>
      <c r="KIE15">
        <f t="shared" si="60"/>
        <v>0</v>
      </c>
      <c r="KIF15">
        <f t="shared" si="61"/>
        <v>0</v>
      </c>
      <c r="KIG15">
        <f t="shared" si="62"/>
        <v>0</v>
      </c>
      <c r="KIH15">
        <f t="shared" si="63"/>
        <v>0</v>
      </c>
      <c r="KII15">
        <f t="shared" si="64"/>
        <v>0</v>
      </c>
      <c r="KIJ15">
        <f t="shared" si="65"/>
        <v>0</v>
      </c>
      <c r="KIK15">
        <f t="shared" si="66"/>
        <v>0</v>
      </c>
      <c r="KIL15">
        <f t="shared" si="67"/>
        <v>0</v>
      </c>
      <c r="KIM15">
        <f t="shared" si="68"/>
        <v>0</v>
      </c>
      <c r="KIN15">
        <f t="shared" si="69"/>
        <v>0</v>
      </c>
      <c r="KIO15">
        <f t="shared" si="70"/>
        <v>0</v>
      </c>
      <c r="KIP15">
        <f t="shared" si="71"/>
        <v>0</v>
      </c>
      <c r="KIQ15">
        <f t="shared" si="72"/>
        <v>0</v>
      </c>
      <c r="KIR15">
        <f t="shared" si="73"/>
        <v>0</v>
      </c>
      <c r="KIS15">
        <f t="shared" si="74"/>
        <v>0</v>
      </c>
      <c r="KIT15">
        <f t="shared" si="75"/>
        <v>0</v>
      </c>
      <c r="KIU15">
        <f t="shared" si="76"/>
        <v>0</v>
      </c>
      <c r="KIV15">
        <f t="shared" si="77"/>
        <v>0</v>
      </c>
      <c r="KIW15">
        <f t="shared" si="78"/>
        <v>0</v>
      </c>
      <c r="KIX15">
        <f t="shared" si="79"/>
        <v>0</v>
      </c>
      <c r="KIY15">
        <f t="shared" si="80"/>
        <v>0</v>
      </c>
      <c r="KIZ15">
        <f t="shared" si="81"/>
        <v>0</v>
      </c>
      <c r="KJA15">
        <f t="shared" si="82"/>
        <v>0</v>
      </c>
      <c r="KJB15">
        <f t="shared" si="83"/>
        <v>0</v>
      </c>
      <c r="KJC15">
        <f t="shared" si="84"/>
        <v>0</v>
      </c>
      <c r="KJD15">
        <f t="shared" si="85"/>
        <v>0</v>
      </c>
      <c r="KJE15">
        <f t="shared" si="86"/>
        <v>0</v>
      </c>
      <c r="KJF15">
        <f t="shared" si="87"/>
        <v>0</v>
      </c>
      <c r="KJG15">
        <f t="shared" si="88"/>
        <v>0</v>
      </c>
      <c r="KJH15">
        <f t="shared" si="89"/>
        <v>0</v>
      </c>
      <c r="KJI15">
        <f t="shared" si="90"/>
        <v>0</v>
      </c>
      <c r="KJJ15">
        <f t="shared" si="91"/>
        <v>0</v>
      </c>
      <c r="KJK15">
        <f t="shared" si="92"/>
        <v>0</v>
      </c>
      <c r="KJL15">
        <f t="shared" si="93"/>
        <v>0</v>
      </c>
      <c r="KJM15">
        <f t="shared" si="94"/>
        <v>0</v>
      </c>
      <c r="KJN15">
        <f t="shared" si="95"/>
        <v>0</v>
      </c>
      <c r="KJO15">
        <f t="shared" si="96"/>
        <v>0</v>
      </c>
      <c r="KJP15">
        <f t="shared" si="97"/>
        <v>0</v>
      </c>
      <c r="KJQ15">
        <f t="shared" si="98"/>
        <v>0</v>
      </c>
      <c r="KJR15">
        <f t="shared" si="99"/>
        <v>0</v>
      </c>
      <c r="KJT15">
        <f t="shared" si="100"/>
        <v>0</v>
      </c>
      <c r="KJV15">
        <f t="shared" si="100"/>
        <v>0</v>
      </c>
      <c r="KJW15">
        <f t="shared" si="101"/>
        <v>0</v>
      </c>
      <c r="KJY15">
        <f t="shared" si="101"/>
        <v>0</v>
      </c>
    </row>
    <row r="16" spans="1:7721">
      <c r="A16" t="s">
        <v>7632</v>
      </c>
      <c r="B16">
        <v>4</v>
      </c>
      <c r="AVC16">
        <v>1</v>
      </c>
      <c r="AVD16">
        <v>1</v>
      </c>
      <c r="AVE16">
        <v>1</v>
      </c>
      <c r="AVF16">
        <v>1</v>
      </c>
      <c r="AVG16">
        <v>1</v>
      </c>
      <c r="AVH16">
        <v>1</v>
      </c>
      <c r="AVI16">
        <v>1</v>
      </c>
      <c r="AVJ16">
        <v>1</v>
      </c>
      <c r="AVK16">
        <v>1</v>
      </c>
      <c r="AVL16">
        <v>1</v>
      </c>
      <c r="AVM16">
        <v>1</v>
      </c>
      <c r="AVN16">
        <v>1</v>
      </c>
      <c r="HHC16">
        <v>2</v>
      </c>
      <c r="HHD16">
        <v>2</v>
      </c>
      <c r="HHE16">
        <v>2</v>
      </c>
      <c r="HHF16">
        <v>2</v>
      </c>
      <c r="HHG16">
        <v>2</v>
      </c>
      <c r="HHH16">
        <v>2</v>
      </c>
      <c r="HHI16">
        <v>2</v>
      </c>
      <c r="HHJ16">
        <v>2</v>
      </c>
      <c r="HHK16">
        <v>2</v>
      </c>
      <c r="HHL16">
        <v>2</v>
      </c>
      <c r="HHM16">
        <v>2</v>
      </c>
      <c r="HHN16">
        <v>2</v>
      </c>
      <c r="HHO16">
        <v>2</v>
      </c>
      <c r="HHP16">
        <v>2</v>
      </c>
      <c r="HHQ16">
        <v>2</v>
      </c>
      <c r="HHR16">
        <v>2</v>
      </c>
      <c r="HHS16">
        <v>2</v>
      </c>
      <c r="HHT16">
        <v>2</v>
      </c>
      <c r="HHU16">
        <v>2</v>
      </c>
      <c r="HHV16">
        <v>2</v>
      </c>
      <c r="HHW16">
        <v>2</v>
      </c>
      <c r="HHX16">
        <v>2</v>
      </c>
      <c r="HHY16">
        <v>2</v>
      </c>
      <c r="HHZ16">
        <v>2</v>
      </c>
      <c r="HIA16">
        <v>2</v>
      </c>
      <c r="HIB16">
        <v>2</v>
      </c>
      <c r="HIC16">
        <v>2</v>
      </c>
      <c r="HID16">
        <v>2</v>
      </c>
      <c r="HIE16">
        <v>2</v>
      </c>
      <c r="HIF16">
        <v>2</v>
      </c>
      <c r="HIG16">
        <v>2</v>
      </c>
      <c r="HIH16">
        <v>2</v>
      </c>
      <c r="HLF16">
        <v>3</v>
      </c>
      <c r="HLG16">
        <v>3</v>
      </c>
      <c r="HLH16">
        <v>3</v>
      </c>
      <c r="HLI16">
        <v>3</v>
      </c>
      <c r="HLJ16">
        <v>3</v>
      </c>
      <c r="HLK16">
        <v>3</v>
      </c>
      <c r="HLL16">
        <v>3</v>
      </c>
      <c r="HLM16">
        <v>3</v>
      </c>
      <c r="HLN16">
        <v>3</v>
      </c>
      <c r="HLO16">
        <v>3</v>
      </c>
      <c r="HLP16">
        <v>3</v>
      </c>
      <c r="HLQ16">
        <v>3</v>
      </c>
      <c r="HLR16">
        <v>3</v>
      </c>
      <c r="HLS16">
        <v>3</v>
      </c>
      <c r="HLT16">
        <v>3</v>
      </c>
      <c r="HLU16">
        <v>3</v>
      </c>
      <c r="HLV16">
        <v>3</v>
      </c>
      <c r="HLW16">
        <v>3</v>
      </c>
      <c r="HLX16">
        <v>3</v>
      </c>
      <c r="HLY16">
        <v>3</v>
      </c>
      <c r="HLZ16">
        <v>3</v>
      </c>
      <c r="HMA16">
        <v>3</v>
      </c>
      <c r="HMB16">
        <v>3</v>
      </c>
      <c r="HMC16">
        <v>3</v>
      </c>
      <c r="HMD16">
        <v>3</v>
      </c>
      <c r="HME16">
        <v>3</v>
      </c>
      <c r="HMF16">
        <v>3</v>
      </c>
      <c r="HMG16">
        <v>3</v>
      </c>
      <c r="HMH16">
        <v>3</v>
      </c>
      <c r="HMI16">
        <v>3</v>
      </c>
      <c r="HMJ16">
        <v>3</v>
      </c>
      <c r="HMK16">
        <v>3</v>
      </c>
      <c r="HML16">
        <v>3</v>
      </c>
      <c r="HMM16">
        <v>3</v>
      </c>
      <c r="HMN16">
        <v>3</v>
      </c>
      <c r="HMO16">
        <v>3</v>
      </c>
      <c r="HMP16">
        <v>3</v>
      </c>
      <c r="HMQ16">
        <v>3</v>
      </c>
      <c r="HMR16">
        <v>3</v>
      </c>
      <c r="HMS16">
        <v>3</v>
      </c>
      <c r="HMT16">
        <v>3</v>
      </c>
      <c r="HMU16">
        <v>3</v>
      </c>
      <c r="HMV16">
        <v>3</v>
      </c>
      <c r="HMW16">
        <v>3</v>
      </c>
      <c r="HMX16">
        <v>3</v>
      </c>
      <c r="HMY16">
        <v>3</v>
      </c>
      <c r="HMZ16">
        <v>3</v>
      </c>
      <c r="HNA16">
        <v>3</v>
      </c>
      <c r="HNB16">
        <v>3</v>
      </c>
      <c r="JCL16">
        <v>4</v>
      </c>
      <c r="JCM16">
        <v>4</v>
      </c>
      <c r="JCN16">
        <v>4</v>
      </c>
      <c r="JCO16">
        <v>4</v>
      </c>
      <c r="JCP16">
        <v>4</v>
      </c>
      <c r="JCQ16">
        <v>4</v>
      </c>
      <c r="JCR16">
        <v>4</v>
      </c>
      <c r="JCS16">
        <v>4</v>
      </c>
      <c r="JCT16">
        <v>4</v>
      </c>
      <c r="JCU16">
        <v>4</v>
      </c>
      <c r="JCV16">
        <v>4</v>
      </c>
      <c r="JCW16">
        <v>4</v>
      </c>
      <c r="JCX16">
        <v>4</v>
      </c>
      <c r="JCY16">
        <v>4</v>
      </c>
      <c r="JCZ16">
        <v>4</v>
      </c>
      <c r="JDA16">
        <v>4</v>
      </c>
      <c r="JDB16">
        <v>4</v>
      </c>
      <c r="KFW16" s="1">
        <f t="shared" si="0"/>
        <v>12</v>
      </c>
      <c r="KFX16">
        <f t="shared" si="1"/>
        <v>32</v>
      </c>
      <c r="KFY16">
        <f t="shared" si="2"/>
        <v>49</v>
      </c>
      <c r="KFZ16">
        <f t="shared" si="3"/>
        <v>17</v>
      </c>
      <c r="KGA16">
        <f t="shared" si="4"/>
        <v>0</v>
      </c>
      <c r="KGB16">
        <f t="shared" si="5"/>
        <v>0</v>
      </c>
      <c r="KGC16">
        <f t="shared" si="6"/>
        <v>0</v>
      </c>
      <c r="KGD16">
        <f t="shared" si="7"/>
        <v>0</v>
      </c>
      <c r="KGE16">
        <f t="shared" si="8"/>
        <v>0</v>
      </c>
      <c r="KGF16">
        <f t="shared" si="9"/>
        <v>0</v>
      </c>
      <c r="KGG16">
        <f t="shared" si="10"/>
        <v>0</v>
      </c>
      <c r="KGH16">
        <f t="shared" si="11"/>
        <v>0</v>
      </c>
      <c r="KGI16">
        <f t="shared" si="12"/>
        <v>0</v>
      </c>
      <c r="KGJ16">
        <f t="shared" si="13"/>
        <v>0</v>
      </c>
      <c r="KGK16">
        <f t="shared" si="14"/>
        <v>0</v>
      </c>
      <c r="KGL16">
        <f t="shared" si="15"/>
        <v>0</v>
      </c>
      <c r="KGM16">
        <f t="shared" si="16"/>
        <v>0</v>
      </c>
      <c r="KGN16">
        <f t="shared" si="17"/>
        <v>0</v>
      </c>
      <c r="KGO16">
        <f t="shared" si="18"/>
        <v>0</v>
      </c>
      <c r="KGP16">
        <f t="shared" si="19"/>
        <v>0</v>
      </c>
      <c r="KGQ16">
        <f t="shared" si="20"/>
        <v>0</v>
      </c>
      <c r="KGR16">
        <f t="shared" si="21"/>
        <v>0</v>
      </c>
      <c r="KGS16">
        <f t="shared" si="22"/>
        <v>0</v>
      </c>
      <c r="KGT16">
        <f t="shared" si="23"/>
        <v>0</v>
      </c>
      <c r="KGU16">
        <f t="shared" si="24"/>
        <v>0</v>
      </c>
      <c r="KGV16">
        <f t="shared" si="25"/>
        <v>0</v>
      </c>
      <c r="KGW16">
        <f t="shared" si="26"/>
        <v>0</v>
      </c>
      <c r="KGX16">
        <f t="shared" si="27"/>
        <v>0</v>
      </c>
      <c r="KGY16">
        <f t="shared" si="28"/>
        <v>0</v>
      </c>
      <c r="KGZ16">
        <f t="shared" si="29"/>
        <v>0</v>
      </c>
      <c r="KHA16">
        <f t="shared" si="30"/>
        <v>0</v>
      </c>
      <c r="KHB16">
        <f t="shared" si="31"/>
        <v>0</v>
      </c>
      <c r="KHC16">
        <f t="shared" si="32"/>
        <v>0</v>
      </c>
      <c r="KHD16">
        <f t="shared" si="33"/>
        <v>0</v>
      </c>
      <c r="KHE16">
        <f t="shared" si="34"/>
        <v>0</v>
      </c>
      <c r="KHF16">
        <f t="shared" si="35"/>
        <v>0</v>
      </c>
      <c r="KHG16">
        <f t="shared" si="36"/>
        <v>0</v>
      </c>
      <c r="KHH16">
        <f t="shared" si="37"/>
        <v>0</v>
      </c>
      <c r="KHI16">
        <f t="shared" si="38"/>
        <v>0</v>
      </c>
      <c r="KHJ16">
        <f t="shared" si="39"/>
        <v>0</v>
      </c>
      <c r="KHK16">
        <f t="shared" si="40"/>
        <v>0</v>
      </c>
      <c r="KHL16">
        <f t="shared" si="41"/>
        <v>0</v>
      </c>
      <c r="KHM16">
        <f t="shared" si="42"/>
        <v>0</v>
      </c>
      <c r="KHN16">
        <f t="shared" si="43"/>
        <v>0</v>
      </c>
      <c r="KHO16">
        <f t="shared" si="44"/>
        <v>0</v>
      </c>
      <c r="KHP16">
        <f t="shared" si="45"/>
        <v>0</v>
      </c>
      <c r="KHQ16">
        <f t="shared" si="46"/>
        <v>0</v>
      </c>
      <c r="KHR16">
        <f t="shared" si="47"/>
        <v>0</v>
      </c>
      <c r="KHS16">
        <f t="shared" si="48"/>
        <v>0</v>
      </c>
      <c r="KHT16">
        <f t="shared" si="49"/>
        <v>0</v>
      </c>
      <c r="KHU16">
        <f t="shared" si="50"/>
        <v>0</v>
      </c>
      <c r="KHV16">
        <f t="shared" si="51"/>
        <v>0</v>
      </c>
      <c r="KHW16">
        <f t="shared" si="52"/>
        <v>0</v>
      </c>
      <c r="KHX16">
        <f t="shared" si="53"/>
        <v>0</v>
      </c>
      <c r="KHY16">
        <f t="shared" si="54"/>
        <v>0</v>
      </c>
      <c r="KHZ16">
        <f t="shared" si="55"/>
        <v>0</v>
      </c>
      <c r="KIA16">
        <f t="shared" si="56"/>
        <v>0</v>
      </c>
      <c r="KIB16">
        <f t="shared" si="57"/>
        <v>0</v>
      </c>
      <c r="KIC16">
        <f t="shared" si="58"/>
        <v>0</v>
      </c>
      <c r="KID16">
        <f t="shared" si="59"/>
        <v>0</v>
      </c>
      <c r="KIE16">
        <f t="shared" si="60"/>
        <v>0</v>
      </c>
      <c r="KIF16">
        <f t="shared" si="61"/>
        <v>0</v>
      </c>
      <c r="KIG16">
        <f t="shared" si="62"/>
        <v>0</v>
      </c>
      <c r="KIH16">
        <f t="shared" si="63"/>
        <v>0</v>
      </c>
      <c r="KII16">
        <f t="shared" si="64"/>
        <v>0</v>
      </c>
      <c r="KIJ16">
        <f t="shared" si="65"/>
        <v>0</v>
      </c>
      <c r="KIK16">
        <f t="shared" si="66"/>
        <v>0</v>
      </c>
      <c r="KIL16">
        <f t="shared" si="67"/>
        <v>0</v>
      </c>
      <c r="KIM16">
        <f t="shared" si="68"/>
        <v>0</v>
      </c>
      <c r="KIN16">
        <f t="shared" si="69"/>
        <v>0</v>
      </c>
      <c r="KIO16">
        <f t="shared" si="70"/>
        <v>0</v>
      </c>
      <c r="KIP16">
        <f t="shared" si="71"/>
        <v>0</v>
      </c>
      <c r="KIQ16">
        <f t="shared" si="72"/>
        <v>0</v>
      </c>
      <c r="KIR16">
        <f t="shared" si="73"/>
        <v>0</v>
      </c>
      <c r="KIS16">
        <f t="shared" si="74"/>
        <v>0</v>
      </c>
      <c r="KIT16">
        <f t="shared" si="75"/>
        <v>0</v>
      </c>
      <c r="KIU16">
        <f t="shared" si="76"/>
        <v>0</v>
      </c>
      <c r="KIV16">
        <f t="shared" si="77"/>
        <v>0</v>
      </c>
      <c r="KIW16">
        <f t="shared" si="78"/>
        <v>0</v>
      </c>
      <c r="KIX16">
        <f t="shared" si="79"/>
        <v>0</v>
      </c>
      <c r="KIY16">
        <f t="shared" si="80"/>
        <v>0</v>
      </c>
      <c r="KIZ16">
        <f t="shared" si="81"/>
        <v>0</v>
      </c>
      <c r="KJA16">
        <f t="shared" si="82"/>
        <v>0</v>
      </c>
      <c r="KJB16">
        <f t="shared" si="83"/>
        <v>0</v>
      </c>
      <c r="KJC16">
        <f t="shared" si="84"/>
        <v>0</v>
      </c>
      <c r="KJD16">
        <f t="shared" si="85"/>
        <v>0</v>
      </c>
      <c r="KJE16">
        <f t="shared" si="86"/>
        <v>0</v>
      </c>
      <c r="KJF16">
        <f t="shared" si="87"/>
        <v>0</v>
      </c>
      <c r="KJG16">
        <f t="shared" si="88"/>
        <v>0</v>
      </c>
      <c r="KJH16">
        <f t="shared" si="89"/>
        <v>0</v>
      </c>
      <c r="KJI16">
        <f t="shared" si="90"/>
        <v>0</v>
      </c>
      <c r="KJJ16">
        <f t="shared" si="91"/>
        <v>0</v>
      </c>
      <c r="KJK16">
        <f t="shared" si="92"/>
        <v>0</v>
      </c>
      <c r="KJL16">
        <f t="shared" si="93"/>
        <v>0</v>
      </c>
      <c r="KJM16">
        <f t="shared" si="94"/>
        <v>0</v>
      </c>
      <c r="KJN16">
        <f t="shared" si="95"/>
        <v>0</v>
      </c>
      <c r="KJO16">
        <f t="shared" si="96"/>
        <v>0</v>
      </c>
      <c r="KJP16">
        <f t="shared" si="97"/>
        <v>0</v>
      </c>
      <c r="KJQ16">
        <f t="shared" si="98"/>
        <v>0</v>
      </c>
      <c r="KJR16">
        <f t="shared" si="99"/>
        <v>0</v>
      </c>
      <c r="KJT16">
        <f t="shared" si="100"/>
        <v>110</v>
      </c>
      <c r="KJV16">
        <f t="shared" si="100"/>
        <v>110</v>
      </c>
      <c r="KJW16">
        <f t="shared" si="101"/>
        <v>4.4000000000000004</v>
      </c>
      <c r="KJY16">
        <f t="shared" si="101"/>
        <v>4.4000000000000004</v>
      </c>
    </row>
    <row r="17" spans="1:939 1050:3700 4762:5083 5659:6110 6147:7004 7171:7721">
      <c r="A17" t="s">
        <v>24</v>
      </c>
      <c r="B17">
        <v>1</v>
      </c>
      <c r="HIQ17">
        <v>1</v>
      </c>
      <c r="HIR17">
        <v>1</v>
      </c>
      <c r="HIS17">
        <v>1</v>
      </c>
      <c r="HIT17">
        <v>1</v>
      </c>
      <c r="HIU17">
        <v>1</v>
      </c>
      <c r="HIV17">
        <v>1</v>
      </c>
      <c r="HIW17">
        <v>1</v>
      </c>
      <c r="HIX17">
        <v>1</v>
      </c>
      <c r="HIY17">
        <v>1</v>
      </c>
      <c r="HIZ17">
        <v>1</v>
      </c>
      <c r="HJA17">
        <v>1</v>
      </c>
      <c r="HJB17">
        <v>1</v>
      </c>
      <c r="HJC17">
        <v>1</v>
      </c>
      <c r="HJD17">
        <v>1</v>
      </c>
      <c r="HJE17">
        <v>1</v>
      </c>
      <c r="HJF17">
        <v>1</v>
      </c>
      <c r="HJG17">
        <v>1</v>
      </c>
      <c r="HJH17">
        <v>1</v>
      </c>
      <c r="HJI17">
        <v>1</v>
      </c>
      <c r="HJJ17">
        <v>1</v>
      </c>
      <c r="HJK17">
        <v>1</v>
      </c>
      <c r="HJL17">
        <v>1</v>
      </c>
      <c r="HJM17">
        <v>1</v>
      </c>
      <c r="HJN17">
        <v>1</v>
      </c>
      <c r="HJO17">
        <v>1</v>
      </c>
      <c r="HJP17">
        <v>1</v>
      </c>
      <c r="HJQ17">
        <v>1</v>
      </c>
      <c r="HJR17">
        <v>1</v>
      </c>
      <c r="HJS17">
        <v>1</v>
      </c>
      <c r="HJT17">
        <v>1</v>
      </c>
      <c r="HJU17">
        <v>1</v>
      </c>
      <c r="HJV17">
        <v>1</v>
      </c>
      <c r="HJW17">
        <v>1</v>
      </c>
      <c r="HJX17">
        <v>1</v>
      </c>
      <c r="HJY17">
        <v>1</v>
      </c>
      <c r="HJZ17">
        <v>1</v>
      </c>
      <c r="HKA17">
        <v>1</v>
      </c>
      <c r="HKB17">
        <v>1</v>
      </c>
      <c r="HKC17">
        <v>1</v>
      </c>
      <c r="HKD17">
        <v>1</v>
      </c>
      <c r="HKE17">
        <v>1</v>
      </c>
      <c r="HKF17">
        <v>1</v>
      </c>
      <c r="HKG17">
        <v>1</v>
      </c>
      <c r="HKH17">
        <v>1</v>
      </c>
      <c r="HKI17">
        <v>1</v>
      </c>
      <c r="HKJ17">
        <v>1</v>
      </c>
      <c r="HKK17">
        <v>1</v>
      </c>
      <c r="HKL17">
        <v>1</v>
      </c>
      <c r="HKM17">
        <v>1</v>
      </c>
      <c r="HKN17">
        <v>1</v>
      </c>
      <c r="HKO17">
        <v>1</v>
      </c>
      <c r="HKP17">
        <v>1</v>
      </c>
      <c r="HKQ17">
        <v>1</v>
      </c>
      <c r="HKR17">
        <v>1</v>
      </c>
      <c r="HKS17">
        <v>1</v>
      </c>
      <c r="KFW17" s="1">
        <f t="shared" si="0"/>
        <v>55</v>
      </c>
      <c r="KFX17">
        <f t="shared" si="1"/>
        <v>0</v>
      </c>
      <c r="KFY17">
        <f t="shared" si="2"/>
        <v>0</v>
      </c>
      <c r="KFZ17">
        <f t="shared" si="3"/>
        <v>0</v>
      </c>
      <c r="KGA17">
        <f t="shared" si="4"/>
        <v>0</v>
      </c>
      <c r="KGB17">
        <f t="shared" si="5"/>
        <v>0</v>
      </c>
      <c r="KGC17">
        <f t="shared" si="6"/>
        <v>0</v>
      </c>
      <c r="KGD17">
        <f t="shared" si="7"/>
        <v>0</v>
      </c>
      <c r="KGE17">
        <f t="shared" si="8"/>
        <v>0</v>
      </c>
      <c r="KGF17">
        <f t="shared" si="9"/>
        <v>0</v>
      </c>
      <c r="KGG17">
        <f t="shared" si="10"/>
        <v>0</v>
      </c>
      <c r="KGH17">
        <f t="shared" si="11"/>
        <v>0</v>
      </c>
      <c r="KGI17">
        <f t="shared" si="12"/>
        <v>0</v>
      </c>
      <c r="KGJ17">
        <f t="shared" si="13"/>
        <v>0</v>
      </c>
      <c r="KGK17">
        <f t="shared" si="14"/>
        <v>0</v>
      </c>
      <c r="KGL17">
        <f t="shared" si="15"/>
        <v>0</v>
      </c>
      <c r="KGM17">
        <f t="shared" si="16"/>
        <v>0</v>
      </c>
      <c r="KGN17">
        <f t="shared" si="17"/>
        <v>0</v>
      </c>
      <c r="KGO17">
        <f t="shared" si="18"/>
        <v>0</v>
      </c>
      <c r="KGP17">
        <f t="shared" si="19"/>
        <v>0</v>
      </c>
      <c r="KGQ17">
        <f t="shared" si="20"/>
        <v>0</v>
      </c>
      <c r="KGR17">
        <f t="shared" si="21"/>
        <v>0</v>
      </c>
      <c r="KGS17">
        <f t="shared" si="22"/>
        <v>0</v>
      </c>
      <c r="KGT17">
        <f t="shared" si="23"/>
        <v>0</v>
      </c>
      <c r="KGU17">
        <f t="shared" si="24"/>
        <v>0</v>
      </c>
      <c r="KGV17">
        <f t="shared" si="25"/>
        <v>0</v>
      </c>
      <c r="KGW17">
        <f t="shared" si="26"/>
        <v>0</v>
      </c>
      <c r="KGX17">
        <f t="shared" si="27"/>
        <v>0</v>
      </c>
      <c r="KGY17">
        <f t="shared" si="28"/>
        <v>0</v>
      </c>
      <c r="KGZ17">
        <f t="shared" si="29"/>
        <v>0</v>
      </c>
      <c r="KHA17">
        <f t="shared" si="30"/>
        <v>0</v>
      </c>
      <c r="KHB17">
        <f t="shared" si="31"/>
        <v>0</v>
      </c>
      <c r="KHC17">
        <f t="shared" si="32"/>
        <v>0</v>
      </c>
      <c r="KHD17">
        <f t="shared" si="33"/>
        <v>0</v>
      </c>
      <c r="KHE17">
        <f t="shared" si="34"/>
        <v>0</v>
      </c>
      <c r="KHF17">
        <f t="shared" si="35"/>
        <v>0</v>
      </c>
      <c r="KHG17">
        <f t="shared" si="36"/>
        <v>0</v>
      </c>
      <c r="KHH17">
        <f t="shared" si="37"/>
        <v>0</v>
      </c>
      <c r="KHI17">
        <f t="shared" si="38"/>
        <v>0</v>
      </c>
      <c r="KHJ17">
        <f t="shared" si="39"/>
        <v>0</v>
      </c>
      <c r="KHK17">
        <f t="shared" si="40"/>
        <v>0</v>
      </c>
      <c r="KHL17">
        <f t="shared" si="41"/>
        <v>0</v>
      </c>
      <c r="KHM17">
        <f t="shared" si="42"/>
        <v>0</v>
      </c>
      <c r="KHN17">
        <f t="shared" si="43"/>
        <v>0</v>
      </c>
      <c r="KHO17">
        <f t="shared" si="44"/>
        <v>0</v>
      </c>
      <c r="KHP17">
        <f t="shared" si="45"/>
        <v>0</v>
      </c>
      <c r="KHQ17">
        <f t="shared" si="46"/>
        <v>0</v>
      </c>
      <c r="KHR17">
        <f t="shared" si="47"/>
        <v>0</v>
      </c>
      <c r="KHS17">
        <f t="shared" si="48"/>
        <v>0</v>
      </c>
      <c r="KHT17">
        <f t="shared" si="49"/>
        <v>0</v>
      </c>
      <c r="KHU17">
        <f t="shared" si="50"/>
        <v>0</v>
      </c>
      <c r="KHV17">
        <f t="shared" si="51"/>
        <v>0</v>
      </c>
      <c r="KHW17">
        <f t="shared" si="52"/>
        <v>0</v>
      </c>
      <c r="KHX17">
        <f t="shared" si="53"/>
        <v>0</v>
      </c>
      <c r="KHY17">
        <f t="shared" si="54"/>
        <v>0</v>
      </c>
      <c r="KHZ17">
        <f t="shared" si="55"/>
        <v>0</v>
      </c>
      <c r="KIA17">
        <f t="shared" si="56"/>
        <v>0</v>
      </c>
      <c r="KIB17">
        <f t="shared" si="57"/>
        <v>0</v>
      </c>
      <c r="KIC17">
        <f t="shared" si="58"/>
        <v>0</v>
      </c>
      <c r="KID17">
        <f t="shared" si="59"/>
        <v>0</v>
      </c>
      <c r="KIE17">
        <f t="shared" si="60"/>
        <v>0</v>
      </c>
      <c r="KIF17">
        <f t="shared" si="61"/>
        <v>0</v>
      </c>
      <c r="KIG17">
        <f t="shared" si="62"/>
        <v>0</v>
      </c>
      <c r="KIH17">
        <f t="shared" si="63"/>
        <v>0</v>
      </c>
      <c r="KII17">
        <f t="shared" si="64"/>
        <v>0</v>
      </c>
      <c r="KIJ17">
        <f t="shared" si="65"/>
        <v>0</v>
      </c>
      <c r="KIK17">
        <f t="shared" si="66"/>
        <v>0</v>
      </c>
      <c r="KIL17">
        <f t="shared" si="67"/>
        <v>0</v>
      </c>
      <c r="KIM17">
        <f t="shared" si="68"/>
        <v>0</v>
      </c>
      <c r="KIN17">
        <f t="shared" si="69"/>
        <v>0</v>
      </c>
      <c r="KIO17">
        <f t="shared" si="70"/>
        <v>0</v>
      </c>
      <c r="KIP17">
        <f t="shared" si="71"/>
        <v>0</v>
      </c>
      <c r="KIQ17">
        <f t="shared" si="72"/>
        <v>0</v>
      </c>
      <c r="KIR17">
        <f t="shared" si="73"/>
        <v>0</v>
      </c>
      <c r="KIS17">
        <f t="shared" si="74"/>
        <v>0</v>
      </c>
      <c r="KIT17">
        <f t="shared" si="75"/>
        <v>0</v>
      </c>
      <c r="KIU17">
        <f t="shared" si="76"/>
        <v>0</v>
      </c>
      <c r="KIV17">
        <f t="shared" si="77"/>
        <v>0</v>
      </c>
      <c r="KIW17">
        <f t="shared" si="78"/>
        <v>0</v>
      </c>
      <c r="KIX17">
        <f t="shared" si="79"/>
        <v>0</v>
      </c>
      <c r="KIY17">
        <f t="shared" si="80"/>
        <v>0</v>
      </c>
      <c r="KIZ17">
        <f t="shared" si="81"/>
        <v>0</v>
      </c>
      <c r="KJA17">
        <f t="shared" si="82"/>
        <v>0</v>
      </c>
      <c r="KJB17">
        <f t="shared" si="83"/>
        <v>0</v>
      </c>
      <c r="KJC17">
        <f t="shared" si="84"/>
        <v>0</v>
      </c>
      <c r="KJD17">
        <f t="shared" si="85"/>
        <v>0</v>
      </c>
      <c r="KJE17">
        <f t="shared" si="86"/>
        <v>0</v>
      </c>
      <c r="KJF17">
        <f t="shared" si="87"/>
        <v>0</v>
      </c>
      <c r="KJG17">
        <f t="shared" si="88"/>
        <v>0</v>
      </c>
      <c r="KJH17">
        <f t="shared" si="89"/>
        <v>0</v>
      </c>
      <c r="KJI17">
        <f t="shared" si="90"/>
        <v>0</v>
      </c>
      <c r="KJJ17">
        <f t="shared" si="91"/>
        <v>0</v>
      </c>
      <c r="KJK17">
        <f t="shared" si="92"/>
        <v>0</v>
      </c>
      <c r="KJL17">
        <f t="shared" si="93"/>
        <v>0</v>
      </c>
      <c r="KJM17">
        <f t="shared" si="94"/>
        <v>0</v>
      </c>
      <c r="KJN17">
        <f t="shared" si="95"/>
        <v>0</v>
      </c>
      <c r="KJO17">
        <f t="shared" si="96"/>
        <v>0</v>
      </c>
      <c r="KJP17">
        <f t="shared" si="97"/>
        <v>0</v>
      </c>
      <c r="KJQ17">
        <f t="shared" si="98"/>
        <v>0</v>
      </c>
      <c r="KJR17">
        <f t="shared" si="99"/>
        <v>0</v>
      </c>
      <c r="KJT17">
        <f t="shared" si="100"/>
        <v>55</v>
      </c>
      <c r="KJV17">
        <f t="shared" si="100"/>
        <v>55</v>
      </c>
      <c r="KJW17">
        <f t="shared" si="101"/>
        <v>2.2000000000000002</v>
      </c>
      <c r="KJY17">
        <f t="shared" si="101"/>
        <v>2.2000000000000002</v>
      </c>
    </row>
    <row r="18" spans="1:939 1050:3700 4762:5083 5659:6110 6147:7004 7171:7721">
      <c r="A18" t="s">
        <v>9</v>
      </c>
      <c r="B18">
        <v>1</v>
      </c>
      <c r="HWO18">
        <v>1</v>
      </c>
      <c r="HWP18">
        <v>1</v>
      </c>
      <c r="HWQ18">
        <v>1</v>
      </c>
      <c r="HWR18">
        <v>1</v>
      </c>
      <c r="HWS18">
        <v>1</v>
      </c>
      <c r="HWT18">
        <v>1</v>
      </c>
      <c r="HWU18">
        <v>1</v>
      </c>
      <c r="HWV18">
        <v>1</v>
      </c>
      <c r="HWW18">
        <v>1</v>
      </c>
      <c r="HWX18">
        <v>1</v>
      </c>
      <c r="HWY18">
        <v>1</v>
      </c>
      <c r="HWZ18">
        <v>1</v>
      </c>
      <c r="HXA18">
        <v>1</v>
      </c>
      <c r="HXB18">
        <v>1</v>
      </c>
      <c r="HXC18">
        <v>1</v>
      </c>
      <c r="HXD18">
        <v>1</v>
      </c>
      <c r="HXE18">
        <v>1</v>
      </c>
      <c r="HXF18">
        <v>1</v>
      </c>
      <c r="HXG18">
        <v>1</v>
      </c>
      <c r="HXH18">
        <v>1</v>
      </c>
      <c r="HXI18">
        <v>1</v>
      </c>
      <c r="HXJ18">
        <v>1</v>
      </c>
      <c r="HXK18">
        <v>1</v>
      </c>
      <c r="HXL18">
        <v>1</v>
      </c>
      <c r="HXM18">
        <v>1</v>
      </c>
      <c r="HXN18">
        <v>1</v>
      </c>
      <c r="HXO18">
        <v>1</v>
      </c>
      <c r="HXP18">
        <v>1</v>
      </c>
      <c r="HXQ18">
        <v>1</v>
      </c>
      <c r="HXR18">
        <v>1</v>
      </c>
      <c r="HXS18">
        <v>1</v>
      </c>
      <c r="HXT18">
        <v>1</v>
      </c>
      <c r="HXU18">
        <v>1</v>
      </c>
      <c r="HXV18">
        <v>1</v>
      </c>
      <c r="HXW18">
        <v>1</v>
      </c>
      <c r="KFW18" s="1">
        <f t="shared" si="0"/>
        <v>35</v>
      </c>
      <c r="KFX18">
        <f t="shared" si="1"/>
        <v>0</v>
      </c>
      <c r="KFY18">
        <f t="shared" si="2"/>
        <v>0</v>
      </c>
      <c r="KFZ18">
        <f t="shared" si="3"/>
        <v>0</v>
      </c>
      <c r="KGA18">
        <f t="shared" si="4"/>
        <v>0</v>
      </c>
      <c r="KGB18">
        <f t="shared" si="5"/>
        <v>0</v>
      </c>
      <c r="KGC18">
        <f t="shared" si="6"/>
        <v>0</v>
      </c>
      <c r="KGD18">
        <f t="shared" si="7"/>
        <v>0</v>
      </c>
      <c r="KGE18">
        <f t="shared" si="8"/>
        <v>0</v>
      </c>
      <c r="KGF18">
        <f t="shared" si="9"/>
        <v>0</v>
      </c>
      <c r="KGG18">
        <f t="shared" si="10"/>
        <v>0</v>
      </c>
      <c r="KGH18">
        <f t="shared" si="11"/>
        <v>0</v>
      </c>
      <c r="KGI18">
        <f t="shared" si="12"/>
        <v>0</v>
      </c>
      <c r="KGJ18">
        <f t="shared" si="13"/>
        <v>0</v>
      </c>
      <c r="KGK18">
        <f t="shared" si="14"/>
        <v>0</v>
      </c>
      <c r="KGL18">
        <f t="shared" si="15"/>
        <v>0</v>
      </c>
      <c r="KGM18">
        <f t="shared" si="16"/>
        <v>0</v>
      </c>
      <c r="KGN18">
        <f t="shared" si="17"/>
        <v>0</v>
      </c>
      <c r="KGO18">
        <f t="shared" si="18"/>
        <v>0</v>
      </c>
      <c r="KGP18">
        <f t="shared" si="19"/>
        <v>0</v>
      </c>
      <c r="KGQ18">
        <f t="shared" si="20"/>
        <v>0</v>
      </c>
      <c r="KGR18">
        <f t="shared" si="21"/>
        <v>0</v>
      </c>
      <c r="KGS18">
        <f t="shared" si="22"/>
        <v>0</v>
      </c>
      <c r="KGT18">
        <f t="shared" si="23"/>
        <v>0</v>
      </c>
      <c r="KGU18">
        <f t="shared" si="24"/>
        <v>0</v>
      </c>
      <c r="KGV18">
        <f t="shared" si="25"/>
        <v>0</v>
      </c>
      <c r="KGW18">
        <f t="shared" si="26"/>
        <v>0</v>
      </c>
      <c r="KGX18">
        <f t="shared" si="27"/>
        <v>0</v>
      </c>
      <c r="KGY18">
        <f t="shared" si="28"/>
        <v>0</v>
      </c>
      <c r="KGZ18">
        <f t="shared" si="29"/>
        <v>0</v>
      </c>
      <c r="KHA18">
        <f t="shared" si="30"/>
        <v>0</v>
      </c>
      <c r="KHB18">
        <f t="shared" si="31"/>
        <v>0</v>
      </c>
      <c r="KHC18">
        <f t="shared" si="32"/>
        <v>0</v>
      </c>
      <c r="KHD18">
        <f t="shared" si="33"/>
        <v>0</v>
      </c>
      <c r="KHE18">
        <f t="shared" si="34"/>
        <v>0</v>
      </c>
      <c r="KHF18">
        <f t="shared" si="35"/>
        <v>0</v>
      </c>
      <c r="KHG18">
        <f t="shared" si="36"/>
        <v>0</v>
      </c>
      <c r="KHH18">
        <f t="shared" si="37"/>
        <v>0</v>
      </c>
      <c r="KHI18">
        <f t="shared" si="38"/>
        <v>0</v>
      </c>
      <c r="KHJ18">
        <f t="shared" si="39"/>
        <v>0</v>
      </c>
      <c r="KHK18">
        <f t="shared" si="40"/>
        <v>0</v>
      </c>
      <c r="KHL18">
        <f t="shared" si="41"/>
        <v>0</v>
      </c>
      <c r="KHM18">
        <f t="shared" si="42"/>
        <v>0</v>
      </c>
      <c r="KHN18">
        <f t="shared" si="43"/>
        <v>0</v>
      </c>
      <c r="KHO18">
        <f t="shared" si="44"/>
        <v>0</v>
      </c>
      <c r="KHP18">
        <f t="shared" si="45"/>
        <v>0</v>
      </c>
      <c r="KHQ18">
        <f t="shared" si="46"/>
        <v>0</v>
      </c>
      <c r="KHR18">
        <f t="shared" si="47"/>
        <v>0</v>
      </c>
      <c r="KHS18">
        <f t="shared" si="48"/>
        <v>0</v>
      </c>
      <c r="KHT18">
        <f t="shared" si="49"/>
        <v>0</v>
      </c>
      <c r="KHU18">
        <f t="shared" si="50"/>
        <v>0</v>
      </c>
      <c r="KHV18">
        <f t="shared" si="51"/>
        <v>0</v>
      </c>
      <c r="KHW18">
        <f t="shared" si="52"/>
        <v>0</v>
      </c>
      <c r="KHX18">
        <f t="shared" si="53"/>
        <v>0</v>
      </c>
      <c r="KHY18">
        <f t="shared" si="54"/>
        <v>0</v>
      </c>
      <c r="KHZ18">
        <f t="shared" si="55"/>
        <v>0</v>
      </c>
      <c r="KIA18">
        <f t="shared" si="56"/>
        <v>0</v>
      </c>
      <c r="KIB18">
        <f t="shared" si="57"/>
        <v>0</v>
      </c>
      <c r="KIC18">
        <f t="shared" si="58"/>
        <v>0</v>
      </c>
      <c r="KID18">
        <f t="shared" si="59"/>
        <v>0</v>
      </c>
      <c r="KIE18">
        <f t="shared" si="60"/>
        <v>0</v>
      </c>
      <c r="KIF18">
        <f t="shared" si="61"/>
        <v>0</v>
      </c>
      <c r="KIG18">
        <f t="shared" si="62"/>
        <v>0</v>
      </c>
      <c r="KIH18">
        <f t="shared" si="63"/>
        <v>0</v>
      </c>
      <c r="KII18">
        <f t="shared" si="64"/>
        <v>0</v>
      </c>
      <c r="KIJ18">
        <f t="shared" si="65"/>
        <v>0</v>
      </c>
      <c r="KIK18">
        <f t="shared" si="66"/>
        <v>0</v>
      </c>
      <c r="KIL18">
        <f t="shared" si="67"/>
        <v>0</v>
      </c>
      <c r="KIM18">
        <f t="shared" si="68"/>
        <v>0</v>
      </c>
      <c r="KIN18">
        <f t="shared" si="69"/>
        <v>0</v>
      </c>
      <c r="KIO18">
        <f t="shared" si="70"/>
        <v>0</v>
      </c>
      <c r="KIP18">
        <f t="shared" si="71"/>
        <v>0</v>
      </c>
      <c r="KIQ18">
        <f t="shared" si="72"/>
        <v>0</v>
      </c>
      <c r="KIR18">
        <f t="shared" si="73"/>
        <v>0</v>
      </c>
      <c r="KIS18">
        <f t="shared" si="74"/>
        <v>0</v>
      </c>
      <c r="KIT18">
        <f t="shared" si="75"/>
        <v>0</v>
      </c>
      <c r="KIU18">
        <f t="shared" si="76"/>
        <v>0</v>
      </c>
      <c r="KIV18">
        <f t="shared" si="77"/>
        <v>0</v>
      </c>
      <c r="KIW18">
        <f t="shared" si="78"/>
        <v>0</v>
      </c>
      <c r="KIX18">
        <f t="shared" si="79"/>
        <v>0</v>
      </c>
      <c r="KIY18">
        <f t="shared" si="80"/>
        <v>0</v>
      </c>
      <c r="KIZ18">
        <f t="shared" si="81"/>
        <v>0</v>
      </c>
      <c r="KJA18">
        <f t="shared" si="82"/>
        <v>0</v>
      </c>
      <c r="KJB18">
        <f t="shared" si="83"/>
        <v>0</v>
      </c>
      <c r="KJC18">
        <f t="shared" si="84"/>
        <v>0</v>
      </c>
      <c r="KJD18">
        <f t="shared" si="85"/>
        <v>0</v>
      </c>
      <c r="KJE18">
        <f t="shared" si="86"/>
        <v>0</v>
      </c>
      <c r="KJF18">
        <f t="shared" si="87"/>
        <v>0</v>
      </c>
      <c r="KJG18">
        <f t="shared" si="88"/>
        <v>0</v>
      </c>
      <c r="KJH18">
        <f t="shared" si="89"/>
        <v>0</v>
      </c>
      <c r="KJI18">
        <f t="shared" si="90"/>
        <v>0</v>
      </c>
      <c r="KJJ18">
        <f t="shared" si="91"/>
        <v>0</v>
      </c>
      <c r="KJK18">
        <f t="shared" si="92"/>
        <v>0</v>
      </c>
      <c r="KJL18">
        <f t="shared" si="93"/>
        <v>0</v>
      </c>
      <c r="KJM18">
        <f t="shared" si="94"/>
        <v>0</v>
      </c>
      <c r="KJN18">
        <f t="shared" si="95"/>
        <v>0</v>
      </c>
      <c r="KJO18">
        <f t="shared" si="96"/>
        <v>0</v>
      </c>
      <c r="KJP18">
        <f t="shared" si="97"/>
        <v>0</v>
      </c>
      <c r="KJQ18">
        <f t="shared" si="98"/>
        <v>0</v>
      </c>
      <c r="KJR18">
        <f t="shared" si="99"/>
        <v>0</v>
      </c>
      <c r="KJT18">
        <f t="shared" si="100"/>
        <v>35</v>
      </c>
      <c r="KJV18">
        <f t="shared" si="100"/>
        <v>35</v>
      </c>
      <c r="KJW18">
        <f t="shared" si="101"/>
        <v>1.4</v>
      </c>
      <c r="KJY18">
        <f t="shared" si="101"/>
        <v>1.4</v>
      </c>
    </row>
    <row r="19" spans="1:939 1050:3700 4762:5083 5659:6110 6147:7004 7171:7721">
      <c r="A19" t="s">
        <v>25</v>
      </c>
      <c r="B19">
        <v>1</v>
      </c>
      <c r="HXX19">
        <v>1</v>
      </c>
      <c r="HXY19">
        <v>1</v>
      </c>
      <c r="HXZ19">
        <v>1</v>
      </c>
      <c r="HYA19">
        <v>1</v>
      </c>
      <c r="HYB19">
        <v>1</v>
      </c>
      <c r="HYC19">
        <v>1</v>
      </c>
      <c r="HYD19">
        <v>1</v>
      </c>
      <c r="HYE19">
        <v>1</v>
      </c>
      <c r="HYF19">
        <v>1</v>
      </c>
      <c r="HYG19">
        <v>1</v>
      </c>
      <c r="HYH19">
        <v>1</v>
      </c>
      <c r="HYI19">
        <v>1</v>
      </c>
      <c r="HYJ19">
        <v>1</v>
      </c>
      <c r="HYK19">
        <v>1</v>
      </c>
      <c r="HYL19">
        <v>1</v>
      </c>
      <c r="HYM19">
        <v>1</v>
      </c>
      <c r="HYN19">
        <v>1</v>
      </c>
      <c r="HYO19">
        <v>1</v>
      </c>
      <c r="HYP19">
        <v>1</v>
      </c>
      <c r="HYQ19">
        <v>1</v>
      </c>
      <c r="HYR19">
        <v>1</v>
      </c>
      <c r="HYS19">
        <v>1</v>
      </c>
      <c r="HYT19">
        <v>1</v>
      </c>
      <c r="HYU19">
        <v>1</v>
      </c>
      <c r="HYV19">
        <v>1</v>
      </c>
      <c r="HYW19">
        <v>1</v>
      </c>
      <c r="HYX19">
        <v>1</v>
      </c>
      <c r="HYY19">
        <v>1</v>
      </c>
      <c r="HYZ19">
        <v>1</v>
      </c>
      <c r="HZA19">
        <v>1</v>
      </c>
      <c r="HZB19">
        <v>1</v>
      </c>
      <c r="HZC19">
        <v>1</v>
      </c>
      <c r="HZD19">
        <v>1</v>
      </c>
      <c r="HZE19">
        <v>1</v>
      </c>
      <c r="HZF19">
        <v>1</v>
      </c>
      <c r="HZG19">
        <v>1</v>
      </c>
      <c r="HZH19">
        <v>1</v>
      </c>
      <c r="HZI19">
        <v>1</v>
      </c>
      <c r="HZJ19">
        <v>1</v>
      </c>
      <c r="HZK19">
        <v>1</v>
      </c>
      <c r="HZL19">
        <v>1</v>
      </c>
      <c r="HZM19">
        <v>1</v>
      </c>
      <c r="HZN19">
        <v>1</v>
      </c>
      <c r="HZO19">
        <v>1</v>
      </c>
      <c r="HZP19">
        <v>1</v>
      </c>
      <c r="HZQ19">
        <v>1</v>
      </c>
      <c r="HZR19">
        <v>1</v>
      </c>
      <c r="HZS19">
        <v>1</v>
      </c>
      <c r="HZT19">
        <v>1</v>
      </c>
      <c r="HZU19">
        <v>1</v>
      </c>
      <c r="HZV19">
        <v>1</v>
      </c>
      <c r="HZW19">
        <v>1</v>
      </c>
      <c r="HZX19">
        <v>1</v>
      </c>
      <c r="HZY19">
        <v>1</v>
      </c>
      <c r="HZZ19">
        <v>1</v>
      </c>
      <c r="KFW19" s="1">
        <f t="shared" si="0"/>
        <v>55</v>
      </c>
      <c r="KFX19">
        <f t="shared" si="1"/>
        <v>0</v>
      </c>
      <c r="KFY19">
        <f t="shared" si="2"/>
        <v>0</v>
      </c>
      <c r="KFZ19">
        <f t="shared" si="3"/>
        <v>0</v>
      </c>
      <c r="KGA19">
        <f t="shared" si="4"/>
        <v>0</v>
      </c>
      <c r="KGB19">
        <f t="shared" si="5"/>
        <v>0</v>
      </c>
      <c r="KGC19">
        <f t="shared" si="6"/>
        <v>0</v>
      </c>
      <c r="KGD19">
        <f t="shared" si="7"/>
        <v>0</v>
      </c>
      <c r="KGE19">
        <f t="shared" si="8"/>
        <v>0</v>
      </c>
      <c r="KGF19">
        <f t="shared" si="9"/>
        <v>0</v>
      </c>
      <c r="KGG19">
        <f t="shared" si="10"/>
        <v>0</v>
      </c>
      <c r="KGH19">
        <f t="shared" si="11"/>
        <v>0</v>
      </c>
      <c r="KGI19">
        <f t="shared" si="12"/>
        <v>0</v>
      </c>
      <c r="KGJ19">
        <f t="shared" si="13"/>
        <v>0</v>
      </c>
      <c r="KGK19">
        <f t="shared" si="14"/>
        <v>0</v>
      </c>
      <c r="KGL19">
        <f t="shared" si="15"/>
        <v>0</v>
      </c>
      <c r="KGM19">
        <f t="shared" si="16"/>
        <v>0</v>
      </c>
      <c r="KGN19">
        <f t="shared" si="17"/>
        <v>0</v>
      </c>
      <c r="KGO19">
        <f t="shared" si="18"/>
        <v>0</v>
      </c>
      <c r="KGP19">
        <f t="shared" si="19"/>
        <v>0</v>
      </c>
      <c r="KGQ19">
        <f t="shared" si="20"/>
        <v>0</v>
      </c>
      <c r="KGR19">
        <f t="shared" si="21"/>
        <v>0</v>
      </c>
      <c r="KGS19">
        <f t="shared" si="22"/>
        <v>0</v>
      </c>
      <c r="KGT19">
        <f t="shared" si="23"/>
        <v>0</v>
      </c>
      <c r="KGU19">
        <f t="shared" si="24"/>
        <v>0</v>
      </c>
      <c r="KGV19">
        <f t="shared" si="25"/>
        <v>0</v>
      </c>
      <c r="KGW19">
        <f t="shared" si="26"/>
        <v>0</v>
      </c>
      <c r="KGX19">
        <f t="shared" si="27"/>
        <v>0</v>
      </c>
      <c r="KGY19">
        <f t="shared" si="28"/>
        <v>0</v>
      </c>
      <c r="KGZ19">
        <f t="shared" si="29"/>
        <v>0</v>
      </c>
      <c r="KHA19">
        <f t="shared" si="30"/>
        <v>0</v>
      </c>
      <c r="KHB19">
        <f t="shared" si="31"/>
        <v>0</v>
      </c>
      <c r="KHC19">
        <f t="shared" si="32"/>
        <v>0</v>
      </c>
      <c r="KHD19">
        <f t="shared" si="33"/>
        <v>0</v>
      </c>
      <c r="KHE19">
        <f t="shared" si="34"/>
        <v>0</v>
      </c>
      <c r="KHF19">
        <f t="shared" si="35"/>
        <v>0</v>
      </c>
      <c r="KHG19">
        <f t="shared" si="36"/>
        <v>0</v>
      </c>
      <c r="KHH19">
        <f t="shared" si="37"/>
        <v>0</v>
      </c>
      <c r="KHI19">
        <f t="shared" si="38"/>
        <v>0</v>
      </c>
      <c r="KHJ19">
        <f t="shared" si="39"/>
        <v>0</v>
      </c>
      <c r="KHK19">
        <f t="shared" si="40"/>
        <v>0</v>
      </c>
      <c r="KHL19">
        <f t="shared" si="41"/>
        <v>0</v>
      </c>
      <c r="KHM19">
        <f t="shared" si="42"/>
        <v>0</v>
      </c>
      <c r="KHN19">
        <f t="shared" si="43"/>
        <v>0</v>
      </c>
      <c r="KHO19">
        <f t="shared" si="44"/>
        <v>0</v>
      </c>
      <c r="KHP19">
        <f t="shared" si="45"/>
        <v>0</v>
      </c>
      <c r="KHQ19">
        <f t="shared" si="46"/>
        <v>0</v>
      </c>
      <c r="KHR19">
        <f t="shared" si="47"/>
        <v>0</v>
      </c>
      <c r="KHS19">
        <f t="shared" si="48"/>
        <v>0</v>
      </c>
      <c r="KHT19">
        <f t="shared" si="49"/>
        <v>0</v>
      </c>
      <c r="KHU19">
        <f t="shared" si="50"/>
        <v>0</v>
      </c>
      <c r="KHV19">
        <f t="shared" si="51"/>
        <v>0</v>
      </c>
      <c r="KHW19">
        <f t="shared" si="52"/>
        <v>0</v>
      </c>
      <c r="KHX19">
        <f t="shared" si="53"/>
        <v>0</v>
      </c>
      <c r="KHY19">
        <f t="shared" si="54"/>
        <v>0</v>
      </c>
      <c r="KHZ19">
        <f t="shared" si="55"/>
        <v>0</v>
      </c>
      <c r="KIA19">
        <f t="shared" si="56"/>
        <v>0</v>
      </c>
      <c r="KIB19">
        <f t="shared" si="57"/>
        <v>0</v>
      </c>
      <c r="KIC19">
        <f t="shared" si="58"/>
        <v>0</v>
      </c>
      <c r="KID19">
        <f t="shared" si="59"/>
        <v>0</v>
      </c>
      <c r="KIE19">
        <f t="shared" si="60"/>
        <v>0</v>
      </c>
      <c r="KIF19">
        <f t="shared" si="61"/>
        <v>0</v>
      </c>
      <c r="KIG19">
        <f t="shared" si="62"/>
        <v>0</v>
      </c>
      <c r="KIH19">
        <f t="shared" si="63"/>
        <v>0</v>
      </c>
      <c r="KII19">
        <f t="shared" si="64"/>
        <v>0</v>
      </c>
      <c r="KIJ19">
        <f t="shared" si="65"/>
        <v>0</v>
      </c>
      <c r="KIK19">
        <f t="shared" si="66"/>
        <v>0</v>
      </c>
      <c r="KIL19">
        <f t="shared" si="67"/>
        <v>0</v>
      </c>
      <c r="KIM19">
        <f t="shared" si="68"/>
        <v>0</v>
      </c>
      <c r="KIN19">
        <f t="shared" si="69"/>
        <v>0</v>
      </c>
      <c r="KIO19">
        <f t="shared" si="70"/>
        <v>0</v>
      </c>
      <c r="KIP19">
        <f t="shared" si="71"/>
        <v>0</v>
      </c>
      <c r="KIQ19">
        <f t="shared" si="72"/>
        <v>0</v>
      </c>
      <c r="KIR19">
        <f t="shared" si="73"/>
        <v>0</v>
      </c>
      <c r="KIS19">
        <f t="shared" si="74"/>
        <v>0</v>
      </c>
      <c r="KIT19">
        <f t="shared" si="75"/>
        <v>0</v>
      </c>
      <c r="KIU19">
        <f t="shared" si="76"/>
        <v>0</v>
      </c>
      <c r="KIV19">
        <f t="shared" si="77"/>
        <v>0</v>
      </c>
      <c r="KIW19">
        <f t="shared" si="78"/>
        <v>0</v>
      </c>
      <c r="KIX19">
        <f t="shared" si="79"/>
        <v>0</v>
      </c>
      <c r="KIY19">
        <f t="shared" si="80"/>
        <v>0</v>
      </c>
      <c r="KIZ19">
        <f t="shared" si="81"/>
        <v>0</v>
      </c>
      <c r="KJA19">
        <f t="shared" si="82"/>
        <v>0</v>
      </c>
      <c r="KJB19">
        <f t="shared" si="83"/>
        <v>0</v>
      </c>
      <c r="KJC19">
        <f t="shared" si="84"/>
        <v>0</v>
      </c>
      <c r="KJD19">
        <f t="shared" si="85"/>
        <v>0</v>
      </c>
      <c r="KJE19">
        <f t="shared" si="86"/>
        <v>0</v>
      </c>
      <c r="KJF19">
        <f t="shared" si="87"/>
        <v>0</v>
      </c>
      <c r="KJG19">
        <f t="shared" si="88"/>
        <v>0</v>
      </c>
      <c r="KJH19">
        <f t="shared" si="89"/>
        <v>0</v>
      </c>
      <c r="KJI19">
        <f t="shared" si="90"/>
        <v>0</v>
      </c>
      <c r="KJJ19">
        <f t="shared" si="91"/>
        <v>0</v>
      </c>
      <c r="KJK19">
        <f t="shared" si="92"/>
        <v>0</v>
      </c>
      <c r="KJL19">
        <f t="shared" si="93"/>
        <v>0</v>
      </c>
      <c r="KJM19">
        <f t="shared" si="94"/>
        <v>0</v>
      </c>
      <c r="KJN19">
        <f t="shared" si="95"/>
        <v>0</v>
      </c>
      <c r="KJO19">
        <f t="shared" si="96"/>
        <v>0</v>
      </c>
      <c r="KJP19">
        <f t="shared" si="97"/>
        <v>0</v>
      </c>
      <c r="KJQ19">
        <f t="shared" si="98"/>
        <v>0</v>
      </c>
      <c r="KJR19">
        <f t="shared" si="99"/>
        <v>0</v>
      </c>
      <c r="KJT19">
        <f t="shared" si="100"/>
        <v>55</v>
      </c>
      <c r="KJV19">
        <f t="shared" si="100"/>
        <v>55</v>
      </c>
      <c r="KJW19">
        <f t="shared" si="101"/>
        <v>2.2000000000000002</v>
      </c>
      <c r="KJY19">
        <f t="shared" si="101"/>
        <v>2.2000000000000002</v>
      </c>
    </row>
    <row r="20" spans="1:939 1050:3700 4762:5083 5659:6110 6147:7004 7171:7721">
      <c r="A20" t="s">
        <v>10</v>
      </c>
      <c r="B20">
        <v>4</v>
      </c>
      <c r="AQF20">
        <v>1</v>
      </c>
      <c r="AQG20">
        <v>1</v>
      </c>
      <c r="AQH20">
        <v>1</v>
      </c>
      <c r="AQI20">
        <v>1</v>
      </c>
      <c r="AQJ20">
        <v>1</v>
      </c>
      <c r="AQK20">
        <v>1</v>
      </c>
      <c r="GAD20">
        <v>2</v>
      </c>
      <c r="GAE20">
        <v>2</v>
      </c>
      <c r="GAF20">
        <v>2</v>
      </c>
      <c r="GAG20">
        <v>2</v>
      </c>
      <c r="GAH20">
        <v>2</v>
      </c>
      <c r="GAI20">
        <v>2</v>
      </c>
      <c r="GAJ20">
        <v>2</v>
      </c>
      <c r="GAK20">
        <v>2</v>
      </c>
      <c r="GAL20">
        <v>2</v>
      </c>
      <c r="GAM20">
        <v>2</v>
      </c>
      <c r="GAN20">
        <v>2</v>
      </c>
      <c r="GAO20">
        <v>2</v>
      </c>
      <c r="GAP20">
        <v>2</v>
      </c>
      <c r="GAQ20">
        <v>2</v>
      </c>
      <c r="GAR20">
        <v>2</v>
      </c>
      <c r="GAS20">
        <v>2</v>
      </c>
      <c r="GAT20">
        <v>2</v>
      </c>
      <c r="GAU20">
        <v>2</v>
      </c>
      <c r="GAV20">
        <v>2</v>
      </c>
      <c r="GAW20">
        <v>2</v>
      </c>
      <c r="GAX20">
        <v>2</v>
      </c>
      <c r="GAY20">
        <v>2</v>
      </c>
      <c r="GAZ20">
        <v>2</v>
      </c>
      <c r="GBA20">
        <v>2</v>
      </c>
      <c r="GBB20">
        <v>2</v>
      </c>
      <c r="GBC20">
        <v>2</v>
      </c>
      <c r="HVN20">
        <v>3</v>
      </c>
      <c r="HVO20">
        <v>3</v>
      </c>
      <c r="HVP20">
        <v>3</v>
      </c>
      <c r="HVQ20">
        <v>3</v>
      </c>
      <c r="HVR20">
        <v>3</v>
      </c>
      <c r="HVS20">
        <v>3</v>
      </c>
      <c r="HVT20">
        <v>3</v>
      </c>
      <c r="HVU20">
        <v>3</v>
      </c>
      <c r="HVV20">
        <v>3</v>
      </c>
      <c r="HVW20">
        <v>3</v>
      </c>
      <c r="HVX20">
        <v>3</v>
      </c>
      <c r="HVY20">
        <v>3</v>
      </c>
      <c r="JDW20">
        <v>4</v>
      </c>
      <c r="JDX20">
        <v>4</v>
      </c>
      <c r="JDY20">
        <v>4</v>
      </c>
      <c r="JDZ20">
        <v>4</v>
      </c>
      <c r="JEA20">
        <v>4</v>
      </c>
      <c r="JEB20">
        <v>4</v>
      </c>
      <c r="JEC20">
        <v>4</v>
      </c>
      <c r="JED20">
        <v>4</v>
      </c>
      <c r="JEE20">
        <v>4</v>
      </c>
      <c r="JEF20">
        <v>4</v>
      </c>
      <c r="JEG20">
        <v>4</v>
      </c>
      <c r="JEH20">
        <v>4</v>
      </c>
      <c r="JEI20">
        <v>4</v>
      </c>
      <c r="JEJ20">
        <v>4</v>
      </c>
      <c r="JEK20">
        <v>4</v>
      </c>
      <c r="JEL20">
        <v>4</v>
      </c>
      <c r="JEM20">
        <v>4</v>
      </c>
      <c r="JEN20">
        <v>4</v>
      </c>
      <c r="JEO20">
        <v>4</v>
      </c>
      <c r="KFW20" s="1">
        <f t="shared" si="0"/>
        <v>6</v>
      </c>
      <c r="KFX20">
        <f t="shared" si="1"/>
        <v>26</v>
      </c>
      <c r="KFY20">
        <f t="shared" si="2"/>
        <v>12</v>
      </c>
      <c r="KFZ20">
        <f t="shared" si="3"/>
        <v>19</v>
      </c>
      <c r="KGA20">
        <f t="shared" si="4"/>
        <v>0</v>
      </c>
      <c r="KGB20">
        <f t="shared" si="5"/>
        <v>0</v>
      </c>
      <c r="KGC20">
        <f t="shared" si="6"/>
        <v>0</v>
      </c>
      <c r="KGD20">
        <f t="shared" si="7"/>
        <v>0</v>
      </c>
      <c r="KGE20">
        <f t="shared" si="8"/>
        <v>0</v>
      </c>
      <c r="KGF20">
        <f t="shared" si="9"/>
        <v>0</v>
      </c>
      <c r="KGG20">
        <f t="shared" si="10"/>
        <v>0</v>
      </c>
      <c r="KGH20">
        <f t="shared" si="11"/>
        <v>0</v>
      </c>
      <c r="KGI20">
        <f t="shared" si="12"/>
        <v>0</v>
      </c>
      <c r="KGJ20">
        <f t="shared" si="13"/>
        <v>0</v>
      </c>
      <c r="KGK20">
        <f t="shared" si="14"/>
        <v>0</v>
      </c>
      <c r="KGL20">
        <f t="shared" si="15"/>
        <v>0</v>
      </c>
      <c r="KGM20">
        <f t="shared" si="16"/>
        <v>0</v>
      </c>
      <c r="KGN20">
        <f t="shared" si="17"/>
        <v>0</v>
      </c>
      <c r="KGO20">
        <f t="shared" si="18"/>
        <v>0</v>
      </c>
      <c r="KGP20">
        <f t="shared" si="19"/>
        <v>0</v>
      </c>
      <c r="KGQ20">
        <f t="shared" si="20"/>
        <v>0</v>
      </c>
      <c r="KGR20">
        <f t="shared" si="21"/>
        <v>0</v>
      </c>
      <c r="KGS20">
        <f t="shared" si="22"/>
        <v>0</v>
      </c>
      <c r="KGT20">
        <f t="shared" si="23"/>
        <v>0</v>
      </c>
      <c r="KGU20">
        <f t="shared" si="24"/>
        <v>0</v>
      </c>
      <c r="KGV20">
        <f t="shared" si="25"/>
        <v>0</v>
      </c>
      <c r="KGW20">
        <f t="shared" si="26"/>
        <v>0</v>
      </c>
      <c r="KGX20">
        <f t="shared" si="27"/>
        <v>0</v>
      </c>
      <c r="KGY20">
        <f t="shared" si="28"/>
        <v>0</v>
      </c>
      <c r="KGZ20">
        <f t="shared" si="29"/>
        <v>0</v>
      </c>
      <c r="KHA20">
        <f t="shared" si="30"/>
        <v>0</v>
      </c>
      <c r="KHB20">
        <f t="shared" si="31"/>
        <v>0</v>
      </c>
      <c r="KHC20">
        <f t="shared" si="32"/>
        <v>0</v>
      </c>
      <c r="KHD20">
        <f t="shared" si="33"/>
        <v>0</v>
      </c>
      <c r="KHE20">
        <f t="shared" si="34"/>
        <v>0</v>
      </c>
      <c r="KHF20">
        <f t="shared" si="35"/>
        <v>0</v>
      </c>
      <c r="KHG20">
        <f t="shared" si="36"/>
        <v>0</v>
      </c>
      <c r="KHH20">
        <f t="shared" si="37"/>
        <v>0</v>
      </c>
      <c r="KHI20">
        <f t="shared" si="38"/>
        <v>0</v>
      </c>
      <c r="KHJ20">
        <f t="shared" si="39"/>
        <v>0</v>
      </c>
      <c r="KHK20">
        <f t="shared" si="40"/>
        <v>0</v>
      </c>
      <c r="KHL20">
        <f t="shared" si="41"/>
        <v>0</v>
      </c>
      <c r="KHM20">
        <f t="shared" si="42"/>
        <v>0</v>
      </c>
      <c r="KHN20">
        <f t="shared" si="43"/>
        <v>0</v>
      </c>
      <c r="KHO20">
        <f t="shared" si="44"/>
        <v>0</v>
      </c>
      <c r="KHP20">
        <f t="shared" si="45"/>
        <v>0</v>
      </c>
      <c r="KHQ20">
        <f t="shared" si="46"/>
        <v>0</v>
      </c>
      <c r="KHR20">
        <f t="shared" si="47"/>
        <v>0</v>
      </c>
      <c r="KHS20">
        <f t="shared" si="48"/>
        <v>0</v>
      </c>
      <c r="KHT20">
        <f t="shared" si="49"/>
        <v>0</v>
      </c>
      <c r="KHU20">
        <f t="shared" si="50"/>
        <v>0</v>
      </c>
      <c r="KHV20">
        <f t="shared" si="51"/>
        <v>0</v>
      </c>
      <c r="KHW20">
        <f t="shared" si="52"/>
        <v>0</v>
      </c>
      <c r="KHX20">
        <f t="shared" si="53"/>
        <v>0</v>
      </c>
      <c r="KHY20">
        <f t="shared" si="54"/>
        <v>0</v>
      </c>
      <c r="KHZ20">
        <f t="shared" si="55"/>
        <v>0</v>
      </c>
      <c r="KIA20">
        <f t="shared" si="56"/>
        <v>0</v>
      </c>
      <c r="KIB20">
        <f t="shared" si="57"/>
        <v>0</v>
      </c>
      <c r="KIC20">
        <f t="shared" si="58"/>
        <v>0</v>
      </c>
      <c r="KID20">
        <f t="shared" si="59"/>
        <v>0</v>
      </c>
      <c r="KIE20">
        <f t="shared" si="60"/>
        <v>0</v>
      </c>
      <c r="KIF20">
        <f t="shared" si="61"/>
        <v>0</v>
      </c>
      <c r="KIG20">
        <f t="shared" si="62"/>
        <v>0</v>
      </c>
      <c r="KIH20">
        <f t="shared" si="63"/>
        <v>0</v>
      </c>
      <c r="KII20">
        <f t="shared" si="64"/>
        <v>0</v>
      </c>
      <c r="KIJ20">
        <f t="shared" si="65"/>
        <v>0</v>
      </c>
      <c r="KIK20">
        <f t="shared" si="66"/>
        <v>0</v>
      </c>
      <c r="KIL20">
        <f t="shared" si="67"/>
        <v>0</v>
      </c>
      <c r="KIM20">
        <f t="shared" si="68"/>
        <v>0</v>
      </c>
      <c r="KIN20">
        <f t="shared" si="69"/>
        <v>0</v>
      </c>
      <c r="KIO20">
        <f t="shared" si="70"/>
        <v>0</v>
      </c>
      <c r="KIP20">
        <f t="shared" si="71"/>
        <v>0</v>
      </c>
      <c r="KIQ20">
        <f t="shared" si="72"/>
        <v>0</v>
      </c>
      <c r="KIR20">
        <f t="shared" si="73"/>
        <v>0</v>
      </c>
      <c r="KIS20">
        <f t="shared" si="74"/>
        <v>0</v>
      </c>
      <c r="KIT20">
        <f t="shared" si="75"/>
        <v>0</v>
      </c>
      <c r="KIU20">
        <f t="shared" si="76"/>
        <v>0</v>
      </c>
      <c r="KIV20">
        <f t="shared" si="77"/>
        <v>0</v>
      </c>
      <c r="KIW20">
        <f t="shared" si="78"/>
        <v>0</v>
      </c>
      <c r="KIX20">
        <f t="shared" si="79"/>
        <v>0</v>
      </c>
      <c r="KIY20">
        <f t="shared" si="80"/>
        <v>0</v>
      </c>
      <c r="KIZ20">
        <f t="shared" si="81"/>
        <v>0</v>
      </c>
      <c r="KJA20">
        <f t="shared" si="82"/>
        <v>0</v>
      </c>
      <c r="KJB20">
        <f t="shared" si="83"/>
        <v>0</v>
      </c>
      <c r="KJC20">
        <f t="shared" si="84"/>
        <v>0</v>
      </c>
      <c r="KJD20">
        <f t="shared" si="85"/>
        <v>0</v>
      </c>
      <c r="KJE20">
        <f t="shared" si="86"/>
        <v>0</v>
      </c>
      <c r="KJF20">
        <f t="shared" si="87"/>
        <v>0</v>
      </c>
      <c r="KJG20">
        <f t="shared" si="88"/>
        <v>0</v>
      </c>
      <c r="KJH20">
        <f t="shared" si="89"/>
        <v>0</v>
      </c>
      <c r="KJI20">
        <f t="shared" si="90"/>
        <v>0</v>
      </c>
      <c r="KJJ20">
        <f t="shared" si="91"/>
        <v>0</v>
      </c>
      <c r="KJK20">
        <f t="shared" si="92"/>
        <v>0</v>
      </c>
      <c r="KJL20">
        <f t="shared" si="93"/>
        <v>0</v>
      </c>
      <c r="KJM20">
        <f t="shared" si="94"/>
        <v>0</v>
      </c>
      <c r="KJN20">
        <f t="shared" si="95"/>
        <v>0</v>
      </c>
      <c r="KJO20">
        <f t="shared" si="96"/>
        <v>0</v>
      </c>
      <c r="KJP20">
        <f t="shared" si="97"/>
        <v>0</v>
      </c>
      <c r="KJQ20">
        <f t="shared" si="98"/>
        <v>0</v>
      </c>
      <c r="KJR20">
        <f t="shared" si="99"/>
        <v>0</v>
      </c>
      <c r="KJT20">
        <f t="shared" si="100"/>
        <v>63</v>
      </c>
      <c r="KJV20">
        <f t="shared" si="100"/>
        <v>63</v>
      </c>
      <c r="KJW20">
        <f t="shared" si="101"/>
        <v>2.52</v>
      </c>
      <c r="KJY20">
        <f t="shared" si="101"/>
        <v>2.52</v>
      </c>
    </row>
    <row r="21" spans="1:939 1050:3700 4762:5083 5659:6110 6147:7004 7171:7721">
      <c r="A21" t="s">
        <v>26</v>
      </c>
      <c r="B21">
        <v>1</v>
      </c>
      <c r="GBH21">
        <v>1</v>
      </c>
      <c r="GBI21">
        <v>1</v>
      </c>
      <c r="GBJ21">
        <v>1</v>
      </c>
      <c r="GBK21">
        <v>1</v>
      </c>
      <c r="GBL21">
        <v>1</v>
      </c>
      <c r="GBM21">
        <v>1</v>
      </c>
      <c r="GBN21">
        <v>1</v>
      </c>
      <c r="GBO21">
        <v>1</v>
      </c>
      <c r="GBP21">
        <v>1</v>
      </c>
      <c r="GBQ21">
        <v>1</v>
      </c>
      <c r="GBR21">
        <v>1</v>
      </c>
      <c r="GBS21">
        <v>1</v>
      </c>
      <c r="GBT21">
        <v>1</v>
      </c>
      <c r="GBU21">
        <v>1</v>
      </c>
      <c r="GBV21">
        <v>1</v>
      </c>
      <c r="GBW21">
        <v>1</v>
      </c>
      <c r="GBX21">
        <v>1</v>
      </c>
      <c r="GBY21">
        <v>1</v>
      </c>
      <c r="GBZ21">
        <v>1</v>
      </c>
      <c r="GCA21">
        <v>1</v>
      </c>
      <c r="GCB21">
        <v>1</v>
      </c>
      <c r="GCC21">
        <v>1</v>
      </c>
      <c r="GCD21">
        <v>1</v>
      </c>
      <c r="GCE21">
        <v>1</v>
      </c>
      <c r="GCF21">
        <v>1</v>
      </c>
      <c r="GCG21">
        <v>1</v>
      </c>
      <c r="GCH21">
        <v>1</v>
      </c>
      <c r="GCI21">
        <v>1</v>
      </c>
      <c r="GCJ21">
        <v>1</v>
      </c>
      <c r="GCK21">
        <v>1</v>
      </c>
      <c r="GCL21">
        <v>1</v>
      </c>
      <c r="GCM21">
        <v>1</v>
      </c>
      <c r="GCN21">
        <v>1</v>
      </c>
      <c r="GCO21">
        <v>1</v>
      </c>
      <c r="GCP21">
        <v>1</v>
      </c>
      <c r="GCQ21">
        <v>1</v>
      </c>
      <c r="GCR21">
        <v>1</v>
      </c>
      <c r="GCS21">
        <v>1</v>
      </c>
      <c r="GCT21">
        <v>1</v>
      </c>
      <c r="GCU21">
        <v>1</v>
      </c>
      <c r="GCV21">
        <v>1</v>
      </c>
      <c r="GCW21">
        <v>1</v>
      </c>
      <c r="GCX21">
        <v>1</v>
      </c>
      <c r="GCY21">
        <v>1</v>
      </c>
      <c r="GCZ21">
        <v>1</v>
      </c>
      <c r="GDA21">
        <v>1</v>
      </c>
      <c r="GDB21">
        <v>1</v>
      </c>
      <c r="GDC21">
        <v>1</v>
      </c>
      <c r="GDD21">
        <v>1</v>
      </c>
      <c r="GDE21">
        <v>1</v>
      </c>
      <c r="GDF21">
        <v>1</v>
      </c>
      <c r="GDG21">
        <v>1</v>
      </c>
      <c r="GDH21">
        <v>1</v>
      </c>
      <c r="GDI21">
        <v>1</v>
      </c>
      <c r="GDJ21">
        <v>1</v>
      </c>
      <c r="GDK21">
        <v>1</v>
      </c>
      <c r="GDL21">
        <v>1</v>
      </c>
      <c r="GDM21">
        <v>1</v>
      </c>
      <c r="GDN21">
        <v>1</v>
      </c>
      <c r="GDO21">
        <v>1</v>
      </c>
      <c r="GDP21">
        <v>1</v>
      </c>
      <c r="GDQ21">
        <v>1</v>
      </c>
      <c r="GDR21">
        <v>1</v>
      </c>
      <c r="GDS21">
        <v>1</v>
      </c>
      <c r="GDT21">
        <v>1</v>
      </c>
      <c r="GDU21">
        <v>1</v>
      </c>
      <c r="GDV21">
        <v>1</v>
      </c>
      <c r="GDW21">
        <v>1</v>
      </c>
      <c r="GDX21">
        <v>1</v>
      </c>
      <c r="GDY21">
        <v>1</v>
      </c>
      <c r="GDZ21">
        <v>1</v>
      </c>
      <c r="GEA21">
        <v>1</v>
      </c>
      <c r="GEB21">
        <v>1</v>
      </c>
      <c r="GEC21">
        <v>1</v>
      </c>
      <c r="GED21">
        <v>1</v>
      </c>
      <c r="GEE21">
        <v>1</v>
      </c>
      <c r="KFW21" s="1">
        <f t="shared" si="0"/>
        <v>76</v>
      </c>
      <c r="KFX21">
        <f t="shared" si="1"/>
        <v>0</v>
      </c>
      <c r="KFY21">
        <f t="shared" si="2"/>
        <v>0</v>
      </c>
      <c r="KFZ21">
        <f t="shared" si="3"/>
        <v>0</v>
      </c>
      <c r="KGA21">
        <f t="shared" si="4"/>
        <v>0</v>
      </c>
      <c r="KGB21">
        <f t="shared" si="5"/>
        <v>0</v>
      </c>
      <c r="KGC21">
        <f t="shared" si="6"/>
        <v>0</v>
      </c>
      <c r="KGD21">
        <f t="shared" si="7"/>
        <v>0</v>
      </c>
      <c r="KGE21">
        <f t="shared" si="8"/>
        <v>0</v>
      </c>
      <c r="KGF21">
        <f t="shared" si="9"/>
        <v>0</v>
      </c>
      <c r="KGG21">
        <f t="shared" si="10"/>
        <v>0</v>
      </c>
      <c r="KGH21">
        <f t="shared" si="11"/>
        <v>0</v>
      </c>
      <c r="KGI21">
        <f t="shared" si="12"/>
        <v>0</v>
      </c>
      <c r="KGJ21">
        <f t="shared" si="13"/>
        <v>0</v>
      </c>
      <c r="KGK21">
        <f t="shared" si="14"/>
        <v>0</v>
      </c>
      <c r="KGL21">
        <f t="shared" si="15"/>
        <v>0</v>
      </c>
      <c r="KGM21">
        <f t="shared" si="16"/>
        <v>0</v>
      </c>
      <c r="KGN21">
        <f t="shared" si="17"/>
        <v>0</v>
      </c>
      <c r="KGO21">
        <f t="shared" si="18"/>
        <v>0</v>
      </c>
      <c r="KGP21">
        <f t="shared" si="19"/>
        <v>0</v>
      </c>
      <c r="KGQ21">
        <f t="shared" si="20"/>
        <v>0</v>
      </c>
      <c r="KGR21">
        <f t="shared" si="21"/>
        <v>0</v>
      </c>
      <c r="KGS21">
        <f t="shared" si="22"/>
        <v>0</v>
      </c>
      <c r="KGT21">
        <f t="shared" si="23"/>
        <v>0</v>
      </c>
      <c r="KGU21">
        <f t="shared" si="24"/>
        <v>0</v>
      </c>
      <c r="KGV21">
        <f t="shared" si="25"/>
        <v>0</v>
      </c>
      <c r="KGW21">
        <f t="shared" si="26"/>
        <v>0</v>
      </c>
      <c r="KGX21">
        <f t="shared" si="27"/>
        <v>0</v>
      </c>
      <c r="KGY21">
        <f t="shared" si="28"/>
        <v>0</v>
      </c>
      <c r="KGZ21">
        <f t="shared" si="29"/>
        <v>0</v>
      </c>
      <c r="KHA21">
        <f t="shared" si="30"/>
        <v>0</v>
      </c>
      <c r="KHB21">
        <f t="shared" si="31"/>
        <v>0</v>
      </c>
      <c r="KHC21">
        <f t="shared" si="32"/>
        <v>0</v>
      </c>
      <c r="KHD21">
        <f t="shared" si="33"/>
        <v>0</v>
      </c>
      <c r="KHE21">
        <f t="shared" si="34"/>
        <v>0</v>
      </c>
      <c r="KHF21">
        <f t="shared" si="35"/>
        <v>0</v>
      </c>
      <c r="KHG21">
        <f t="shared" si="36"/>
        <v>0</v>
      </c>
      <c r="KHH21">
        <f t="shared" si="37"/>
        <v>0</v>
      </c>
      <c r="KHI21">
        <f t="shared" si="38"/>
        <v>0</v>
      </c>
      <c r="KHJ21">
        <f t="shared" si="39"/>
        <v>0</v>
      </c>
      <c r="KHK21">
        <f t="shared" si="40"/>
        <v>0</v>
      </c>
      <c r="KHL21">
        <f t="shared" si="41"/>
        <v>0</v>
      </c>
      <c r="KHM21">
        <f t="shared" si="42"/>
        <v>0</v>
      </c>
      <c r="KHN21">
        <f t="shared" si="43"/>
        <v>0</v>
      </c>
      <c r="KHO21">
        <f t="shared" si="44"/>
        <v>0</v>
      </c>
      <c r="KHP21">
        <f t="shared" si="45"/>
        <v>0</v>
      </c>
      <c r="KHQ21">
        <f t="shared" si="46"/>
        <v>0</v>
      </c>
      <c r="KHR21">
        <f t="shared" si="47"/>
        <v>0</v>
      </c>
      <c r="KHS21">
        <f t="shared" si="48"/>
        <v>0</v>
      </c>
      <c r="KHT21">
        <f t="shared" si="49"/>
        <v>0</v>
      </c>
      <c r="KHU21">
        <f t="shared" si="50"/>
        <v>0</v>
      </c>
      <c r="KHV21">
        <f t="shared" si="51"/>
        <v>0</v>
      </c>
      <c r="KHW21">
        <f t="shared" si="52"/>
        <v>0</v>
      </c>
      <c r="KHX21">
        <f t="shared" si="53"/>
        <v>0</v>
      </c>
      <c r="KHY21">
        <f t="shared" si="54"/>
        <v>0</v>
      </c>
      <c r="KHZ21">
        <f t="shared" si="55"/>
        <v>0</v>
      </c>
      <c r="KIA21">
        <f t="shared" si="56"/>
        <v>0</v>
      </c>
      <c r="KIB21">
        <f t="shared" si="57"/>
        <v>0</v>
      </c>
      <c r="KIC21">
        <f t="shared" si="58"/>
        <v>0</v>
      </c>
      <c r="KID21">
        <f t="shared" si="59"/>
        <v>0</v>
      </c>
      <c r="KIE21">
        <f t="shared" si="60"/>
        <v>0</v>
      </c>
      <c r="KIF21">
        <f t="shared" si="61"/>
        <v>0</v>
      </c>
      <c r="KIG21">
        <f t="shared" si="62"/>
        <v>0</v>
      </c>
      <c r="KIH21">
        <f t="shared" si="63"/>
        <v>0</v>
      </c>
      <c r="KII21">
        <f t="shared" si="64"/>
        <v>0</v>
      </c>
      <c r="KIJ21">
        <f t="shared" si="65"/>
        <v>0</v>
      </c>
      <c r="KIK21">
        <f t="shared" si="66"/>
        <v>0</v>
      </c>
      <c r="KIL21">
        <f t="shared" si="67"/>
        <v>0</v>
      </c>
      <c r="KIM21">
        <f t="shared" si="68"/>
        <v>0</v>
      </c>
      <c r="KIN21">
        <f t="shared" si="69"/>
        <v>0</v>
      </c>
      <c r="KIO21">
        <f t="shared" si="70"/>
        <v>0</v>
      </c>
      <c r="KIP21">
        <f t="shared" si="71"/>
        <v>0</v>
      </c>
      <c r="KIQ21">
        <f t="shared" si="72"/>
        <v>0</v>
      </c>
      <c r="KIR21">
        <f t="shared" si="73"/>
        <v>0</v>
      </c>
      <c r="KIS21">
        <f t="shared" si="74"/>
        <v>0</v>
      </c>
      <c r="KIT21">
        <f t="shared" si="75"/>
        <v>0</v>
      </c>
      <c r="KIU21">
        <f t="shared" si="76"/>
        <v>0</v>
      </c>
      <c r="KIV21">
        <f t="shared" si="77"/>
        <v>0</v>
      </c>
      <c r="KIW21">
        <f t="shared" si="78"/>
        <v>0</v>
      </c>
      <c r="KIX21">
        <f t="shared" si="79"/>
        <v>0</v>
      </c>
      <c r="KIY21">
        <f t="shared" si="80"/>
        <v>0</v>
      </c>
      <c r="KIZ21">
        <f t="shared" si="81"/>
        <v>0</v>
      </c>
      <c r="KJA21">
        <f t="shared" si="82"/>
        <v>0</v>
      </c>
      <c r="KJB21">
        <f t="shared" si="83"/>
        <v>0</v>
      </c>
      <c r="KJC21">
        <f t="shared" si="84"/>
        <v>0</v>
      </c>
      <c r="KJD21">
        <f t="shared" si="85"/>
        <v>0</v>
      </c>
      <c r="KJE21">
        <f t="shared" si="86"/>
        <v>0</v>
      </c>
      <c r="KJF21">
        <f t="shared" si="87"/>
        <v>0</v>
      </c>
      <c r="KJG21">
        <f t="shared" si="88"/>
        <v>0</v>
      </c>
      <c r="KJH21">
        <f t="shared" si="89"/>
        <v>0</v>
      </c>
      <c r="KJI21">
        <f t="shared" si="90"/>
        <v>0</v>
      </c>
      <c r="KJJ21">
        <f t="shared" si="91"/>
        <v>0</v>
      </c>
      <c r="KJK21">
        <f t="shared" si="92"/>
        <v>0</v>
      </c>
      <c r="KJL21">
        <f t="shared" si="93"/>
        <v>0</v>
      </c>
      <c r="KJM21">
        <f t="shared" si="94"/>
        <v>0</v>
      </c>
      <c r="KJN21">
        <f t="shared" si="95"/>
        <v>0</v>
      </c>
      <c r="KJO21">
        <f t="shared" si="96"/>
        <v>0</v>
      </c>
      <c r="KJP21">
        <f t="shared" si="97"/>
        <v>0</v>
      </c>
      <c r="KJQ21">
        <f t="shared" si="98"/>
        <v>0</v>
      </c>
      <c r="KJR21">
        <f t="shared" si="99"/>
        <v>0</v>
      </c>
      <c r="KJT21">
        <f t="shared" si="100"/>
        <v>76</v>
      </c>
      <c r="KJV21">
        <f t="shared" si="100"/>
        <v>76</v>
      </c>
      <c r="KJW21">
        <f t="shared" si="101"/>
        <v>3.04</v>
      </c>
      <c r="KJY21">
        <f t="shared" si="101"/>
        <v>3.04</v>
      </c>
    </row>
    <row r="22" spans="1:939 1050:3700 4762:5083 5659:6110 6147:7004 7171:7721">
      <c r="A22" t="s">
        <v>11</v>
      </c>
      <c r="KFW22" s="1">
        <f t="shared" si="0"/>
        <v>0</v>
      </c>
      <c r="KFX22">
        <f t="shared" si="1"/>
        <v>0</v>
      </c>
      <c r="KFY22">
        <f t="shared" si="2"/>
        <v>0</v>
      </c>
      <c r="KFZ22">
        <f t="shared" si="3"/>
        <v>0</v>
      </c>
      <c r="KGA22">
        <f t="shared" si="4"/>
        <v>0</v>
      </c>
      <c r="KGB22">
        <f t="shared" si="5"/>
        <v>0</v>
      </c>
      <c r="KGC22">
        <f t="shared" si="6"/>
        <v>0</v>
      </c>
      <c r="KGD22">
        <f t="shared" si="7"/>
        <v>0</v>
      </c>
      <c r="KGE22">
        <f t="shared" si="8"/>
        <v>0</v>
      </c>
      <c r="KGF22">
        <f t="shared" si="9"/>
        <v>0</v>
      </c>
      <c r="KGG22">
        <f t="shared" si="10"/>
        <v>0</v>
      </c>
      <c r="KGH22">
        <f t="shared" si="11"/>
        <v>0</v>
      </c>
      <c r="KGI22">
        <f t="shared" si="12"/>
        <v>0</v>
      </c>
      <c r="KGJ22">
        <f t="shared" si="13"/>
        <v>0</v>
      </c>
      <c r="KGK22">
        <f t="shared" si="14"/>
        <v>0</v>
      </c>
      <c r="KGL22">
        <f t="shared" si="15"/>
        <v>0</v>
      </c>
      <c r="KGM22">
        <f t="shared" si="16"/>
        <v>0</v>
      </c>
      <c r="KGN22">
        <f t="shared" si="17"/>
        <v>0</v>
      </c>
      <c r="KGO22">
        <f t="shared" si="18"/>
        <v>0</v>
      </c>
      <c r="KGP22">
        <f t="shared" si="19"/>
        <v>0</v>
      </c>
      <c r="KGQ22">
        <f t="shared" si="20"/>
        <v>0</v>
      </c>
      <c r="KGR22">
        <f t="shared" si="21"/>
        <v>0</v>
      </c>
      <c r="KGS22">
        <f t="shared" si="22"/>
        <v>0</v>
      </c>
      <c r="KGT22">
        <f t="shared" si="23"/>
        <v>0</v>
      </c>
      <c r="KGU22">
        <f t="shared" si="24"/>
        <v>0</v>
      </c>
      <c r="KGV22">
        <f t="shared" si="25"/>
        <v>0</v>
      </c>
      <c r="KGW22">
        <f t="shared" si="26"/>
        <v>0</v>
      </c>
      <c r="KGX22">
        <f t="shared" si="27"/>
        <v>0</v>
      </c>
      <c r="KGY22">
        <f t="shared" si="28"/>
        <v>0</v>
      </c>
      <c r="KGZ22">
        <f t="shared" si="29"/>
        <v>0</v>
      </c>
      <c r="KHA22">
        <f t="shared" si="30"/>
        <v>0</v>
      </c>
      <c r="KHB22">
        <f t="shared" si="31"/>
        <v>0</v>
      </c>
      <c r="KHC22">
        <f t="shared" si="32"/>
        <v>0</v>
      </c>
      <c r="KHD22">
        <f t="shared" si="33"/>
        <v>0</v>
      </c>
      <c r="KHE22">
        <f t="shared" si="34"/>
        <v>0</v>
      </c>
      <c r="KHF22">
        <f t="shared" si="35"/>
        <v>0</v>
      </c>
      <c r="KHG22">
        <f t="shared" si="36"/>
        <v>0</v>
      </c>
      <c r="KHH22">
        <f t="shared" si="37"/>
        <v>0</v>
      </c>
      <c r="KHI22">
        <f t="shared" si="38"/>
        <v>0</v>
      </c>
      <c r="KHJ22">
        <f t="shared" si="39"/>
        <v>0</v>
      </c>
      <c r="KHK22">
        <f t="shared" si="40"/>
        <v>0</v>
      </c>
      <c r="KHL22">
        <f t="shared" si="41"/>
        <v>0</v>
      </c>
      <c r="KHM22">
        <f t="shared" si="42"/>
        <v>0</v>
      </c>
      <c r="KHN22">
        <f t="shared" si="43"/>
        <v>0</v>
      </c>
      <c r="KHO22">
        <f t="shared" si="44"/>
        <v>0</v>
      </c>
      <c r="KHP22">
        <f t="shared" si="45"/>
        <v>0</v>
      </c>
      <c r="KHQ22">
        <f t="shared" si="46"/>
        <v>0</v>
      </c>
      <c r="KHR22">
        <f t="shared" si="47"/>
        <v>0</v>
      </c>
      <c r="KHS22">
        <f t="shared" si="48"/>
        <v>0</v>
      </c>
      <c r="KHT22">
        <f t="shared" si="49"/>
        <v>0</v>
      </c>
      <c r="KHU22">
        <f t="shared" si="50"/>
        <v>0</v>
      </c>
      <c r="KHV22">
        <f t="shared" si="51"/>
        <v>0</v>
      </c>
      <c r="KHW22">
        <f t="shared" si="52"/>
        <v>0</v>
      </c>
      <c r="KHX22">
        <f t="shared" si="53"/>
        <v>0</v>
      </c>
      <c r="KHY22">
        <f t="shared" si="54"/>
        <v>0</v>
      </c>
      <c r="KHZ22">
        <f t="shared" si="55"/>
        <v>0</v>
      </c>
      <c r="KIA22">
        <f t="shared" si="56"/>
        <v>0</v>
      </c>
      <c r="KIB22">
        <f t="shared" si="57"/>
        <v>0</v>
      </c>
      <c r="KIC22">
        <f t="shared" si="58"/>
        <v>0</v>
      </c>
      <c r="KID22">
        <f t="shared" si="59"/>
        <v>0</v>
      </c>
      <c r="KIE22">
        <f t="shared" si="60"/>
        <v>0</v>
      </c>
      <c r="KIF22">
        <f t="shared" si="61"/>
        <v>0</v>
      </c>
      <c r="KIG22">
        <f t="shared" si="62"/>
        <v>0</v>
      </c>
      <c r="KIH22">
        <f t="shared" si="63"/>
        <v>0</v>
      </c>
      <c r="KII22">
        <f t="shared" si="64"/>
        <v>0</v>
      </c>
      <c r="KIJ22">
        <f t="shared" si="65"/>
        <v>0</v>
      </c>
      <c r="KIK22">
        <f t="shared" si="66"/>
        <v>0</v>
      </c>
      <c r="KIL22">
        <f t="shared" si="67"/>
        <v>0</v>
      </c>
      <c r="KIM22">
        <f t="shared" si="68"/>
        <v>0</v>
      </c>
      <c r="KIN22">
        <f t="shared" si="69"/>
        <v>0</v>
      </c>
      <c r="KIO22">
        <f t="shared" si="70"/>
        <v>0</v>
      </c>
      <c r="KIP22">
        <f t="shared" si="71"/>
        <v>0</v>
      </c>
      <c r="KIQ22">
        <f t="shared" si="72"/>
        <v>0</v>
      </c>
      <c r="KIR22">
        <f t="shared" si="73"/>
        <v>0</v>
      </c>
      <c r="KIS22">
        <f t="shared" si="74"/>
        <v>0</v>
      </c>
      <c r="KIT22">
        <f t="shared" si="75"/>
        <v>0</v>
      </c>
      <c r="KIU22">
        <f t="shared" si="76"/>
        <v>0</v>
      </c>
      <c r="KIV22">
        <f t="shared" si="77"/>
        <v>0</v>
      </c>
      <c r="KIW22">
        <f t="shared" si="78"/>
        <v>0</v>
      </c>
      <c r="KIX22">
        <f t="shared" si="79"/>
        <v>0</v>
      </c>
      <c r="KIY22">
        <f t="shared" si="80"/>
        <v>0</v>
      </c>
      <c r="KIZ22">
        <f t="shared" si="81"/>
        <v>0</v>
      </c>
      <c r="KJA22">
        <f t="shared" si="82"/>
        <v>0</v>
      </c>
      <c r="KJB22">
        <f t="shared" si="83"/>
        <v>0</v>
      </c>
      <c r="KJC22">
        <f t="shared" si="84"/>
        <v>0</v>
      </c>
      <c r="KJD22">
        <f t="shared" si="85"/>
        <v>0</v>
      </c>
      <c r="KJE22">
        <f t="shared" si="86"/>
        <v>0</v>
      </c>
      <c r="KJF22">
        <f t="shared" si="87"/>
        <v>0</v>
      </c>
      <c r="KJG22">
        <f t="shared" si="88"/>
        <v>0</v>
      </c>
      <c r="KJH22">
        <f t="shared" si="89"/>
        <v>0</v>
      </c>
      <c r="KJI22">
        <f t="shared" si="90"/>
        <v>0</v>
      </c>
      <c r="KJJ22">
        <f t="shared" si="91"/>
        <v>0</v>
      </c>
      <c r="KJK22">
        <f t="shared" si="92"/>
        <v>0</v>
      </c>
      <c r="KJL22">
        <f t="shared" si="93"/>
        <v>0</v>
      </c>
      <c r="KJM22">
        <f t="shared" si="94"/>
        <v>0</v>
      </c>
      <c r="KJN22">
        <f t="shared" si="95"/>
        <v>0</v>
      </c>
      <c r="KJO22">
        <f t="shared" si="96"/>
        <v>0</v>
      </c>
      <c r="KJP22">
        <f t="shared" si="97"/>
        <v>0</v>
      </c>
      <c r="KJQ22">
        <f t="shared" si="98"/>
        <v>0</v>
      </c>
      <c r="KJR22">
        <f t="shared" si="99"/>
        <v>0</v>
      </c>
      <c r="KJT22">
        <f t="shared" si="100"/>
        <v>0</v>
      </c>
      <c r="KJV22">
        <f t="shared" si="100"/>
        <v>0</v>
      </c>
      <c r="KJW22">
        <f t="shared" si="101"/>
        <v>0</v>
      </c>
      <c r="KJY22">
        <f t="shared" si="101"/>
        <v>0</v>
      </c>
    </row>
    <row r="23" spans="1:939 1050:3700 4762:5083 5659:6110 6147:7004 7171:7721">
      <c r="A23" t="s">
        <v>27</v>
      </c>
      <c r="KFW23" s="1">
        <f t="shared" si="0"/>
        <v>0</v>
      </c>
      <c r="KFX23">
        <f t="shared" si="1"/>
        <v>0</v>
      </c>
      <c r="KFY23">
        <f t="shared" si="2"/>
        <v>0</v>
      </c>
      <c r="KFZ23">
        <f t="shared" si="3"/>
        <v>0</v>
      </c>
      <c r="KGA23">
        <f t="shared" si="4"/>
        <v>0</v>
      </c>
      <c r="KGB23">
        <f t="shared" si="5"/>
        <v>0</v>
      </c>
      <c r="KGC23">
        <f t="shared" si="6"/>
        <v>0</v>
      </c>
      <c r="KGD23">
        <f t="shared" si="7"/>
        <v>0</v>
      </c>
      <c r="KGE23">
        <f t="shared" si="8"/>
        <v>0</v>
      </c>
      <c r="KGF23">
        <f t="shared" si="9"/>
        <v>0</v>
      </c>
      <c r="KGG23">
        <f t="shared" si="10"/>
        <v>0</v>
      </c>
      <c r="KGH23">
        <f t="shared" si="11"/>
        <v>0</v>
      </c>
      <c r="KGI23">
        <f t="shared" si="12"/>
        <v>0</v>
      </c>
      <c r="KGJ23">
        <f t="shared" si="13"/>
        <v>0</v>
      </c>
      <c r="KGK23">
        <f t="shared" si="14"/>
        <v>0</v>
      </c>
      <c r="KGL23">
        <f t="shared" si="15"/>
        <v>0</v>
      </c>
      <c r="KGM23">
        <f t="shared" si="16"/>
        <v>0</v>
      </c>
      <c r="KGN23">
        <f t="shared" si="17"/>
        <v>0</v>
      </c>
      <c r="KGO23">
        <f t="shared" si="18"/>
        <v>0</v>
      </c>
      <c r="KGP23">
        <f t="shared" si="19"/>
        <v>0</v>
      </c>
      <c r="KGQ23">
        <f t="shared" si="20"/>
        <v>0</v>
      </c>
      <c r="KGR23">
        <f t="shared" si="21"/>
        <v>0</v>
      </c>
      <c r="KGS23">
        <f t="shared" si="22"/>
        <v>0</v>
      </c>
      <c r="KGT23">
        <f t="shared" si="23"/>
        <v>0</v>
      </c>
      <c r="KGU23">
        <f t="shared" si="24"/>
        <v>0</v>
      </c>
      <c r="KGV23">
        <f t="shared" si="25"/>
        <v>0</v>
      </c>
      <c r="KGW23">
        <f t="shared" si="26"/>
        <v>0</v>
      </c>
      <c r="KGX23">
        <f t="shared" si="27"/>
        <v>0</v>
      </c>
      <c r="KGY23">
        <f t="shared" si="28"/>
        <v>0</v>
      </c>
      <c r="KGZ23">
        <f t="shared" si="29"/>
        <v>0</v>
      </c>
      <c r="KHA23">
        <f t="shared" si="30"/>
        <v>0</v>
      </c>
      <c r="KHB23">
        <f t="shared" si="31"/>
        <v>0</v>
      </c>
      <c r="KHC23">
        <f t="shared" si="32"/>
        <v>0</v>
      </c>
      <c r="KHD23">
        <f t="shared" si="33"/>
        <v>0</v>
      </c>
      <c r="KHE23">
        <f t="shared" si="34"/>
        <v>0</v>
      </c>
      <c r="KHF23">
        <f t="shared" si="35"/>
        <v>0</v>
      </c>
      <c r="KHG23">
        <f t="shared" si="36"/>
        <v>0</v>
      </c>
      <c r="KHH23">
        <f t="shared" si="37"/>
        <v>0</v>
      </c>
      <c r="KHI23">
        <f t="shared" si="38"/>
        <v>0</v>
      </c>
      <c r="KHJ23">
        <f t="shared" si="39"/>
        <v>0</v>
      </c>
      <c r="KHK23">
        <f t="shared" si="40"/>
        <v>0</v>
      </c>
      <c r="KHL23">
        <f t="shared" si="41"/>
        <v>0</v>
      </c>
      <c r="KHM23">
        <f t="shared" si="42"/>
        <v>0</v>
      </c>
      <c r="KHN23">
        <f t="shared" si="43"/>
        <v>0</v>
      </c>
      <c r="KHO23">
        <f t="shared" si="44"/>
        <v>0</v>
      </c>
      <c r="KHP23">
        <f t="shared" si="45"/>
        <v>0</v>
      </c>
      <c r="KHQ23">
        <f t="shared" si="46"/>
        <v>0</v>
      </c>
      <c r="KHR23">
        <f t="shared" si="47"/>
        <v>0</v>
      </c>
      <c r="KHS23">
        <f t="shared" si="48"/>
        <v>0</v>
      </c>
      <c r="KHT23">
        <f t="shared" si="49"/>
        <v>0</v>
      </c>
      <c r="KHU23">
        <f t="shared" si="50"/>
        <v>0</v>
      </c>
      <c r="KHV23">
        <f t="shared" si="51"/>
        <v>0</v>
      </c>
      <c r="KHW23">
        <f t="shared" si="52"/>
        <v>0</v>
      </c>
      <c r="KHX23">
        <f t="shared" si="53"/>
        <v>0</v>
      </c>
      <c r="KHY23">
        <f t="shared" si="54"/>
        <v>0</v>
      </c>
      <c r="KHZ23">
        <f t="shared" si="55"/>
        <v>0</v>
      </c>
      <c r="KIA23">
        <f t="shared" si="56"/>
        <v>0</v>
      </c>
      <c r="KIB23">
        <f t="shared" si="57"/>
        <v>0</v>
      </c>
      <c r="KIC23">
        <f t="shared" si="58"/>
        <v>0</v>
      </c>
      <c r="KID23">
        <f t="shared" si="59"/>
        <v>0</v>
      </c>
      <c r="KIE23">
        <f t="shared" si="60"/>
        <v>0</v>
      </c>
      <c r="KIF23">
        <f t="shared" si="61"/>
        <v>0</v>
      </c>
      <c r="KIG23">
        <f t="shared" si="62"/>
        <v>0</v>
      </c>
      <c r="KIH23">
        <f t="shared" si="63"/>
        <v>0</v>
      </c>
      <c r="KII23">
        <f t="shared" si="64"/>
        <v>0</v>
      </c>
      <c r="KIJ23">
        <f t="shared" si="65"/>
        <v>0</v>
      </c>
      <c r="KIK23">
        <f t="shared" si="66"/>
        <v>0</v>
      </c>
      <c r="KIL23">
        <f t="shared" si="67"/>
        <v>0</v>
      </c>
      <c r="KIM23">
        <f t="shared" si="68"/>
        <v>0</v>
      </c>
      <c r="KIN23">
        <f t="shared" si="69"/>
        <v>0</v>
      </c>
      <c r="KIO23">
        <f t="shared" si="70"/>
        <v>0</v>
      </c>
      <c r="KIP23">
        <f t="shared" si="71"/>
        <v>0</v>
      </c>
      <c r="KIQ23">
        <f t="shared" si="72"/>
        <v>0</v>
      </c>
      <c r="KIR23">
        <f t="shared" si="73"/>
        <v>0</v>
      </c>
      <c r="KIS23">
        <f t="shared" si="74"/>
        <v>0</v>
      </c>
      <c r="KIT23">
        <f t="shared" si="75"/>
        <v>0</v>
      </c>
      <c r="KIU23">
        <f t="shared" si="76"/>
        <v>0</v>
      </c>
      <c r="KIV23">
        <f t="shared" si="77"/>
        <v>0</v>
      </c>
      <c r="KIW23">
        <f t="shared" si="78"/>
        <v>0</v>
      </c>
      <c r="KIX23">
        <f t="shared" si="79"/>
        <v>0</v>
      </c>
      <c r="KIY23">
        <f t="shared" si="80"/>
        <v>0</v>
      </c>
      <c r="KIZ23">
        <f t="shared" si="81"/>
        <v>0</v>
      </c>
      <c r="KJA23">
        <f t="shared" si="82"/>
        <v>0</v>
      </c>
      <c r="KJB23">
        <f t="shared" si="83"/>
        <v>0</v>
      </c>
      <c r="KJC23">
        <f t="shared" si="84"/>
        <v>0</v>
      </c>
      <c r="KJD23">
        <f t="shared" si="85"/>
        <v>0</v>
      </c>
      <c r="KJE23">
        <f t="shared" si="86"/>
        <v>0</v>
      </c>
      <c r="KJF23">
        <f t="shared" si="87"/>
        <v>0</v>
      </c>
      <c r="KJG23">
        <f t="shared" si="88"/>
        <v>0</v>
      </c>
      <c r="KJH23">
        <f t="shared" si="89"/>
        <v>0</v>
      </c>
      <c r="KJI23">
        <f t="shared" si="90"/>
        <v>0</v>
      </c>
      <c r="KJJ23">
        <f t="shared" si="91"/>
        <v>0</v>
      </c>
      <c r="KJK23">
        <f t="shared" si="92"/>
        <v>0</v>
      </c>
      <c r="KJL23">
        <f t="shared" si="93"/>
        <v>0</v>
      </c>
      <c r="KJM23">
        <f t="shared" si="94"/>
        <v>0</v>
      </c>
      <c r="KJN23">
        <f t="shared" si="95"/>
        <v>0</v>
      </c>
      <c r="KJO23">
        <f t="shared" si="96"/>
        <v>0</v>
      </c>
      <c r="KJP23">
        <f t="shared" si="97"/>
        <v>0</v>
      </c>
      <c r="KJQ23">
        <f t="shared" si="98"/>
        <v>0</v>
      </c>
      <c r="KJR23">
        <f t="shared" si="99"/>
        <v>0</v>
      </c>
      <c r="KJT23">
        <f t="shared" si="100"/>
        <v>0</v>
      </c>
      <c r="KJV23">
        <f t="shared" si="100"/>
        <v>0</v>
      </c>
      <c r="KJW23">
        <f t="shared" si="101"/>
        <v>0</v>
      </c>
      <c r="KJY23">
        <f t="shared" si="101"/>
        <v>0</v>
      </c>
    </row>
    <row r="24" spans="1:939 1050:3700 4762:5083 5659:6110 6147:7004 7171:7721">
      <c r="A24" t="s">
        <v>12</v>
      </c>
      <c r="B24">
        <v>5</v>
      </c>
      <c r="ANJ24">
        <v>1</v>
      </c>
      <c r="ANK24">
        <v>1</v>
      </c>
      <c r="ANL24">
        <v>1</v>
      </c>
      <c r="ANM24">
        <v>1</v>
      </c>
      <c r="ANN24">
        <v>1</v>
      </c>
      <c r="ANO24">
        <v>1</v>
      </c>
      <c r="ANP24">
        <v>1</v>
      </c>
      <c r="ANQ24">
        <v>1</v>
      </c>
      <c r="ANR24">
        <v>1</v>
      </c>
      <c r="ANS24">
        <v>1</v>
      </c>
      <c r="ANT24">
        <v>1</v>
      </c>
      <c r="ANU24">
        <v>1</v>
      </c>
      <c r="ANV24">
        <v>1</v>
      </c>
      <c r="ANW24">
        <v>1</v>
      </c>
      <c r="ANX24">
        <v>1</v>
      </c>
      <c r="ANY24">
        <v>1</v>
      </c>
      <c r="ANZ24">
        <v>1</v>
      </c>
      <c r="AOA24">
        <v>1</v>
      </c>
      <c r="AOB24">
        <v>1</v>
      </c>
      <c r="AOC24">
        <v>1</v>
      </c>
      <c r="AOD24">
        <v>1</v>
      </c>
      <c r="EKN24">
        <v>2</v>
      </c>
      <c r="EKO24">
        <v>2</v>
      </c>
      <c r="EKP24">
        <v>2</v>
      </c>
      <c r="EKQ24">
        <v>2</v>
      </c>
      <c r="EKR24">
        <v>2</v>
      </c>
      <c r="EKS24">
        <v>2</v>
      </c>
      <c r="EKT24">
        <v>2</v>
      </c>
      <c r="EKU24">
        <v>2</v>
      </c>
      <c r="EKV24">
        <v>2</v>
      </c>
      <c r="EKW24">
        <v>2</v>
      </c>
      <c r="EKX24">
        <v>2</v>
      </c>
      <c r="EKY24">
        <v>2</v>
      </c>
      <c r="EKZ24">
        <v>2</v>
      </c>
      <c r="ELA24">
        <v>2</v>
      </c>
      <c r="ELB24">
        <v>2</v>
      </c>
      <c r="ELC24">
        <v>2</v>
      </c>
      <c r="ELD24">
        <v>2</v>
      </c>
      <c r="ELE24">
        <v>2</v>
      </c>
      <c r="ELF24">
        <v>2</v>
      </c>
      <c r="ELG24">
        <v>2</v>
      </c>
      <c r="ELH24">
        <v>2</v>
      </c>
      <c r="IBK24">
        <v>3</v>
      </c>
      <c r="IBL24">
        <v>3</v>
      </c>
      <c r="IBM24">
        <v>3</v>
      </c>
      <c r="IBN24">
        <v>3</v>
      </c>
      <c r="IBO24">
        <v>3</v>
      </c>
      <c r="IBP24">
        <v>3</v>
      </c>
      <c r="IBQ24">
        <v>3</v>
      </c>
      <c r="IBR24">
        <v>3</v>
      </c>
      <c r="IBS24">
        <v>3</v>
      </c>
      <c r="IBT24">
        <v>3</v>
      </c>
      <c r="IBU24">
        <v>3</v>
      </c>
      <c r="IBV24">
        <v>3</v>
      </c>
      <c r="IBW24">
        <v>3</v>
      </c>
      <c r="IBX24">
        <v>3</v>
      </c>
      <c r="IBY24">
        <v>3</v>
      </c>
      <c r="IBZ24">
        <v>3</v>
      </c>
      <c r="ICA24">
        <v>3</v>
      </c>
      <c r="ICB24">
        <v>3</v>
      </c>
      <c r="ICC24">
        <v>3</v>
      </c>
      <c r="ICD24">
        <v>3</v>
      </c>
      <c r="ICE24">
        <v>3</v>
      </c>
      <c r="ICF24">
        <v>3</v>
      </c>
      <c r="ICG24">
        <v>3</v>
      </c>
      <c r="ICH24">
        <v>3</v>
      </c>
      <c r="JFS24">
        <v>4</v>
      </c>
      <c r="JFT24">
        <v>4</v>
      </c>
      <c r="JFU24">
        <v>4</v>
      </c>
      <c r="JFV24">
        <v>4</v>
      </c>
      <c r="JFW24">
        <v>4</v>
      </c>
      <c r="JFX24">
        <v>4</v>
      </c>
      <c r="JFY24">
        <v>4</v>
      </c>
      <c r="JFZ24">
        <v>4</v>
      </c>
      <c r="JGA24">
        <v>4</v>
      </c>
      <c r="JGB24">
        <v>4</v>
      </c>
      <c r="JGC24">
        <v>4</v>
      </c>
      <c r="JGD24">
        <v>4</v>
      </c>
      <c r="JGE24">
        <v>4</v>
      </c>
      <c r="JGF24">
        <v>4</v>
      </c>
      <c r="JGG24">
        <v>4</v>
      </c>
      <c r="JGH24">
        <v>4</v>
      </c>
      <c r="JGI24">
        <v>4</v>
      </c>
      <c r="JGJ24">
        <v>4</v>
      </c>
      <c r="JGK24">
        <v>4</v>
      </c>
      <c r="JGL24">
        <v>4</v>
      </c>
      <c r="JGM24">
        <v>4</v>
      </c>
      <c r="JGN24">
        <v>4</v>
      </c>
      <c r="JGO24">
        <v>4</v>
      </c>
      <c r="JGP24">
        <v>4</v>
      </c>
      <c r="JOU24">
        <v>5</v>
      </c>
      <c r="JOV24">
        <v>5</v>
      </c>
      <c r="JOW24">
        <v>5</v>
      </c>
      <c r="JOX24">
        <v>5</v>
      </c>
      <c r="JOY24">
        <v>5</v>
      </c>
      <c r="JOZ24">
        <v>5</v>
      </c>
      <c r="JPA24">
        <v>5</v>
      </c>
      <c r="JPB24">
        <v>5</v>
      </c>
      <c r="KFW24" s="1">
        <f t="shared" si="0"/>
        <v>21</v>
      </c>
      <c r="KFX24">
        <f t="shared" si="1"/>
        <v>21</v>
      </c>
      <c r="KFY24">
        <f t="shared" si="2"/>
        <v>24</v>
      </c>
      <c r="KFZ24">
        <f t="shared" si="3"/>
        <v>24</v>
      </c>
      <c r="KGA24">
        <f t="shared" si="4"/>
        <v>8</v>
      </c>
      <c r="KGB24">
        <f t="shared" si="5"/>
        <v>0</v>
      </c>
      <c r="KGC24">
        <f t="shared" si="6"/>
        <v>0</v>
      </c>
      <c r="KGD24">
        <f t="shared" si="7"/>
        <v>0</v>
      </c>
      <c r="KGE24">
        <f t="shared" si="8"/>
        <v>0</v>
      </c>
      <c r="KGF24">
        <f t="shared" si="9"/>
        <v>0</v>
      </c>
      <c r="KGG24">
        <f t="shared" si="10"/>
        <v>0</v>
      </c>
      <c r="KGH24">
        <f t="shared" si="11"/>
        <v>0</v>
      </c>
      <c r="KGI24">
        <f t="shared" si="12"/>
        <v>0</v>
      </c>
      <c r="KGJ24">
        <f t="shared" si="13"/>
        <v>0</v>
      </c>
      <c r="KGK24">
        <f t="shared" si="14"/>
        <v>0</v>
      </c>
      <c r="KGL24">
        <f t="shared" si="15"/>
        <v>0</v>
      </c>
      <c r="KGM24">
        <f t="shared" si="16"/>
        <v>0</v>
      </c>
      <c r="KGN24">
        <f t="shared" si="17"/>
        <v>0</v>
      </c>
      <c r="KGO24">
        <f t="shared" si="18"/>
        <v>0</v>
      </c>
      <c r="KGP24">
        <f t="shared" si="19"/>
        <v>0</v>
      </c>
      <c r="KGQ24">
        <f t="shared" si="20"/>
        <v>0</v>
      </c>
      <c r="KGR24">
        <f t="shared" si="21"/>
        <v>0</v>
      </c>
      <c r="KGS24">
        <f t="shared" si="22"/>
        <v>0</v>
      </c>
      <c r="KGT24">
        <f t="shared" si="23"/>
        <v>0</v>
      </c>
      <c r="KGU24">
        <f t="shared" si="24"/>
        <v>0</v>
      </c>
      <c r="KGV24">
        <f t="shared" si="25"/>
        <v>0</v>
      </c>
      <c r="KGW24">
        <f t="shared" si="26"/>
        <v>0</v>
      </c>
      <c r="KGX24">
        <f t="shared" si="27"/>
        <v>0</v>
      </c>
      <c r="KGY24">
        <f t="shared" si="28"/>
        <v>0</v>
      </c>
      <c r="KGZ24">
        <f t="shared" si="29"/>
        <v>0</v>
      </c>
      <c r="KHA24">
        <f t="shared" si="30"/>
        <v>0</v>
      </c>
      <c r="KHB24">
        <f t="shared" si="31"/>
        <v>0</v>
      </c>
      <c r="KHC24">
        <f t="shared" si="32"/>
        <v>0</v>
      </c>
      <c r="KHD24">
        <f t="shared" si="33"/>
        <v>0</v>
      </c>
      <c r="KHE24">
        <f t="shared" si="34"/>
        <v>0</v>
      </c>
      <c r="KHF24">
        <f t="shared" si="35"/>
        <v>0</v>
      </c>
      <c r="KHG24">
        <f t="shared" si="36"/>
        <v>0</v>
      </c>
      <c r="KHH24">
        <f t="shared" si="37"/>
        <v>0</v>
      </c>
      <c r="KHI24">
        <f t="shared" si="38"/>
        <v>0</v>
      </c>
      <c r="KHJ24">
        <f t="shared" si="39"/>
        <v>0</v>
      </c>
      <c r="KHK24">
        <f t="shared" si="40"/>
        <v>0</v>
      </c>
      <c r="KHL24">
        <f t="shared" si="41"/>
        <v>0</v>
      </c>
      <c r="KHM24">
        <f t="shared" si="42"/>
        <v>0</v>
      </c>
      <c r="KHN24">
        <f t="shared" si="43"/>
        <v>0</v>
      </c>
      <c r="KHO24">
        <f t="shared" si="44"/>
        <v>0</v>
      </c>
      <c r="KHP24">
        <f t="shared" si="45"/>
        <v>0</v>
      </c>
      <c r="KHQ24">
        <f t="shared" si="46"/>
        <v>0</v>
      </c>
      <c r="KHR24">
        <f t="shared" si="47"/>
        <v>0</v>
      </c>
      <c r="KHS24">
        <f t="shared" si="48"/>
        <v>0</v>
      </c>
      <c r="KHT24">
        <f t="shared" si="49"/>
        <v>0</v>
      </c>
      <c r="KHU24">
        <f t="shared" si="50"/>
        <v>0</v>
      </c>
      <c r="KHV24">
        <f t="shared" si="51"/>
        <v>0</v>
      </c>
      <c r="KHW24">
        <f t="shared" si="52"/>
        <v>0</v>
      </c>
      <c r="KHX24">
        <f t="shared" si="53"/>
        <v>0</v>
      </c>
      <c r="KHY24">
        <f t="shared" si="54"/>
        <v>0</v>
      </c>
      <c r="KHZ24">
        <f t="shared" si="55"/>
        <v>0</v>
      </c>
      <c r="KIA24">
        <f t="shared" si="56"/>
        <v>0</v>
      </c>
      <c r="KIB24">
        <f t="shared" si="57"/>
        <v>0</v>
      </c>
      <c r="KIC24">
        <f t="shared" si="58"/>
        <v>0</v>
      </c>
      <c r="KID24">
        <f t="shared" si="59"/>
        <v>0</v>
      </c>
      <c r="KIE24">
        <f t="shared" si="60"/>
        <v>0</v>
      </c>
      <c r="KIF24">
        <f t="shared" si="61"/>
        <v>0</v>
      </c>
      <c r="KIG24">
        <f t="shared" si="62"/>
        <v>0</v>
      </c>
      <c r="KIH24">
        <f t="shared" si="63"/>
        <v>0</v>
      </c>
      <c r="KII24">
        <f t="shared" si="64"/>
        <v>0</v>
      </c>
      <c r="KIJ24">
        <f t="shared" si="65"/>
        <v>0</v>
      </c>
      <c r="KIK24">
        <f t="shared" si="66"/>
        <v>0</v>
      </c>
      <c r="KIL24">
        <f t="shared" si="67"/>
        <v>0</v>
      </c>
      <c r="KIM24">
        <f t="shared" si="68"/>
        <v>0</v>
      </c>
      <c r="KIN24">
        <f t="shared" si="69"/>
        <v>0</v>
      </c>
      <c r="KIO24">
        <f t="shared" si="70"/>
        <v>0</v>
      </c>
      <c r="KIP24">
        <f t="shared" si="71"/>
        <v>0</v>
      </c>
      <c r="KIQ24">
        <f t="shared" si="72"/>
        <v>0</v>
      </c>
      <c r="KIR24">
        <f t="shared" si="73"/>
        <v>0</v>
      </c>
      <c r="KIS24">
        <f t="shared" si="74"/>
        <v>0</v>
      </c>
      <c r="KIT24">
        <f t="shared" si="75"/>
        <v>0</v>
      </c>
      <c r="KIU24">
        <f t="shared" si="76"/>
        <v>0</v>
      </c>
      <c r="KIV24">
        <f t="shared" si="77"/>
        <v>0</v>
      </c>
      <c r="KIW24">
        <f t="shared" si="78"/>
        <v>0</v>
      </c>
      <c r="KIX24">
        <f t="shared" si="79"/>
        <v>0</v>
      </c>
      <c r="KIY24">
        <f t="shared" si="80"/>
        <v>0</v>
      </c>
      <c r="KIZ24">
        <f t="shared" si="81"/>
        <v>0</v>
      </c>
      <c r="KJA24">
        <f t="shared" si="82"/>
        <v>0</v>
      </c>
      <c r="KJB24">
        <f t="shared" si="83"/>
        <v>0</v>
      </c>
      <c r="KJC24">
        <f t="shared" si="84"/>
        <v>0</v>
      </c>
      <c r="KJD24">
        <f t="shared" si="85"/>
        <v>0</v>
      </c>
      <c r="KJE24">
        <f t="shared" si="86"/>
        <v>0</v>
      </c>
      <c r="KJF24">
        <f t="shared" si="87"/>
        <v>0</v>
      </c>
      <c r="KJG24">
        <f t="shared" si="88"/>
        <v>0</v>
      </c>
      <c r="KJH24">
        <f t="shared" si="89"/>
        <v>0</v>
      </c>
      <c r="KJI24">
        <f t="shared" si="90"/>
        <v>0</v>
      </c>
      <c r="KJJ24">
        <f t="shared" si="91"/>
        <v>0</v>
      </c>
      <c r="KJK24">
        <f t="shared" si="92"/>
        <v>0</v>
      </c>
      <c r="KJL24">
        <f t="shared" si="93"/>
        <v>0</v>
      </c>
      <c r="KJM24">
        <f t="shared" si="94"/>
        <v>0</v>
      </c>
      <c r="KJN24">
        <f t="shared" si="95"/>
        <v>0</v>
      </c>
      <c r="KJO24">
        <f t="shared" si="96"/>
        <v>0</v>
      </c>
      <c r="KJP24">
        <f t="shared" si="97"/>
        <v>0</v>
      </c>
      <c r="KJQ24">
        <f t="shared" si="98"/>
        <v>0</v>
      </c>
      <c r="KJR24">
        <f t="shared" si="99"/>
        <v>0</v>
      </c>
      <c r="KJT24">
        <f t="shared" si="100"/>
        <v>98</v>
      </c>
      <c r="KJV24">
        <f t="shared" si="100"/>
        <v>98</v>
      </c>
      <c r="KJW24">
        <f t="shared" si="101"/>
        <v>3.92</v>
      </c>
      <c r="KJY24">
        <f t="shared" si="101"/>
        <v>3.92</v>
      </c>
    </row>
    <row r="25" spans="1:939 1050:3700 4762:5083 5659:6110 6147:7004 7171:7721">
      <c r="A25" t="s">
        <v>28</v>
      </c>
      <c r="KFW25" s="1">
        <f t="shared" si="0"/>
        <v>0</v>
      </c>
      <c r="KFX25">
        <f t="shared" si="1"/>
        <v>0</v>
      </c>
      <c r="KFY25">
        <f t="shared" si="2"/>
        <v>0</v>
      </c>
      <c r="KFZ25">
        <f t="shared" si="3"/>
        <v>0</v>
      </c>
      <c r="KGA25">
        <f t="shared" si="4"/>
        <v>0</v>
      </c>
      <c r="KGB25">
        <f t="shared" si="5"/>
        <v>0</v>
      </c>
      <c r="KGC25">
        <f t="shared" si="6"/>
        <v>0</v>
      </c>
      <c r="KGD25">
        <f t="shared" si="7"/>
        <v>0</v>
      </c>
      <c r="KGE25">
        <f t="shared" si="8"/>
        <v>0</v>
      </c>
      <c r="KGF25">
        <f t="shared" si="9"/>
        <v>0</v>
      </c>
      <c r="KGG25">
        <f t="shared" si="10"/>
        <v>0</v>
      </c>
      <c r="KGH25">
        <f t="shared" si="11"/>
        <v>0</v>
      </c>
      <c r="KGI25">
        <f t="shared" si="12"/>
        <v>0</v>
      </c>
      <c r="KGJ25">
        <f t="shared" si="13"/>
        <v>0</v>
      </c>
      <c r="KGK25">
        <f t="shared" si="14"/>
        <v>0</v>
      </c>
      <c r="KGL25">
        <f t="shared" si="15"/>
        <v>0</v>
      </c>
      <c r="KGM25">
        <f t="shared" si="16"/>
        <v>0</v>
      </c>
      <c r="KGN25">
        <f t="shared" si="17"/>
        <v>0</v>
      </c>
      <c r="KGO25">
        <f t="shared" si="18"/>
        <v>0</v>
      </c>
      <c r="KGP25">
        <f t="shared" si="19"/>
        <v>0</v>
      </c>
      <c r="KGQ25">
        <f t="shared" si="20"/>
        <v>0</v>
      </c>
      <c r="KGR25">
        <f t="shared" si="21"/>
        <v>0</v>
      </c>
      <c r="KGS25">
        <f t="shared" si="22"/>
        <v>0</v>
      </c>
      <c r="KGT25">
        <f t="shared" si="23"/>
        <v>0</v>
      </c>
      <c r="KGU25">
        <f t="shared" si="24"/>
        <v>0</v>
      </c>
      <c r="KGV25">
        <f t="shared" si="25"/>
        <v>0</v>
      </c>
      <c r="KGW25">
        <f t="shared" si="26"/>
        <v>0</v>
      </c>
      <c r="KGX25">
        <f t="shared" si="27"/>
        <v>0</v>
      </c>
      <c r="KGY25">
        <f t="shared" si="28"/>
        <v>0</v>
      </c>
      <c r="KGZ25">
        <f t="shared" si="29"/>
        <v>0</v>
      </c>
      <c r="KHA25">
        <f t="shared" si="30"/>
        <v>0</v>
      </c>
      <c r="KHB25">
        <f t="shared" si="31"/>
        <v>0</v>
      </c>
      <c r="KHC25">
        <f t="shared" si="32"/>
        <v>0</v>
      </c>
      <c r="KHD25">
        <f t="shared" si="33"/>
        <v>0</v>
      </c>
      <c r="KHE25">
        <f t="shared" si="34"/>
        <v>0</v>
      </c>
      <c r="KHF25">
        <f t="shared" si="35"/>
        <v>0</v>
      </c>
      <c r="KHG25">
        <f t="shared" si="36"/>
        <v>0</v>
      </c>
      <c r="KHH25">
        <f t="shared" si="37"/>
        <v>0</v>
      </c>
      <c r="KHI25">
        <f t="shared" si="38"/>
        <v>0</v>
      </c>
      <c r="KHJ25">
        <f t="shared" si="39"/>
        <v>0</v>
      </c>
      <c r="KHK25">
        <f t="shared" si="40"/>
        <v>0</v>
      </c>
      <c r="KHL25">
        <f t="shared" si="41"/>
        <v>0</v>
      </c>
      <c r="KHM25">
        <f t="shared" si="42"/>
        <v>0</v>
      </c>
      <c r="KHN25">
        <f t="shared" si="43"/>
        <v>0</v>
      </c>
      <c r="KHO25">
        <f t="shared" si="44"/>
        <v>0</v>
      </c>
      <c r="KHP25">
        <f t="shared" si="45"/>
        <v>0</v>
      </c>
      <c r="KHQ25">
        <f t="shared" si="46"/>
        <v>0</v>
      </c>
      <c r="KHR25">
        <f t="shared" si="47"/>
        <v>0</v>
      </c>
      <c r="KHS25">
        <f t="shared" si="48"/>
        <v>0</v>
      </c>
      <c r="KHT25">
        <f t="shared" si="49"/>
        <v>0</v>
      </c>
      <c r="KHU25">
        <f t="shared" si="50"/>
        <v>0</v>
      </c>
      <c r="KHV25">
        <f t="shared" si="51"/>
        <v>0</v>
      </c>
      <c r="KHW25">
        <f t="shared" si="52"/>
        <v>0</v>
      </c>
      <c r="KHX25">
        <f t="shared" si="53"/>
        <v>0</v>
      </c>
      <c r="KHY25">
        <f t="shared" si="54"/>
        <v>0</v>
      </c>
      <c r="KHZ25">
        <f t="shared" si="55"/>
        <v>0</v>
      </c>
      <c r="KIA25">
        <f t="shared" si="56"/>
        <v>0</v>
      </c>
      <c r="KIB25">
        <f t="shared" si="57"/>
        <v>0</v>
      </c>
      <c r="KIC25">
        <f t="shared" si="58"/>
        <v>0</v>
      </c>
      <c r="KID25">
        <f t="shared" si="59"/>
        <v>0</v>
      </c>
      <c r="KIE25">
        <f t="shared" si="60"/>
        <v>0</v>
      </c>
      <c r="KIF25">
        <f t="shared" si="61"/>
        <v>0</v>
      </c>
      <c r="KIG25">
        <f t="shared" si="62"/>
        <v>0</v>
      </c>
      <c r="KIH25">
        <f t="shared" si="63"/>
        <v>0</v>
      </c>
      <c r="KII25">
        <f t="shared" si="64"/>
        <v>0</v>
      </c>
      <c r="KIJ25">
        <f t="shared" si="65"/>
        <v>0</v>
      </c>
      <c r="KIK25">
        <f t="shared" si="66"/>
        <v>0</v>
      </c>
      <c r="KIL25">
        <f t="shared" si="67"/>
        <v>0</v>
      </c>
      <c r="KIM25">
        <f t="shared" si="68"/>
        <v>0</v>
      </c>
      <c r="KIN25">
        <f t="shared" si="69"/>
        <v>0</v>
      </c>
      <c r="KIO25">
        <f t="shared" si="70"/>
        <v>0</v>
      </c>
      <c r="KIP25">
        <f t="shared" si="71"/>
        <v>0</v>
      </c>
      <c r="KIQ25">
        <f t="shared" si="72"/>
        <v>0</v>
      </c>
      <c r="KIR25">
        <f t="shared" si="73"/>
        <v>0</v>
      </c>
      <c r="KIS25">
        <f t="shared" si="74"/>
        <v>0</v>
      </c>
      <c r="KIT25">
        <f t="shared" si="75"/>
        <v>0</v>
      </c>
      <c r="KIU25">
        <f t="shared" si="76"/>
        <v>0</v>
      </c>
      <c r="KIV25">
        <f t="shared" si="77"/>
        <v>0</v>
      </c>
      <c r="KIW25">
        <f t="shared" si="78"/>
        <v>0</v>
      </c>
      <c r="KIX25">
        <f t="shared" si="79"/>
        <v>0</v>
      </c>
      <c r="KIY25">
        <f t="shared" si="80"/>
        <v>0</v>
      </c>
      <c r="KIZ25">
        <f t="shared" si="81"/>
        <v>0</v>
      </c>
      <c r="KJA25">
        <f t="shared" si="82"/>
        <v>0</v>
      </c>
      <c r="KJB25">
        <f t="shared" si="83"/>
        <v>0</v>
      </c>
      <c r="KJC25">
        <f t="shared" si="84"/>
        <v>0</v>
      </c>
      <c r="KJD25">
        <f t="shared" si="85"/>
        <v>0</v>
      </c>
      <c r="KJE25">
        <f t="shared" si="86"/>
        <v>0</v>
      </c>
      <c r="KJF25">
        <f t="shared" si="87"/>
        <v>0</v>
      </c>
      <c r="KJG25">
        <f t="shared" si="88"/>
        <v>0</v>
      </c>
      <c r="KJH25">
        <f t="shared" si="89"/>
        <v>0</v>
      </c>
      <c r="KJI25">
        <f t="shared" si="90"/>
        <v>0</v>
      </c>
      <c r="KJJ25">
        <f t="shared" si="91"/>
        <v>0</v>
      </c>
      <c r="KJK25">
        <f t="shared" si="92"/>
        <v>0</v>
      </c>
      <c r="KJL25">
        <f t="shared" si="93"/>
        <v>0</v>
      </c>
      <c r="KJM25">
        <f t="shared" si="94"/>
        <v>0</v>
      </c>
      <c r="KJN25">
        <f t="shared" si="95"/>
        <v>0</v>
      </c>
      <c r="KJO25">
        <f t="shared" si="96"/>
        <v>0</v>
      </c>
      <c r="KJP25">
        <f t="shared" si="97"/>
        <v>0</v>
      </c>
      <c r="KJQ25">
        <f t="shared" si="98"/>
        <v>0</v>
      </c>
      <c r="KJR25">
        <f t="shared" si="99"/>
        <v>0</v>
      </c>
      <c r="KJT25">
        <f t="shared" si="100"/>
        <v>0</v>
      </c>
      <c r="KJV25">
        <f t="shared" si="100"/>
        <v>0</v>
      </c>
      <c r="KJW25">
        <f t="shared" si="101"/>
        <v>0</v>
      </c>
      <c r="KJY25">
        <f t="shared" si="101"/>
        <v>0</v>
      </c>
    </row>
    <row r="26" spans="1:939 1050:3700 4762:5083 5659:6110 6147:7004 7171:7721">
      <c r="A26" t="s">
        <v>13</v>
      </c>
      <c r="B26">
        <v>1</v>
      </c>
      <c r="GLP26">
        <v>1</v>
      </c>
      <c r="GLQ26">
        <v>1</v>
      </c>
      <c r="GLR26">
        <v>1</v>
      </c>
      <c r="GLS26">
        <v>1</v>
      </c>
      <c r="GLT26">
        <v>1</v>
      </c>
      <c r="GLU26">
        <v>1</v>
      </c>
      <c r="GLV26">
        <v>1</v>
      </c>
      <c r="GLW26">
        <v>1</v>
      </c>
      <c r="GLX26">
        <v>1</v>
      </c>
      <c r="GLY26">
        <v>1</v>
      </c>
      <c r="GLZ26">
        <v>1</v>
      </c>
      <c r="GMA26">
        <v>1</v>
      </c>
      <c r="GMB26">
        <v>1</v>
      </c>
      <c r="GMC26">
        <v>1</v>
      </c>
      <c r="GMD26">
        <v>1</v>
      </c>
      <c r="GME26">
        <v>1</v>
      </c>
      <c r="GMF26">
        <v>1</v>
      </c>
      <c r="GMG26">
        <v>1</v>
      </c>
      <c r="GMH26">
        <v>1</v>
      </c>
      <c r="GMI26">
        <v>1</v>
      </c>
      <c r="GMJ26">
        <v>1</v>
      </c>
      <c r="GMK26">
        <v>1</v>
      </c>
      <c r="GML26">
        <v>1</v>
      </c>
      <c r="GMM26">
        <v>1</v>
      </c>
      <c r="KFW26" s="1">
        <f t="shared" si="0"/>
        <v>24</v>
      </c>
      <c r="KFX26">
        <f t="shared" si="1"/>
        <v>0</v>
      </c>
      <c r="KFY26">
        <f t="shared" si="2"/>
        <v>0</v>
      </c>
      <c r="KFZ26">
        <f t="shared" si="3"/>
        <v>0</v>
      </c>
      <c r="KGA26">
        <f t="shared" si="4"/>
        <v>0</v>
      </c>
      <c r="KGB26">
        <f t="shared" si="5"/>
        <v>0</v>
      </c>
      <c r="KGC26">
        <f t="shared" si="6"/>
        <v>0</v>
      </c>
      <c r="KGD26">
        <f t="shared" si="7"/>
        <v>0</v>
      </c>
      <c r="KGE26">
        <f t="shared" si="8"/>
        <v>0</v>
      </c>
      <c r="KGF26">
        <f t="shared" si="9"/>
        <v>0</v>
      </c>
      <c r="KGG26">
        <f t="shared" si="10"/>
        <v>0</v>
      </c>
      <c r="KGH26">
        <f t="shared" si="11"/>
        <v>0</v>
      </c>
      <c r="KGI26">
        <f t="shared" si="12"/>
        <v>0</v>
      </c>
      <c r="KGJ26">
        <f t="shared" si="13"/>
        <v>0</v>
      </c>
      <c r="KGK26">
        <f t="shared" si="14"/>
        <v>0</v>
      </c>
      <c r="KGL26">
        <f t="shared" si="15"/>
        <v>0</v>
      </c>
      <c r="KGM26">
        <f t="shared" si="16"/>
        <v>0</v>
      </c>
      <c r="KGN26">
        <f t="shared" si="17"/>
        <v>0</v>
      </c>
      <c r="KGO26">
        <f t="shared" si="18"/>
        <v>0</v>
      </c>
      <c r="KGP26">
        <f t="shared" si="19"/>
        <v>0</v>
      </c>
      <c r="KGQ26">
        <f t="shared" si="20"/>
        <v>0</v>
      </c>
      <c r="KGR26">
        <f t="shared" si="21"/>
        <v>0</v>
      </c>
      <c r="KGS26">
        <f t="shared" si="22"/>
        <v>0</v>
      </c>
      <c r="KGT26">
        <f t="shared" si="23"/>
        <v>0</v>
      </c>
      <c r="KGU26">
        <f t="shared" si="24"/>
        <v>0</v>
      </c>
      <c r="KGV26">
        <f t="shared" si="25"/>
        <v>0</v>
      </c>
      <c r="KGW26">
        <f t="shared" si="26"/>
        <v>0</v>
      </c>
      <c r="KGX26">
        <f t="shared" si="27"/>
        <v>0</v>
      </c>
      <c r="KGY26">
        <f t="shared" si="28"/>
        <v>0</v>
      </c>
      <c r="KGZ26">
        <f t="shared" si="29"/>
        <v>0</v>
      </c>
      <c r="KHA26">
        <f t="shared" si="30"/>
        <v>0</v>
      </c>
      <c r="KHB26">
        <f t="shared" si="31"/>
        <v>0</v>
      </c>
      <c r="KHC26">
        <f t="shared" si="32"/>
        <v>0</v>
      </c>
      <c r="KHD26">
        <f t="shared" si="33"/>
        <v>0</v>
      </c>
      <c r="KHE26">
        <f t="shared" si="34"/>
        <v>0</v>
      </c>
      <c r="KHF26">
        <f t="shared" si="35"/>
        <v>0</v>
      </c>
      <c r="KHG26">
        <f t="shared" si="36"/>
        <v>0</v>
      </c>
      <c r="KHH26">
        <f t="shared" si="37"/>
        <v>0</v>
      </c>
      <c r="KHI26">
        <f t="shared" si="38"/>
        <v>0</v>
      </c>
      <c r="KHJ26">
        <f t="shared" si="39"/>
        <v>0</v>
      </c>
      <c r="KHK26">
        <f t="shared" si="40"/>
        <v>0</v>
      </c>
      <c r="KHL26">
        <f t="shared" si="41"/>
        <v>0</v>
      </c>
      <c r="KHM26">
        <f t="shared" si="42"/>
        <v>0</v>
      </c>
      <c r="KHN26">
        <f t="shared" si="43"/>
        <v>0</v>
      </c>
      <c r="KHO26">
        <f t="shared" si="44"/>
        <v>0</v>
      </c>
      <c r="KHP26">
        <f t="shared" si="45"/>
        <v>0</v>
      </c>
      <c r="KHQ26">
        <f t="shared" si="46"/>
        <v>0</v>
      </c>
      <c r="KHR26">
        <f t="shared" si="47"/>
        <v>0</v>
      </c>
      <c r="KHS26">
        <f t="shared" si="48"/>
        <v>0</v>
      </c>
      <c r="KHT26">
        <f t="shared" si="49"/>
        <v>0</v>
      </c>
      <c r="KHU26">
        <f t="shared" si="50"/>
        <v>0</v>
      </c>
      <c r="KHV26">
        <f t="shared" si="51"/>
        <v>0</v>
      </c>
      <c r="KHW26">
        <f t="shared" si="52"/>
        <v>0</v>
      </c>
      <c r="KHX26">
        <f t="shared" si="53"/>
        <v>0</v>
      </c>
      <c r="KHY26">
        <f t="shared" si="54"/>
        <v>0</v>
      </c>
      <c r="KHZ26">
        <f t="shared" si="55"/>
        <v>0</v>
      </c>
      <c r="KIA26">
        <f t="shared" si="56"/>
        <v>0</v>
      </c>
      <c r="KIB26">
        <f t="shared" si="57"/>
        <v>0</v>
      </c>
      <c r="KIC26">
        <f t="shared" si="58"/>
        <v>0</v>
      </c>
      <c r="KID26">
        <f t="shared" si="59"/>
        <v>0</v>
      </c>
      <c r="KIE26">
        <f t="shared" si="60"/>
        <v>0</v>
      </c>
      <c r="KIF26">
        <f t="shared" si="61"/>
        <v>0</v>
      </c>
      <c r="KIG26">
        <f t="shared" si="62"/>
        <v>0</v>
      </c>
      <c r="KIH26">
        <f t="shared" si="63"/>
        <v>0</v>
      </c>
      <c r="KII26">
        <f t="shared" si="64"/>
        <v>0</v>
      </c>
      <c r="KIJ26">
        <f t="shared" si="65"/>
        <v>0</v>
      </c>
      <c r="KIK26">
        <f t="shared" si="66"/>
        <v>0</v>
      </c>
      <c r="KIL26">
        <f t="shared" si="67"/>
        <v>0</v>
      </c>
      <c r="KIM26">
        <f t="shared" si="68"/>
        <v>0</v>
      </c>
      <c r="KIN26">
        <f t="shared" si="69"/>
        <v>0</v>
      </c>
      <c r="KIO26">
        <f t="shared" si="70"/>
        <v>0</v>
      </c>
      <c r="KIP26">
        <f t="shared" si="71"/>
        <v>0</v>
      </c>
      <c r="KIQ26">
        <f t="shared" si="72"/>
        <v>0</v>
      </c>
      <c r="KIR26">
        <f t="shared" si="73"/>
        <v>0</v>
      </c>
      <c r="KIS26">
        <f t="shared" si="74"/>
        <v>0</v>
      </c>
      <c r="KIT26">
        <f t="shared" si="75"/>
        <v>0</v>
      </c>
      <c r="KIU26">
        <f t="shared" si="76"/>
        <v>0</v>
      </c>
      <c r="KIV26">
        <f t="shared" si="77"/>
        <v>0</v>
      </c>
      <c r="KIW26">
        <f t="shared" si="78"/>
        <v>0</v>
      </c>
      <c r="KIX26">
        <f t="shared" si="79"/>
        <v>0</v>
      </c>
      <c r="KIY26">
        <f t="shared" si="80"/>
        <v>0</v>
      </c>
      <c r="KIZ26">
        <f t="shared" si="81"/>
        <v>0</v>
      </c>
      <c r="KJA26">
        <f t="shared" si="82"/>
        <v>0</v>
      </c>
      <c r="KJB26">
        <f t="shared" si="83"/>
        <v>0</v>
      </c>
      <c r="KJC26">
        <f t="shared" si="84"/>
        <v>0</v>
      </c>
      <c r="KJD26">
        <f t="shared" si="85"/>
        <v>0</v>
      </c>
      <c r="KJE26">
        <f t="shared" si="86"/>
        <v>0</v>
      </c>
      <c r="KJF26">
        <f t="shared" si="87"/>
        <v>0</v>
      </c>
      <c r="KJG26">
        <f t="shared" si="88"/>
        <v>0</v>
      </c>
      <c r="KJH26">
        <f t="shared" si="89"/>
        <v>0</v>
      </c>
      <c r="KJI26">
        <f t="shared" si="90"/>
        <v>0</v>
      </c>
      <c r="KJJ26">
        <f t="shared" si="91"/>
        <v>0</v>
      </c>
      <c r="KJK26">
        <f t="shared" si="92"/>
        <v>0</v>
      </c>
      <c r="KJL26">
        <f t="shared" si="93"/>
        <v>0</v>
      </c>
      <c r="KJM26">
        <f t="shared" si="94"/>
        <v>0</v>
      </c>
      <c r="KJN26">
        <f t="shared" si="95"/>
        <v>0</v>
      </c>
      <c r="KJO26">
        <f t="shared" si="96"/>
        <v>0</v>
      </c>
      <c r="KJP26">
        <f t="shared" si="97"/>
        <v>0</v>
      </c>
      <c r="KJQ26">
        <f t="shared" si="98"/>
        <v>0</v>
      </c>
      <c r="KJR26">
        <f t="shared" si="99"/>
        <v>0</v>
      </c>
      <c r="KJT26">
        <f t="shared" si="100"/>
        <v>24</v>
      </c>
      <c r="KJV26">
        <f t="shared" si="100"/>
        <v>24</v>
      </c>
      <c r="KJW26">
        <f t="shared" si="101"/>
        <v>0.96</v>
      </c>
      <c r="KJY26">
        <f t="shared" si="101"/>
        <v>0.96</v>
      </c>
    </row>
    <row r="27" spans="1:939 1050:3700 4762:5083 5659:6110 6147:7004 7171:7721">
      <c r="A27" t="s">
        <v>29</v>
      </c>
      <c r="KFW27" s="1">
        <f t="shared" si="0"/>
        <v>0</v>
      </c>
      <c r="KFX27">
        <f t="shared" si="1"/>
        <v>0</v>
      </c>
      <c r="KFY27">
        <f t="shared" si="2"/>
        <v>0</v>
      </c>
      <c r="KFZ27">
        <f t="shared" si="3"/>
        <v>0</v>
      </c>
      <c r="KGA27">
        <f t="shared" si="4"/>
        <v>0</v>
      </c>
      <c r="KGB27">
        <f t="shared" si="5"/>
        <v>0</v>
      </c>
      <c r="KGC27">
        <f t="shared" si="6"/>
        <v>0</v>
      </c>
      <c r="KGD27">
        <f t="shared" si="7"/>
        <v>0</v>
      </c>
      <c r="KGE27">
        <f t="shared" si="8"/>
        <v>0</v>
      </c>
      <c r="KGF27">
        <f t="shared" si="9"/>
        <v>0</v>
      </c>
      <c r="KGG27">
        <f t="shared" si="10"/>
        <v>0</v>
      </c>
      <c r="KGH27">
        <f t="shared" si="11"/>
        <v>0</v>
      </c>
      <c r="KGI27">
        <f t="shared" si="12"/>
        <v>0</v>
      </c>
      <c r="KGJ27">
        <f t="shared" si="13"/>
        <v>0</v>
      </c>
      <c r="KGK27">
        <f t="shared" si="14"/>
        <v>0</v>
      </c>
      <c r="KGL27">
        <f t="shared" si="15"/>
        <v>0</v>
      </c>
      <c r="KGM27">
        <f t="shared" si="16"/>
        <v>0</v>
      </c>
      <c r="KGN27">
        <f t="shared" si="17"/>
        <v>0</v>
      </c>
      <c r="KGO27">
        <f t="shared" si="18"/>
        <v>0</v>
      </c>
      <c r="KGP27">
        <f t="shared" si="19"/>
        <v>0</v>
      </c>
      <c r="KGQ27">
        <f t="shared" si="20"/>
        <v>0</v>
      </c>
      <c r="KGR27">
        <f t="shared" si="21"/>
        <v>0</v>
      </c>
      <c r="KGS27">
        <f t="shared" si="22"/>
        <v>0</v>
      </c>
      <c r="KGT27">
        <f t="shared" si="23"/>
        <v>0</v>
      </c>
      <c r="KGU27">
        <f t="shared" si="24"/>
        <v>0</v>
      </c>
      <c r="KGV27">
        <f t="shared" si="25"/>
        <v>0</v>
      </c>
      <c r="KGW27">
        <f t="shared" si="26"/>
        <v>0</v>
      </c>
      <c r="KGX27">
        <f t="shared" si="27"/>
        <v>0</v>
      </c>
      <c r="KGY27">
        <f t="shared" si="28"/>
        <v>0</v>
      </c>
      <c r="KGZ27">
        <f t="shared" si="29"/>
        <v>0</v>
      </c>
      <c r="KHA27">
        <f t="shared" si="30"/>
        <v>0</v>
      </c>
      <c r="KHB27">
        <f t="shared" si="31"/>
        <v>0</v>
      </c>
      <c r="KHC27">
        <f t="shared" si="32"/>
        <v>0</v>
      </c>
      <c r="KHD27">
        <f t="shared" si="33"/>
        <v>0</v>
      </c>
      <c r="KHE27">
        <f t="shared" si="34"/>
        <v>0</v>
      </c>
      <c r="KHF27">
        <f t="shared" si="35"/>
        <v>0</v>
      </c>
      <c r="KHG27">
        <f t="shared" si="36"/>
        <v>0</v>
      </c>
      <c r="KHH27">
        <f t="shared" si="37"/>
        <v>0</v>
      </c>
      <c r="KHI27">
        <f t="shared" si="38"/>
        <v>0</v>
      </c>
      <c r="KHJ27">
        <f t="shared" si="39"/>
        <v>0</v>
      </c>
      <c r="KHK27">
        <f t="shared" si="40"/>
        <v>0</v>
      </c>
      <c r="KHL27">
        <f t="shared" si="41"/>
        <v>0</v>
      </c>
      <c r="KHM27">
        <f t="shared" si="42"/>
        <v>0</v>
      </c>
      <c r="KHN27">
        <f t="shared" si="43"/>
        <v>0</v>
      </c>
      <c r="KHO27">
        <f t="shared" si="44"/>
        <v>0</v>
      </c>
      <c r="KHP27">
        <f t="shared" si="45"/>
        <v>0</v>
      </c>
      <c r="KHQ27">
        <f t="shared" si="46"/>
        <v>0</v>
      </c>
      <c r="KHR27">
        <f t="shared" si="47"/>
        <v>0</v>
      </c>
      <c r="KHS27">
        <f t="shared" si="48"/>
        <v>0</v>
      </c>
      <c r="KHT27">
        <f t="shared" si="49"/>
        <v>0</v>
      </c>
      <c r="KHU27">
        <f t="shared" si="50"/>
        <v>0</v>
      </c>
      <c r="KHV27">
        <f t="shared" si="51"/>
        <v>0</v>
      </c>
      <c r="KHW27">
        <f t="shared" si="52"/>
        <v>0</v>
      </c>
      <c r="KHX27">
        <f t="shared" si="53"/>
        <v>0</v>
      </c>
      <c r="KHY27">
        <f t="shared" si="54"/>
        <v>0</v>
      </c>
      <c r="KHZ27">
        <f t="shared" si="55"/>
        <v>0</v>
      </c>
      <c r="KIA27">
        <f t="shared" si="56"/>
        <v>0</v>
      </c>
      <c r="KIB27">
        <f t="shared" si="57"/>
        <v>0</v>
      </c>
      <c r="KIC27">
        <f t="shared" si="58"/>
        <v>0</v>
      </c>
      <c r="KID27">
        <f t="shared" si="59"/>
        <v>0</v>
      </c>
      <c r="KIE27">
        <f t="shared" si="60"/>
        <v>0</v>
      </c>
      <c r="KIF27">
        <f t="shared" si="61"/>
        <v>0</v>
      </c>
      <c r="KIG27">
        <f t="shared" si="62"/>
        <v>0</v>
      </c>
      <c r="KIH27">
        <f t="shared" si="63"/>
        <v>0</v>
      </c>
      <c r="KII27">
        <f t="shared" si="64"/>
        <v>0</v>
      </c>
      <c r="KIJ27">
        <f t="shared" si="65"/>
        <v>0</v>
      </c>
      <c r="KIK27">
        <f t="shared" si="66"/>
        <v>0</v>
      </c>
      <c r="KIL27">
        <f t="shared" si="67"/>
        <v>0</v>
      </c>
      <c r="KIM27">
        <f t="shared" si="68"/>
        <v>0</v>
      </c>
      <c r="KIN27">
        <f t="shared" si="69"/>
        <v>0</v>
      </c>
      <c r="KIO27">
        <f t="shared" si="70"/>
        <v>0</v>
      </c>
      <c r="KIP27">
        <f t="shared" si="71"/>
        <v>0</v>
      </c>
      <c r="KIQ27">
        <f t="shared" si="72"/>
        <v>0</v>
      </c>
      <c r="KIR27">
        <f t="shared" si="73"/>
        <v>0</v>
      </c>
      <c r="KIS27">
        <f t="shared" si="74"/>
        <v>0</v>
      </c>
      <c r="KIT27">
        <f t="shared" si="75"/>
        <v>0</v>
      </c>
      <c r="KIU27">
        <f t="shared" si="76"/>
        <v>0</v>
      </c>
      <c r="KIV27">
        <f t="shared" si="77"/>
        <v>0</v>
      </c>
      <c r="KIW27">
        <f t="shared" si="78"/>
        <v>0</v>
      </c>
      <c r="KIX27">
        <f t="shared" si="79"/>
        <v>0</v>
      </c>
      <c r="KIY27">
        <f t="shared" si="80"/>
        <v>0</v>
      </c>
      <c r="KIZ27">
        <f t="shared" si="81"/>
        <v>0</v>
      </c>
      <c r="KJA27">
        <f t="shared" si="82"/>
        <v>0</v>
      </c>
      <c r="KJB27">
        <f t="shared" si="83"/>
        <v>0</v>
      </c>
      <c r="KJC27">
        <f t="shared" si="84"/>
        <v>0</v>
      </c>
      <c r="KJD27">
        <f t="shared" si="85"/>
        <v>0</v>
      </c>
      <c r="KJE27">
        <f t="shared" si="86"/>
        <v>0</v>
      </c>
      <c r="KJF27">
        <f t="shared" si="87"/>
        <v>0</v>
      </c>
      <c r="KJG27">
        <f t="shared" si="88"/>
        <v>0</v>
      </c>
      <c r="KJH27">
        <f t="shared" si="89"/>
        <v>0</v>
      </c>
      <c r="KJI27">
        <f t="shared" si="90"/>
        <v>0</v>
      </c>
      <c r="KJJ27">
        <f t="shared" si="91"/>
        <v>0</v>
      </c>
      <c r="KJK27">
        <f t="shared" si="92"/>
        <v>0</v>
      </c>
      <c r="KJL27">
        <f t="shared" si="93"/>
        <v>0</v>
      </c>
      <c r="KJM27">
        <f t="shared" si="94"/>
        <v>0</v>
      </c>
      <c r="KJN27">
        <f t="shared" si="95"/>
        <v>0</v>
      </c>
      <c r="KJO27">
        <f t="shared" si="96"/>
        <v>0</v>
      </c>
      <c r="KJP27">
        <f t="shared" si="97"/>
        <v>0</v>
      </c>
      <c r="KJQ27">
        <f t="shared" si="98"/>
        <v>0</v>
      </c>
      <c r="KJR27">
        <f t="shared" si="99"/>
        <v>0</v>
      </c>
      <c r="KJT27">
        <f t="shared" si="100"/>
        <v>0</v>
      </c>
      <c r="KJV27">
        <f t="shared" si="100"/>
        <v>0</v>
      </c>
      <c r="KJW27">
        <f t="shared" si="101"/>
        <v>0</v>
      </c>
      <c r="KJY27">
        <f t="shared" si="101"/>
        <v>0</v>
      </c>
    </row>
    <row r="28" spans="1:939 1050:3700 4762:5083 5659:6110 6147:7004 7171:7721">
      <c r="A28" t="s">
        <v>14</v>
      </c>
      <c r="B28">
        <v>5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BIJ28">
        <v>2</v>
      </c>
      <c r="BIK28">
        <v>2</v>
      </c>
      <c r="BIL28">
        <v>2</v>
      </c>
      <c r="BIM28">
        <v>2</v>
      </c>
      <c r="BIN28">
        <v>2</v>
      </c>
      <c r="BIO28">
        <v>2</v>
      </c>
      <c r="BIP28">
        <v>2</v>
      </c>
      <c r="BIQ28">
        <v>2</v>
      </c>
      <c r="BIR28">
        <v>2</v>
      </c>
      <c r="BIS28">
        <v>2</v>
      </c>
      <c r="BIT28">
        <v>2</v>
      </c>
      <c r="BIU28">
        <v>2</v>
      </c>
      <c r="BIV28">
        <v>2</v>
      </c>
      <c r="BIW28">
        <v>2</v>
      </c>
      <c r="BIX28">
        <v>2</v>
      </c>
      <c r="BIY28">
        <v>2</v>
      </c>
      <c r="BIZ28">
        <v>2</v>
      </c>
      <c r="BJA28">
        <v>2</v>
      </c>
      <c r="BJB28">
        <v>2</v>
      </c>
      <c r="BJC28">
        <v>2</v>
      </c>
      <c r="BJD28">
        <v>2</v>
      </c>
      <c r="BJE28">
        <v>2</v>
      </c>
      <c r="BJF28">
        <v>2</v>
      </c>
      <c r="BJG28">
        <v>2</v>
      </c>
      <c r="BJH28">
        <v>2</v>
      </c>
      <c r="BJI28">
        <v>2</v>
      </c>
      <c r="BJJ28">
        <v>2</v>
      </c>
      <c r="BJK28">
        <v>2</v>
      </c>
      <c r="DND28">
        <v>3</v>
      </c>
      <c r="DNE28">
        <v>3</v>
      </c>
      <c r="DNF28">
        <v>3</v>
      </c>
      <c r="DNG28">
        <v>3</v>
      </c>
      <c r="DNH28">
        <v>3</v>
      </c>
      <c r="DNI28">
        <v>3</v>
      </c>
      <c r="DNJ28">
        <v>3</v>
      </c>
      <c r="DNK28">
        <v>3</v>
      </c>
      <c r="DNL28">
        <v>3</v>
      </c>
      <c r="DNM28">
        <v>3</v>
      </c>
      <c r="DNN28">
        <v>3</v>
      </c>
      <c r="DNO28">
        <v>3</v>
      </c>
      <c r="DNP28">
        <v>3</v>
      </c>
      <c r="DNQ28">
        <v>3</v>
      </c>
      <c r="DNR28">
        <v>3</v>
      </c>
      <c r="DNS28">
        <v>3</v>
      </c>
      <c r="DNT28">
        <v>3</v>
      </c>
      <c r="DNU28">
        <v>3</v>
      </c>
      <c r="DNV28">
        <v>3</v>
      </c>
      <c r="DNW28">
        <v>3</v>
      </c>
      <c r="DNX28">
        <v>3</v>
      </c>
      <c r="DNY28">
        <v>3</v>
      </c>
      <c r="DNZ28">
        <v>3</v>
      </c>
      <c r="DOA28">
        <v>3</v>
      </c>
      <c r="DOB28">
        <v>3</v>
      </c>
      <c r="DOC28">
        <v>3</v>
      </c>
      <c r="DOD28">
        <v>3</v>
      </c>
      <c r="DOE28">
        <v>3</v>
      </c>
      <c r="DOF28">
        <v>3</v>
      </c>
      <c r="DOG28">
        <v>3</v>
      </c>
      <c r="DOH28">
        <v>3</v>
      </c>
      <c r="DOI28">
        <v>3</v>
      </c>
      <c r="DOJ28">
        <v>3</v>
      </c>
      <c r="DOK28">
        <v>3</v>
      </c>
      <c r="DOL28">
        <v>3</v>
      </c>
      <c r="DOM28">
        <v>3</v>
      </c>
      <c r="DON28">
        <v>3</v>
      </c>
      <c r="DOO28">
        <v>3</v>
      </c>
      <c r="DOP28">
        <v>3</v>
      </c>
      <c r="DOQ28">
        <v>3</v>
      </c>
      <c r="DOR28">
        <v>3</v>
      </c>
      <c r="DOS28">
        <v>3</v>
      </c>
      <c r="DOT28">
        <v>3</v>
      </c>
      <c r="DOU28">
        <v>3</v>
      </c>
      <c r="DOV28">
        <v>3</v>
      </c>
      <c r="DOW28">
        <v>3</v>
      </c>
      <c r="DOX28">
        <v>3</v>
      </c>
      <c r="DOY28">
        <v>3</v>
      </c>
      <c r="DOZ28">
        <v>3</v>
      </c>
      <c r="DPA28">
        <v>3</v>
      </c>
      <c r="DPB28">
        <v>3</v>
      </c>
      <c r="DPC28">
        <v>3</v>
      </c>
      <c r="DPD28">
        <v>3</v>
      </c>
      <c r="DPE28">
        <v>3</v>
      </c>
      <c r="DPF28">
        <v>3</v>
      </c>
      <c r="DPG28">
        <v>3</v>
      </c>
      <c r="DPH28">
        <v>3</v>
      </c>
      <c r="DPI28">
        <v>3</v>
      </c>
      <c r="DPJ28">
        <v>3</v>
      </c>
      <c r="DPK28">
        <v>3</v>
      </c>
      <c r="DPL28">
        <v>3</v>
      </c>
      <c r="DPM28">
        <v>3</v>
      </c>
      <c r="DPN28">
        <v>3</v>
      </c>
      <c r="DPO28">
        <v>3</v>
      </c>
      <c r="DPP28">
        <v>3</v>
      </c>
      <c r="DPQ28">
        <v>3</v>
      </c>
      <c r="DPR28">
        <v>3</v>
      </c>
      <c r="DPS28">
        <v>3</v>
      </c>
      <c r="DPT28">
        <v>3</v>
      </c>
      <c r="DPU28">
        <v>3</v>
      </c>
      <c r="DPV28">
        <v>3</v>
      </c>
      <c r="DPW28">
        <v>3</v>
      </c>
      <c r="GJS28">
        <v>4</v>
      </c>
      <c r="GJT28">
        <v>4</v>
      </c>
      <c r="GJU28">
        <v>4</v>
      </c>
      <c r="GJV28">
        <v>4</v>
      </c>
      <c r="GJW28">
        <v>4</v>
      </c>
      <c r="GJX28">
        <v>4</v>
      </c>
      <c r="GJY28">
        <v>4</v>
      </c>
      <c r="GJZ28">
        <v>4</v>
      </c>
      <c r="GKA28">
        <v>4</v>
      </c>
      <c r="GKB28">
        <v>4</v>
      </c>
      <c r="GKC28">
        <v>4</v>
      </c>
      <c r="GKD28">
        <v>4</v>
      </c>
      <c r="GKE28">
        <v>4</v>
      </c>
      <c r="GKF28">
        <v>4</v>
      </c>
      <c r="GKG28">
        <v>4</v>
      </c>
      <c r="GKH28">
        <v>4</v>
      </c>
      <c r="GKI28">
        <v>4</v>
      </c>
      <c r="GKJ28">
        <v>4</v>
      </c>
      <c r="GKK28">
        <v>4</v>
      </c>
      <c r="GKL28">
        <v>4</v>
      </c>
      <c r="GKM28">
        <v>4</v>
      </c>
      <c r="GKN28">
        <v>4</v>
      </c>
      <c r="GKO28">
        <v>4</v>
      </c>
      <c r="GKP28">
        <v>4</v>
      </c>
      <c r="GKQ28">
        <v>4</v>
      </c>
      <c r="GKR28">
        <v>4</v>
      </c>
      <c r="GKS28">
        <v>4</v>
      </c>
      <c r="GKT28">
        <v>4</v>
      </c>
      <c r="GKU28">
        <v>4</v>
      </c>
      <c r="GKV28">
        <v>4</v>
      </c>
      <c r="GKW28">
        <v>4</v>
      </c>
      <c r="GKX28">
        <v>4</v>
      </c>
      <c r="GKY28">
        <v>4</v>
      </c>
      <c r="GKZ28">
        <v>4</v>
      </c>
      <c r="GLA28">
        <v>4</v>
      </c>
      <c r="GLB28">
        <v>4</v>
      </c>
      <c r="GLC28">
        <v>4</v>
      </c>
      <c r="GLD28">
        <v>4</v>
      </c>
      <c r="GLE28">
        <v>4</v>
      </c>
      <c r="GLF28">
        <v>4</v>
      </c>
      <c r="GLG28">
        <v>4</v>
      </c>
      <c r="JHX28">
        <v>5</v>
      </c>
      <c r="JHY28">
        <v>5</v>
      </c>
      <c r="JHZ28">
        <v>5</v>
      </c>
      <c r="JIA28">
        <v>5</v>
      </c>
      <c r="JIB28">
        <v>5</v>
      </c>
      <c r="JIC28">
        <v>5</v>
      </c>
      <c r="JID28">
        <v>5</v>
      </c>
      <c r="JIE28">
        <v>5</v>
      </c>
      <c r="JIF28">
        <v>5</v>
      </c>
      <c r="JIG28">
        <v>5</v>
      </c>
      <c r="JIH28">
        <v>5</v>
      </c>
      <c r="JII28">
        <v>5</v>
      </c>
      <c r="JIJ28">
        <v>5</v>
      </c>
      <c r="KFW28" s="1">
        <f t="shared" si="0"/>
        <v>45</v>
      </c>
      <c r="KFX28">
        <f t="shared" si="1"/>
        <v>28</v>
      </c>
      <c r="KFY28">
        <f t="shared" si="2"/>
        <v>72</v>
      </c>
      <c r="KFZ28">
        <f t="shared" si="3"/>
        <v>41</v>
      </c>
      <c r="KGA28">
        <f t="shared" si="4"/>
        <v>13</v>
      </c>
      <c r="KGB28">
        <f t="shared" si="5"/>
        <v>0</v>
      </c>
      <c r="KGC28">
        <f t="shared" si="6"/>
        <v>0</v>
      </c>
      <c r="KGD28">
        <f t="shared" si="7"/>
        <v>0</v>
      </c>
      <c r="KGE28">
        <f t="shared" si="8"/>
        <v>0</v>
      </c>
      <c r="KGF28">
        <f t="shared" si="9"/>
        <v>0</v>
      </c>
      <c r="KGG28">
        <f t="shared" si="10"/>
        <v>0</v>
      </c>
      <c r="KGH28">
        <f t="shared" si="11"/>
        <v>0</v>
      </c>
      <c r="KGI28">
        <f t="shared" si="12"/>
        <v>0</v>
      </c>
      <c r="KGJ28">
        <f t="shared" si="13"/>
        <v>0</v>
      </c>
      <c r="KGK28">
        <f t="shared" si="14"/>
        <v>0</v>
      </c>
      <c r="KGL28">
        <f t="shared" si="15"/>
        <v>0</v>
      </c>
      <c r="KGM28">
        <f t="shared" si="16"/>
        <v>0</v>
      </c>
      <c r="KGN28">
        <f t="shared" si="17"/>
        <v>0</v>
      </c>
      <c r="KGO28">
        <f t="shared" si="18"/>
        <v>0</v>
      </c>
      <c r="KGP28">
        <f t="shared" si="19"/>
        <v>0</v>
      </c>
      <c r="KGQ28">
        <f t="shared" si="20"/>
        <v>0</v>
      </c>
      <c r="KGR28">
        <f t="shared" si="21"/>
        <v>0</v>
      </c>
      <c r="KGS28">
        <f t="shared" si="22"/>
        <v>0</v>
      </c>
      <c r="KGT28">
        <f t="shared" si="23"/>
        <v>0</v>
      </c>
      <c r="KGU28">
        <f t="shared" si="24"/>
        <v>0</v>
      </c>
      <c r="KGV28">
        <f t="shared" si="25"/>
        <v>0</v>
      </c>
      <c r="KGW28">
        <f t="shared" si="26"/>
        <v>0</v>
      </c>
      <c r="KGX28">
        <f t="shared" si="27"/>
        <v>0</v>
      </c>
      <c r="KGY28">
        <f t="shared" si="28"/>
        <v>0</v>
      </c>
      <c r="KGZ28">
        <f t="shared" si="29"/>
        <v>0</v>
      </c>
      <c r="KHA28">
        <f t="shared" si="30"/>
        <v>0</v>
      </c>
      <c r="KHB28">
        <f t="shared" si="31"/>
        <v>0</v>
      </c>
      <c r="KHC28">
        <f t="shared" si="32"/>
        <v>0</v>
      </c>
      <c r="KHD28">
        <f t="shared" si="33"/>
        <v>0</v>
      </c>
      <c r="KHE28">
        <f t="shared" si="34"/>
        <v>0</v>
      </c>
      <c r="KHF28">
        <f t="shared" si="35"/>
        <v>0</v>
      </c>
      <c r="KHG28">
        <f t="shared" si="36"/>
        <v>0</v>
      </c>
      <c r="KHH28">
        <f t="shared" si="37"/>
        <v>0</v>
      </c>
      <c r="KHI28">
        <f t="shared" si="38"/>
        <v>0</v>
      </c>
      <c r="KHJ28">
        <f t="shared" si="39"/>
        <v>0</v>
      </c>
      <c r="KHK28">
        <f t="shared" si="40"/>
        <v>0</v>
      </c>
      <c r="KHL28">
        <f t="shared" si="41"/>
        <v>0</v>
      </c>
      <c r="KHM28">
        <f t="shared" si="42"/>
        <v>0</v>
      </c>
      <c r="KHN28">
        <f t="shared" si="43"/>
        <v>0</v>
      </c>
      <c r="KHO28">
        <f t="shared" si="44"/>
        <v>0</v>
      </c>
      <c r="KHP28">
        <f t="shared" si="45"/>
        <v>0</v>
      </c>
      <c r="KHQ28">
        <f t="shared" si="46"/>
        <v>0</v>
      </c>
      <c r="KHR28">
        <f t="shared" si="47"/>
        <v>0</v>
      </c>
      <c r="KHS28">
        <f t="shared" si="48"/>
        <v>0</v>
      </c>
      <c r="KHT28">
        <f t="shared" si="49"/>
        <v>0</v>
      </c>
      <c r="KHU28">
        <f t="shared" si="50"/>
        <v>0</v>
      </c>
      <c r="KHV28">
        <f t="shared" si="51"/>
        <v>0</v>
      </c>
      <c r="KHW28">
        <f t="shared" si="52"/>
        <v>0</v>
      </c>
      <c r="KHX28">
        <f t="shared" si="53"/>
        <v>0</v>
      </c>
      <c r="KHY28">
        <f t="shared" si="54"/>
        <v>0</v>
      </c>
      <c r="KHZ28">
        <f t="shared" si="55"/>
        <v>0</v>
      </c>
      <c r="KIA28">
        <f t="shared" si="56"/>
        <v>0</v>
      </c>
      <c r="KIB28">
        <f t="shared" si="57"/>
        <v>0</v>
      </c>
      <c r="KIC28">
        <f t="shared" si="58"/>
        <v>0</v>
      </c>
      <c r="KID28">
        <f t="shared" si="59"/>
        <v>0</v>
      </c>
      <c r="KIE28">
        <f t="shared" si="60"/>
        <v>0</v>
      </c>
      <c r="KIF28">
        <f t="shared" si="61"/>
        <v>0</v>
      </c>
      <c r="KIG28">
        <f t="shared" si="62"/>
        <v>0</v>
      </c>
      <c r="KIH28">
        <f t="shared" si="63"/>
        <v>0</v>
      </c>
      <c r="KII28">
        <f t="shared" si="64"/>
        <v>0</v>
      </c>
      <c r="KIJ28">
        <f t="shared" si="65"/>
        <v>0</v>
      </c>
      <c r="KIK28">
        <f t="shared" si="66"/>
        <v>0</v>
      </c>
      <c r="KIL28">
        <f t="shared" si="67"/>
        <v>0</v>
      </c>
      <c r="KIM28">
        <f t="shared" si="68"/>
        <v>0</v>
      </c>
      <c r="KIN28">
        <f t="shared" si="69"/>
        <v>0</v>
      </c>
      <c r="KIO28">
        <f t="shared" si="70"/>
        <v>0</v>
      </c>
      <c r="KIP28">
        <f t="shared" si="71"/>
        <v>0</v>
      </c>
      <c r="KIQ28">
        <f t="shared" si="72"/>
        <v>0</v>
      </c>
      <c r="KIR28">
        <f t="shared" si="73"/>
        <v>0</v>
      </c>
      <c r="KIS28">
        <f t="shared" si="74"/>
        <v>0</v>
      </c>
      <c r="KIT28">
        <f t="shared" si="75"/>
        <v>0</v>
      </c>
      <c r="KIU28">
        <f t="shared" si="76"/>
        <v>0</v>
      </c>
      <c r="KIV28">
        <f t="shared" si="77"/>
        <v>0</v>
      </c>
      <c r="KIW28">
        <f t="shared" si="78"/>
        <v>0</v>
      </c>
      <c r="KIX28">
        <f t="shared" si="79"/>
        <v>0</v>
      </c>
      <c r="KIY28">
        <f t="shared" si="80"/>
        <v>0</v>
      </c>
      <c r="KIZ28">
        <f t="shared" si="81"/>
        <v>0</v>
      </c>
      <c r="KJA28">
        <f t="shared" si="82"/>
        <v>0</v>
      </c>
      <c r="KJB28">
        <f t="shared" si="83"/>
        <v>0</v>
      </c>
      <c r="KJC28">
        <f t="shared" si="84"/>
        <v>0</v>
      </c>
      <c r="KJD28">
        <f t="shared" si="85"/>
        <v>0</v>
      </c>
      <c r="KJE28">
        <f t="shared" si="86"/>
        <v>0</v>
      </c>
      <c r="KJF28">
        <f t="shared" si="87"/>
        <v>0</v>
      </c>
      <c r="KJG28">
        <f t="shared" si="88"/>
        <v>0</v>
      </c>
      <c r="KJH28">
        <f t="shared" si="89"/>
        <v>0</v>
      </c>
      <c r="KJI28">
        <f t="shared" si="90"/>
        <v>0</v>
      </c>
      <c r="KJJ28">
        <f t="shared" si="91"/>
        <v>0</v>
      </c>
      <c r="KJK28">
        <f t="shared" si="92"/>
        <v>0</v>
      </c>
      <c r="KJL28">
        <f t="shared" si="93"/>
        <v>0</v>
      </c>
      <c r="KJM28">
        <f t="shared" si="94"/>
        <v>0</v>
      </c>
      <c r="KJN28">
        <f t="shared" si="95"/>
        <v>0</v>
      </c>
      <c r="KJO28">
        <f t="shared" si="96"/>
        <v>0</v>
      </c>
      <c r="KJP28">
        <f t="shared" si="97"/>
        <v>0</v>
      </c>
      <c r="KJQ28">
        <f t="shared" si="98"/>
        <v>0</v>
      </c>
      <c r="KJR28">
        <f t="shared" si="99"/>
        <v>0</v>
      </c>
      <c r="KJT28">
        <f t="shared" si="100"/>
        <v>199</v>
      </c>
      <c r="KJV28">
        <f t="shared" si="100"/>
        <v>199</v>
      </c>
      <c r="KJW28">
        <f t="shared" si="101"/>
        <v>7.96</v>
      </c>
      <c r="KJY28">
        <f t="shared" si="101"/>
        <v>7.96</v>
      </c>
    </row>
    <row r="29" spans="1:939 1050:3700 4762:5083 5659:6110 6147:7004 7171:7721">
      <c r="A29" t="s">
        <v>30</v>
      </c>
      <c r="B29">
        <v>1</v>
      </c>
      <c r="BJL29">
        <v>1</v>
      </c>
      <c r="BJM29">
        <v>1</v>
      </c>
      <c r="BJN29">
        <v>1</v>
      </c>
      <c r="BJO29">
        <v>1</v>
      </c>
      <c r="BJP29">
        <v>1</v>
      </c>
      <c r="BJQ29">
        <v>1</v>
      </c>
      <c r="BJR29">
        <v>1</v>
      </c>
      <c r="BJS29">
        <v>1</v>
      </c>
      <c r="BJT29">
        <v>1</v>
      </c>
      <c r="BJU29">
        <v>1</v>
      </c>
      <c r="BJV29">
        <v>1</v>
      </c>
      <c r="BJW29">
        <v>1</v>
      </c>
      <c r="BJX29">
        <v>1</v>
      </c>
      <c r="BJY29">
        <v>1</v>
      </c>
      <c r="BJZ29">
        <v>1</v>
      </c>
      <c r="BKA29">
        <v>1</v>
      </c>
      <c r="BKB29">
        <v>1</v>
      </c>
      <c r="BKC29">
        <v>1</v>
      </c>
      <c r="BKD29">
        <v>1</v>
      </c>
      <c r="BKE29">
        <v>1</v>
      </c>
      <c r="BKF29">
        <v>1</v>
      </c>
      <c r="BKG29">
        <v>1</v>
      </c>
      <c r="BKH29">
        <v>1</v>
      </c>
      <c r="BKI29">
        <v>1</v>
      </c>
      <c r="BKJ29">
        <v>1</v>
      </c>
      <c r="BKK29">
        <v>1</v>
      </c>
      <c r="BKL29">
        <v>1</v>
      </c>
      <c r="BKM29">
        <v>1</v>
      </c>
      <c r="BKN29">
        <v>1</v>
      </c>
      <c r="BKO29">
        <v>1</v>
      </c>
      <c r="BKP29">
        <v>1</v>
      </c>
      <c r="BKQ29">
        <v>1</v>
      </c>
      <c r="BKR29">
        <v>1</v>
      </c>
      <c r="BKS29">
        <v>1</v>
      </c>
      <c r="BKT29">
        <v>1</v>
      </c>
      <c r="BKU29">
        <v>1</v>
      </c>
      <c r="BKV29">
        <v>1</v>
      </c>
      <c r="BKW29">
        <v>1</v>
      </c>
      <c r="BKX29">
        <v>1</v>
      </c>
      <c r="BKY29">
        <v>1</v>
      </c>
      <c r="BKZ29">
        <v>1</v>
      </c>
      <c r="BLA29">
        <v>1</v>
      </c>
      <c r="BLB29">
        <v>1</v>
      </c>
      <c r="BLC29">
        <v>1</v>
      </c>
      <c r="BLD29">
        <v>1</v>
      </c>
      <c r="BLE29">
        <v>1</v>
      </c>
      <c r="BLF29">
        <v>1</v>
      </c>
      <c r="BLG29">
        <v>1</v>
      </c>
      <c r="BLH29">
        <v>1</v>
      </c>
      <c r="BLI29">
        <v>1</v>
      </c>
      <c r="BLJ29">
        <v>1</v>
      </c>
      <c r="BLK29">
        <v>1</v>
      </c>
      <c r="BLL29">
        <v>1</v>
      </c>
      <c r="BLM29">
        <v>1</v>
      </c>
      <c r="BLN29">
        <v>1</v>
      </c>
      <c r="BLO29">
        <v>1</v>
      </c>
      <c r="BLP29">
        <v>1</v>
      </c>
      <c r="BLQ29">
        <v>1</v>
      </c>
      <c r="BLR29">
        <v>1</v>
      </c>
      <c r="BLS29">
        <v>1</v>
      </c>
      <c r="BLT29">
        <v>1</v>
      </c>
      <c r="BLU29">
        <v>1</v>
      </c>
      <c r="BLV29">
        <v>1</v>
      </c>
      <c r="BLW29">
        <v>1</v>
      </c>
      <c r="BLX29">
        <v>1</v>
      </c>
      <c r="BLY29">
        <v>1</v>
      </c>
      <c r="BLZ29">
        <v>1</v>
      </c>
      <c r="BMA29">
        <v>1</v>
      </c>
      <c r="BMB29">
        <v>1</v>
      </c>
      <c r="BMC29">
        <v>1</v>
      </c>
      <c r="BMD29">
        <v>1</v>
      </c>
      <c r="BME29">
        <v>1</v>
      </c>
      <c r="BMF29">
        <v>1</v>
      </c>
      <c r="BMG29">
        <v>1</v>
      </c>
      <c r="BMH29">
        <v>1</v>
      </c>
      <c r="BMI29">
        <v>1</v>
      </c>
      <c r="BMJ29">
        <v>1</v>
      </c>
      <c r="BMK29">
        <v>1</v>
      </c>
      <c r="BML29">
        <v>1</v>
      </c>
      <c r="BMM29">
        <v>1</v>
      </c>
      <c r="BMN29">
        <v>1</v>
      </c>
      <c r="BMO29">
        <v>1</v>
      </c>
      <c r="BMP29">
        <v>1</v>
      </c>
      <c r="BMQ29">
        <v>1</v>
      </c>
      <c r="BMR29">
        <v>1</v>
      </c>
      <c r="BMS29">
        <v>1</v>
      </c>
      <c r="BMT29">
        <v>1</v>
      </c>
      <c r="BMU29">
        <v>1</v>
      </c>
      <c r="BMV29">
        <v>1</v>
      </c>
      <c r="BMW29">
        <v>1</v>
      </c>
      <c r="BMX29">
        <v>1</v>
      </c>
      <c r="BMY29">
        <v>1</v>
      </c>
      <c r="BMZ29">
        <v>1</v>
      </c>
      <c r="BNA29">
        <v>1</v>
      </c>
      <c r="BNB29">
        <v>1</v>
      </c>
      <c r="BNC29">
        <v>1</v>
      </c>
      <c r="BND29">
        <v>1</v>
      </c>
      <c r="BNE29">
        <v>1</v>
      </c>
      <c r="BNF29">
        <v>1</v>
      </c>
      <c r="BNG29">
        <v>1</v>
      </c>
      <c r="BNH29">
        <v>1</v>
      </c>
      <c r="BNI29">
        <v>1</v>
      </c>
      <c r="BNJ29">
        <v>1</v>
      </c>
      <c r="BNK29">
        <v>1</v>
      </c>
      <c r="BNL29">
        <v>1</v>
      </c>
      <c r="BNM29">
        <v>1</v>
      </c>
      <c r="BNN29">
        <v>1</v>
      </c>
      <c r="BNO29">
        <v>1</v>
      </c>
      <c r="BNP29">
        <v>1</v>
      </c>
      <c r="BNQ29">
        <v>1</v>
      </c>
      <c r="BNR29">
        <v>1</v>
      </c>
      <c r="BNS29">
        <v>1</v>
      </c>
      <c r="BNT29">
        <v>1</v>
      </c>
      <c r="BNU29">
        <v>1</v>
      </c>
      <c r="BNV29">
        <v>1</v>
      </c>
      <c r="BNW29">
        <v>1</v>
      </c>
      <c r="BNX29">
        <v>1</v>
      </c>
      <c r="BNY29">
        <v>1</v>
      </c>
      <c r="BNZ29">
        <v>1</v>
      </c>
      <c r="BOA29">
        <v>1</v>
      </c>
      <c r="BOB29">
        <v>1</v>
      </c>
      <c r="BOC29">
        <v>1</v>
      </c>
      <c r="BOD29">
        <v>1</v>
      </c>
      <c r="BOE29">
        <v>1</v>
      </c>
      <c r="BOF29">
        <v>1</v>
      </c>
      <c r="BOG29">
        <v>1</v>
      </c>
      <c r="BOH29">
        <v>1</v>
      </c>
      <c r="BOI29">
        <v>1</v>
      </c>
      <c r="BOJ29">
        <v>1</v>
      </c>
      <c r="BOK29">
        <v>1</v>
      </c>
      <c r="BOL29">
        <v>1</v>
      </c>
      <c r="BOM29">
        <v>1</v>
      </c>
      <c r="BON29">
        <v>1</v>
      </c>
      <c r="BOO29">
        <v>1</v>
      </c>
      <c r="BOP29">
        <v>1</v>
      </c>
      <c r="BOQ29">
        <v>1</v>
      </c>
      <c r="BOR29">
        <v>1</v>
      </c>
      <c r="BOS29">
        <v>1</v>
      </c>
      <c r="BOT29">
        <v>1</v>
      </c>
      <c r="BOU29">
        <v>1</v>
      </c>
      <c r="BOV29">
        <v>1</v>
      </c>
      <c r="BOW29">
        <v>1</v>
      </c>
      <c r="BOX29">
        <v>1</v>
      </c>
      <c r="BOY29">
        <v>1</v>
      </c>
      <c r="BOZ29">
        <v>1</v>
      </c>
      <c r="BPA29">
        <v>1</v>
      </c>
      <c r="BPB29">
        <v>1</v>
      </c>
      <c r="BPC29">
        <v>1</v>
      </c>
      <c r="BPD29">
        <v>1</v>
      </c>
      <c r="BPE29">
        <v>1</v>
      </c>
      <c r="BPF29">
        <v>1</v>
      </c>
      <c r="BPG29">
        <v>1</v>
      </c>
      <c r="BPH29">
        <v>1</v>
      </c>
      <c r="BPI29">
        <v>1</v>
      </c>
      <c r="BPJ29">
        <v>1</v>
      </c>
      <c r="BPK29">
        <v>1</v>
      </c>
      <c r="BPL29">
        <v>1</v>
      </c>
      <c r="BPM29">
        <v>1</v>
      </c>
      <c r="BPN29">
        <v>1</v>
      </c>
      <c r="BPO29">
        <v>1</v>
      </c>
      <c r="BPP29">
        <v>1</v>
      </c>
      <c r="BPQ29">
        <v>1</v>
      </c>
      <c r="BPR29">
        <v>1</v>
      </c>
      <c r="BPS29">
        <v>1</v>
      </c>
      <c r="BPT29">
        <v>1</v>
      </c>
      <c r="BPU29">
        <v>1</v>
      </c>
      <c r="BPV29">
        <v>1</v>
      </c>
      <c r="BPW29">
        <v>1</v>
      </c>
      <c r="BPX29">
        <v>1</v>
      </c>
      <c r="BPY29">
        <v>1</v>
      </c>
      <c r="BPZ29">
        <v>1</v>
      </c>
      <c r="BQA29">
        <v>1</v>
      </c>
      <c r="BQB29">
        <v>1</v>
      </c>
      <c r="BQC29">
        <v>1</v>
      </c>
      <c r="BQD29">
        <v>1</v>
      </c>
      <c r="BQE29">
        <v>1</v>
      </c>
      <c r="BQF29">
        <v>1</v>
      </c>
      <c r="BQG29">
        <v>1</v>
      </c>
      <c r="BQH29">
        <v>1</v>
      </c>
      <c r="BQI29">
        <v>1</v>
      </c>
      <c r="BQJ29">
        <v>1</v>
      </c>
      <c r="BQK29">
        <v>1</v>
      </c>
      <c r="BQL29">
        <v>1</v>
      </c>
      <c r="BQM29">
        <v>1</v>
      </c>
      <c r="BQN29">
        <v>1</v>
      </c>
      <c r="BQO29">
        <v>1</v>
      </c>
      <c r="BQP29">
        <v>1</v>
      </c>
      <c r="BQQ29">
        <v>1</v>
      </c>
      <c r="BQR29">
        <v>1</v>
      </c>
      <c r="BQS29">
        <v>1</v>
      </c>
      <c r="BQT29">
        <v>1</v>
      </c>
      <c r="BQU29">
        <v>1</v>
      </c>
      <c r="BQV29">
        <v>1</v>
      </c>
      <c r="BQW29">
        <v>1</v>
      </c>
      <c r="BQX29">
        <v>1</v>
      </c>
      <c r="BQY29">
        <v>1</v>
      </c>
      <c r="BQZ29">
        <v>1</v>
      </c>
      <c r="BRA29">
        <v>1</v>
      </c>
      <c r="BRB29">
        <v>1</v>
      </c>
      <c r="BRC29">
        <v>1</v>
      </c>
      <c r="BRD29">
        <v>1</v>
      </c>
      <c r="BRE29">
        <v>1</v>
      </c>
      <c r="BRF29">
        <v>1</v>
      </c>
      <c r="BRG29">
        <v>1</v>
      </c>
      <c r="BRH29">
        <v>1</v>
      </c>
      <c r="BRI29">
        <v>1</v>
      </c>
      <c r="BRJ29">
        <v>1</v>
      </c>
      <c r="BRK29">
        <v>1</v>
      </c>
      <c r="BRL29">
        <v>1</v>
      </c>
      <c r="BRM29">
        <v>1</v>
      </c>
      <c r="BRN29">
        <v>1</v>
      </c>
      <c r="BRO29">
        <v>1</v>
      </c>
      <c r="BRP29">
        <v>1</v>
      </c>
      <c r="BRQ29">
        <v>1</v>
      </c>
      <c r="BRR29">
        <v>1</v>
      </c>
      <c r="BRS29">
        <v>1</v>
      </c>
      <c r="BRT29">
        <v>1</v>
      </c>
      <c r="BRU29">
        <v>1</v>
      </c>
      <c r="BRV29">
        <v>1</v>
      </c>
      <c r="BRW29">
        <v>1</v>
      </c>
      <c r="BRX29">
        <v>1</v>
      </c>
      <c r="BRY29">
        <v>1</v>
      </c>
      <c r="BRZ29">
        <v>1</v>
      </c>
      <c r="BSA29">
        <v>1</v>
      </c>
      <c r="BSB29">
        <v>1</v>
      </c>
      <c r="BSC29">
        <v>1</v>
      </c>
      <c r="BSD29">
        <v>1</v>
      </c>
      <c r="BSE29">
        <v>1</v>
      </c>
      <c r="BSF29">
        <v>1</v>
      </c>
      <c r="BSG29">
        <v>1</v>
      </c>
      <c r="BSH29">
        <v>1</v>
      </c>
      <c r="BSI29">
        <v>1</v>
      </c>
      <c r="BSJ29">
        <v>1</v>
      </c>
      <c r="BSK29">
        <v>1</v>
      </c>
      <c r="BSL29">
        <v>1</v>
      </c>
      <c r="BSM29">
        <v>1</v>
      </c>
      <c r="BSN29">
        <v>1</v>
      </c>
      <c r="BSO29">
        <v>1</v>
      </c>
      <c r="BSP29">
        <v>1</v>
      </c>
      <c r="BSQ29">
        <v>1</v>
      </c>
      <c r="BSR29">
        <v>1</v>
      </c>
      <c r="BSS29">
        <v>1</v>
      </c>
      <c r="BST29">
        <v>1</v>
      </c>
      <c r="BSU29">
        <v>1</v>
      </c>
      <c r="BSV29">
        <v>1</v>
      </c>
      <c r="BSW29">
        <v>1</v>
      </c>
      <c r="BSX29">
        <v>1</v>
      </c>
      <c r="BSY29">
        <v>1</v>
      </c>
      <c r="BSZ29">
        <v>1</v>
      </c>
      <c r="BTA29">
        <v>1</v>
      </c>
      <c r="BTB29">
        <v>1</v>
      </c>
      <c r="BTC29">
        <v>1</v>
      </c>
      <c r="BTD29">
        <v>1</v>
      </c>
      <c r="BTE29">
        <v>1</v>
      </c>
      <c r="BTF29">
        <v>1</v>
      </c>
      <c r="BTG29">
        <v>1</v>
      </c>
      <c r="BTH29">
        <v>1</v>
      </c>
      <c r="BTI29">
        <v>1</v>
      </c>
      <c r="BTJ29">
        <v>1</v>
      </c>
      <c r="BTK29">
        <v>1</v>
      </c>
      <c r="BTL29">
        <v>1</v>
      </c>
      <c r="BTM29">
        <v>1</v>
      </c>
      <c r="BTN29">
        <v>1</v>
      </c>
      <c r="BTO29">
        <v>1</v>
      </c>
      <c r="BTP29">
        <v>1</v>
      </c>
      <c r="KFW29" s="1">
        <f t="shared" si="0"/>
        <v>265</v>
      </c>
      <c r="KFX29">
        <f t="shared" si="1"/>
        <v>0</v>
      </c>
      <c r="KFY29">
        <f t="shared" si="2"/>
        <v>0</v>
      </c>
      <c r="KFZ29">
        <f t="shared" si="3"/>
        <v>0</v>
      </c>
      <c r="KGA29">
        <f t="shared" si="4"/>
        <v>0</v>
      </c>
      <c r="KGB29">
        <f t="shared" si="5"/>
        <v>0</v>
      </c>
      <c r="KGC29">
        <f t="shared" si="6"/>
        <v>0</v>
      </c>
      <c r="KGD29">
        <f t="shared" si="7"/>
        <v>0</v>
      </c>
      <c r="KGE29">
        <f t="shared" si="8"/>
        <v>0</v>
      </c>
      <c r="KGF29">
        <f t="shared" si="9"/>
        <v>0</v>
      </c>
      <c r="KGG29">
        <f t="shared" si="10"/>
        <v>0</v>
      </c>
      <c r="KGH29">
        <f t="shared" si="11"/>
        <v>0</v>
      </c>
      <c r="KGI29">
        <f t="shared" si="12"/>
        <v>0</v>
      </c>
      <c r="KGJ29">
        <f t="shared" si="13"/>
        <v>0</v>
      </c>
      <c r="KGK29">
        <f t="shared" si="14"/>
        <v>0</v>
      </c>
      <c r="KGL29">
        <f t="shared" si="15"/>
        <v>0</v>
      </c>
      <c r="KGM29">
        <f t="shared" si="16"/>
        <v>0</v>
      </c>
      <c r="KGN29">
        <f t="shared" si="17"/>
        <v>0</v>
      </c>
      <c r="KGO29">
        <f t="shared" si="18"/>
        <v>0</v>
      </c>
      <c r="KGP29">
        <f t="shared" si="19"/>
        <v>0</v>
      </c>
      <c r="KGQ29">
        <f t="shared" si="20"/>
        <v>0</v>
      </c>
      <c r="KGR29">
        <f t="shared" si="21"/>
        <v>0</v>
      </c>
      <c r="KGS29">
        <f t="shared" si="22"/>
        <v>0</v>
      </c>
      <c r="KGT29">
        <f t="shared" si="23"/>
        <v>0</v>
      </c>
      <c r="KGU29">
        <f t="shared" si="24"/>
        <v>0</v>
      </c>
      <c r="KGV29">
        <f t="shared" si="25"/>
        <v>0</v>
      </c>
      <c r="KGW29">
        <f t="shared" si="26"/>
        <v>0</v>
      </c>
      <c r="KGX29">
        <f t="shared" si="27"/>
        <v>0</v>
      </c>
      <c r="KGY29">
        <f t="shared" si="28"/>
        <v>0</v>
      </c>
      <c r="KGZ29">
        <f t="shared" si="29"/>
        <v>0</v>
      </c>
      <c r="KHA29">
        <f t="shared" si="30"/>
        <v>0</v>
      </c>
      <c r="KHB29">
        <f t="shared" si="31"/>
        <v>0</v>
      </c>
      <c r="KHC29">
        <f t="shared" si="32"/>
        <v>0</v>
      </c>
      <c r="KHD29">
        <f t="shared" si="33"/>
        <v>0</v>
      </c>
      <c r="KHE29">
        <f t="shared" si="34"/>
        <v>0</v>
      </c>
      <c r="KHF29">
        <f t="shared" si="35"/>
        <v>0</v>
      </c>
      <c r="KHG29">
        <f t="shared" si="36"/>
        <v>0</v>
      </c>
      <c r="KHH29">
        <f t="shared" si="37"/>
        <v>0</v>
      </c>
      <c r="KHI29">
        <f t="shared" si="38"/>
        <v>0</v>
      </c>
      <c r="KHJ29">
        <f t="shared" si="39"/>
        <v>0</v>
      </c>
      <c r="KHK29">
        <f t="shared" si="40"/>
        <v>0</v>
      </c>
      <c r="KHL29">
        <f t="shared" si="41"/>
        <v>0</v>
      </c>
      <c r="KHM29">
        <f t="shared" si="42"/>
        <v>0</v>
      </c>
      <c r="KHN29">
        <f t="shared" si="43"/>
        <v>0</v>
      </c>
      <c r="KHO29">
        <f t="shared" si="44"/>
        <v>0</v>
      </c>
      <c r="KHP29">
        <f t="shared" si="45"/>
        <v>0</v>
      </c>
      <c r="KHQ29">
        <f t="shared" si="46"/>
        <v>0</v>
      </c>
      <c r="KHR29">
        <f t="shared" si="47"/>
        <v>0</v>
      </c>
      <c r="KHS29">
        <f t="shared" si="48"/>
        <v>0</v>
      </c>
      <c r="KHT29">
        <f t="shared" si="49"/>
        <v>0</v>
      </c>
      <c r="KHU29">
        <f t="shared" si="50"/>
        <v>0</v>
      </c>
      <c r="KHV29">
        <f t="shared" si="51"/>
        <v>0</v>
      </c>
      <c r="KHW29">
        <f t="shared" si="52"/>
        <v>0</v>
      </c>
      <c r="KHX29">
        <f t="shared" si="53"/>
        <v>0</v>
      </c>
      <c r="KHY29">
        <f t="shared" si="54"/>
        <v>0</v>
      </c>
      <c r="KHZ29">
        <f t="shared" si="55"/>
        <v>0</v>
      </c>
      <c r="KIA29">
        <f t="shared" si="56"/>
        <v>0</v>
      </c>
      <c r="KIB29">
        <f t="shared" si="57"/>
        <v>0</v>
      </c>
      <c r="KIC29">
        <f t="shared" si="58"/>
        <v>0</v>
      </c>
      <c r="KID29">
        <f t="shared" si="59"/>
        <v>0</v>
      </c>
      <c r="KIE29">
        <f t="shared" si="60"/>
        <v>0</v>
      </c>
      <c r="KIF29">
        <f t="shared" si="61"/>
        <v>0</v>
      </c>
      <c r="KIG29">
        <f t="shared" si="62"/>
        <v>0</v>
      </c>
      <c r="KIH29">
        <f t="shared" si="63"/>
        <v>0</v>
      </c>
      <c r="KII29">
        <f t="shared" si="64"/>
        <v>0</v>
      </c>
      <c r="KIJ29">
        <f t="shared" si="65"/>
        <v>0</v>
      </c>
      <c r="KIK29">
        <f t="shared" si="66"/>
        <v>0</v>
      </c>
      <c r="KIL29">
        <f t="shared" si="67"/>
        <v>0</v>
      </c>
      <c r="KIM29">
        <f t="shared" si="68"/>
        <v>0</v>
      </c>
      <c r="KIN29">
        <f t="shared" si="69"/>
        <v>0</v>
      </c>
      <c r="KIO29">
        <f t="shared" si="70"/>
        <v>0</v>
      </c>
      <c r="KIP29">
        <f t="shared" si="71"/>
        <v>0</v>
      </c>
      <c r="KIQ29">
        <f t="shared" si="72"/>
        <v>0</v>
      </c>
      <c r="KIR29">
        <f t="shared" si="73"/>
        <v>0</v>
      </c>
      <c r="KIS29">
        <f t="shared" si="74"/>
        <v>0</v>
      </c>
      <c r="KIT29">
        <f t="shared" si="75"/>
        <v>0</v>
      </c>
      <c r="KIU29">
        <f t="shared" si="76"/>
        <v>0</v>
      </c>
      <c r="KIV29">
        <f t="shared" si="77"/>
        <v>0</v>
      </c>
      <c r="KIW29">
        <f t="shared" si="78"/>
        <v>0</v>
      </c>
      <c r="KIX29">
        <f t="shared" si="79"/>
        <v>0</v>
      </c>
      <c r="KIY29">
        <f t="shared" si="80"/>
        <v>0</v>
      </c>
      <c r="KIZ29">
        <f t="shared" si="81"/>
        <v>0</v>
      </c>
      <c r="KJA29">
        <f t="shared" si="82"/>
        <v>0</v>
      </c>
      <c r="KJB29">
        <f t="shared" si="83"/>
        <v>0</v>
      </c>
      <c r="KJC29">
        <f t="shared" si="84"/>
        <v>0</v>
      </c>
      <c r="KJD29">
        <f t="shared" si="85"/>
        <v>0</v>
      </c>
      <c r="KJE29">
        <f t="shared" si="86"/>
        <v>0</v>
      </c>
      <c r="KJF29">
        <f t="shared" si="87"/>
        <v>0</v>
      </c>
      <c r="KJG29">
        <f t="shared" si="88"/>
        <v>0</v>
      </c>
      <c r="KJH29">
        <f t="shared" si="89"/>
        <v>0</v>
      </c>
      <c r="KJI29">
        <f t="shared" si="90"/>
        <v>0</v>
      </c>
      <c r="KJJ29">
        <f t="shared" si="91"/>
        <v>0</v>
      </c>
      <c r="KJK29">
        <f t="shared" si="92"/>
        <v>0</v>
      </c>
      <c r="KJL29">
        <f t="shared" si="93"/>
        <v>0</v>
      </c>
      <c r="KJM29">
        <f t="shared" si="94"/>
        <v>0</v>
      </c>
      <c r="KJN29">
        <f t="shared" si="95"/>
        <v>0</v>
      </c>
      <c r="KJO29">
        <f t="shared" si="96"/>
        <v>0</v>
      </c>
      <c r="KJP29">
        <f t="shared" si="97"/>
        <v>0</v>
      </c>
      <c r="KJQ29">
        <f t="shared" si="98"/>
        <v>0</v>
      </c>
      <c r="KJR29">
        <f t="shared" si="99"/>
        <v>0</v>
      </c>
      <c r="KJT29">
        <f t="shared" si="100"/>
        <v>265</v>
      </c>
      <c r="KJV29">
        <f t="shared" si="100"/>
        <v>265</v>
      </c>
      <c r="KJW29">
        <f t="shared" si="101"/>
        <v>10.6</v>
      </c>
      <c r="KJY29">
        <f t="shared" si="101"/>
        <v>10.6</v>
      </c>
    </row>
    <row r="30" spans="1:939 1050:3700 4762:5083 5659:6110 6147:7004 7171:7721">
      <c r="A30" t="s">
        <v>15</v>
      </c>
      <c r="B30">
        <v>1</v>
      </c>
      <c r="BXA30">
        <v>1</v>
      </c>
      <c r="BXB30">
        <v>1</v>
      </c>
      <c r="BXC30">
        <v>1</v>
      </c>
      <c r="BXD30">
        <v>1</v>
      </c>
      <c r="BXE30">
        <v>1</v>
      </c>
      <c r="BXF30">
        <v>1</v>
      </c>
      <c r="BXG30">
        <v>1</v>
      </c>
      <c r="BXH30">
        <v>1</v>
      </c>
      <c r="BXI30">
        <v>1</v>
      </c>
      <c r="BXJ30">
        <v>1</v>
      </c>
      <c r="BXK30">
        <v>1</v>
      </c>
      <c r="BXL30">
        <v>1</v>
      </c>
      <c r="BXM30">
        <v>1</v>
      </c>
      <c r="BXN30">
        <v>1</v>
      </c>
      <c r="BXO30">
        <v>1</v>
      </c>
      <c r="BXP30">
        <v>1</v>
      </c>
      <c r="BXQ30">
        <v>1</v>
      </c>
      <c r="BXR30">
        <v>1</v>
      </c>
      <c r="BXS30">
        <v>1</v>
      </c>
      <c r="BXT30">
        <v>1</v>
      </c>
      <c r="BXU30">
        <v>1</v>
      </c>
      <c r="BXV30">
        <v>1</v>
      </c>
      <c r="BXW30">
        <v>1</v>
      </c>
      <c r="BXX30">
        <v>1</v>
      </c>
      <c r="BXY30">
        <v>1</v>
      </c>
      <c r="BXZ30">
        <v>1</v>
      </c>
      <c r="BYA30">
        <v>1</v>
      </c>
      <c r="BYB30">
        <v>1</v>
      </c>
      <c r="BYC30">
        <v>1</v>
      </c>
      <c r="BYD30">
        <v>1</v>
      </c>
      <c r="BYE30">
        <v>1</v>
      </c>
      <c r="BYF30">
        <v>1</v>
      </c>
      <c r="BYG30">
        <v>1</v>
      </c>
      <c r="BYH30">
        <v>1</v>
      </c>
      <c r="BYI30">
        <v>1</v>
      </c>
      <c r="BYJ30">
        <v>1</v>
      </c>
      <c r="BYK30">
        <v>1</v>
      </c>
      <c r="BYL30">
        <v>1</v>
      </c>
      <c r="BYM30">
        <v>1</v>
      </c>
      <c r="BYN30">
        <v>1</v>
      </c>
      <c r="BYO30">
        <v>1</v>
      </c>
      <c r="BYP30">
        <v>1</v>
      </c>
      <c r="BYQ30">
        <v>1</v>
      </c>
      <c r="BYR30">
        <v>1</v>
      </c>
      <c r="BYS30">
        <v>1</v>
      </c>
      <c r="BYT30">
        <v>1</v>
      </c>
      <c r="BYU30">
        <v>1</v>
      </c>
      <c r="BYV30">
        <v>1</v>
      </c>
      <c r="BYW30">
        <v>1</v>
      </c>
      <c r="BYX30">
        <v>1</v>
      </c>
      <c r="BYY30">
        <v>1</v>
      </c>
      <c r="BYZ30">
        <v>1</v>
      </c>
      <c r="BZA30">
        <v>1</v>
      </c>
      <c r="BZB30">
        <v>1</v>
      </c>
      <c r="BZC30">
        <v>1</v>
      </c>
      <c r="BZD30">
        <v>1</v>
      </c>
      <c r="BZE30">
        <v>1</v>
      </c>
      <c r="BZF30">
        <v>1</v>
      </c>
      <c r="BZG30">
        <v>1</v>
      </c>
      <c r="BZH30">
        <v>1</v>
      </c>
      <c r="BZI30">
        <v>1</v>
      </c>
      <c r="BZJ30">
        <v>1</v>
      </c>
      <c r="BZK30">
        <v>1</v>
      </c>
      <c r="BZL30">
        <v>1</v>
      </c>
      <c r="BZM30">
        <v>1</v>
      </c>
      <c r="BZN30">
        <v>1</v>
      </c>
      <c r="BZO30">
        <v>1</v>
      </c>
      <c r="BZP30">
        <v>1</v>
      </c>
      <c r="BZQ30">
        <v>1</v>
      </c>
      <c r="BZR30">
        <v>1</v>
      </c>
      <c r="BZS30">
        <v>1</v>
      </c>
      <c r="BZT30">
        <v>1</v>
      </c>
      <c r="BZU30">
        <v>1</v>
      </c>
      <c r="BZV30">
        <v>1</v>
      </c>
      <c r="BZW30">
        <v>1</v>
      </c>
      <c r="BZX30">
        <v>1</v>
      </c>
      <c r="BZY30">
        <v>1</v>
      </c>
      <c r="BZZ30">
        <v>1</v>
      </c>
      <c r="CAA30">
        <v>1</v>
      </c>
      <c r="CAB30">
        <v>1</v>
      </c>
      <c r="KFW30" s="1">
        <f t="shared" si="0"/>
        <v>80</v>
      </c>
      <c r="KFX30">
        <f t="shared" si="1"/>
        <v>0</v>
      </c>
      <c r="KFY30">
        <f t="shared" si="2"/>
        <v>0</v>
      </c>
      <c r="KFZ30">
        <f t="shared" si="3"/>
        <v>0</v>
      </c>
      <c r="KGA30">
        <f t="shared" si="4"/>
        <v>0</v>
      </c>
      <c r="KGB30">
        <f t="shared" si="5"/>
        <v>0</v>
      </c>
      <c r="KGC30">
        <f t="shared" si="6"/>
        <v>0</v>
      </c>
      <c r="KGD30">
        <f t="shared" si="7"/>
        <v>0</v>
      </c>
      <c r="KGE30">
        <f t="shared" si="8"/>
        <v>0</v>
      </c>
      <c r="KGF30">
        <f t="shared" si="9"/>
        <v>0</v>
      </c>
      <c r="KGG30">
        <f t="shared" si="10"/>
        <v>0</v>
      </c>
      <c r="KGH30">
        <f t="shared" si="11"/>
        <v>0</v>
      </c>
      <c r="KGI30">
        <f t="shared" si="12"/>
        <v>0</v>
      </c>
      <c r="KGJ30">
        <f t="shared" si="13"/>
        <v>0</v>
      </c>
      <c r="KGK30">
        <f t="shared" si="14"/>
        <v>0</v>
      </c>
      <c r="KGL30">
        <f t="shared" si="15"/>
        <v>0</v>
      </c>
      <c r="KGM30">
        <f t="shared" si="16"/>
        <v>0</v>
      </c>
      <c r="KGN30">
        <f t="shared" si="17"/>
        <v>0</v>
      </c>
      <c r="KGO30">
        <f t="shared" si="18"/>
        <v>0</v>
      </c>
      <c r="KGP30">
        <f t="shared" si="19"/>
        <v>0</v>
      </c>
      <c r="KGQ30">
        <f t="shared" si="20"/>
        <v>0</v>
      </c>
      <c r="KGR30">
        <f t="shared" si="21"/>
        <v>0</v>
      </c>
      <c r="KGS30">
        <f t="shared" si="22"/>
        <v>0</v>
      </c>
      <c r="KGT30">
        <f t="shared" si="23"/>
        <v>0</v>
      </c>
      <c r="KGU30">
        <f t="shared" si="24"/>
        <v>0</v>
      </c>
      <c r="KGV30">
        <f t="shared" si="25"/>
        <v>0</v>
      </c>
      <c r="KGW30">
        <f t="shared" si="26"/>
        <v>0</v>
      </c>
      <c r="KGX30">
        <f t="shared" si="27"/>
        <v>0</v>
      </c>
      <c r="KGY30">
        <f t="shared" si="28"/>
        <v>0</v>
      </c>
      <c r="KGZ30">
        <f t="shared" si="29"/>
        <v>0</v>
      </c>
      <c r="KHA30">
        <f t="shared" si="30"/>
        <v>0</v>
      </c>
      <c r="KHB30">
        <f t="shared" si="31"/>
        <v>0</v>
      </c>
      <c r="KHC30">
        <f t="shared" si="32"/>
        <v>0</v>
      </c>
      <c r="KHD30">
        <f t="shared" si="33"/>
        <v>0</v>
      </c>
      <c r="KHE30">
        <f t="shared" si="34"/>
        <v>0</v>
      </c>
      <c r="KHF30">
        <f t="shared" si="35"/>
        <v>0</v>
      </c>
      <c r="KHG30">
        <f t="shared" si="36"/>
        <v>0</v>
      </c>
      <c r="KHH30">
        <f t="shared" si="37"/>
        <v>0</v>
      </c>
      <c r="KHI30">
        <f t="shared" si="38"/>
        <v>0</v>
      </c>
      <c r="KHJ30">
        <f t="shared" si="39"/>
        <v>0</v>
      </c>
      <c r="KHK30">
        <f t="shared" si="40"/>
        <v>0</v>
      </c>
      <c r="KHL30">
        <f t="shared" si="41"/>
        <v>0</v>
      </c>
      <c r="KHM30">
        <f t="shared" si="42"/>
        <v>0</v>
      </c>
      <c r="KHN30">
        <f t="shared" si="43"/>
        <v>0</v>
      </c>
      <c r="KHO30">
        <f t="shared" si="44"/>
        <v>0</v>
      </c>
      <c r="KHP30">
        <f t="shared" si="45"/>
        <v>0</v>
      </c>
      <c r="KHQ30">
        <f t="shared" si="46"/>
        <v>0</v>
      </c>
      <c r="KHR30">
        <f t="shared" si="47"/>
        <v>0</v>
      </c>
      <c r="KHS30">
        <f t="shared" si="48"/>
        <v>0</v>
      </c>
      <c r="KHT30">
        <f t="shared" si="49"/>
        <v>0</v>
      </c>
      <c r="KHU30">
        <f t="shared" si="50"/>
        <v>0</v>
      </c>
      <c r="KHV30">
        <f t="shared" si="51"/>
        <v>0</v>
      </c>
      <c r="KHW30">
        <f t="shared" si="52"/>
        <v>0</v>
      </c>
      <c r="KHX30">
        <f t="shared" si="53"/>
        <v>0</v>
      </c>
      <c r="KHY30">
        <f t="shared" si="54"/>
        <v>0</v>
      </c>
      <c r="KHZ30">
        <f t="shared" si="55"/>
        <v>0</v>
      </c>
      <c r="KIA30">
        <f t="shared" si="56"/>
        <v>0</v>
      </c>
      <c r="KIB30">
        <f t="shared" si="57"/>
        <v>0</v>
      </c>
      <c r="KIC30">
        <f t="shared" si="58"/>
        <v>0</v>
      </c>
      <c r="KID30">
        <f t="shared" si="59"/>
        <v>0</v>
      </c>
      <c r="KIE30">
        <f t="shared" si="60"/>
        <v>0</v>
      </c>
      <c r="KIF30">
        <f t="shared" si="61"/>
        <v>0</v>
      </c>
      <c r="KIG30">
        <f t="shared" si="62"/>
        <v>0</v>
      </c>
      <c r="KIH30">
        <f t="shared" si="63"/>
        <v>0</v>
      </c>
      <c r="KII30">
        <f t="shared" si="64"/>
        <v>0</v>
      </c>
      <c r="KIJ30">
        <f t="shared" si="65"/>
        <v>0</v>
      </c>
      <c r="KIK30">
        <f t="shared" si="66"/>
        <v>0</v>
      </c>
      <c r="KIL30">
        <f t="shared" si="67"/>
        <v>0</v>
      </c>
      <c r="KIM30">
        <f t="shared" si="68"/>
        <v>0</v>
      </c>
      <c r="KIN30">
        <f t="shared" si="69"/>
        <v>0</v>
      </c>
      <c r="KIO30">
        <f t="shared" si="70"/>
        <v>0</v>
      </c>
      <c r="KIP30">
        <f t="shared" si="71"/>
        <v>0</v>
      </c>
      <c r="KIQ30">
        <f t="shared" si="72"/>
        <v>0</v>
      </c>
      <c r="KIR30">
        <f t="shared" si="73"/>
        <v>0</v>
      </c>
      <c r="KIS30">
        <f t="shared" si="74"/>
        <v>0</v>
      </c>
      <c r="KIT30">
        <f t="shared" si="75"/>
        <v>0</v>
      </c>
      <c r="KIU30">
        <f t="shared" si="76"/>
        <v>0</v>
      </c>
      <c r="KIV30">
        <f t="shared" si="77"/>
        <v>0</v>
      </c>
      <c r="KIW30">
        <f t="shared" si="78"/>
        <v>0</v>
      </c>
      <c r="KIX30">
        <f t="shared" si="79"/>
        <v>0</v>
      </c>
      <c r="KIY30">
        <f t="shared" si="80"/>
        <v>0</v>
      </c>
      <c r="KIZ30">
        <f t="shared" si="81"/>
        <v>0</v>
      </c>
      <c r="KJA30">
        <f t="shared" si="82"/>
        <v>0</v>
      </c>
      <c r="KJB30">
        <f t="shared" si="83"/>
        <v>0</v>
      </c>
      <c r="KJC30">
        <f t="shared" si="84"/>
        <v>0</v>
      </c>
      <c r="KJD30">
        <f t="shared" si="85"/>
        <v>0</v>
      </c>
      <c r="KJE30">
        <f t="shared" si="86"/>
        <v>0</v>
      </c>
      <c r="KJF30">
        <f t="shared" si="87"/>
        <v>0</v>
      </c>
      <c r="KJG30">
        <f t="shared" si="88"/>
        <v>0</v>
      </c>
      <c r="KJH30">
        <f t="shared" si="89"/>
        <v>0</v>
      </c>
      <c r="KJI30">
        <f t="shared" si="90"/>
        <v>0</v>
      </c>
      <c r="KJJ30">
        <f t="shared" si="91"/>
        <v>0</v>
      </c>
      <c r="KJK30">
        <f t="shared" si="92"/>
        <v>0</v>
      </c>
      <c r="KJL30">
        <f t="shared" si="93"/>
        <v>0</v>
      </c>
      <c r="KJM30">
        <f t="shared" si="94"/>
        <v>0</v>
      </c>
      <c r="KJN30">
        <f t="shared" si="95"/>
        <v>0</v>
      </c>
      <c r="KJO30">
        <f t="shared" si="96"/>
        <v>0</v>
      </c>
      <c r="KJP30">
        <f t="shared" si="97"/>
        <v>0</v>
      </c>
      <c r="KJQ30">
        <f t="shared" si="98"/>
        <v>0</v>
      </c>
      <c r="KJR30">
        <f t="shared" si="99"/>
        <v>0</v>
      </c>
      <c r="KJT30">
        <f t="shared" si="100"/>
        <v>80</v>
      </c>
      <c r="KJV30">
        <f t="shared" si="100"/>
        <v>80</v>
      </c>
      <c r="KJW30">
        <f t="shared" si="101"/>
        <v>3.2</v>
      </c>
      <c r="KJY30">
        <f t="shared" si="101"/>
        <v>3.2</v>
      </c>
    </row>
    <row r="31" spans="1:939 1050:3700 4762:5083 5659:6110 6147:7004 7171:7721">
      <c r="A31" t="s">
        <v>31</v>
      </c>
      <c r="KFW31" s="1">
        <f t="shared" si="0"/>
        <v>0</v>
      </c>
      <c r="KFX31">
        <f t="shared" si="1"/>
        <v>0</v>
      </c>
      <c r="KFY31">
        <f t="shared" si="2"/>
        <v>0</v>
      </c>
      <c r="KFZ31">
        <f t="shared" si="3"/>
        <v>0</v>
      </c>
      <c r="KGA31">
        <f t="shared" si="4"/>
        <v>0</v>
      </c>
      <c r="KGB31">
        <f t="shared" si="5"/>
        <v>0</v>
      </c>
      <c r="KGC31">
        <f t="shared" si="6"/>
        <v>0</v>
      </c>
      <c r="KGD31">
        <f t="shared" si="7"/>
        <v>0</v>
      </c>
      <c r="KGE31">
        <f t="shared" si="8"/>
        <v>0</v>
      </c>
      <c r="KGF31">
        <f t="shared" si="9"/>
        <v>0</v>
      </c>
      <c r="KGG31">
        <f t="shared" si="10"/>
        <v>0</v>
      </c>
      <c r="KGH31">
        <f t="shared" si="11"/>
        <v>0</v>
      </c>
      <c r="KGI31">
        <f t="shared" si="12"/>
        <v>0</v>
      </c>
      <c r="KGJ31">
        <f t="shared" si="13"/>
        <v>0</v>
      </c>
      <c r="KGK31">
        <f t="shared" si="14"/>
        <v>0</v>
      </c>
      <c r="KGL31">
        <f t="shared" si="15"/>
        <v>0</v>
      </c>
      <c r="KGM31">
        <f t="shared" si="16"/>
        <v>0</v>
      </c>
      <c r="KGN31">
        <f t="shared" si="17"/>
        <v>0</v>
      </c>
      <c r="KGO31">
        <f t="shared" si="18"/>
        <v>0</v>
      </c>
      <c r="KGP31">
        <f t="shared" si="19"/>
        <v>0</v>
      </c>
      <c r="KGQ31">
        <f t="shared" si="20"/>
        <v>0</v>
      </c>
      <c r="KGR31">
        <f t="shared" si="21"/>
        <v>0</v>
      </c>
      <c r="KGS31">
        <f t="shared" si="22"/>
        <v>0</v>
      </c>
      <c r="KGT31">
        <f t="shared" si="23"/>
        <v>0</v>
      </c>
      <c r="KGU31">
        <f t="shared" si="24"/>
        <v>0</v>
      </c>
      <c r="KGV31">
        <f t="shared" si="25"/>
        <v>0</v>
      </c>
      <c r="KGW31">
        <f t="shared" si="26"/>
        <v>0</v>
      </c>
      <c r="KGX31">
        <f t="shared" si="27"/>
        <v>0</v>
      </c>
      <c r="KGY31">
        <f t="shared" si="28"/>
        <v>0</v>
      </c>
      <c r="KGZ31">
        <f t="shared" si="29"/>
        <v>0</v>
      </c>
      <c r="KHA31">
        <f t="shared" si="30"/>
        <v>0</v>
      </c>
      <c r="KHB31">
        <f t="shared" si="31"/>
        <v>0</v>
      </c>
      <c r="KHC31">
        <f t="shared" si="32"/>
        <v>0</v>
      </c>
      <c r="KHD31">
        <f t="shared" si="33"/>
        <v>0</v>
      </c>
      <c r="KHE31">
        <f t="shared" si="34"/>
        <v>0</v>
      </c>
      <c r="KHF31">
        <f t="shared" si="35"/>
        <v>0</v>
      </c>
      <c r="KHG31">
        <f t="shared" si="36"/>
        <v>0</v>
      </c>
      <c r="KHH31">
        <f t="shared" si="37"/>
        <v>0</v>
      </c>
      <c r="KHI31">
        <f t="shared" si="38"/>
        <v>0</v>
      </c>
      <c r="KHJ31">
        <f t="shared" si="39"/>
        <v>0</v>
      </c>
      <c r="KHK31">
        <f t="shared" si="40"/>
        <v>0</v>
      </c>
      <c r="KHL31">
        <f t="shared" si="41"/>
        <v>0</v>
      </c>
      <c r="KHM31">
        <f t="shared" si="42"/>
        <v>0</v>
      </c>
      <c r="KHN31">
        <f t="shared" si="43"/>
        <v>0</v>
      </c>
      <c r="KHO31">
        <f t="shared" si="44"/>
        <v>0</v>
      </c>
      <c r="KHP31">
        <f t="shared" si="45"/>
        <v>0</v>
      </c>
      <c r="KHQ31">
        <f t="shared" si="46"/>
        <v>0</v>
      </c>
      <c r="KHR31">
        <f t="shared" si="47"/>
        <v>0</v>
      </c>
      <c r="KHS31">
        <f t="shared" si="48"/>
        <v>0</v>
      </c>
      <c r="KHT31">
        <f t="shared" si="49"/>
        <v>0</v>
      </c>
      <c r="KHU31">
        <f t="shared" si="50"/>
        <v>0</v>
      </c>
      <c r="KHV31">
        <f t="shared" si="51"/>
        <v>0</v>
      </c>
      <c r="KHW31">
        <f t="shared" si="52"/>
        <v>0</v>
      </c>
      <c r="KHX31">
        <f t="shared" si="53"/>
        <v>0</v>
      </c>
      <c r="KHY31">
        <f t="shared" si="54"/>
        <v>0</v>
      </c>
      <c r="KHZ31">
        <f t="shared" si="55"/>
        <v>0</v>
      </c>
      <c r="KIA31">
        <f t="shared" si="56"/>
        <v>0</v>
      </c>
      <c r="KIB31">
        <f t="shared" si="57"/>
        <v>0</v>
      </c>
      <c r="KIC31">
        <f t="shared" si="58"/>
        <v>0</v>
      </c>
      <c r="KID31">
        <f t="shared" si="59"/>
        <v>0</v>
      </c>
      <c r="KIE31">
        <f t="shared" si="60"/>
        <v>0</v>
      </c>
      <c r="KIF31">
        <f t="shared" si="61"/>
        <v>0</v>
      </c>
      <c r="KIG31">
        <f t="shared" si="62"/>
        <v>0</v>
      </c>
      <c r="KIH31">
        <f t="shared" si="63"/>
        <v>0</v>
      </c>
      <c r="KII31">
        <f t="shared" si="64"/>
        <v>0</v>
      </c>
      <c r="KIJ31">
        <f t="shared" si="65"/>
        <v>0</v>
      </c>
      <c r="KIK31">
        <f t="shared" si="66"/>
        <v>0</v>
      </c>
      <c r="KIL31">
        <f t="shared" si="67"/>
        <v>0</v>
      </c>
      <c r="KIM31">
        <f t="shared" si="68"/>
        <v>0</v>
      </c>
      <c r="KIN31">
        <f t="shared" si="69"/>
        <v>0</v>
      </c>
      <c r="KIO31">
        <f t="shared" si="70"/>
        <v>0</v>
      </c>
      <c r="KIP31">
        <f t="shared" si="71"/>
        <v>0</v>
      </c>
      <c r="KIQ31">
        <f t="shared" si="72"/>
        <v>0</v>
      </c>
      <c r="KIR31">
        <f t="shared" si="73"/>
        <v>0</v>
      </c>
      <c r="KIS31">
        <f t="shared" si="74"/>
        <v>0</v>
      </c>
      <c r="KIT31">
        <f t="shared" si="75"/>
        <v>0</v>
      </c>
      <c r="KIU31">
        <f t="shared" si="76"/>
        <v>0</v>
      </c>
      <c r="KIV31">
        <f t="shared" si="77"/>
        <v>0</v>
      </c>
      <c r="KIW31">
        <f t="shared" si="78"/>
        <v>0</v>
      </c>
      <c r="KIX31">
        <f t="shared" si="79"/>
        <v>0</v>
      </c>
      <c r="KIY31">
        <f t="shared" si="80"/>
        <v>0</v>
      </c>
      <c r="KIZ31">
        <f t="shared" si="81"/>
        <v>0</v>
      </c>
      <c r="KJA31">
        <f t="shared" si="82"/>
        <v>0</v>
      </c>
      <c r="KJB31">
        <f t="shared" si="83"/>
        <v>0</v>
      </c>
      <c r="KJC31">
        <f t="shared" si="84"/>
        <v>0</v>
      </c>
      <c r="KJD31">
        <f t="shared" si="85"/>
        <v>0</v>
      </c>
      <c r="KJE31">
        <f t="shared" si="86"/>
        <v>0</v>
      </c>
      <c r="KJF31">
        <f t="shared" si="87"/>
        <v>0</v>
      </c>
      <c r="KJG31">
        <f t="shared" si="88"/>
        <v>0</v>
      </c>
      <c r="KJH31">
        <f t="shared" si="89"/>
        <v>0</v>
      </c>
      <c r="KJI31">
        <f t="shared" si="90"/>
        <v>0</v>
      </c>
      <c r="KJJ31">
        <f t="shared" si="91"/>
        <v>0</v>
      </c>
      <c r="KJK31">
        <f t="shared" si="92"/>
        <v>0</v>
      </c>
      <c r="KJL31">
        <f t="shared" si="93"/>
        <v>0</v>
      </c>
      <c r="KJM31">
        <f t="shared" si="94"/>
        <v>0</v>
      </c>
      <c r="KJN31">
        <f t="shared" si="95"/>
        <v>0</v>
      </c>
      <c r="KJO31">
        <f t="shared" si="96"/>
        <v>0</v>
      </c>
      <c r="KJP31">
        <f t="shared" si="97"/>
        <v>0</v>
      </c>
      <c r="KJQ31">
        <f t="shared" si="98"/>
        <v>0</v>
      </c>
      <c r="KJR31">
        <f t="shared" si="99"/>
        <v>0</v>
      </c>
      <c r="KJT31">
        <f t="shared" si="100"/>
        <v>0</v>
      </c>
      <c r="KJV31">
        <f t="shared" si="100"/>
        <v>0</v>
      </c>
      <c r="KJW31">
        <f t="shared" si="101"/>
        <v>0</v>
      </c>
      <c r="KJY31">
        <f t="shared" si="101"/>
        <v>0</v>
      </c>
    </row>
    <row r="32" spans="1:939 1050:3700 4762:5083 5659:6110 6147:7004 7171:7721">
      <c r="A32" t="s">
        <v>16</v>
      </c>
      <c r="B32">
        <v>3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IIF32">
        <v>2</v>
      </c>
      <c r="IIG32">
        <v>2</v>
      </c>
      <c r="IIH32">
        <v>2</v>
      </c>
      <c r="III32">
        <v>2</v>
      </c>
      <c r="IIJ32">
        <v>2</v>
      </c>
      <c r="IIK32">
        <v>2</v>
      </c>
      <c r="IIL32">
        <v>2</v>
      </c>
      <c r="IIM32">
        <v>2</v>
      </c>
      <c r="IIN32">
        <v>2</v>
      </c>
      <c r="IIO32">
        <v>2</v>
      </c>
      <c r="IIP32">
        <v>2</v>
      </c>
      <c r="IIQ32">
        <v>2</v>
      </c>
      <c r="IIR32">
        <v>2</v>
      </c>
      <c r="IIS32">
        <v>2</v>
      </c>
      <c r="IIT32">
        <v>2</v>
      </c>
      <c r="IIU32">
        <v>2</v>
      </c>
      <c r="IIV32">
        <v>2</v>
      </c>
      <c r="IIW32">
        <v>2</v>
      </c>
      <c r="IIX32">
        <v>2</v>
      </c>
      <c r="IIY32">
        <v>2</v>
      </c>
      <c r="IIZ32">
        <v>2</v>
      </c>
      <c r="IJA32">
        <v>2</v>
      </c>
      <c r="IJB32">
        <v>2</v>
      </c>
      <c r="IJC32">
        <v>2</v>
      </c>
      <c r="IJD32">
        <v>2</v>
      </c>
      <c r="ILG32">
        <v>3</v>
      </c>
      <c r="ILH32">
        <v>3</v>
      </c>
      <c r="ILI32">
        <v>3</v>
      </c>
      <c r="ILJ32">
        <v>3</v>
      </c>
      <c r="ILK32">
        <v>3</v>
      </c>
      <c r="ILL32">
        <v>3</v>
      </c>
      <c r="ILM32">
        <v>3</v>
      </c>
      <c r="ILN32">
        <v>3</v>
      </c>
      <c r="ILO32">
        <v>3</v>
      </c>
      <c r="ILP32">
        <v>3</v>
      </c>
      <c r="ILQ32">
        <v>3</v>
      </c>
      <c r="ILR32">
        <v>3</v>
      </c>
      <c r="ILS32">
        <v>3</v>
      </c>
      <c r="ILT32">
        <v>3</v>
      </c>
      <c r="ILU32">
        <v>3</v>
      </c>
      <c r="ILV32">
        <v>3</v>
      </c>
      <c r="ILW32">
        <v>3</v>
      </c>
      <c r="ILX32">
        <v>3</v>
      </c>
      <c r="ILY32">
        <v>3</v>
      </c>
      <c r="ILZ32">
        <v>3</v>
      </c>
      <c r="IMA32">
        <v>3</v>
      </c>
      <c r="IMB32">
        <v>3</v>
      </c>
      <c r="IMC32">
        <v>3</v>
      </c>
      <c r="IMD32">
        <v>3</v>
      </c>
      <c r="IME32">
        <v>3</v>
      </c>
      <c r="IMF32">
        <v>3</v>
      </c>
      <c r="IMG32">
        <v>3</v>
      </c>
      <c r="IMH32">
        <v>3</v>
      </c>
      <c r="IMI32">
        <v>3</v>
      </c>
      <c r="IMJ32">
        <v>3</v>
      </c>
      <c r="IMK32">
        <v>3</v>
      </c>
      <c r="IML32">
        <v>3</v>
      </c>
      <c r="IMM32">
        <v>3</v>
      </c>
      <c r="IMN32">
        <v>3</v>
      </c>
      <c r="IMO32">
        <v>3</v>
      </c>
      <c r="IMP32">
        <v>3</v>
      </c>
      <c r="IMQ32">
        <v>3</v>
      </c>
      <c r="IMR32">
        <v>3</v>
      </c>
      <c r="IMS32">
        <v>3</v>
      </c>
      <c r="IMT32">
        <v>3</v>
      </c>
      <c r="IMU32">
        <v>3</v>
      </c>
      <c r="IMV32">
        <v>3</v>
      </c>
      <c r="IMW32">
        <v>3</v>
      </c>
      <c r="IMX32">
        <v>3</v>
      </c>
      <c r="IMY32">
        <v>3</v>
      </c>
      <c r="IMZ32">
        <v>3</v>
      </c>
      <c r="INA32">
        <v>3</v>
      </c>
      <c r="INB32">
        <v>3</v>
      </c>
      <c r="INC32">
        <v>3</v>
      </c>
      <c r="IND32">
        <v>3</v>
      </c>
      <c r="INE32">
        <v>3</v>
      </c>
      <c r="INF32">
        <v>3</v>
      </c>
      <c r="ING32">
        <v>3</v>
      </c>
      <c r="INH32">
        <v>3</v>
      </c>
      <c r="INI32">
        <v>3</v>
      </c>
      <c r="INJ32">
        <v>3</v>
      </c>
      <c r="INK32">
        <v>3</v>
      </c>
      <c r="INL32">
        <v>3</v>
      </c>
      <c r="INM32">
        <v>3</v>
      </c>
      <c r="INN32">
        <v>3</v>
      </c>
      <c r="INO32">
        <v>3</v>
      </c>
      <c r="INP32">
        <v>3</v>
      </c>
      <c r="INQ32">
        <v>3</v>
      </c>
      <c r="INR32">
        <v>3</v>
      </c>
      <c r="INS32">
        <v>3</v>
      </c>
      <c r="INT32">
        <v>3</v>
      </c>
      <c r="INU32">
        <v>3</v>
      </c>
      <c r="INV32">
        <v>3</v>
      </c>
      <c r="INW32">
        <v>3</v>
      </c>
      <c r="INX32">
        <v>3</v>
      </c>
      <c r="INY32">
        <v>3</v>
      </c>
      <c r="INZ32">
        <v>3</v>
      </c>
      <c r="IOA32">
        <v>3</v>
      </c>
      <c r="IOB32">
        <v>3</v>
      </c>
      <c r="IOC32">
        <v>3</v>
      </c>
      <c r="IOD32">
        <v>3</v>
      </c>
      <c r="IOE32">
        <v>3</v>
      </c>
      <c r="IOF32">
        <v>3</v>
      </c>
      <c r="IOG32">
        <v>3</v>
      </c>
      <c r="IOH32">
        <v>3</v>
      </c>
      <c r="IOI32">
        <v>3</v>
      </c>
      <c r="IOJ32">
        <v>3</v>
      </c>
      <c r="IOK32">
        <v>3</v>
      </c>
      <c r="IOL32">
        <v>3</v>
      </c>
      <c r="IOM32">
        <v>3</v>
      </c>
      <c r="ION32">
        <v>3</v>
      </c>
      <c r="IOO32">
        <v>3</v>
      </c>
      <c r="IOP32">
        <v>3</v>
      </c>
      <c r="IOQ32">
        <v>3</v>
      </c>
      <c r="IOR32">
        <v>3</v>
      </c>
      <c r="IOS32">
        <v>3</v>
      </c>
      <c r="IOT32">
        <v>3</v>
      </c>
      <c r="IOU32">
        <v>3</v>
      </c>
      <c r="IOV32">
        <v>3</v>
      </c>
      <c r="IOW32">
        <v>3</v>
      </c>
      <c r="IOX32">
        <v>3</v>
      </c>
      <c r="IOY32">
        <v>3</v>
      </c>
      <c r="IOZ32">
        <v>3</v>
      </c>
      <c r="IPA32">
        <v>3</v>
      </c>
      <c r="IPB32">
        <v>3</v>
      </c>
      <c r="IPC32">
        <v>3</v>
      </c>
      <c r="IPD32">
        <v>3</v>
      </c>
      <c r="IPE32">
        <v>3</v>
      </c>
      <c r="IPF32">
        <v>3</v>
      </c>
      <c r="IPG32">
        <v>3</v>
      </c>
      <c r="IPH32">
        <v>3</v>
      </c>
      <c r="IPI32">
        <v>3</v>
      </c>
      <c r="IPJ32">
        <v>3</v>
      </c>
      <c r="IPK32">
        <v>3</v>
      </c>
      <c r="IPL32">
        <v>3</v>
      </c>
      <c r="IPM32">
        <v>3</v>
      </c>
      <c r="IPN32">
        <v>3</v>
      </c>
      <c r="IPO32">
        <v>3</v>
      </c>
      <c r="IPP32">
        <v>3</v>
      </c>
      <c r="IPQ32">
        <v>3</v>
      </c>
      <c r="IPR32">
        <v>3</v>
      </c>
      <c r="IPS32">
        <v>3</v>
      </c>
      <c r="IPT32">
        <v>3</v>
      </c>
      <c r="IPU32">
        <v>3</v>
      </c>
      <c r="IPV32">
        <v>3</v>
      </c>
      <c r="IPW32">
        <v>3</v>
      </c>
      <c r="IPX32">
        <v>3</v>
      </c>
      <c r="IPY32">
        <v>3</v>
      </c>
      <c r="IPZ32">
        <v>3</v>
      </c>
      <c r="IQA32">
        <v>3</v>
      </c>
      <c r="IQB32">
        <v>3</v>
      </c>
      <c r="IQC32">
        <v>3</v>
      </c>
      <c r="KFW32" s="1">
        <f t="shared" si="0"/>
        <v>13</v>
      </c>
      <c r="KFX32">
        <f t="shared" si="1"/>
        <v>25</v>
      </c>
      <c r="KFY32">
        <f t="shared" si="2"/>
        <v>127</v>
      </c>
      <c r="KFZ32">
        <f t="shared" si="3"/>
        <v>0</v>
      </c>
      <c r="KGA32">
        <f t="shared" si="4"/>
        <v>0</v>
      </c>
      <c r="KGB32">
        <f t="shared" si="5"/>
        <v>0</v>
      </c>
      <c r="KGC32">
        <f t="shared" si="6"/>
        <v>0</v>
      </c>
      <c r="KGD32">
        <f t="shared" si="7"/>
        <v>0</v>
      </c>
      <c r="KGE32">
        <f t="shared" si="8"/>
        <v>0</v>
      </c>
      <c r="KGF32">
        <f t="shared" si="9"/>
        <v>0</v>
      </c>
      <c r="KGG32">
        <f t="shared" si="10"/>
        <v>0</v>
      </c>
      <c r="KGH32">
        <f t="shared" si="11"/>
        <v>0</v>
      </c>
      <c r="KGI32">
        <f t="shared" si="12"/>
        <v>0</v>
      </c>
      <c r="KGJ32">
        <f t="shared" si="13"/>
        <v>0</v>
      </c>
      <c r="KGK32">
        <f t="shared" si="14"/>
        <v>0</v>
      </c>
      <c r="KGL32">
        <f t="shared" si="15"/>
        <v>0</v>
      </c>
      <c r="KGM32">
        <f t="shared" si="16"/>
        <v>0</v>
      </c>
      <c r="KGN32">
        <f t="shared" si="17"/>
        <v>0</v>
      </c>
      <c r="KGO32">
        <f t="shared" si="18"/>
        <v>0</v>
      </c>
      <c r="KGP32">
        <f t="shared" si="19"/>
        <v>0</v>
      </c>
      <c r="KGQ32">
        <f t="shared" si="20"/>
        <v>0</v>
      </c>
      <c r="KGR32">
        <f t="shared" si="21"/>
        <v>0</v>
      </c>
      <c r="KGS32">
        <f t="shared" si="22"/>
        <v>0</v>
      </c>
      <c r="KGT32">
        <f t="shared" si="23"/>
        <v>0</v>
      </c>
      <c r="KGU32">
        <f t="shared" si="24"/>
        <v>0</v>
      </c>
      <c r="KGV32">
        <f t="shared" si="25"/>
        <v>0</v>
      </c>
      <c r="KGW32">
        <f t="shared" si="26"/>
        <v>0</v>
      </c>
      <c r="KGX32">
        <f t="shared" si="27"/>
        <v>0</v>
      </c>
      <c r="KGY32">
        <f t="shared" si="28"/>
        <v>0</v>
      </c>
      <c r="KGZ32">
        <f t="shared" si="29"/>
        <v>0</v>
      </c>
      <c r="KHA32">
        <f t="shared" si="30"/>
        <v>0</v>
      </c>
      <c r="KHB32">
        <f t="shared" si="31"/>
        <v>0</v>
      </c>
      <c r="KHC32">
        <f t="shared" si="32"/>
        <v>0</v>
      </c>
      <c r="KHD32">
        <f t="shared" si="33"/>
        <v>0</v>
      </c>
      <c r="KHE32">
        <f t="shared" si="34"/>
        <v>0</v>
      </c>
      <c r="KHF32">
        <f t="shared" si="35"/>
        <v>0</v>
      </c>
      <c r="KHG32">
        <f t="shared" si="36"/>
        <v>0</v>
      </c>
      <c r="KHH32">
        <f t="shared" si="37"/>
        <v>0</v>
      </c>
      <c r="KHI32">
        <f t="shared" si="38"/>
        <v>0</v>
      </c>
      <c r="KHJ32">
        <f t="shared" si="39"/>
        <v>0</v>
      </c>
      <c r="KHK32">
        <f t="shared" si="40"/>
        <v>0</v>
      </c>
      <c r="KHL32">
        <f t="shared" si="41"/>
        <v>0</v>
      </c>
      <c r="KHM32">
        <f t="shared" si="42"/>
        <v>0</v>
      </c>
      <c r="KHN32">
        <f t="shared" si="43"/>
        <v>0</v>
      </c>
      <c r="KHO32">
        <f t="shared" si="44"/>
        <v>0</v>
      </c>
      <c r="KHP32">
        <f t="shared" si="45"/>
        <v>0</v>
      </c>
      <c r="KHQ32">
        <f t="shared" si="46"/>
        <v>0</v>
      </c>
      <c r="KHR32">
        <f t="shared" si="47"/>
        <v>0</v>
      </c>
      <c r="KHS32">
        <f t="shared" si="48"/>
        <v>0</v>
      </c>
      <c r="KHT32">
        <f t="shared" si="49"/>
        <v>0</v>
      </c>
      <c r="KHU32">
        <f t="shared" si="50"/>
        <v>0</v>
      </c>
      <c r="KHV32">
        <f t="shared" si="51"/>
        <v>0</v>
      </c>
      <c r="KHW32">
        <f t="shared" si="52"/>
        <v>0</v>
      </c>
      <c r="KHX32">
        <f t="shared" si="53"/>
        <v>0</v>
      </c>
      <c r="KHY32">
        <f t="shared" si="54"/>
        <v>0</v>
      </c>
      <c r="KHZ32">
        <f t="shared" si="55"/>
        <v>0</v>
      </c>
      <c r="KIA32">
        <f t="shared" si="56"/>
        <v>0</v>
      </c>
      <c r="KIB32">
        <f t="shared" si="57"/>
        <v>0</v>
      </c>
      <c r="KIC32">
        <f t="shared" si="58"/>
        <v>0</v>
      </c>
      <c r="KID32">
        <f t="shared" si="59"/>
        <v>0</v>
      </c>
      <c r="KIE32">
        <f t="shared" si="60"/>
        <v>0</v>
      </c>
      <c r="KIF32">
        <f t="shared" si="61"/>
        <v>0</v>
      </c>
      <c r="KIG32">
        <f t="shared" si="62"/>
        <v>0</v>
      </c>
      <c r="KIH32">
        <f t="shared" si="63"/>
        <v>0</v>
      </c>
      <c r="KII32">
        <f t="shared" si="64"/>
        <v>0</v>
      </c>
      <c r="KIJ32">
        <f t="shared" si="65"/>
        <v>0</v>
      </c>
      <c r="KIK32">
        <f t="shared" si="66"/>
        <v>0</v>
      </c>
      <c r="KIL32">
        <f t="shared" si="67"/>
        <v>0</v>
      </c>
      <c r="KIM32">
        <f t="shared" si="68"/>
        <v>0</v>
      </c>
      <c r="KIN32">
        <f t="shared" si="69"/>
        <v>0</v>
      </c>
      <c r="KIO32">
        <f t="shared" si="70"/>
        <v>0</v>
      </c>
      <c r="KIP32">
        <f t="shared" si="71"/>
        <v>0</v>
      </c>
      <c r="KIQ32">
        <f t="shared" si="72"/>
        <v>0</v>
      </c>
      <c r="KIR32">
        <f t="shared" si="73"/>
        <v>0</v>
      </c>
      <c r="KIS32">
        <f t="shared" si="74"/>
        <v>0</v>
      </c>
      <c r="KIT32">
        <f t="shared" si="75"/>
        <v>0</v>
      </c>
      <c r="KIU32">
        <f t="shared" si="76"/>
        <v>0</v>
      </c>
      <c r="KIV32">
        <f t="shared" si="77"/>
        <v>0</v>
      </c>
      <c r="KIW32">
        <f t="shared" si="78"/>
        <v>0</v>
      </c>
      <c r="KIX32">
        <f t="shared" si="79"/>
        <v>0</v>
      </c>
      <c r="KIY32">
        <f t="shared" si="80"/>
        <v>0</v>
      </c>
      <c r="KIZ32">
        <f t="shared" si="81"/>
        <v>0</v>
      </c>
      <c r="KJA32">
        <f t="shared" si="82"/>
        <v>0</v>
      </c>
      <c r="KJB32">
        <f t="shared" si="83"/>
        <v>0</v>
      </c>
      <c r="KJC32">
        <f t="shared" si="84"/>
        <v>0</v>
      </c>
      <c r="KJD32">
        <f t="shared" si="85"/>
        <v>0</v>
      </c>
      <c r="KJE32">
        <f t="shared" si="86"/>
        <v>0</v>
      </c>
      <c r="KJF32">
        <f t="shared" si="87"/>
        <v>0</v>
      </c>
      <c r="KJG32">
        <f t="shared" si="88"/>
        <v>0</v>
      </c>
      <c r="KJH32">
        <f t="shared" si="89"/>
        <v>0</v>
      </c>
      <c r="KJI32">
        <f t="shared" si="90"/>
        <v>0</v>
      </c>
      <c r="KJJ32">
        <f t="shared" si="91"/>
        <v>0</v>
      </c>
      <c r="KJK32">
        <f t="shared" si="92"/>
        <v>0</v>
      </c>
      <c r="KJL32">
        <f t="shared" si="93"/>
        <v>0</v>
      </c>
      <c r="KJM32">
        <f t="shared" si="94"/>
        <v>0</v>
      </c>
      <c r="KJN32">
        <f t="shared" si="95"/>
        <v>0</v>
      </c>
      <c r="KJO32">
        <f t="shared" si="96"/>
        <v>0</v>
      </c>
      <c r="KJP32">
        <f t="shared" si="97"/>
        <v>0</v>
      </c>
      <c r="KJQ32">
        <f t="shared" si="98"/>
        <v>0</v>
      </c>
      <c r="KJR32">
        <f t="shared" si="99"/>
        <v>0</v>
      </c>
      <c r="KJT32">
        <f t="shared" si="100"/>
        <v>165</v>
      </c>
      <c r="KJV32">
        <f t="shared" si="100"/>
        <v>165</v>
      </c>
      <c r="KJW32">
        <f t="shared" si="101"/>
        <v>6.6</v>
      </c>
      <c r="KJY32">
        <f t="shared" si="101"/>
        <v>6.6</v>
      </c>
    </row>
    <row r="33" spans="1:815 1235:1250 2076:3055 3200:4678 5150:6014 6233:6829 7258:7721">
      <c r="A33" t="s">
        <v>32</v>
      </c>
      <c r="B33">
        <v>1</v>
      </c>
      <c r="IJE33">
        <v>1</v>
      </c>
      <c r="IJF33">
        <v>1</v>
      </c>
      <c r="IJG33">
        <v>1</v>
      </c>
      <c r="IJH33">
        <v>1</v>
      </c>
      <c r="IJI33">
        <v>1</v>
      </c>
      <c r="IJJ33">
        <v>1</v>
      </c>
      <c r="IJK33">
        <v>1</v>
      </c>
      <c r="IJL33">
        <v>1</v>
      </c>
      <c r="IJM33">
        <v>1</v>
      </c>
      <c r="IJN33">
        <v>1</v>
      </c>
      <c r="IJO33">
        <v>1</v>
      </c>
      <c r="IJP33">
        <v>1</v>
      </c>
      <c r="IJQ33">
        <v>1</v>
      </c>
      <c r="IJR33">
        <v>1</v>
      </c>
      <c r="IJS33">
        <v>1</v>
      </c>
      <c r="IJT33">
        <v>1</v>
      </c>
      <c r="IJU33">
        <v>1</v>
      </c>
      <c r="IJV33">
        <v>1</v>
      </c>
      <c r="IJW33">
        <v>1</v>
      </c>
      <c r="IJX33">
        <v>1</v>
      </c>
      <c r="IJY33">
        <v>1</v>
      </c>
      <c r="IJZ33">
        <v>1</v>
      </c>
      <c r="IKA33">
        <v>1</v>
      </c>
      <c r="IKB33">
        <v>1</v>
      </c>
      <c r="IKC33">
        <v>1</v>
      </c>
      <c r="IKD33">
        <v>1</v>
      </c>
      <c r="IKE33">
        <v>1</v>
      </c>
      <c r="IKF33">
        <v>1</v>
      </c>
      <c r="IKG33">
        <v>1</v>
      </c>
      <c r="IKH33">
        <v>1</v>
      </c>
      <c r="IKI33">
        <v>1</v>
      </c>
      <c r="IKJ33">
        <v>1</v>
      </c>
      <c r="IKK33">
        <v>1</v>
      </c>
      <c r="IKL33">
        <v>1</v>
      </c>
      <c r="IKM33">
        <v>1</v>
      </c>
      <c r="IKN33">
        <v>1</v>
      </c>
      <c r="IKO33">
        <v>1</v>
      </c>
      <c r="IKP33">
        <v>1</v>
      </c>
      <c r="IKQ33">
        <v>1</v>
      </c>
      <c r="IKR33">
        <v>1</v>
      </c>
      <c r="IKS33">
        <v>1</v>
      </c>
      <c r="IKT33">
        <v>1</v>
      </c>
      <c r="IKU33">
        <v>1</v>
      </c>
      <c r="IKV33">
        <v>1</v>
      </c>
      <c r="IKW33">
        <v>1</v>
      </c>
      <c r="IKX33">
        <v>1</v>
      </c>
      <c r="IKY33">
        <v>1</v>
      </c>
      <c r="IKZ33">
        <v>1</v>
      </c>
      <c r="ILA33">
        <v>1</v>
      </c>
      <c r="ILB33">
        <v>1</v>
      </c>
      <c r="ILC33">
        <v>1</v>
      </c>
      <c r="ILD33">
        <v>1</v>
      </c>
      <c r="ILE33">
        <v>1</v>
      </c>
      <c r="ILF33">
        <v>1</v>
      </c>
      <c r="KFW33" s="1">
        <f t="shared" si="0"/>
        <v>54</v>
      </c>
      <c r="KFX33">
        <f t="shared" si="1"/>
        <v>0</v>
      </c>
      <c r="KFY33">
        <f t="shared" si="2"/>
        <v>0</v>
      </c>
      <c r="KFZ33">
        <f t="shared" si="3"/>
        <v>0</v>
      </c>
      <c r="KGA33">
        <f t="shared" si="4"/>
        <v>0</v>
      </c>
      <c r="KGB33">
        <f t="shared" si="5"/>
        <v>0</v>
      </c>
      <c r="KGC33">
        <f t="shared" si="6"/>
        <v>0</v>
      </c>
      <c r="KGD33">
        <f t="shared" si="7"/>
        <v>0</v>
      </c>
      <c r="KGE33">
        <f t="shared" si="8"/>
        <v>0</v>
      </c>
      <c r="KGF33">
        <f t="shared" si="9"/>
        <v>0</v>
      </c>
      <c r="KGG33">
        <f t="shared" si="10"/>
        <v>0</v>
      </c>
      <c r="KGH33">
        <f t="shared" si="11"/>
        <v>0</v>
      </c>
      <c r="KGI33">
        <f t="shared" si="12"/>
        <v>0</v>
      </c>
      <c r="KGJ33">
        <f t="shared" si="13"/>
        <v>0</v>
      </c>
      <c r="KGK33">
        <f t="shared" si="14"/>
        <v>0</v>
      </c>
      <c r="KGL33">
        <f t="shared" si="15"/>
        <v>0</v>
      </c>
      <c r="KGM33">
        <f t="shared" si="16"/>
        <v>0</v>
      </c>
      <c r="KGN33">
        <f t="shared" si="17"/>
        <v>0</v>
      </c>
      <c r="KGO33">
        <f t="shared" si="18"/>
        <v>0</v>
      </c>
      <c r="KGP33">
        <f t="shared" si="19"/>
        <v>0</v>
      </c>
      <c r="KGQ33">
        <f t="shared" si="20"/>
        <v>0</v>
      </c>
      <c r="KGR33">
        <f t="shared" si="21"/>
        <v>0</v>
      </c>
      <c r="KGS33">
        <f t="shared" si="22"/>
        <v>0</v>
      </c>
      <c r="KGT33">
        <f t="shared" si="23"/>
        <v>0</v>
      </c>
      <c r="KGU33">
        <f t="shared" si="24"/>
        <v>0</v>
      </c>
      <c r="KGV33">
        <f t="shared" si="25"/>
        <v>0</v>
      </c>
      <c r="KGW33">
        <f t="shared" si="26"/>
        <v>0</v>
      </c>
      <c r="KGX33">
        <f t="shared" si="27"/>
        <v>0</v>
      </c>
      <c r="KGY33">
        <f t="shared" si="28"/>
        <v>0</v>
      </c>
      <c r="KGZ33">
        <f t="shared" si="29"/>
        <v>0</v>
      </c>
      <c r="KHA33">
        <f t="shared" si="30"/>
        <v>0</v>
      </c>
      <c r="KHB33">
        <f t="shared" si="31"/>
        <v>0</v>
      </c>
      <c r="KHC33">
        <f t="shared" si="32"/>
        <v>0</v>
      </c>
      <c r="KHD33">
        <f t="shared" si="33"/>
        <v>0</v>
      </c>
      <c r="KHE33">
        <f t="shared" si="34"/>
        <v>0</v>
      </c>
      <c r="KHF33">
        <f t="shared" si="35"/>
        <v>0</v>
      </c>
      <c r="KHG33">
        <f t="shared" si="36"/>
        <v>0</v>
      </c>
      <c r="KHH33">
        <f t="shared" si="37"/>
        <v>0</v>
      </c>
      <c r="KHI33">
        <f t="shared" si="38"/>
        <v>0</v>
      </c>
      <c r="KHJ33">
        <f t="shared" si="39"/>
        <v>0</v>
      </c>
      <c r="KHK33">
        <f t="shared" si="40"/>
        <v>0</v>
      </c>
      <c r="KHL33">
        <f t="shared" si="41"/>
        <v>0</v>
      </c>
      <c r="KHM33">
        <f t="shared" si="42"/>
        <v>0</v>
      </c>
      <c r="KHN33">
        <f t="shared" si="43"/>
        <v>0</v>
      </c>
      <c r="KHO33">
        <f t="shared" si="44"/>
        <v>0</v>
      </c>
      <c r="KHP33">
        <f t="shared" si="45"/>
        <v>0</v>
      </c>
      <c r="KHQ33">
        <f t="shared" si="46"/>
        <v>0</v>
      </c>
      <c r="KHR33">
        <f t="shared" si="47"/>
        <v>0</v>
      </c>
      <c r="KHS33">
        <f t="shared" si="48"/>
        <v>0</v>
      </c>
      <c r="KHT33">
        <f t="shared" si="49"/>
        <v>0</v>
      </c>
      <c r="KHU33">
        <f t="shared" si="50"/>
        <v>0</v>
      </c>
      <c r="KHV33">
        <f t="shared" si="51"/>
        <v>0</v>
      </c>
      <c r="KHW33">
        <f t="shared" si="52"/>
        <v>0</v>
      </c>
      <c r="KHX33">
        <f t="shared" si="53"/>
        <v>0</v>
      </c>
      <c r="KHY33">
        <f t="shared" si="54"/>
        <v>0</v>
      </c>
      <c r="KHZ33">
        <f t="shared" si="55"/>
        <v>0</v>
      </c>
      <c r="KIA33">
        <f t="shared" si="56"/>
        <v>0</v>
      </c>
      <c r="KIB33">
        <f t="shared" si="57"/>
        <v>0</v>
      </c>
      <c r="KIC33">
        <f t="shared" si="58"/>
        <v>0</v>
      </c>
      <c r="KID33">
        <f t="shared" si="59"/>
        <v>0</v>
      </c>
      <c r="KIE33">
        <f t="shared" si="60"/>
        <v>0</v>
      </c>
      <c r="KIF33">
        <f t="shared" si="61"/>
        <v>0</v>
      </c>
      <c r="KIG33">
        <f t="shared" si="62"/>
        <v>0</v>
      </c>
      <c r="KIH33">
        <f t="shared" si="63"/>
        <v>0</v>
      </c>
      <c r="KII33">
        <f t="shared" si="64"/>
        <v>0</v>
      </c>
      <c r="KIJ33">
        <f t="shared" si="65"/>
        <v>0</v>
      </c>
      <c r="KIK33">
        <f t="shared" si="66"/>
        <v>0</v>
      </c>
      <c r="KIL33">
        <f t="shared" si="67"/>
        <v>0</v>
      </c>
      <c r="KIM33">
        <f t="shared" si="68"/>
        <v>0</v>
      </c>
      <c r="KIN33">
        <f t="shared" si="69"/>
        <v>0</v>
      </c>
      <c r="KIO33">
        <f t="shared" si="70"/>
        <v>0</v>
      </c>
      <c r="KIP33">
        <f t="shared" si="71"/>
        <v>0</v>
      </c>
      <c r="KIQ33">
        <f t="shared" si="72"/>
        <v>0</v>
      </c>
      <c r="KIR33">
        <f t="shared" si="73"/>
        <v>0</v>
      </c>
      <c r="KIS33">
        <f t="shared" si="74"/>
        <v>0</v>
      </c>
      <c r="KIT33">
        <f t="shared" si="75"/>
        <v>0</v>
      </c>
      <c r="KIU33">
        <f t="shared" si="76"/>
        <v>0</v>
      </c>
      <c r="KIV33">
        <f t="shared" si="77"/>
        <v>0</v>
      </c>
      <c r="KIW33">
        <f t="shared" si="78"/>
        <v>0</v>
      </c>
      <c r="KIX33">
        <f t="shared" si="79"/>
        <v>0</v>
      </c>
      <c r="KIY33">
        <f t="shared" si="80"/>
        <v>0</v>
      </c>
      <c r="KIZ33">
        <f t="shared" si="81"/>
        <v>0</v>
      </c>
      <c r="KJA33">
        <f t="shared" si="82"/>
        <v>0</v>
      </c>
      <c r="KJB33">
        <f t="shared" si="83"/>
        <v>0</v>
      </c>
      <c r="KJC33">
        <f t="shared" si="84"/>
        <v>0</v>
      </c>
      <c r="KJD33">
        <f t="shared" si="85"/>
        <v>0</v>
      </c>
      <c r="KJE33">
        <f t="shared" si="86"/>
        <v>0</v>
      </c>
      <c r="KJF33">
        <f t="shared" si="87"/>
        <v>0</v>
      </c>
      <c r="KJG33">
        <f t="shared" si="88"/>
        <v>0</v>
      </c>
      <c r="KJH33">
        <f t="shared" si="89"/>
        <v>0</v>
      </c>
      <c r="KJI33">
        <f t="shared" si="90"/>
        <v>0</v>
      </c>
      <c r="KJJ33">
        <f t="shared" si="91"/>
        <v>0</v>
      </c>
      <c r="KJK33">
        <f t="shared" si="92"/>
        <v>0</v>
      </c>
      <c r="KJL33">
        <f t="shared" si="93"/>
        <v>0</v>
      </c>
      <c r="KJM33">
        <f t="shared" si="94"/>
        <v>0</v>
      </c>
      <c r="KJN33">
        <f t="shared" si="95"/>
        <v>0</v>
      </c>
      <c r="KJO33">
        <f t="shared" si="96"/>
        <v>0</v>
      </c>
      <c r="KJP33">
        <f t="shared" si="97"/>
        <v>0</v>
      </c>
      <c r="KJQ33">
        <f t="shared" si="98"/>
        <v>0</v>
      </c>
      <c r="KJR33">
        <f t="shared" si="99"/>
        <v>0</v>
      </c>
      <c r="KJT33">
        <f t="shared" si="100"/>
        <v>54</v>
      </c>
      <c r="KJV33">
        <f t="shared" si="100"/>
        <v>54</v>
      </c>
      <c r="KJW33">
        <f t="shared" si="101"/>
        <v>2.16</v>
      </c>
      <c r="KJY33">
        <f t="shared" si="101"/>
        <v>2.16</v>
      </c>
    </row>
    <row r="34" spans="1:815 1235:1250 2076:3055 3200:4678 5150:6014 6233:6829 7258:7721">
      <c r="A34" t="s">
        <v>17</v>
      </c>
      <c r="B34">
        <v>2</v>
      </c>
      <c r="FBU34">
        <v>1</v>
      </c>
      <c r="FBV34">
        <v>1</v>
      </c>
      <c r="FBW34">
        <v>1</v>
      </c>
      <c r="FBX34">
        <v>1</v>
      </c>
      <c r="FBY34">
        <v>1</v>
      </c>
      <c r="FBZ34">
        <v>1</v>
      </c>
      <c r="FCA34">
        <v>1</v>
      </c>
      <c r="FCB34">
        <v>1</v>
      </c>
      <c r="FCC34">
        <v>1</v>
      </c>
      <c r="FCD34">
        <v>1</v>
      </c>
      <c r="FCE34">
        <v>1</v>
      </c>
      <c r="FCF34">
        <v>1</v>
      </c>
      <c r="FCG34">
        <v>1</v>
      </c>
      <c r="FCH34">
        <v>1</v>
      </c>
      <c r="FCI34">
        <v>1</v>
      </c>
      <c r="FCJ34">
        <v>1</v>
      </c>
      <c r="FCK34">
        <v>1</v>
      </c>
      <c r="FCL34">
        <v>1</v>
      </c>
      <c r="FCM34">
        <v>1</v>
      </c>
      <c r="FCN34">
        <v>1</v>
      </c>
      <c r="FCO34">
        <v>1</v>
      </c>
      <c r="FCP34">
        <v>1</v>
      </c>
      <c r="FCQ34">
        <v>1</v>
      </c>
      <c r="FCR34">
        <v>1</v>
      </c>
      <c r="FCS34">
        <v>1</v>
      </c>
      <c r="FCT34">
        <v>1</v>
      </c>
      <c r="FCU34">
        <v>1</v>
      </c>
      <c r="FCV34">
        <v>1</v>
      </c>
      <c r="FCW34">
        <v>1</v>
      </c>
      <c r="FCX34">
        <v>1</v>
      </c>
      <c r="FCY34">
        <v>1</v>
      </c>
      <c r="FCZ34">
        <v>1</v>
      </c>
      <c r="FDA34">
        <v>1</v>
      </c>
      <c r="FDB34">
        <v>1</v>
      </c>
      <c r="FDC34">
        <v>1</v>
      </c>
      <c r="FDD34">
        <v>1</v>
      </c>
      <c r="FDE34">
        <v>1</v>
      </c>
      <c r="FDF34">
        <v>1</v>
      </c>
      <c r="FDG34">
        <v>1</v>
      </c>
      <c r="FDH34">
        <v>1</v>
      </c>
      <c r="FDI34">
        <v>1</v>
      </c>
      <c r="FDJ34">
        <v>1</v>
      </c>
      <c r="FDK34">
        <v>1</v>
      </c>
      <c r="FDL34">
        <v>1</v>
      </c>
      <c r="FDM34">
        <v>1</v>
      </c>
      <c r="FDN34">
        <v>1</v>
      </c>
      <c r="FDO34">
        <v>1</v>
      </c>
      <c r="FDP34">
        <v>1</v>
      </c>
      <c r="FDQ34">
        <v>1</v>
      </c>
      <c r="FDR34">
        <v>1</v>
      </c>
      <c r="FDS34">
        <v>1</v>
      </c>
      <c r="FDT34">
        <v>1</v>
      </c>
      <c r="FDU34">
        <v>1</v>
      </c>
      <c r="FDV34">
        <v>1</v>
      </c>
      <c r="FDW34">
        <v>1</v>
      </c>
      <c r="FDX34">
        <v>1</v>
      </c>
      <c r="FDY34">
        <v>1</v>
      </c>
      <c r="FDZ34">
        <v>1</v>
      </c>
      <c r="FEA34">
        <v>1</v>
      </c>
      <c r="FEB34">
        <v>1</v>
      </c>
      <c r="FEC34">
        <v>1</v>
      </c>
      <c r="FHZ34">
        <v>2</v>
      </c>
      <c r="FIA34">
        <v>2</v>
      </c>
      <c r="FIB34">
        <v>2</v>
      </c>
      <c r="FIC34">
        <v>2</v>
      </c>
      <c r="FID34">
        <v>2</v>
      </c>
      <c r="FIE34">
        <v>2</v>
      </c>
      <c r="FIF34">
        <v>2</v>
      </c>
      <c r="FIG34">
        <v>2</v>
      </c>
      <c r="FIH34">
        <v>2</v>
      </c>
      <c r="FII34">
        <v>2</v>
      </c>
      <c r="FIJ34">
        <v>2</v>
      </c>
      <c r="FIK34">
        <v>2</v>
      </c>
      <c r="FIL34">
        <v>2</v>
      </c>
      <c r="FIM34">
        <v>2</v>
      </c>
      <c r="FIN34">
        <v>2</v>
      </c>
      <c r="FIO34">
        <v>2</v>
      </c>
      <c r="FIP34">
        <v>2</v>
      </c>
      <c r="FIQ34">
        <v>2</v>
      </c>
      <c r="FIR34">
        <v>2</v>
      </c>
      <c r="FIS34">
        <v>2</v>
      </c>
      <c r="FIT34">
        <v>2</v>
      </c>
      <c r="FIU34">
        <v>2</v>
      </c>
      <c r="FIV34">
        <v>2</v>
      </c>
      <c r="FIW34">
        <v>2</v>
      </c>
      <c r="FIX34">
        <v>2</v>
      </c>
      <c r="FIY34">
        <v>2</v>
      </c>
      <c r="FIZ34">
        <v>2</v>
      </c>
      <c r="FJA34">
        <v>2</v>
      </c>
      <c r="FJB34">
        <v>2</v>
      </c>
      <c r="FJC34">
        <v>2</v>
      </c>
      <c r="FJD34">
        <v>2</v>
      </c>
      <c r="FJE34">
        <v>2</v>
      </c>
      <c r="FJF34">
        <v>2</v>
      </c>
      <c r="FJG34">
        <v>2</v>
      </c>
      <c r="FJH34">
        <v>2</v>
      </c>
      <c r="FJI34">
        <v>2</v>
      </c>
      <c r="FJJ34">
        <v>2</v>
      </c>
      <c r="FJK34">
        <v>2</v>
      </c>
      <c r="FJL34">
        <v>2</v>
      </c>
      <c r="FJM34">
        <v>2</v>
      </c>
      <c r="FJN34">
        <v>2</v>
      </c>
      <c r="FJO34">
        <v>2</v>
      </c>
      <c r="FJP34">
        <v>2</v>
      </c>
      <c r="FJQ34">
        <v>2</v>
      </c>
      <c r="FJR34">
        <v>2</v>
      </c>
      <c r="FJS34">
        <v>2</v>
      </c>
      <c r="FJT34">
        <v>2</v>
      </c>
      <c r="FJU34">
        <v>2</v>
      </c>
      <c r="FJV34">
        <v>2</v>
      </c>
      <c r="FJW34">
        <v>2</v>
      </c>
      <c r="FJX34">
        <v>2</v>
      </c>
      <c r="FJY34">
        <v>2</v>
      </c>
      <c r="FJZ34">
        <v>2</v>
      </c>
      <c r="FKA34">
        <v>2</v>
      </c>
      <c r="FKB34">
        <v>2</v>
      </c>
      <c r="FKC34">
        <v>2</v>
      </c>
      <c r="FKD34">
        <v>2</v>
      </c>
      <c r="FKE34">
        <v>2</v>
      </c>
      <c r="FKF34">
        <v>2</v>
      </c>
      <c r="FKG34">
        <v>2</v>
      </c>
      <c r="FKH34">
        <v>2</v>
      </c>
      <c r="FKI34">
        <v>2</v>
      </c>
      <c r="FKJ34">
        <v>2</v>
      </c>
      <c r="FKK34">
        <v>2</v>
      </c>
      <c r="FKL34">
        <v>2</v>
      </c>
      <c r="FKM34">
        <v>2</v>
      </c>
      <c r="FKN34">
        <v>2</v>
      </c>
      <c r="FKO34">
        <v>2</v>
      </c>
      <c r="FKP34">
        <v>2</v>
      </c>
      <c r="FKQ34">
        <v>2</v>
      </c>
      <c r="FKR34">
        <v>2</v>
      </c>
      <c r="FKS34">
        <v>2</v>
      </c>
      <c r="FKT34">
        <v>2</v>
      </c>
      <c r="FKU34">
        <v>2</v>
      </c>
      <c r="FKV34">
        <v>2</v>
      </c>
      <c r="FKW34">
        <v>2</v>
      </c>
      <c r="FKX34">
        <v>2</v>
      </c>
      <c r="FKY34">
        <v>2</v>
      </c>
      <c r="FKZ34">
        <v>2</v>
      </c>
      <c r="FLA34">
        <v>2</v>
      </c>
      <c r="FLB34">
        <v>2</v>
      </c>
      <c r="FLC34">
        <v>2</v>
      </c>
      <c r="FLD34">
        <v>2</v>
      </c>
      <c r="FLE34">
        <v>2</v>
      </c>
      <c r="FLF34">
        <v>2</v>
      </c>
      <c r="KFW34" s="1">
        <f t="shared" si="0"/>
        <v>61</v>
      </c>
      <c r="KFX34">
        <f t="shared" si="1"/>
        <v>85</v>
      </c>
      <c r="KFY34">
        <f t="shared" si="2"/>
        <v>0</v>
      </c>
      <c r="KFZ34">
        <f t="shared" si="3"/>
        <v>0</v>
      </c>
      <c r="KGA34">
        <f t="shared" si="4"/>
        <v>0</v>
      </c>
      <c r="KGB34">
        <f t="shared" si="5"/>
        <v>0</v>
      </c>
      <c r="KGC34">
        <f t="shared" si="6"/>
        <v>0</v>
      </c>
      <c r="KGD34">
        <f t="shared" si="7"/>
        <v>0</v>
      </c>
      <c r="KGE34">
        <f t="shared" si="8"/>
        <v>0</v>
      </c>
      <c r="KGF34">
        <f t="shared" si="9"/>
        <v>0</v>
      </c>
      <c r="KGG34">
        <f t="shared" si="10"/>
        <v>0</v>
      </c>
      <c r="KGH34">
        <f t="shared" si="11"/>
        <v>0</v>
      </c>
      <c r="KGI34">
        <f t="shared" si="12"/>
        <v>0</v>
      </c>
      <c r="KGJ34">
        <f t="shared" si="13"/>
        <v>0</v>
      </c>
      <c r="KGK34">
        <f t="shared" si="14"/>
        <v>0</v>
      </c>
      <c r="KGL34">
        <f t="shared" si="15"/>
        <v>0</v>
      </c>
      <c r="KGM34">
        <f t="shared" si="16"/>
        <v>0</v>
      </c>
      <c r="KGN34">
        <f t="shared" si="17"/>
        <v>0</v>
      </c>
      <c r="KGO34">
        <f t="shared" si="18"/>
        <v>0</v>
      </c>
      <c r="KGP34">
        <f t="shared" si="19"/>
        <v>0</v>
      </c>
      <c r="KGQ34">
        <f t="shared" si="20"/>
        <v>0</v>
      </c>
      <c r="KGR34">
        <f t="shared" si="21"/>
        <v>0</v>
      </c>
      <c r="KGS34">
        <f t="shared" si="22"/>
        <v>0</v>
      </c>
      <c r="KGT34">
        <f t="shared" si="23"/>
        <v>0</v>
      </c>
      <c r="KGU34">
        <f t="shared" si="24"/>
        <v>0</v>
      </c>
      <c r="KGV34">
        <f t="shared" si="25"/>
        <v>0</v>
      </c>
      <c r="KGW34">
        <f t="shared" si="26"/>
        <v>0</v>
      </c>
      <c r="KGX34">
        <f t="shared" si="27"/>
        <v>0</v>
      </c>
      <c r="KGY34">
        <f t="shared" si="28"/>
        <v>0</v>
      </c>
      <c r="KGZ34">
        <f t="shared" si="29"/>
        <v>0</v>
      </c>
      <c r="KHA34">
        <f t="shared" si="30"/>
        <v>0</v>
      </c>
      <c r="KHB34">
        <f t="shared" si="31"/>
        <v>0</v>
      </c>
      <c r="KHC34">
        <f t="shared" si="32"/>
        <v>0</v>
      </c>
      <c r="KHD34">
        <f t="shared" si="33"/>
        <v>0</v>
      </c>
      <c r="KHE34">
        <f t="shared" si="34"/>
        <v>0</v>
      </c>
      <c r="KHF34">
        <f t="shared" si="35"/>
        <v>0</v>
      </c>
      <c r="KHG34">
        <f t="shared" si="36"/>
        <v>0</v>
      </c>
      <c r="KHH34">
        <f t="shared" si="37"/>
        <v>0</v>
      </c>
      <c r="KHI34">
        <f t="shared" si="38"/>
        <v>0</v>
      </c>
      <c r="KHJ34">
        <f t="shared" si="39"/>
        <v>0</v>
      </c>
      <c r="KHK34">
        <f t="shared" si="40"/>
        <v>0</v>
      </c>
      <c r="KHL34">
        <f t="shared" si="41"/>
        <v>0</v>
      </c>
      <c r="KHM34">
        <f t="shared" si="42"/>
        <v>0</v>
      </c>
      <c r="KHN34">
        <f t="shared" si="43"/>
        <v>0</v>
      </c>
      <c r="KHO34">
        <f t="shared" si="44"/>
        <v>0</v>
      </c>
      <c r="KHP34">
        <f t="shared" si="45"/>
        <v>0</v>
      </c>
      <c r="KHQ34">
        <f t="shared" si="46"/>
        <v>0</v>
      </c>
      <c r="KHR34">
        <f t="shared" si="47"/>
        <v>0</v>
      </c>
      <c r="KHS34">
        <f t="shared" si="48"/>
        <v>0</v>
      </c>
      <c r="KHT34">
        <f t="shared" si="49"/>
        <v>0</v>
      </c>
      <c r="KHU34">
        <f t="shared" si="50"/>
        <v>0</v>
      </c>
      <c r="KHV34">
        <f t="shared" si="51"/>
        <v>0</v>
      </c>
      <c r="KHW34">
        <f t="shared" si="52"/>
        <v>0</v>
      </c>
      <c r="KHX34">
        <f t="shared" si="53"/>
        <v>0</v>
      </c>
      <c r="KHY34">
        <f t="shared" si="54"/>
        <v>0</v>
      </c>
      <c r="KHZ34">
        <f t="shared" si="55"/>
        <v>0</v>
      </c>
      <c r="KIA34">
        <f t="shared" si="56"/>
        <v>0</v>
      </c>
      <c r="KIB34">
        <f t="shared" si="57"/>
        <v>0</v>
      </c>
      <c r="KIC34">
        <f t="shared" si="58"/>
        <v>0</v>
      </c>
      <c r="KID34">
        <f t="shared" si="59"/>
        <v>0</v>
      </c>
      <c r="KIE34">
        <f t="shared" si="60"/>
        <v>0</v>
      </c>
      <c r="KIF34">
        <f t="shared" si="61"/>
        <v>0</v>
      </c>
      <c r="KIG34">
        <f t="shared" si="62"/>
        <v>0</v>
      </c>
      <c r="KIH34">
        <f t="shared" si="63"/>
        <v>0</v>
      </c>
      <c r="KII34">
        <f t="shared" si="64"/>
        <v>0</v>
      </c>
      <c r="KIJ34">
        <f t="shared" si="65"/>
        <v>0</v>
      </c>
      <c r="KIK34">
        <f t="shared" si="66"/>
        <v>0</v>
      </c>
      <c r="KIL34">
        <f t="shared" si="67"/>
        <v>0</v>
      </c>
      <c r="KIM34">
        <f t="shared" si="68"/>
        <v>0</v>
      </c>
      <c r="KIN34">
        <f t="shared" si="69"/>
        <v>0</v>
      </c>
      <c r="KIO34">
        <f t="shared" si="70"/>
        <v>0</v>
      </c>
      <c r="KIP34">
        <f t="shared" si="71"/>
        <v>0</v>
      </c>
      <c r="KIQ34">
        <f t="shared" si="72"/>
        <v>0</v>
      </c>
      <c r="KIR34">
        <f t="shared" si="73"/>
        <v>0</v>
      </c>
      <c r="KIS34">
        <f t="shared" si="74"/>
        <v>0</v>
      </c>
      <c r="KIT34">
        <f t="shared" si="75"/>
        <v>0</v>
      </c>
      <c r="KIU34">
        <f t="shared" si="76"/>
        <v>0</v>
      </c>
      <c r="KIV34">
        <f t="shared" si="77"/>
        <v>0</v>
      </c>
      <c r="KIW34">
        <f t="shared" si="78"/>
        <v>0</v>
      </c>
      <c r="KIX34">
        <f t="shared" si="79"/>
        <v>0</v>
      </c>
      <c r="KIY34">
        <f t="shared" si="80"/>
        <v>0</v>
      </c>
      <c r="KIZ34">
        <f t="shared" si="81"/>
        <v>0</v>
      </c>
      <c r="KJA34">
        <f t="shared" si="82"/>
        <v>0</v>
      </c>
      <c r="KJB34">
        <f t="shared" si="83"/>
        <v>0</v>
      </c>
      <c r="KJC34">
        <f t="shared" si="84"/>
        <v>0</v>
      </c>
      <c r="KJD34">
        <f t="shared" si="85"/>
        <v>0</v>
      </c>
      <c r="KJE34">
        <f t="shared" si="86"/>
        <v>0</v>
      </c>
      <c r="KJF34">
        <f t="shared" si="87"/>
        <v>0</v>
      </c>
      <c r="KJG34">
        <f t="shared" si="88"/>
        <v>0</v>
      </c>
      <c r="KJH34">
        <f t="shared" si="89"/>
        <v>0</v>
      </c>
      <c r="KJI34">
        <f t="shared" si="90"/>
        <v>0</v>
      </c>
      <c r="KJJ34">
        <f t="shared" si="91"/>
        <v>0</v>
      </c>
      <c r="KJK34">
        <f t="shared" si="92"/>
        <v>0</v>
      </c>
      <c r="KJL34">
        <f t="shared" si="93"/>
        <v>0</v>
      </c>
      <c r="KJM34">
        <f t="shared" si="94"/>
        <v>0</v>
      </c>
      <c r="KJN34">
        <f t="shared" si="95"/>
        <v>0</v>
      </c>
      <c r="KJO34">
        <f t="shared" si="96"/>
        <v>0</v>
      </c>
      <c r="KJP34">
        <f t="shared" si="97"/>
        <v>0</v>
      </c>
      <c r="KJQ34">
        <f t="shared" si="98"/>
        <v>0</v>
      </c>
      <c r="KJR34">
        <f t="shared" si="99"/>
        <v>0</v>
      </c>
      <c r="KJT34">
        <f t="shared" si="100"/>
        <v>146</v>
      </c>
      <c r="KJV34">
        <f t="shared" si="100"/>
        <v>146</v>
      </c>
      <c r="KJW34">
        <f t="shared" si="101"/>
        <v>5.84</v>
      </c>
      <c r="KJY34">
        <f t="shared" si="101"/>
        <v>5.84</v>
      </c>
    </row>
    <row r="35" spans="1:815 1235:1250 2076:3055 3200:4678 5150:6014 6233:6829 7258:7721">
      <c r="A35" t="s">
        <v>33</v>
      </c>
      <c r="B35">
        <v>1</v>
      </c>
      <c r="FED35">
        <v>1</v>
      </c>
      <c r="FEE35">
        <v>1</v>
      </c>
      <c r="FEF35">
        <v>1</v>
      </c>
      <c r="FEG35">
        <v>1</v>
      </c>
      <c r="FEH35">
        <v>1</v>
      </c>
      <c r="FEI35">
        <v>1</v>
      </c>
      <c r="FEJ35">
        <v>1</v>
      </c>
      <c r="FEK35">
        <v>1</v>
      </c>
      <c r="FEL35">
        <v>1</v>
      </c>
      <c r="FEM35">
        <v>1</v>
      </c>
      <c r="FEN35">
        <v>1</v>
      </c>
      <c r="FEO35">
        <v>1</v>
      </c>
      <c r="FEP35">
        <v>1</v>
      </c>
      <c r="FEQ35">
        <v>1</v>
      </c>
      <c r="FER35">
        <v>1</v>
      </c>
      <c r="FES35">
        <v>1</v>
      </c>
      <c r="FET35">
        <v>1</v>
      </c>
      <c r="FEU35">
        <v>1</v>
      </c>
      <c r="FEV35">
        <v>1</v>
      </c>
      <c r="FEW35">
        <v>1</v>
      </c>
      <c r="FEX35">
        <v>1</v>
      </c>
      <c r="FEY35">
        <v>1</v>
      </c>
      <c r="FEZ35">
        <v>1</v>
      </c>
      <c r="FFA35">
        <v>1</v>
      </c>
      <c r="FFB35">
        <v>1</v>
      </c>
      <c r="FFC35">
        <v>1</v>
      </c>
      <c r="FFD35">
        <v>1</v>
      </c>
      <c r="FFE35">
        <v>1</v>
      </c>
      <c r="FFF35">
        <v>1</v>
      </c>
      <c r="FFG35">
        <v>1</v>
      </c>
      <c r="FFH35">
        <v>1</v>
      </c>
      <c r="FFI35">
        <v>1</v>
      </c>
      <c r="FFJ35">
        <v>1</v>
      </c>
      <c r="FFK35">
        <v>1</v>
      </c>
      <c r="FFL35">
        <v>1</v>
      </c>
      <c r="FFM35">
        <v>1</v>
      </c>
      <c r="FFN35">
        <v>1</v>
      </c>
      <c r="FFO35">
        <v>1</v>
      </c>
      <c r="FFP35">
        <v>1</v>
      </c>
      <c r="FFQ35">
        <v>1</v>
      </c>
      <c r="FFR35">
        <v>1</v>
      </c>
      <c r="FFS35">
        <v>1</v>
      </c>
      <c r="FFT35">
        <v>1</v>
      </c>
      <c r="FFU35">
        <v>1</v>
      </c>
      <c r="FFV35">
        <v>1</v>
      </c>
      <c r="FFW35">
        <v>1</v>
      </c>
      <c r="FFX35">
        <v>1</v>
      </c>
      <c r="FFY35">
        <v>1</v>
      </c>
      <c r="FFZ35">
        <v>1</v>
      </c>
      <c r="FGA35">
        <v>1</v>
      </c>
      <c r="FGB35">
        <v>1</v>
      </c>
      <c r="FGC35">
        <v>1</v>
      </c>
      <c r="FGD35">
        <v>1</v>
      </c>
      <c r="FGE35">
        <v>1</v>
      </c>
      <c r="FGF35">
        <v>1</v>
      </c>
      <c r="FGG35">
        <v>1</v>
      </c>
      <c r="FGH35">
        <v>1</v>
      </c>
      <c r="FGI35">
        <v>1</v>
      </c>
      <c r="FGJ35">
        <v>1</v>
      </c>
      <c r="FGK35">
        <v>1</v>
      </c>
      <c r="FGL35">
        <v>1</v>
      </c>
      <c r="FGM35">
        <v>1</v>
      </c>
      <c r="FGN35">
        <v>1</v>
      </c>
      <c r="FGO35">
        <v>1</v>
      </c>
      <c r="FGP35">
        <v>1</v>
      </c>
      <c r="FGQ35">
        <v>1</v>
      </c>
      <c r="FGR35">
        <v>1</v>
      </c>
      <c r="FGS35">
        <v>1</v>
      </c>
      <c r="FGT35">
        <v>1</v>
      </c>
      <c r="FGU35">
        <v>1</v>
      </c>
      <c r="FGV35">
        <v>1</v>
      </c>
      <c r="FGW35">
        <v>1</v>
      </c>
      <c r="FGX35">
        <v>1</v>
      </c>
      <c r="FGY35">
        <v>1</v>
      </c>
      <c r="FGZ35">
        <v>1</v>
      </c>
      <c r="FHA35">
        <v>1</v>
      </c>
      <c r="FHB35">
        <v>1</v>
      </c>
      <c r="FHC35">
        <v>1</v>
      </c>
      <c r="FHD35">
        <v>1</v>
      </c>
      <c r="FHE35">
        <v>1</v>
      </c>
      <c r="FHF35">
        <v>1</v>
      </c>
      <c r="FHG35">
        <v>1</v>
      </c>
      <c r="FHH35">
        <v>1</v>
      </c>
      <c r="FHI35">
        <v>1</v>
      </c>
      <c r="FHJ35">
        <v>1</v>
      </c>
      <c r="FHK35">
        <v>1</v>
      </c>
      <c r="FHL35">
        <v>1</v>
      </c>
      <c r="FHM35">
        <v>1</v>
      </c>
      <c r="FHN35">
        <v>1</v>
      </c>
      <c r="FHO35">
        <v>1</v>
      </c>
      <c r="FHP35">
        <v>1</v>
      </c>
      <c r="FHQ35">
        <v>1</v>
      </c>
      <c r="FHR35">
        <v>1</v>
      </c>
      <c r="FHS35">
        <v>1</v>
      </c>
      <c r="FHT35">
        <v>1</v>
      </c>
      <c r="FHU35">
        <v>1</v>
      </c>
      <c r="FHV35">
        <v>1</v>
      </c>
      <c r="FHW35">
        <v>1</v>
      </c>
      <c r="FHX35">
        <v>1</v>
      </c>
      <c r="FHY35">
        <v>1</v>
      </c>
      <c r="KFW35" s="1">
        <f t="shared" si="0"/>
        <v>100</v>
      </c>
      <c r="KFX35">
        <f t="shared" si="1"/>
        <v>0</v>
      </c>
      <c r="KFY35">
        <f t="shared" si="2"/>
        <v>0</v>
      </c>
      <c r="KFZ35">
        <f t="shared" si="3"/>
        <v>0</v>
      </c>
      <c r="KGA35">
        <f t="shared" si="4"/>
        <v>0</v>
      </c>
      <c r="KGB35">
        <f t="shared" si="5"/>
        <v>0</v>
      </c>
      <c r="KGC35">
        <f t="shared" si="6"/>
        <v>0</v>
      </c>
      <c r="KGD35">
        <f t="shared" si="7"/>
        <v>0</v>
      </c>
      <c r="KGE35">
        <f t="shared" si="8"/>
        <v>0</v>
      </c>
      <c r="KGF35">
        <f t="shared" si="9"/>
        <v>0</v>
      </c>
      <c r="KGG35">
        <f t="shared" si="10"/>
        <v>0</v>
      </c>
      <c r="KGH35">
        <f t="shared" si="11"/>
        <v>0</v>
      </c>
      <c r="KGI35">
        <f t="shared" si="12"/>
        <v>0</v>
      </c>
      <c r="KGJ35">
        <f t="shared" si="13"/>
        <v>0</v>
      </c>
      <c r="KGK35">
        <f t="shared" si="14"/>
        <v>0</v>
      </c>
      <c r="KGL35">
        <f t="shared" si="15"/>
        <v>0</v>
      </c>
      <c r="KGM35">
        <f t="shared" si="16"/>
        <v>0</v>
      </c>
      <c r="KGN35">
        <f t="shared" si="17"/>
        <v>0</v>
      </c>
      <c r="KGO35">
        <f t="shared" si="18"/>
        <v>0</v>
      </c>
      <c r="KGP35">
        <f t="shared" si="19"/>
        <v>0</v>
      </c>
      <c r="KGQ35">
        <f t="shared" si="20"/>
        <v>0</v>
      </c>
      <c r="KGR35">
        <f t="shared" si="21"/>
        <v>0</v>
      </c>
      <c r="KGS35">
        <f t="shared" si="22"/>
        <v>0</v>
      </c>
      <c r="KGT35">
        <f t="shared" si="23"/>
        <v>0</v>
      </c>
      <c r="KGU35">
        <f t="shared" si="24"/>
        <v>0</v>
      </c>
      <c r="KGV35">
        <f t="shared" si="25"/>
        <v>0</v>
      </c>
      <c r="KGW35">
        <f t="shared" si="26"/>
        <v>0</v>
      </c>
      <c r="KGX35">
        <f t="shared" si="27"/>
        <v>0</v>
      </c>
      <c r="KGY35">
        <f t="shared" si="28"/>
        <v>0</v>
      </c>
      <c r="KGZ35">
        <f t="shared" si="29"/>
        <v>0</v>
      </c>
      <c r="KHA35">
        <f t="shared" si="30"/>
        <v>0</v>
      </c>
      <c r="KHB35">
        <f t="shared" si="31"/>
        <v>0</v>
      </c>
      <c r="KHC35">
        <f t="shared" si="32"/>
        <v>0</v>
      </c>
      <c r="KHD35">
        <f t="shared" si="33"/>
        <v>0</v>
      </c>
      <c r="KHE35">
        <f t="shared" si="34"/>
        <v>0</v>
      </c>
      <c r="KHF35">
        <f t="shared" si="35"/>
        <v>0</v>
      </c>
      <c r="KHG35">
        <f t="shared" si="36"/>
        <v>0</v>
      </c>
      <c r="KHH35">
        <f t="shared" si="37"/>
        <v>0</v>
      </c>
      <c r="KHI35">
        <f t="shared" si="38"/>
        <v>0</v>
      </c>
      <c r="KHJ35">
        <f t="shared" si="39"/>
        <v>0</v>
      </c>
      <c r="KHK35">
        <f t="shared" si="40"/>
        <v>0</v>
      </c>
      <c r="KHL35">
        <f t="shared" si="41"/>
        <v>0</v>
      </c>
      <c r="KHM35">
        <f t="shared" si="42"/>
        <v>0</v>
      </c>
      <c r="KHN35">
        <f t="shared" si="43"/>
        <v>0</v>
      </c>
      <c r="KHO35">
        <f t="shared" si="44"/>
        <v>0</v>
      </c>
      <c r="KHP35">
        <f t="shared" si="45"/>
        <v>0</v>
      </c>
      <c r="KHQ35">
        <f t="shared" si="46"/>
        <v>0</v>
      </c>
      <c r="KHR35">
        <f t="shared" si="47"/>
        <v>0</v>
      </c>
      <c r="KHS35">
        <f t="shared" si="48"/>
        <v>0</v>
      </c>
      <c r="KHT35">
        <f t="shared" si="49"/>
        <v>0</v>
      </c>
      <c r="KHU35">
        <f t="shared" si="50"/>
        <v>0</v>
      </c>
      <c r="KHV35">
        <f t="shared" si="51"/>
        <v>0</v>
      </c>
      <c r="KHW35">
        <f t="shared" si="52"/>
        <v>0</v>
      </c>
      <c r="KHX35">
        <f t="shared" si="53"/>
        <v>0</v>
      </c>
      <c r="KHY35">
        <f t="shared" si="54"/>
        <v>0</v>
      </c>
      <c r="KHZ35">
        <f t="shared" si="55"/>
        <v>0</v>
      </c>
      <c r="KIA35">
        <f t="shared" si="56"/>
        <v>0</v>
      </c>
      <c r="KIB35">
        <f t="shared" si="57"/>
        <v>0</v>
      </c>
      <c r="KIC35">
        <f t="shared" si="58"/>
        <v>0</v>
      </c>
      <c r="KID35">
        <f t="shared" si="59"/>
        <v>0</v>
      </c>
      <c r="KIE35">
        <f t="shared" si="60"/>
        <v>0</v>
      </c>
      <c r="KIF35">
        <f t="shared" si="61"/>
        <v>0</v>
      </c>
      <c r="KIG35">
        <f t="shared" si="62"/>
        <v>0</v>
      </c>
      <c r="KIH35">
        <f t="shared" si="63"/>
        <v>0</v>
      </c>
      <c r="KII35">
        <f t="shared" si="64"/>
        <v>0</v>
      </c>
      <c r="KIJ35">
        <f t="shared" si="65"/>
        <v>0</v>
      </c>
      <c r="KIK35">
        <f t="shared" si="66"/>
        <v>0</v>
      </c>
      <c r="KIL35">
        <f t="shared" si="67"/>
        <v>0</v>
      </c>
      <c r="KIM35">
        <f t="shared" si="68"/>
        <v>0</v>
      </c>
      <c r="KIN35">
        <f t="shared" si="69"/>
        <v>0</v>
      </c>
      <c r="KIO35">
        <f t="shared" si="70"/>
        <v>0</v>
      </c>
      <c r="KIP35">
        <f t="shared" si="71"/>
        <v>0</v>
      </c>
      <c r="KIQ35">
        <f t="shared" si="72"/>
        <v>0</v>
      </c>
      <c r="KIR35">
        <f t="shared" si="73"/>
        <v>0</v>
      </c>
      <c r="KIS35">
        <f t="shared" si="74"/>
        <v>0</v>
      </c>
      <c r="KIT35">
        <f t="shared" si="75"/>
        <v>0</v>
      </c>
      <c r="KIU35">
        <f t="shared" si="76"/>
        <v>0</v>
      </c>
      <c r="KIV35">
        <f t="shared" si="77"/>
        <v>0</v>
      </c>
      <c r="KIW35">
        <f t="shared" si="78"/>
        <v>0</v>
      </c>
      <c r="KIX35">
        <f t="shared" si="79"/>
        <v>0</v>
      </c>
      <c r="KIY35">
        <f t="shared" si="80"/>
        <v>0</v>
      </c>
      <c r="KIZ35">
        <f t="shared" si="81"/>
        <v>0</v>
      </c>
      <c r="KJA35">
        <f t="shared" si="82"/>
        <v>0</v>
      </c>
      <c r="KJB35">
        <f t="shared" si="83"/>
        <v>0</v>
      </c>
      <c r="KJC35">
        <f t="shared" si="84"/>
        <v>0</v>
      </c>
      <c r="KJD35">
        <f t="shared" si="85"/>
        <v>0</v>
      </c>
      <c r="KJE35">
        <f t="shared" si="86"/>
        <v>0</v>
      </c>
      <c r="KJF35">
        <f t="shared" si="87"/>
        <v>0</v>
      </c>
      <c r="KJG35">
        <f t="shared" si="88"/>
        <v>0</v>
      </c>
      <c r="KJH35">
        <f t="shared" si="89"/>
        <v>0</v>
      </c>
      <c r="KJI35">
        <f t="shared" si="90"/>
        <v>0</v>
      </c>
      <c r="KJJ35">
        <f t="shared" si="91"/>
        <v>0</v>
      </c>
      <c r="KJK35">
        <f t="shared" si="92"/>
        <v>0</v>
      </c>
      <c r="KJL35">
        <f t="shared" si="93"/>
        <v>0</v>
      </c>
      <c r="KJM35">
        <f t="shared" si="94"/>
        <v>0</v>
      </c>
      <c r="KJN35">
        <f t="shared" si="95"/>
        <v>0</v>
      </c>
      <c r="KJO35">
        <f t="shared" si="96"/>
        <v>0</v>
      </c>
      <c r="KJP35">
        <f t="shared" si="97"/>
        <v>0</v>
      </c>
      <c r="KJQ35">
        <f t="shared" si="98"/>
        <v>0</v>
      </c>
      <c r="KJR35">
        <f t="shared" si="99"/>
        <v>0</v>
      </c>
      <c r="KJT35">
        <f t="shared" si="100"/>
        <v>100</v>
      </c>
      <c r="KJV35">
        <f t="shared" si="100"/>
        <v>100</v>
      </c>
      <c r="KJW35">
        <f t="shared" si="101"/>
        <v>4</v>
      </c>
      <c r="KJY35">
        <f t="shared" si="101"/>
        <v>4</v>
      </c>
    </row>
    <row r="36" spans="1:815 1235:1250 2076:3055 3200:4678 5150:6014 6233:6829 7258:7721">
      <c r="A36" t="s">
        <v>18</v>
      </c>
      <c r="B36">
        <v>4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ZU36">
        <v>2</v>
      </c>
      <c r="ZV36">
        <v>2</v>
      </c>
      <c r="ZW36">
        <v>2</v>
      </c>
      <c r="ZX36">
        <v>2</v>
      </c>
      <c r="ZY36">
        <v>2</v>
      </c>
      <c r="ZZ36">
        <v>2</v>
      </c>
      <c r="AAA36">
        <v>2</v>
      </c>
      <c r="AAB36">
        <v>2</v>
      </c>
      <c r="AAC36">
        <v>2</v>
      </c>
      <c r="AAD36">
        <v>2</v>
      </c>
      <c r="AAE36">
        <v>2</v>
      </c>
      <c r="AAF36">
        <v>2</v>
      </c>
      <c r="AAG36">
        <v>2</v>
      </c>
      <c r="AAH36">
        <v>2</v>
      </c>
      <c r="AAI36">
        <v>2</v>
      </c>
      <c r="AAJ36">
        <v>2</v>
      </c>
      <c r="AAK36">
        <v>2</v>
      </c>
      <c r="AAL36">
        <v>2</v>
      </c>
      <c r="AAM36">
        <v>2</v>
      </c>
      <c r="AAN36">
        <v>2</v>
      </c>
      <c r="AAO36">
        <v>2</v>
      </c>
      <c r="AAP36">
        <v>2</v>
      </c>
      <c r="AAQ36">
        <v>2</v>
      </c>
      <c r="AAR36">
        <v>2</v>
      </c>
      <c r="GQV36">
        <v>3</v>
      </c>
      <c r="GQW36">
        <v>3</v>
      </c>
      <c r="GQX36">
        <v>3</v>
      </c>
      <c r="GQY36">
        <v>3</v>
      </c>
      <c r="GQZ36">
        <v>3</v>
      </c>
      <c r="GRA36">
        <v>3</v>
      </c>
      <c r="GRB36">
        <v>3</v>
      </c>
      <c r="GRC36">
        <v>3</v>
      </c>
      <c r="GRD36">
        <v>3</v>
      </c>
      <c r="GRE36">
        <v>3</v>
      </c>
      <c r="GRF36">
        <v>3</v>
      </c>
      <c r="GRG36">
        <v>3</v>
      </c>
      <c r="GRH36">
        <v>3</v>
      </c>
      <c r="GRI36">
        <v>3</v>
      </c>
      <c r="GRJ36">
        <v>3</v>
      </c>
      <c r="GRK36">
        <v>3</v>
      </c>
      <c r="GRL36">
        <v>3</v>
      </c>
      <c r="GRM36">
        <v>3</v>
      </c>
      <c r="GRN36">
        <v>3</v>
      </c>
      <c r="GRO36">
        <v>3</v>
      </c>
      <c r="GRP36">
        <v>3</v>
      </c>
      <c r="GRQ36">
        <v>3</v>
      </c>
      <c r="ISG36">
        <v>4</v>
      </c>
      <c r="ISH36">
        <v>4</v>
      </c>
      <c r="ISI36">
        <v>4</v>
      </c>
      <c r="ISJ36">
        <v>4</v>
      </c>
      <c r="ISK36">
        <v>4</v>
      </c>
      <c r="ISL36">
        <v>4</v>
      </c>
      <c r="ISM36">
        <v>4</v>
      </c>
      <c r="ISN36">
        <v>4</v>
      </c>
      <c r="ISO36">
        <v>4</v>
      </c>
      <c r="ISP36">
        <v>4</v>
      </c>
      <c r="ISQ36">
        <v>4</v>
      </c>
      <c r="ISR36">
        <v>4</v>
      </c>
      <c r="ISS36">
        <v>4</v>
      </c>
      <c r="IST36">
        <v>4</v>
      </c>
      <c r="ISU36">
        <v>4</v>
      </c>
      <c r="ISV36">
        <v>4</v>
      </c>
      <c r="ISW36">
        <v>4</v>
      </c>
      <c r="ISX36">
        <v>4</v>
      </c>
      <c r="ISY36">
        <v>4</v>
      </c>
      <c r="ISZ36">
        <v>4</v>
      </c>
      <c r="ITA36">
        <v>4</v>
      </c>
      <c r="ITB36">
        <v>4</v>
      </c>
      <c r="ITC36">
        <v>4</v>
      </c>
      <c r="ITD36">
        <v>4</v>
      </c>
      <c r="ITE36">
        <v>4</v>
      </c>
      <c r="ITF36">
        <v>4</v>
      </c>
      <c r="ITG36">
        <v>4</v>
      </c>
      <c r="ITH36">
        <v>4</v>
      </c>
      <c r="ITI36">
        <v>4</v>
      </c>
      <c r="ITJ36">
        <v>4</v>
      </c>
      <c r="ITK36">
        <v>4</v>
      </c>
      <c r="ITL36">
        <v>4</v>
      </c>
      <c r="ITM36">
        <v>4</v>
      </c>
      <c r="ITN36">
        <v>4</v>
      </c>
      <c r="ITO36">
        <v>4</v>
      </c>
      <c r="ITP36">
        <v>4</v>
      </c>
      <c r="ITQ36">
        <v>4</v>
      </c>
      <c r="ITR36">
        <v>4</v>
      </c>
      <c r="ITS36">
        <v>4</v>
      </c>
      <c r="ITT36">
        <v>4</v>
      </c>
      <c r="ITU36">
        <v>4</v>
      </c>
      <c r="ITV36">
        <v>4</v>
      </c>
      <c r="ITW36">
        <v>4</v>
      </c>
      <c r="ITX36">
        <v>4</v>
      </c>
      <c r="ITY36">
        <v>4</v>
      </c>
      <c r="ITZ36">
        <v>4</v>
      </c>
      <c r="IUA36">
        <v>4</v>
      </c>
      <c r="IUB36">
        <v>4</v>
      </c>
      <c r="IUC36">
        <v>4</v>
      </c>
      <c r="IUD36">
        <v>4</v>
      </c>
      <c r="IUE36">
        <v>4</v>
      </c>
      <c r="IUF36">
        <v>4</v>
      </c>
      <c r="IUG36">
        <v>4</v>
      </c>
      <c r="IUH36">
        <v>4</v>
      </c>
      <c r="IUI36">
        <v>4</v>
      </c>
      <c r="IUJ36">
        <v>4</v>
      </c>
      <c r="IUK36">
        <v>4</v>
      </c>
      <c r="IUL36">
        <v>4</v>
      </c>
      <c r="IUM36">
        <v>4</v>
      </c>
      <c r="IUN36">
        <v>4</v>
      </c>
      <c r="IUO36">
        <v>4</v>
      </c>
      <c r="IUP36">
        <v>4</v>
      </c>
      <c r="IUQ36">
        <v>4</v>
      </c>
      <c r="IUR36">
        <v>4</v>
      </c>
      <c r="IUS36">
        <v>4</v>
      </c>
      <c r="IUT36">
        <v>4</v>
      </c>
      <c r="IUU36">
        <v>4</v>
      </c>
      <c r="IUV36">
        <v>4</v>
      </c>
      <c r="IUW36">
        <v>4</v>
      </c>
      <c r="IUX36">
        <v>4</v>
      </c>
      <c r="IUY36">
        <v>4</v>
      </c>
      <c r="KFW36" s="1">
        <f t="shared" si="0"/>
        <v>63</v>
      </c>
      <c r="KFX36">
        <f t="shared" si="1"/>
        <v>24</v>
      </c>
      <c r="KFY36">
        <f t="shared" si="2"/>
        <v>22</v>
      </c>
      <c r="KFZ36">
        <f t="shared" si="3"/>
        <v>71</v>
      </c>
      <c r="KGA36">
        <f t="shared" si="4"/>
        <v>0</v>
      </c>
      <c r="KGB36">
        <f t="shared" si="5"/>
        <v>0</v>
      </c>
      <c r="KGC36">
        <f t="shared" si="6"/>
        <v>0</v>
      </c>
      <c r="KGD36">
        <f t="shared" si="7"/>
        <v>0</v>
      </c>
      <c r="KGE36">
        <f t="shared" si="8"/>
        <v>0</v>
      </c>
      <c r="KGF36">
        <f t="shared" si="9"/>
        <v>0</v>
      </c>
      <c r="KGG36">
        <f t="shared" si="10"/>
        <v>0</v>
      </c>
      <c r="KGH36">
        <f t="shared" si="11"/>
        <v>0</v>
      </c>
      <c r="KGI36">
        <f t="shared" si="12"/>
        <v>0</v>
      </c>
      <c r="KGJ36">
        <f t="shared" si="13"/>
        <v>0</v>
      </c>
      <c r="KGK36">
        <f t="shared" si="14"/>
        <v>0</v>
      </c>
      <c r="KGL36">
        <f t="shared" si="15"/>
        <v>0</v>
      </c>
      <c r="KGM36">
        <f t="shared" si="16"/>
        <v>0</v>
      </c>
      <c r="KGN36">
        <f t="shared" si="17"/>
        <v>0</v>
      </c>
      <c r="KGO36">
        <f t="shared" si="18"/>
        <v>0</v>
      </c>
      <c r="KGP36">
        <f t="shared" si="19"/>
        <v>0</v>
      </c>
      <c r="KGQ36">
        <f t="shared" si="20"/>
        <v>0</v>
      </c>
      <c r="KGR36">
        <f t="shared" si="21"/>
        <v>0</v>
      </c>
      <c r="KGS36">
        <f t="shared" si="22"/>
        <v>0</v>
      </c>
      <c r="KGT36">
        <f t="shared" si="23"/>
        <v>0</v>
      </c>
      <c r="KGU36">
        <f t="shared" si="24"/>
        <v>0</v>
      </c>
      <c r="KGV36">
        <f t="shared" si="25"/>
        <v>0</v>
      </c>
      <c r="KGW36">
        <f t="shared" si="26"/>
        <v>0</v>
      </c>
      <c r="KGX36">
        <f t="shared" si="27"/>
        <v>0</v>
      </c>
      <c r="KGY36">
        <f t="shared" si="28"/>
        <v>0</v>
      </c>
      <c r="KGZ36">
        <f t="shared" si="29"/>
        <v>0</v>
      </c>
      <c r="KHA36">
        <f t="shared" si="30"/>
        <v>0</v>
      </c>
      <c r="KHB36">
        <f t="shared" si="31"/>
        <v>0</v>
      </c>
      <c r="KHC36">
        <f t="shared" si="32"/>
        <v>0</v>
      </c>
      <c r="KHD36">
        <f t="shared" si="33"/>
        <v>0</v>
      </c>
      <c r="KHE36">
        <f t="shared" si="34"/>
        <v>0</v>
      </c>
      <c r="KHF36">
        <f t="shared" si="35"/>
        <v>0</v>
      </c>
      <c r="KHG36">
        <f t="shared" si="36"/>
        <v>0</v>
      </c>
      <c r="KHH36">
        <f t="shared" si="37"/>
        <v>0</v>
      </c>
      <c r="KHI36">
        <f t="shared" si="38"/>
        <v>0</v>
      </c>
      <c r="KHJ36">
        <f t="shared" si="39"/>
        <v>0</v>
      </c>
      <c r="KHK36">
        <f t="shared" si="40"/>
        <v>0</v>
      </c>
      <c r="KHL36">
        <f t="shared" si="41"/>
        <v>0</v>
      </c>
      <c r="KHM36">
        <f t="shared" si="42"/>
        <v>0</v>
      </c>
      <c r="KHN36">
        <f t="shared" si="43"/>
        <v>0</v>
      </c>
      <c r="KHO36">
        <f t="shared" si="44"/>
        <v>0</v>
      </c>
      <c r="KHP36">
        <f t="shared" si="45"/>
        <v>0</v>
      </c>
      <c r="KHQ36">
        <f t="shared" si="46"/>
        <v>0</v>
      </c>
      <c r="KHR36">
        <f t="shared" si="47"/>
        <v>0</v>
      </c>
      <c r="KHS36">
        <f t="shared" si="48"/>
        <v>0</v>
      </c>
      <c r="KHT36">
        <f t="shared" si="49"/>
        <v>0</v>
      </c>
      <c r="KHU36">
        <f t="shared" si="50"/>
        <v>0</v>
      </c>
      <c r="KHV36">
        <f t="shared" si="51"/>
        <v>0</v>
      </c>
      <c r="KHW36">
        <f t="shared" si="52"/>
        <v>0</v>
      </c>
      <c r="KHX36">
        <f t="shared" si="53"/>
        <v>0</v>
      </c>
      <c r="KHY36">
        <f t="shared" si="54"/>
        <v>0</v>
      </c>
      <c r="KHZ36">
        <f t="shared" si="55"/>
        <v>0</v>
      </c>
      <c r="KIA36">
        <f t="shared" si="56"/>
        <v>0</v>
      </c>
      <c r="KIB36">
        <f t="shared" si="57"/>
        <v>0</v>
      </c>
      <c r="KIC36">
        <f t="shared" si="58"/>
        <v>0</v>
      </c>
      <c r="KID36">
        <f t="shared" si="59"/>
        <v>0</v>
      </c>
      <c r="KIE36">
        <f t="shared" si="60"/>
        <v>0</v>
      </c>
      <c r="KIF36">
        <f t="shared" si="61"/>
        <v>0</v>
      </c>
      <c r="KIG36">
        <f t="shared" si="62"/>
        <v>0</v>
      </c>
      <c r="KIH36">
        <f t="shared" si="63"/>
        <v>0</v>
      </c>
      <c r="KII36">
        <f t="shared" si="64"/>
        <v>0</v>
      </c>
      <c r="KIJ36">
        <f t="shared" si="65"/>
        <v>0</v>
      </c>
      <c r="KIK36">
        <f t="shared" si="66"/>
        <v>0</v>
      </c>
      <c r="KIL36">
        <f t="shared" si="67"/>
        <v>0</v>
      </c>
      <c r="KIM36">
        <f t="shared" si="68"/>
        <v>0</v>
      </c>
      <c r="KIN36">
        <f t="shared" si="69"/>
        <v>0</v>
      </c>
      <c r="KIO36">
        <f t="shared" si="70"/>
        <v>0</v>
      </c>
      <c r="KIP36">
        <f t="shared" si="71"/>
        <v>0</v>
      </c>
      <c r="KIQ36">
        <f t="shared" si="72"/>
        <v>0</v>
      </c>
      <c r="KIR36">
        <f t="shared" si="73"/>
        <v>0</v>
      </c>
      <c r="KIS36">
        <f t="shared" si="74"/>
        <v>0</v>
      </c>
      <c r="KIT36">
        <f t="shared" si="75"/>
        <v>0</v>
      </c>
      <c r="KIU36">
        <f t="shared" si="76"/>
        <v>0</v>
      </c>
      <c r="KIV36">
        <f t="shared" si="77"/>
        <v>0</v>
      </c>
      <c r="KIW36">
        <f t="shared" si="78"/>
        <v>0</v>
      </c>
      <c r="KIX36">
        <f t="shared" si="79"/>
        <v>0</v>
      </c>
      <c r="KIY36">
        <f t="shared" si="80"/>
        <v>0</v>
      </c>
      <c r="KIZ36">
        <f t="shared" si="81"/>
        <v>0</v>
      </c>
      <c r="KJA36">
        <f t="shared" si="82"/>
        <v>0</v>
      </c>
      <c r="KJB36">
        <f t="shared" si="83"/>
        <v>0</v>
      </c>
      <c r="KJC36">
        <f t="shared" si="84"/>
        <v>0</v>
      </c>
      <c r="KJD36">
        <f t="shared" si="85"/>
        <v>0</v>
      </c>
      <c r="KJE36">
        <f t="shared" si="86"/>
        <v>0</v>
      </c>
      <c r="KJF36">
        <f t="shared" si="87"/>
        <v>0</v>
      </c>
      <c r="KJG36">
        <f t="shared" si="88"/>
        <v>0</v>
      </c>
      <c r="KJH36">
        <f t="shared" si="89"/>
        <v>0</v>
      </c>
      <c r="KJI36">
        <f t="shared" si="90"/>
        <v>0</v>
      </c>
      <c r="KJJ36">
        <f t="shared" si="91"/>
        <v>0</v>
      </c>
      <c r="KJK36">
        <f t="shared" si="92"/>
        <v>0</v>
      </c>
      <c r="KJL36">
        <f t="shared" si="93"/>
        <v>0</v>
      </c>
      <c r="KJM36">
        <f t="shared" si="94"/>
        <v>0</v>
      </c>
      <c r="KJN36">
        <f t="shared" si="95"/>
        <v>0</v>
      </c>
      <c r="KJO36">
        <f t="shared" si="96"/>
        <v>0</v>
      </c>
      <c r="KJP36">
        <f t="shared" si="97"/>
        <v>0</v>
      </c>
      <c r="KJQ36">
        <f t="shared" si="98"/>
        <v>0</v>
      </c>
      <c r="KJR36">
        <f t="shared" si="99"/>
        <v>0</v>
      </c>
      <c r="KJT36">
        <f t="shared" si="100"/>
        <v>180</v>
      </c>
      <c r="KJV36">
        <f t="shared" si="100"/>
        <v>180</v>
      </c>
      <c r="KJW36">
        <f t="shared" si="101"/>
        <v>7.2</v>
      </c>
      <c r="KJY36">
        <f t="shared" si="101"/>
        <v>7.2</v>
      </c>
    </row>
    <row r="37" spans="1:815 1235:1250 2076:3055 3200:4678 5150:6014 6233:6829 7258:7721">
      <c r="A37" t="s">
        <v>34</v>
      </c>
      <c r="B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KFW37" s="1">
        <f t="shared" si="0"/>
        <v>99</v>
      </c>
      <c r="KFX37">
        <f t="shared" si="1"/>
        <v>0</v>
      </c>
      <c r="KFY37">
        <f t="shared" si="2"/>
        <v>0</v>
      </c>
      <c r="KFZ37">
        <f t="shared" si="3"/>
        <v>0</v>
      </c>
      <c r="KGA37">
        <f t="shared" si="4"/>
        <v>0</v>
      </c>
      <c r="KGB37">
        <f t="shared" si="5"/>
        <v>0</v>
      </c>
      <c r="KGC37">
        <f t="shared" si="6"/>
        <v>0</v>
      </c>
      <c r="KGD37">
        <f t="shared" si="7"/>
        <v>0</v>
      </c>
      <c r="KGE37">
        <f t="shared" si="8"/>
        <v>0</v>
      </c>
      <c r="KGF37">
        <f t="shared" si="9"/>
        <v>0</v>
      </c>
      <c r="KGG37">
        <f t="shared" si="10"/>
        <v>0</v>
      </c>
      <c r="KGH37">
        <f t="shared" si="11"/>
        <v>0</v>
      </c>
      <c r="KGI37">
        <f t="shared" si="12"/>
        <v>0</v>
      </c>
      <c r="KGJ37">
        <f t="shared" si="13"/>
        <v>0</v>
      </c>
      <c r="KGK37">
        <f t="shared" si="14"/>
        <v>0</v>
      </c>
      <c r="KGL37">
        <f t="shared" si="15"/>
        <v>0</v>
      </c>
      <c r="KGM37">
        <f t="shared" si="16"/>
        <v>0</v>
      </c>
      <c r="KGN37">
        <f t="shared" si="17"/>
        <v>0</v>
      </c>
      <c r="KGO37">
        <f t="shared" si="18"/>
        <v>0</v>
      </c>
      <c r="KGP37">
        <f t="shared" si="19"/>
        <v>0</v>
      </c>
      <c r="KGQ37">
        <f t="shared" si="20"/>
        <v>0</v>
      </c>
      <c r="KGR37">
        <f t="shared" si="21"/>
        <v>0</v>
      </c>
      <c r="KGS37">
        <f t="shared" si="22"/>
        <v>0</v>
      </c>
      <c r="KGT37">
        <f t="shared" si="23"/>
        <v>0</v>
      </c>
      <c r="KGU37">
        <f t="shared" si="24"/>
        <v>0</v>
      </c>
      <c r="KGV37">
        <f t="shared" si="25"/>
        <v>0</v>
      </c>
      <c r="KGW37">
        <f t="shared" si="26"/>
        <v>0</v>
      </c>
      <c r="KGX37">
        <f t="shared" si="27"/>
        <v>0</v>
      </c>
      <c r="KGY37">
        <f t="shared" si="28"/>
        <v>0</v>
      </c>
      <c r="KGZ37">
        <f t="shared" si="29"/>
        <v>0</v>
      </c>
      <c r="KHA37">
        <f t="shared" si="30"/>
        <v>0</v>
      </c>
      <c r="KHB37">
        <f t="shared" si="31"/>
        <v>0</v>
      </c>
      <c r="KHC37">
        <f t="shared" si="32"/>
        <v>0</v>
      </c>
      <c r="KHD37">
        <f t="shared" si="33"/>
        <v>0</v>
      </c>
      <c r="KHE37">
        <f t="shared" si="34"/>
        <v>0</v>
      </c>
      <c r="KHF37">
        <f t="shared" si="35"/>
        <v>0</v>
      </c>
      <c r="KHG37">
        <f t="shared" si="36"/>
        <v>0</v>
      </c>
      <c r="KHH37">
        <f t="shared" si="37"/>
        <v>0</v>
      </c>
      <c r="KHI37">
        <f t="shared" si="38"/>
        <v>0</v>
      </c>
      <c r="KHJ37">
        <f t="shared" si="39"/>
        <v>0</v>
      </c>
      <c r="KHK37">
        <f t="shared" si="40"/>
        <v>0</v>
      </c>
      <c r="KHL37">
        <f t="shared" si="41"/>
        <v>0</v>
      </c>
      <c r="KHM37">
        <f t="shared" si="42"/>
        <v>0</v>
      </c>
      <c r="KHN37">
        <f t="shared" si="43"/>
        <v>0</v>
      </c>
      <c r="KHO37">
        <f t="shared" si="44"/>
        <v>0</v>
      </c>
      <c r="KHP37">
        <f t="shared" si="45"/>
        <v>0</v>
      </c>
      <c r="KHQ37">
        <f t="shared" si="46"/>
        <v>0</v>
      </c>
      <c r="KHR37">
        <f t="shared" si="47"/>
        <v>0</v>
      </c>
      <c r="KHS37">
        <f t="shared" si="48"/>
        <v>0</v>
      </c>
      <c r="KHT37">
        <f t="shared" si="49"/>
        <v>0</v>
      </c>
      <c r="KHU37">
        <f t="shared" si="50"/>
        <v>0</v>
      </c>
      <c r="KHV37">
        <f t="shared" si="51"/>
        <v>0</v>
      </c>
      <c r="KHW37">
        <f t="shared" si="52"/>
        <v>0</v>
      </c>
      <c r="KHX37">
        <f t="shared" si="53"/>
        <v>0</v>
      </c>
      <c r="KHY37">
        <f t="shared" si="54"/>
        <v>0</v>
      </c>
      <c r="KHZ37">
        <f t="shared" si="55"/>
        <v>0</v>
      </c>
      <c r="KIA37">
        <f t="shared" si="56"/>
        <v>0</v>
      </c>
      <c r="KIB37">
        <f t="shared" si="57"/>
        <v>0</v>
      </c>
      <c r="KIC37">
        <f t="shared" si="58"/>
        <v>0</v>
      </c>
      <c r="KID37">
        <f t="shared" si="59"/>
        <v>0</v>
      </c>
      <c r="KIE37">
        <f t="shared" si="60"/>
        <v>0</v>
      </c>
      <c r="KIF37">
        <f t="shared" si="61"/>
        <v>0</v>
      </c>
      <c r="KIG37">
        <f t="shared" si="62"/>
        <v>0</v>
      </c>
      <c r="KIH37">
        <f t="shared" si="63"/>
        <v>0</v>
      </c>
      <c r="KII37">
        <f t="shared" si="64"/>
        <v>0</v>
      </c>
      <c r="KIJ37">
        <f t="shared" si="65"/>
        <v>0</v>
      </c>
      <c r="KIK37">
        <f t="shared" si="66"/>
        <v>0</v>
      </c>
      <c r="KIL37">
        <f t="shared" si="67"/>
        <v>0</v>
      </c>
      <c r="KIM37">
        <f t="shared" si="68"/>
        <v>0</v>
      </c>
      <c r="KIN37">
        <f t="shared" si="69"/>
        <v>0</v>
      </c>
      <c r="KIO37">
        <f t="shared" si="70"/>
        <v>0</v>
      </c>
      <c r="KIP37">
        <f t="shared" si="71"/>
        <v>0</v>
      </c>
      <c r="KIQ37">
        <f t="shared" si="72"/>
        <v>0</v>
      </c>
      <c r="KIR37">
        <f t="shared" si="73"/>
        <v>0</v>
      </c>
      <c r="KIS37">
        <f t="shared" si="74"/>
        <v>0</v>
      </c>
      <c r="KIT37">
        <f t="shared" si="75"/>
        <v>0</v>
      </c>
      <c r="KIU37">
        <f t="shared" si="76"/>
        <v>0</v>
      </c>
      <c r="KIV37">
        <f t="shared" si="77"/>
        <v>0</v>
      </c>
      <c r="KIW37">
        <f t="shared" si="78"/>
        <v>0</v>
      </c>
      <c r="KIX37">
        <f t="shared" si="79"/>
        <v>0</v>
      </c>
      <c r="KIY37">
        <f t="shared" si="80"/>
        <v>0</v>
      </c>
      <c r="KIZ37">
        <f t="shared" si="81"/>
        <v>0</v>
      </c>
      <c r="KJA37">
        <f t="shared" si="82"/>
        <v>0</v>
      </c>
      <c r="KJB37">
        <f t="shared" si="83"/>
        <v>0</v>
      </c>
      <c r="KJC37">
        <f t="shared" si="84"/>
        <v>0</v>
      </c>
      <c r="KJD37">
        <f t="shared" si="85"/>
        <v>0</v>
      </c>
      <c r="KJE37">
        <f t="shared" si="86"/>
        <v>0</v>
      </c>
      <c r="KJF37">
        <f t="shared" si="87"/>
        <v>0</v>
      </c>
      <c r="KJG37">
        <f t="shared" si="88"/>
        <v>0</v>
      </c>
      <c r="KJH37">
        <f t="shared" si="89"/>
        <v>0</v>
      </c>
      <c r="KJI37">
        <f t="shared" si="90"/>
        <v>0</v>
      </c>
      <c r="KJJ37">
        <f t="shared" si="91"/>
        <v>0</v>
      </c>
      <c r="KJK37">
        <f t="shared" si="92"/>
        <v>0</v>
      </c>
      <c r="KJL37">
        <f t="shared" si="93"/>
        <v>0</v>
      </c>
      <c r="KJM37">
        <f t="shared" si="94"/>
        <v>0</v>
      </c>
      <c r="KJN37">
        <f t="shared" si="95"/>
        <v>0</v>
      </c>
      <c r="KJO37">
        <f t="shared" si="96"/>
        <v>0</v>
      </c>
      <c r="KJP37">
        <f t="shared" si="97"/>
        <v>0</v>
      </c>
      <c r="KJQ37">
        <f t="shared" si="98"/>
        <v>0</v>
      </c>
      <c r="KJR37">
        <f t="shared" si="99"/>
        <v>0</v>
      </c>
      <c r="KJT37">
        <f t="shared" si="100"/>
        <v>99</v>
      </c>
      <c r="KJV37">
        <f t="shared" si="100"/>
        <v>99</v>
      </c>
      <c r="KJW37">
        <f t="shared" si="101"/>
        <v>3.96</v>
      </c>
      <c r="KJY37">
        <f t="shared" si="101"/>
        <v>3.96</v>
      </c>
    </row>
    <row r="38" spans="1:815 1235:1250 2076:3055 3200:4678 5150:6014 6233:6829 7258:7721">
      <c r="A38" t="s">
        <v>19</v>
      </c>
      <c r="B38">
        <v>2</v>
      </c>
      <c r="CEE38">
        <v>1</v>
      </c>
      <c r="CEF38">
        <v>1</v>
      </c>
      <c r="CEG38">
        <v>1</v>
      </c>
      <c r="CEH38">
        <v>1</v>
      </c>
      <c r="CEI38">
        <v>1</v>
      </c>
      <c r="CEJ38">
        <v>1</v>
      </c>
      <c r="CEK38">
        <v>1</v>
      </c>
      <c r="CEL38">
        <v>1</v>
      </c>
      <c r="CEM38">
        <v>1</v>
      </c>
      <c r="CEN38">
        <v>1</v>
      </c>
      <c r="CEO38">
        <v>1</v>
      </c>
      <c r="CEP38">
        <v>1</v>
      </c>
      <c r="CEQ38">
        <v>1</v>
      </c>
      <c r="CER38">
        <v>1</v>
      </c>
      <c r="CES38">
        <v>1</v>
      </c>
      <c r="CET38">
        <v>1</v>
      </c>
      <c r="CEU38">
        <v>1</v>
      </c>
      <c r="CEV38">
        <v>1</v>
      </c>
      <c r="CEW38">
        <v>1</v>
      </c>
      <c r="CEX38">
        <v>1</v>
      </c>
      <c r="CEY38">
        <v>1</v>
      </c>
      <c r="CEZ38">
        <v>1</v>
      </c>
      <c r="CFA38">
        <v>1</v>
      </c>
      <c r="CFB38">
        <v>1</v>
      </c>
      <c r="CFC38">
        <v>1</v>
      </c>
      <c r="CFD38">
        <v>1</v>
      </c>
      <c r="CFE38">
        <v>1</v>
      </c>
      <c r="CFF38">
        <v>1</v>
      </c>
      <c r="CFG38">
        <v>1</v>
      </c>
      <c r="CFH38">
        <v>1</v>
      </c>
      <c r="CFI38">
        <v>1</v>
      </c>
      <c r="CFJ38">
        <v>1</v>
      </c>
      <c r="CFK38">
        <v>1</v>
      </c>
      <c r="CFL38">
        <v>1</v>
      </c>
      <c r="FMF38">
        <v>2</v>
      </c>
      <c r="FMG38">
        <v>2</v>
      </c>
      <c r="FMH38">
        <v>2</v>
      </c>
      <c r="FMI38">
        <v>2</v>
      </c>
      <c r="FMJ38">
        <v>2</v>
      </c>
      <c r="FMK38">
        <v>2</v>
      </c>
      <c r="FML38">
        <v>2</v>
      </c>
      <c r="FMM38">
        <v>2</v>
      </c>
      <c r="FMN38">
        <v>2</v>
      </c>
      <c r="FMO38">
        <v>2</v>
      </c>
      <c r="FMP38">
        <v>2</v>
      </c>
      <c r="FMQ38">
        <v>2</v>
      </c>
      <c r="FMR38">
        <v>2</v>
      </c>
      <c r="FMS38">
        <v>2</v>
      </c>
      <c r="FMT38">
        <v>2</v>
      </c>
      <c r="FMU38">
        <v>2</v>
      </c>
      <c r="FMV38">
        <v>2</v>
      </c>
      <c r="FMW38">
        <v>2</v>
      </c>
      <c r="FMX38">
        <v>2</v>
      </c>
      <c r="FMY38">
        <v>2</v>
      </c>
      <c r="FMZ38">
        <v>2</v>
      </c>
      <c r="FNA38">
        <v>2</v>
      </c>
      <c r="FNB38">
        <v>2</v>
      </c>
      <c r="FNC38">
        <v>2</v>
      </c>
      <c r="FND38">
        <v>2</v>
      </c>
      <c r="FNE38">
        <v>2</v>
      </c>
      <c r="FNF38">
        <v>2</v>
      </c>
      <c r="FNG38">
        <v>2</v>
      </c>
      <c r="FNH38">
        <v>2</v>
      </c>
      <c r="FNI38">
        <v>2</v>
      </c>
      <c r="FNJ38">
        <v>2</v>
      </c>
      <c r="FNK38">
        <v>2</v>
      </c>
      <c r="FNL38">
        <v>2</v>
      </c>
      <c r="FNM38">
        <v>2</v>
      </c>
      <c r="FNN38">
        <v>2</v>
      </c>
      <c r="FNO38">
        <v>2</v>
      </c>
      <c r="FNP38">
        <v>2</v>
      </c>
      <c r="FNQ38">
        <v>2</v>
      </c>
      <c r="FNR38">
        <v>2</v>
      </c>
      <c r="FNS38">
        <v>2</v>
      </c>
      <c r="KFW38" s="1">
        <f t="shared" si="0"/>
        <v>34</v>
      </c>
      <c r="KFX38">
        <f t="shared" si="1"/>
        <v>40</v>
      </c>
      <c r="KFY38">
        <f t="shared" si="2"/>
        <v>0</v>
      </c>
      <c r="KFZ38">
        <f t="shared" si="3"/>
        <v>0</v>
      </c>
      <c r="KGA38">
        <f t="shared" si="4"/>
        <v>0</v>
      </c>
      <c r="KGB38">
        <f t="shared" si="5"/>
        <v>0</v>
      </c>
      <c r="KGC38">
        <f t="shared" si="6"/>
        <v>0</v>
      </c>
      <c r="KGD38">
        <f t="shared" si="7"/>
        <v>0</v>
      </c>
      <c r="KGE38">
        <f t="shared" si="8"/>
        <v>0</v>
      </c>
      <c r="KGF38">
        <f t="shared" si="9"/>
        <v>0</v>
      </c>
      <c r="KGG38">
        <f t="shared" si="10"/>
        <v>0</v>
      </c>
      <c r="KGH38">
        <f t="shared" si="11"/>
        <v>0</v>
      </c>
      <c r="KGI38">
        <f t="shared" si="12"/>
        <v>0</v>
      </c>
      <c r="KGJ38">
        <f t="shared" si="13"/>
        <v>0</v>
      </c>
      <c r="KGK38">
        <f t="shared" si="14"/>
        <v>0</v>
      </c>
      <c r="KGL38">
        <f t="shared" si="15"/>
        <v>0</v>
      </c>
      <c r="KGM38">
        <f t="shared" si="16"/>
        <v>0</v>
      </c>
      <c r="KGN38">
        <f t="shared" si="17"/>
        <v>0</v>
      </c>
      <c r="KGO38">
        <f t="shared" si="18"/>
        <v>0</v>
      </c>
      <c r="KGP38">
        <f t="shared" si="19"/>
        <v>0</v>
      </c>
      <c r="KGQ38">
        <f t="shared" si="20"/>
        <v>0</v>
      </c>
      <c r="KGR38">
        <f t="shared" si="21"/>
        <v>0</v>
      </c>
      <c r="KGS38">
        <f t="shared" si="22"/>
        <v>0</v>
      </c>
      <c r="KGT38">
        <f t="shared" si="23"/>
        <v>0</v>
      </c>
      <c r="KGU38">
        <f t="shared" si="24"/>
        <v>0</v>
      </c>
      <c r="KGV38">
        <f t="shared" si="25"/>
        <v>0</v>
      </c>
      <c r="KGW38">
        <f t="shared" si="26"/>
        <v>0</v>
      </c>
      <c r="KGX38">
        <f t="shared" si="27"/>
        <v>0</v>
      </c>
      <c r="KGY38">
        <f t="shared" si="28"/>
        <v>0</v>
      </c>
      <c r="KGZ38">
        <f t="shared" si="29"/>
        <v>0</v>
      </c>
      <c r="KHA38">
        <f t="shared" si="30"/>
        <v>0</v>
      </c>
      <c r="KHB38">
        <f t="shared" si="31"/>
        <v>0</v>
      </c>
      <c r="KHC38">
        <f t="shared" si="32"/>
        <v>0</v>
      </c>
      <c r="KHD38">
        <f t="shared" si="33"/>
        <v>0</v>
      </c>
      <c r="KHE38">
        <f t="shared" si="34"/>
        <v>0</v>
      </c>
      <c r="KHF38">
        <f t="shared" si="35"/>
        <v>0</v>
      </c>
      <c r="KHG38">
        <f t="shared" si="36"/>
        <v>0</v>
      </c>
      <c r="KHH38">
        <f t="shared" si="37"/>
        <v>0</v>
      </c>
      <c r="KHI38">
        <f t="shared" si="38"/>
        <v>0</v>
      </c>
      <c r="KHJ38">
        <f t="shared" si="39"/>
        <v>0</v>
      </c>
      <c r="KHK38">
        <f t="shared" si="40"/>
        <v>0</v>
      </c>
      <c r="KHL38">
        <f t="shared" si="41"/>
        <v>0</v>
      </c>
      <c r="KHM38">
        <f t="shared" si="42"/>
        <v>0</v>
      </c>
      <c r="KHN38">
        <f t="shared" si="43"/>
        <v>0</v>
      </c>
      <c r="KHO38">
        <f t="shared" si="44"/>
        <v>0</v>
      </c>
      <c r="KHP38">
        <f t="shared" si="45"/>
        <v>0</v>
      </c>
      <c r="KHQ38">
        <f t="shared" si="46"/>
        <v>0</v>
      </c>
      <c r="KHR38">
        <f t="shared" si="47"/>
        <v>0</v>
      </c>
      <c r="KHS38">
        <f t="shared" si="48"/>
        <v>0</v>
      </c>
      <c r="KHT38">
        <f t="shared" si="49"/>
        <v>0</v>
      </c>
      <c r="KHU38">
        <f t="shared" si="50"/>
        <v>0</v>
      </c>
      <c r="KHV38">
        <f t="shared" si="51"/>
        <v>0</v>
      </c>
      <c r="KHW38">
        <f t="shared" si="52"/>
        <v>0</v>
      </c>
      <c r="KHX38">
        <f t="shared" si="53"/>
        <v>0</v>
      </c>
      <c r="KHY38">
        <f t="shared" si="54"/>
        <v>0</v>
      </c>
      <c r="KHZ38">
        <f t="shared" si="55"/>
        <v>0</v>
      </c>
      <c r="KIA38">
        <f t="shared" si="56"/>
        <v>0</v>
      </c>
      <c r="KIB38">
        <f t="shared" si="57"/>
        <v>0</v>
      </c>
      <c r="KIC38">
        <f t="shared" si="58"/>
        <v>0</v>
      </c>
      <c r="KID38">
        <f t="shared" si="59"/>
        <v>0</v>
      </c>
      <c r="KIE38">
        <f t="shared" si="60"/>
        <v>0</v>
      </c>
      <c r="KIF38">
        <f t="shared" si="61"/>
        <v>0</v>
      </c>
      <c r="KIG38">
        <f t="shared" si="62"/>
        <v>0</v>
      </c>
      <c r="KIH38">
        <f t="shared" si="63"/>
        <v>0</v>
      </c>
      <c r="KII38">
        <f t="shared" si="64"/>
        <v>0</v>
      </c>
      <c r="KIJ38">
        <f t="shared" si="65"/>
        <v>0</v>
      </c>
      <c r="KIK38">
        <f t="shared" si="66"/>
        <v>0</v>
      </c>
      <c r="KIL38">
        <f t="shared" si="67"/>
        <v>0</v>
      </c>
      <c r="KIM38">
        <f t="shared" si="68"/>
        <v>0</v>
      </c>
      <c r="KIN38">
        <f t="shared" si="69"/>
        <v>0</v>
      </c>
      <c r="KIO38">
        <f t="shared" si="70"/>
        <v>0</v>
      </c>
      <c r="KIP38">
        <f t="shared" si="71"/>
        <v>0</v>
      </c>
      <c r="KIQ38">
        <f t="shared" si="72"/>
        <v>0</v>
      </c>
      <c r="KIR38">
        <f t="shared" si="73"/>
        <v>0</v>
      </c>
      <c r="KIS38">
        <f t="shared" si="74"/>
        <v>0</v>
      </c>
      <c r="KIT38">
        <f t="shared" si="75"/>
        <v>0</v>
      </c>
      <c r="KIU38">
        <f t="shared" si="76"/>
        <v>0</v>
      </c>
      <c r="KIV38">
        <f t="shared" si="77"/>
        <v>0</v>
      </c>
      <c r="KIW38">
        <f t="shared" si="78"/>
        <v>0</v>
      </c>
      <c r="KIX38">
        <f t="shared" si="79"/>
        <v>0</v>
      </c>
      <c r="KIY38">
        <f t="shared" si="80"/>
        <v>0</v>
      </c>
      <c r="KIZ38">
        <f t="shared" si="81"/>
        <v>0</v>
      </c>
      <c r="KJA38">
        <f t="shared" si="82"/>
        <v>0</v>
      </c>
      <c r="KJB38">
        <f t="shared" si="83"/>
        <v>0</v>
      </c>
      <c r="KJC38">
        <f t="shared" si="84"/>
        <v>0</v>
      </c>
      <c r="KJD38">
        <f t="shared" si="85"/>
        <v>0</v>
      </c>
      <c r="KJE38">
        <f t="shared" si="86"/>
        <v>0</v>
      </c>
      <c r="KJF38">
        <f t="shared" si="87"/>
        <v>0</v>
      </c>
      <c r="KJG38">
        <f t="shared" si="88"/>
        <v>0</v>
      </c>
      <c r="KJH38">
        <f t="shared" si="89"/>
        <v>0</v>
      </c>
      <c r="KJI38">
        <f t="shared" si="90"/>
        <v>0</v>
      </c>
      <c r="KJJ38">
        <f t="shared" si="91"/>
        <v>0</v>
      </c>
      <c r="KJK38">
        <f t="shared" si="92"/>
        <v>0</v>
      </c>
      <c r="KJL38">
        <f t="shared" si="93"/>
        <v>0</v>
      </c>
      <c r="KJM38">
        <f t="shared" si="94"/>
        <v>0</v>
      </c>
      <c r="KJN38">
        <f t="shared" si="95"/>
        <v>0</v>
      </c>
      <c r="KJO38">
        <f t="shared" si="96"/>
        <v>0</v>
      </c>
      <c r="KJP38">
        <f t="shared" si="97"/>
        <v>0</v>
      </c>
      <c r="KJQ38">
        <f t="shared" si="98"/>
        <v>0</v>
      </c>
      <c r="KJR38">
        <f t="shared" si="99"/>
        <v>0</v>
      </c>
      <c r="KJT38">
        <f t="shared" si="100"/>
        <v>74</v>
      </c>
      <c r="KJV38">
        <f t="shared" si="100"/>
        <v>74</v>
      </c>
      <c r="KJW38">
        <f t="shared" si="101"/>
        <v>2.96</v>
      </c>
      <c r="KJY38">
        <f t="shared" si="101"/>
        <v>2.96</v>
      </c>
    </row>
    <row r="39" spans="1:815 1235:1250 2076:3055 3200:4678 5150:6014 6233:6829 7258:7721">
      <c r="A39" t="s">
        <v>35</v>
      </c>
      <c r="KFW39" s="1">
        <f t="shared" si="0"/>
        <v>0</v>
      </c>
      <c r="KFX39">
        <f t="shared" si="1"/>
        <v>0</v>
      </c>
      <c r="KFY39">
        <f t="shared" si="2"/>
        <v>0</v>
      </c>
      <c r="KFZ39">
        <f t="shared" si="3"/>
        <v>0</v>
      </c>
      <c r="KGA39">
        <f t="shared" si="4"/>
        <v>0</v>
      </c>
      <c r="KGB39">
        <f t="shared" si="5"/>
        <v>0</v>
      </c>
      <c r="KGC39">
        <f t="shared" si="6"/>
        <v>0</v>
      </c>
      <c r="KGD39">
        <f t="shared" si="7"/>
        <v>0</v>
      </c>
      <c r="KGE39">
        <f t="shared" si="8"/>
        <v>0</v>
      </c>
      <c r="KGF39">
        <f t="shared" si="9"/>
        <v>0</v>
      </c>
      <c r="KGG39">
        <f t="shared" si="10"/>
        <v>0</v>
      </c>
      <c r="KGH39">
        <f t="shared" si="11"/>
        <v>0</v>
      </c>
      <c r="KGI39">
        <f t="shared" si="12"/>
        <v>0</v>
      </c>
      <c r="KGJ39">
        <f t="shared" si="13"/>
        <v>0</v>
      </c>
      <c r="KGK39">
        <f t="shared" si="14"/>
        <v>0</v>
      </c>
      <c r="KGL39">
        <f t="shared" si="15"/>
        <v>0</v>
      </c>
      <c r="KGM39">
        <f t="shared" si="16"/>
        <v>0</v>
      </c>
      <c r="KGN39">
        <f t="shared" si="17"/>
        <v>0</v>
      </c>
      <c r="KGO39">
        <f t="shared" si="18"/>
        <v>0</v>
      </c>
      <c r="KGP39">
        <f t="shared" si="19"/>
        <v>0</v>
      </c>
      <c r="KGQ39">
        <f t="shared" si="20"/>
        <v>0</v>
      </c>
      <c r="KGR39">
        <f t="shared" si="21"/>
        <v>0</v>
      </c>
      <c r="KGS39">
        <f t="shared" si="22"/>
        <v>0</v>
      </c>
      <c r="KGT39">
        <f t="shared" si="23"/>
        <v>0</v>
      </c>
      <c r="KGU39">
        <f t="shared" si="24"/>
        <v>0</v>
      </c>
      <c r="KGV39">
        <f t="shared" si="25"/>
        <v>0</v>
      </c>
      <c r="KGW39">
        <f t="shared" si="26"/>
        <v>0</v>
      </c>
      <c r="KGX39">
        <f t="shared" si="27"/>
        <v>0</v>
      </c>
      <c r="KGY39">
        <f t="shared" si="28"/>
        <v>0</v>
      </c>
      <c r="KGZ39">
        <f t="shared" si="29"/>
        <v>0</v>
      </c>
      <c r="KHA39">
        <f t="shared" si="30"/>
        <v>0</v>
      </c>
      <c r="KHB39">
        <f t="shared" si="31"/>
        <v>0</v>
      </c>
      <c r="KHC39">
        <f t="shared" si="32"/>
        <v>0</v>
      </c>
      <c r="KHD39">
        <f t="shared" si="33"/>
        <v>0</v>
      </c>
      <c r="KHE39">
        <f t="shared" si="34"/>
        <v>0</v>
      </c>
      <c r="KHF39">
        <f t="shared" si="35"/>
        <v>0</v>
      </c>
      <c r="KHG39">
        <f t="shared" si="36"/>
        <v>0</v>
      </c>
      <c r="KHH39">
        <f t="shared" si="37"/>
        <v>0</v>
      </c>
      <c r="KHI39">
        <f t="shared" si="38"/>
        <v>0</v>
      </c>
      <c r="KHJ39">
        <f t="shared" si="39"/>
        <v>0</v>
      </c>
      <c r="KHK39">
        <f t="shared" si="40"/>
        <v>0</v>
      </c>
      <c r="KHL39">
        <f t="shared" si="41"/>
        <v>0</v>
      </c>
      <c r="KHM39">
        <f t="shared" si="42"/>
        <v>0</v>
      </c>
      <c r="KHN39">
        <f t="shared" si="43"/>
        <v>0</v>
      </c>
      <c r="KHO39">
        <f t="shared" si="44"/>
        <v>0</v>
      </c>
      <c r="KHP39">
        <f t="shared" si="45"/>
        <v>0</v>
      </c>
      <c r="KHQ39">
        <f t="shared" si="46"/>
        <v>0</v>
      </c>
      <c r="KHR39">
        <f t="shared" si="47"/>
        <v>0</v>
      </c>
      <c r="KHS39">
        <f t="shared" si="48"/>
        <v>0</v>
      </c>
      <c r="KHT39">
        <f t="shared" si="49"/>
        <v>0</v>
      </c>
      <c r="KHU39">
        <f t="shared" si="50"/>
        <v>0</v>
      </c>
      <c r="KHV39">
        <f t="shared" si="51"/>
        <v>0</v>
      </c>
      <c r="KHW39">
        <f t="shared" si="52"/>
        <v>0</v>
      </c>
      <c r="KHX39">
        <f t="shared" si="53"/>
        <v>0</v>
      </c>
      <c r="KHY39">
        <f t="shared" si="54"/>
        <v>0</v>
      </c>
      <c r="KHZ39">
        <f t="shared" si="55"/>
        <v>0</v>
      </c>
      <c r="KIA39">
        <f t="shared" si="56"/>
        <v>0</v>
      </c>
      <c r="KIB39">
        <f t="shared" si="57"/>
        <v>0</v>
      </c>
      <c r="KIC39">
        <f t="shared" si="58"/>
        <v>0</v>
      </c>
      <c r="KID39">
        <f t="shared" si="59"/>
        <v>0</v>
      </c>
      <c r="KIE39">
        <f t="shared" si="60"/>
        <v>0</v>
      </c>
      <c r="KIF39">
        <f t="shared" si="61"/>
        <v>0</v>
      </c>
      <c r="KIG39">
        <f t="shared" si="62"/>
        <v>0</v>
      </c>
      <c r="KIH39">
        <f t="shared" si="63"/>
        <v>0</v>
      </c>
      <c r="KII39">
        <f t="shared" si="64"/>
        <v>0</v>
      </c>
      <c r="KIJ39">
        <f t="shared" si="65"/>
        <v>0</v>
      </c>
      <c r="KIK39">
        <f t="shared" si="66"/>
        <v>0</v>
      </c>
      <c r="KIL39">
        <f t="shared" si="67"/>
        <v>0</v>
      </c>
      <c r="KIM39">
        <f t="shared" si="68"/>
        <v>0</v>
      </c>
      <c r="KIN39">
        <f t="shared" si="69"/>
        <v>0</v>
      </c>
      <c r="KIO39">
        <f t="shared" si="70"/>
        <v>0</v>
      </c>
      <c r="KIP39">
        <f t="shared" si="71"/>
        <v>0</v>
      </c>
      <c r="KIQ39">
        <f t="shared" si="72"/>
        <v>0</v>
      </c>
      <c r="KIR39">
        <f t="shared" si="73"/>
        <v>0</v>
      </c>
      <c r="KIS39">
        <f t="shared" si="74"/>
        <v>0</v>
      </c>
      <c r="KIT39">
        <f t="shared" si="75"/>
        <v>0</v>
      </c>
      <c r="KIU39">
        <f t="shared" si="76"/>
        <v>0</v>
      </c>
      <c r="KIV39">
        <f t="shared" si="77"/>
        <v>0</v>
      </c>
      <c r="KIW39">
        <f t="shared" si="78"/>
        <v>0</v>
      </c>
      <c r="KIX39">
        <f t="shared" si="79"/>
        <v>0</v>
      </c>
      <c r="KIY39">
        <f t="shared" si="80"/>
        <v>0</v>
      </c>
      <c r="KIZ39">
        <f t="shared" si="81"/>
        <v>0</v>
      </c>
      <c r="KJA39">
        <f t="shared" si="82"/>
        <v>0</v>
      </c>
      <c r="KJB39">
        <f t="shared" si="83"/>
        <v>0</v>
      </c>
      <c r="KJC39">
        <f t="shared" si="84"/>
        <v>0</v>
      </c>
      <c r="KJD39">
        <f t="shared" si="85"/>
        <v>0</v>
      </c>
      <c r="KJE39">
        <f t="shared" si="86"/>
        <v>0</v>
      </c>
      <c r="KJF39">
        <f t="shared" si="87"/>
        <v>0</v>
      </c>
      <c r="KJG39">
        <f t="shared" si="88"/>
        <v>0</v>
      </c>
      <c r="KJH39">
        <f t="shared" si="89"/>
        <v>0</v>
      </c>
      <c r="KJI39">
        <f t="shared" si="90"/>
        <v>0</v>
      </c>
      <c r="KJJ39">
        <f t="shared" si="91"/>
        <v>0</v>
      </c>
      <c r="KJK39">
        <f t="shared" si="92"/>
        <v>0</v>
      </c>
      <c r="KJL39">
        <f t="shared" si="93"/>
        <v>0</v>
      </c>
      <c r="KJM39">
        <f t="shared" si="94"/>
        <v>0</v>
      </c>
      <c r="KJN39">
        <f t="shared" si="95"/>
        <v>0</v>
      </c>
      <c r="KJO39">
        <f t="shared" si="96"/>
        <v>0</v>
      </c>
      <c r="KJP39">
        <f t="shared" si="97"/>
        <v>0</v>
      </c>
      <c r="KJQ39">
        <f t="shared" si="98"/>
        <v>0</v>
      </c>
      <c r="KJR39">
        <f t="shared" si="99"/>
        <v>0</v>
      </c>
      <c r="KJT39">
        <f t="shared" si="100"/>
        <v>0</v>
      </c>
      <c r="KJV39">
        <f t="shared" si="100"/>
        <v>0</v>
      </c>
      <c r="KJW39">
        <f t="shared" si="101"/>
        <v>0</v>
      </c>
      <c r="KJY39">
        <f t="shared" si="101"/>
        <v>0</v>
      </c>
    </row>
    <row r="40" spans="1:815 1235:1250 2076:3055 3200:4678 5150:6014 6233:6829 7258:7721">
      <c r="A40" t="s">
        <v>20</v>
      </c>
      <c r="B40">
        <v>2</v>
      </c>
      <c r="GTG40">
        <v>1</v>
      </c>
      <c r="GTH40">
        <v>1</v>
      </c>
      <c r="GTI40">
        <v>1</v>
      </c>
      <c r="GTJ40">
        <v>1</v>
      </c>
      <c r="GTK40">
        <v>1</v>
      </c>
      <c r="GTL40">
        <v>1</v>
      </c>
      <c r="GTM40">
        <v>1</v>
      </c>
      <c r="GTN40">
        <v>1</v>
      </c>
      <c r="GTO40">
        <v>1</v>
      </c>
      <c r="GTP40">
        <v>1</v>
      </c>
      <c r="GTQ40">
        <v>1</v>
      </c>
      <c r="GTR40">
        <v>1</v>
      </c>
      <c r="GTS40">
        <v>1</v>
      </c>
      <c r="GTT40">
        <v>1</v>
      </c>
      <c r="GTU40">
        <v>1</v>
      </c>
      <c r="GTV40">
        <v>1</v>
      </c>
      <c r="GTW40">
        <v>1</v>
      </c>
      <c r="GTX40">
        <v>1</v>
      </c>
      <c r="GTY40">
        <v>1</v>
      </c>
      <c r="GTZ40">
        <v>1</v>
      </c>
      <c r="GUA40">
        <v>1</v>
      </c>
      <c r="GUB40">
        <v>1</v>
      </c>
      <c r="GUC40">
        <v>1</v>
      </c>
      <c r="GUD40">
        <v>1</v>
      </c>
      <c r="GUE40">
        <v>1</v>
      </c>
      <c r="GUF40">
        <v>1</v>
      </c>
      <c r="GUG40">
        <v>1</v>
      </c>
      <c r="GUH40">
        <v>1</v>
      </c>
      <c r="GUI40">
        <v>1</v>
      </c>
      <c r="GUJ40">
        <v>1</v>
      </c>
      <c r="GUK40">
        <v>1</v>
      </c>
      <c r="IVY40">
        <v>2</v>
      </c>
      <c r="IVZ40">
        <v>2</v>
      </c>
      <c r="IWA40">
        <v>2</v>
      </c>
      <c r="IWB40">
        <v>2</v>
      </c>
      <c r="IWC40">
        <v>2</v>
      </c>
      <c r="IWD40">
        <v>2</v>
      </c>
      <c r="IWE40">
        <v>2</v>
      </c>
      <c r="IWF40">
        <v>2</v>
      </c>
      <c r="IWG40">
        <v>2</v>
      </c>
      <c r="IWH40">
        <v>2</v>
      </c>
      <c r="IWI40">
        <v>2</v>
      </c>
      <c r="IWJ40">
        <v>2</v>
      </c>
      <c r="IWK40">
        <v>2</v>
      </c>
      <c r="IWL40">
        <v>2</v>
      </c>
      <c r="IWM40">
        <v>2</v>
      </c>
      <c r="KFW40" s="1">
        <f t="shared" si="0"/>
        <v>31</v>
      </c>
      <c r="KFX40">
        <f t="shared" si="1"/>
        <v>15</v>
      </c>
      <c r="KFY40">
        <f t="shared" si="2"/>
        <v>0</v>
      </c>
      <c r="KFZ40">
        <f t="shared" si="3"/>
        <v>0</v>
      </c>
      <c r="KGA40">
        <f t="shared" si="4"/>
        <v>0</v>
      </c>
      <c r="KGB40">
        <f t="shared" si="5"/>
        <v>0</v>
      </c>
      <c r="KGC40">
        <f t="shared" si="6"/>
        <v>0</v>
      </c>
      <c r="KGD40">
        <f t="shared" si="7"/>
        <v>0</v>
      </c>
      <c r="KGE40">
        <f t="shared" si="8"/>
        <v>0</v>
      </c>
      <c r="KGF40">
        <f t="shared" si="9"/>
        <v>0</v>
      </c>
      <c r="KGG40">
        <f t="shared" si="10"/>
        <v>0</v>
      </c>
      <c r="KGH40">
        <f t="shared" si="11"/>
        <v>0</v>
      </c>
      <c r="KGI40">
        <f t="shared" si="12"/>
        <v>0</v>
      </c>
      <c r="KGJ40">
        <f t="shared" si="13"/>
        <v>0</v>
      </c>
      <c r="KGK40">
        <f t="shared" si="14"/>
        <v>0</v>
      </c>
      <c r="KGL40">
        <f t="shared" si="15"/>
        <v>0</v>
      </c>
      <c r="KGM40">
        <f t="shared" si="16"/>
        <v>0</v>
      </c>
      <c r="KGN40">
        <f t="shared" si="17"/>
        <v>0</v>
      </c>
      <c r="KGO40">
        <f t="shared" si="18"/>
        <v>0</v>
      </c>
      <c r="KGP40">
        <f t="shared" si="19"/>
        <v>0</v>
      </c>
      <c r="KGQ40">
        <f t="shared" si="20"/>
        <v>0</v>
      </c>
      <c r="KGR40">
        <f t="shared" si="21"/>
        <v>0</v>
      </c>
      <c r="KGS40">
        <f t="shared" si="22"/>
        <v>0</v>
      </c>
      <c r="KGT40">
        <f t="shared" si="23"/>
        <v>0</v>
      </c>
      <c r="KGU40">
        <f t="shared" si="24"/>
        <v>0</v>
      </c>
      <c r="KGV40">
        <f t="shared" si="25"/>
        <v>0</v>
      </c>
      <c r="KGW40">
        <f t="shared" si="26"/>
        <v>0</v>
      </c>
      <c r="KGX40">
        <f t="shared" si="27"/>
        <v>0</v>
      </c>
      <c r="KGY40">
        <f t="shared" si="28"/>
        <v>0</v>
      </c>
      <c r="KGZ40">
        <f t="shared" si="29"/>
        <v>0</v>
      </c>
      <c r="KHA40">
        <f t="shared" si="30"/>
        <v>0</v>
      </c>
      <c r="KHB40">
        <f t="shared" si="31"/>
        <v>0</v>
      </c>
      <c r="KHC40">
        <f t="shared" si="32"/>
        <v>0</v>
      </c>
      <c r="KHD40">
        <f t="shared" si="33"/>
        <v>0</v>
      </c>
      <c r="KHE40">
        <f t="shared" si="34"/>
        <v>0</v>
      </c>
      <c r="KHF40">
        <f t="shared" si="35"/>
        <v>0</v>
      </c>
      <c r="KHG40">
        <f t="shared" si="36"/>
        <v>0</v>
      </c>
      <c r="KHH40">
        <f t="shared" si="37"/>
        <v>0</v>
      </c>
      <c r="KHI40">
        <f t="shared" si="38"/>
        <v>0</v>
      </c>
      <c r="KHJ40">
        <f t="shared" si="39"/>
        <v>0</v>
      </c>
      <c r="KHK40">
        <f t="shared" si="40"/>
        <v>0</v>
      </c>
      <c r="KHL40">
        <f t="shared" si="41"/>
        <v>0</v>
      </c>
      <c r="KHM40">
        <f t="shared" si="42"/>
        <v>0</v>
      </c>
      <c r="KHN40">
        <f t="shared" si="43"/>
        <v>0</v>
      </c>
      <c r="KHO40">
        <f t="shared" si="44"/>
        <v>0</v>
      </c>
      <c r="KHP40">
        <f t="shared" si="45"/>
        <v>0</v>
      </c>
      <c r="KHQ40">
        <f t="shared" si="46"/>
        <v>0</v>
      </c>
      <c r="KHR40">
        <f t="shared" si="47"/>
        <v>0</v>
      </c>
      <c r="KHS40">
        <f t="shared" si="48"/>
        <v>0</v>
      </c>
      <c r="KHT40">
        <f t="shared" si="49"/>
        <v>0</v>
      </c>
      <c r="KHU40">
        <f t="shared" si="50"/>
        <v>0</v>
      </c>
      <c r="KHV40">
        <f t="shared" si="51"/>
        <v>0</v>
      </c>
      <c r="KHW40">
        <f t="shared" si="52"/>
        <v>0</v>
      </c>
      <c r="KHX40">
        <f t="shared" si="53"/>
        <v>0</v>
      </c>
      <c r="KHY40">
        <f t="shared" si="54"/>
        <v>0</v>
      </c>
      <c r="KHZ40">
        <f t="shared" si="55"/>
        <v>0</v>
      </c>
      <c r="KIA40">
        <f t="shared" si="56"/>
        <v>0</v>
      </c>
      <c r="KIB40">
        <f t="shared" si="57"/>
        <v>0</v>
      </c>
      <c r="KIC40">
        <f t="shared" si="58"/>
        <v>0</v>
      </c>
      <c r="KID40">
        <f t="shared" si="59"/>
        <v>0</v>
      </c>
      <c r="KIE40">
        <f t="shared" si="60"/>
        <v>0</v>
      </c>
      <c r="KIF40">
        <f t="shared" si="61"/>
        <v>0</v>
      </c>
      <c r="KIG40">
        <f t="shared" si="62"/>
        <v>0</v>
      </c>
      <c r="KIH40">
        <f t="shared" si="63"/>
        <v>0</v>
      </c>
      <c r="KII40">
        <f t="shared" si="64"/>
        <v>0</v>
      </c>
      <c r="KIJ40">
        <f t="shared" si="65"/>
        <v>0</v>
      </c>
      <c r="KIK40">
        <f t="shared" si="66"/>
        <v>0</v>
      </c>
      <c r="KIL40">
        <f t="shared" si="67"/>
        <v>0</v>
      </c>
      <c r="KIM40">
        <f t="shared" si="68"/>
        <v>0</v>
      </c>
      <c r="KIN40">
        <f t="shared" si="69"/>
        <v>0</v>
      </c>
      <c r="KIO40">
        <f t="shared" si="70"/>
        <v>0</v>
      </c>
      <c r="KIP40">
        <f t="shared" si="71"/>
        <v>0</v>
      </c>
      <c r="KIQ40">
        <f t="shared" si="72"/>
        <v>0</v>
      </c>
      <c r="KIR40">
        <f t="shared" si="73"/>
        <v>0</v>
      </c>
      <c r="KIS40">
        <f t="shared" si="74"/>
        <v>0</v>
      </c>
      <c r="KIT40">
        <f t="shared" si="75"/>
        <v>0</v>
      </c>
      <c r="KIU40">
        <f t="shared" si="76"/>
        <v>0</v>
      </c>
      <c r="KIV40">
        <f t="shared" si="77"/>
        <v>0</v>
      </c>
      <c r="KIW40">
        <f t="shared" si="78"/>
        <v>0</v>
      </c>
      <c r="KIX40">
        <f t="shared" si="79"/>
        <v>0</v>
      </c>
      <c r="KIY40">
        <f t="shared" si="80"/>
        <v>0</v>
      </c>
      <c r="KIZ40">
        <f t="shared" si="81"/>
        <v>0</v>
      </c>
      <c r="KJA40">
        <f t="shared" si="82"/>
        <v>0</v>
      </c>
      <c r="KJB40">
        <f t="shared" si="83"/>
        <v>0</v>
      </c>
      <c r="KJC40">
        <f t="shared" si="84"/>
        <v>0</v>
      </c>
      <c r="KJD40">
        <f t="shared" si="85"/>
        <v>0</v>
      </c>
      <c r="KJE40">
        <f t="shared" si="86"/>
        <v>0</v>
      </c>
      <c r="KJF40">
        <f t="shared" si="87"/>
        <v>0</v>
      </c>
      <c r="KJG40">
        <f t="shared" si="88"/>
        <v>0</v>
      </c>
      <c r="KJH40">
        <f t="shared" si="89"/>
        <v>0</v>
      </c>
      <c r="KJI40">
        <f t="shared" si="90"/>
        <v>0</v>
      </c>
      <c r="KJJ40">
        <f t="shared" si="91"/>
        <v>0</v>
      </c>
      <c r="KJK40">
        <f t="shared" si="92"/>
        <v>0</v>
      </c>
      <c r="KJL40">
        <f t="shared" si="93"/>
        <v>0</v>
      </c>
      <c r="KJM40">
        <f t="shared" si="94"/>
        <v>0</v>
      </c>
      <c r="KJN40">
        <f t="shared" si="95"/>
        <v>0</v>
      </c>
      <c r="KJO40">
        <f t="shared" si="96"/>
        <v>0</v>
      </c>
      <c r="KJP40">
        <f t="shared" si="97"/>
        <v>0</v>
      </c>
      <c r="KJQ40">
        <f t="shared" si="98"/>
        <v>0</v>
      </c>
      <c r="KJR40">
        <f t="shared" si="99"/>
        <v>0</v>
      </c>
      <c r="KJT40">
        <f t="shared" si="100"/>
        <v>46</v>
      </c>
      <c r="KJV40">
        <f t="shared" si="100"/>
        <v>46</v>
      </c>
      <c r="KJW40">
        <f t="shared" si="101"/>
        <v>1.84</v>
      </c>
      <c r="KJY40">
        <f t="shared" si="101"/>
        <v>1.84</v>
      </c>
    </row>
    <row r="41" spans="1:815 1235:1250 2076:3055 3200:4678 5150:6014 6233:6829 7258:7721">
      <c r="A41" t="s">
        <v>36</v>
      </c>
      <c r="B41">
        <v>1</v>
      </c>
      <c r="GUS41">
        <v>1</v>
      </c>
      <c r="GUT41">
        <v>1</v>
      </c>
      <c r="GUU41">
        <v>1</v>
      </c>
      <c r="GUV41">
        <v>1</v>
      </c>
      <c r="GUW41">
        <v>1</v>
      </c>
      <c r="GUX41">
        <v>1</v>
      </c>
      <c r="GUY41">
        <v>1</v>
      </c>
      <c r="GUZ41">
        <v>1</v>
      </c>
      <c r="GVA41">
        <v>1</v>
      </c>
      <c r="GVB41">
        <v>1</v>
      </c>
      <c r="GVC41">
        <v>1</v>
      </c>
      <c r="GVD41">
        <v>1</v>
      </c>
      <c r="GVE41">
        <v>1</v>
      </c>
      <c r="GVF41">
        <v>1</v>
      </c>
      <c r="GVG41">
        <v>1</v>
      </c>
      <c r="GVH41">
        <v>1</v>
      </c>
      <c r="GVI41">
        <v>1</v>
      </c>
      <c r="GVJ41">
        <v>1</v>
      </c>
      <c r="GVK41">
        <v>1</v>
      </c>
      <c r="GVL41">
        <v>1</v>
      </c>
      <c r="GVM41">
        <v>1</v>
      </c>
      <c r="GVN41">
        <v>1</v>
      </c>
      <c r="GVO41">
        <v>1</v>
      </c>
      <c r="GVP41">
        <v>1</v>
      </c>
      <c r="GVQ41">
        <v>1</v>
      </c>
      <c r="GVR41">
        <v>1</v>
      </c>
      <c r="GVS41">
        <v>1</v>
      </c>
      <c r="GVT41">
        <v>1</v>
      </c>
      <c r="GVU41">
        <v>1</v>
      </c>
      <c r="GVV41">
        <v>1</v>
      </c>
      <c r="GVW41">
        <v>1</v>
      </c>
      <c r="GVX41">
        <v>1</v>
      </c>
      <c r="GVY41">
        <v>1</v>
      </c>
      <c r="GVZ41">
        <v>1</v>
      </c>
      <c r="GWA41">
        <v>1</v>
      </c>
      <c r="GWB41">
        <v>1</v>
      </c>
      <c r="GWC41">
        <v>1</v>
      </c>
      <c r="GWD41">
        <v>1</v>
      </c>
      <c r="GWE41">
        <v>1</v>
      </c>
      <c r="GWF41">
        <v>1</v>
      </c>
      <c r="GWG41">
        <v>1</v>
      </c>
      <c r="GWH41">
        <v>1</v>
      </c>
      <c r="GWI41">
        <v>1</v>
      </c>
      <c r="GWJ41">
        <v>1</v>
      </c>
      <c r="GWK41">
        <v>1</v>
      </c>
      <c r="GWL41">
        <v>1</v>
      </c>
      <c r="GWM41">
        <v>1</v>
      </c>
      <c r="GWN41">
        <v>1</v>
      </c>
      <c r="GWO41">
        <v>1</v>
      </c>
      <c r="GWP41">
        <v>1</v>
      </c>
      <c r="GWQ41">
        <v>1</v>
      </c>
      <c r="GWR41">
        <v>1</v>
      </c>
      <c r="GWS41">
        <v>1</v>
      </c>
      <c r="GWT41">
        <v>1</v>
      </c>
      <c r="GWU41">
        <v>1</v>
      </c>
      <c r="GWV41">
        <v>1</v>
      </c>
      <c r="GWW41">
        <v>1</v>
      </c>
      <c r="GWX41">
        <v>1</v>
      </c>
      <c r="GWY41">
        <v>1</v>
      </c>
      <c r="GWZ41">
        <v>1</v>
      </c>
      <c r="GXA41">
        <v>1</v>
      </c>
      <c r="GXB41">
        <v>1</v>
      </c>
      <c r="GXC41">
        <v>1</v>
      </c>
      <c r="GXD41">
        <v>1</v>
      </c>
      <c r="GXE41">
        <v>1</v>
      </c>
      <c r="GXF41">
        <v>1</v>
      </c>
      <c r="GXG41">
        <v>1</v>
      </c>
      <c r="GXH41">
        <v>1</v>
      </c>
      <c r="GXI41">
        <v>1</v>
      </c>
      <c r="KFW41" s="1">
        <f t="shared" si="0"/>
        <v>69</v>
      </c>
      <c r="KFX41">
        <f t="shared" si="1"/>
        <v>0</v>
      </c>
      <c r="KFY41">
        <f t="shared" si="2"/>
        <v>0</v>
      </c>
      <c r="KFZ41">
        <f t="shared" si="3"/>
        <v>0</v>
      </c>
      <c r="KGA41">
        <f t="shared" si="4"/>
        <v>0</v>
      </c>
      <c r="KGB41">
        <f t="shared" si="5"/>
        <v>0</v>
      </c>
      <c r="KGC41">
        <f t="shared" si="6"/>
        <v>0</v>
      </c>
      <c r="KGD41">
        <f t="shared" si="7"/>
        <v>0</v>
      </c>
      <c r="KGE41">
        <f t="shared" si="8"/>
        <v>0</v>
      </c>
      <c r="KGF41">
        <f t="shared" si="9"/>
        <v>0</v>
      </c>
      <c r="KGG41">
        <f t="shared" si="10"/>
        <v>0</v>
      </c>
      <c r="KGH41">
        <f t="shared" si="11"/>
        <v>0</v>
      </c>
      <c r="KGI41">
        <f t="shared" si="12"/>
        <v>0</v>
      </c>
      <c r="KGJ41">
        <f t="shared" si="13"/>
        <v>0</v>
      </c>
      <c r="KGK41">
        <f t="shared" si="14"/>
        <v>0</v>
      </c>
      <c r="KGL41">
        <f t="shared" si="15"/>
        <v>0</v>
      </c>
      <c r="KGM41">
        <f t="shared" si="16"/>
        <v>0</v>
      </c>
      <c r="KGN41">
        <f t="shared" si="17"/>
        <v>0</v>
      </c>
      <c r="KGO41">
        <f t="shared" si="18"/>
        <v>0</v>
      </c>
      <c r="KGP41">
        <f t="shared" si="19"/>
        <v>0</v>
      </c>
      <c r="KGQ41">
        <f t="shared" si="20"/>
        <v>0</v>
      </c>
      <c r="KGR41">
        <f t="shared" si="21"/>
        <v>0</v>
      </c>
      <c r="KGS41">
        <f t="shared" si="22"/>
        <v>0</v>
      </c>
      <c r="KGT41">
        <f t="shared" si="23"/>
        <v>0</v>
      </c>
      <c r="KGU41">
        <f t="shared" si="24"/>
        <v>0</v>
      </c>
      <c r="KGV41">
        <f t="shared" si="25"/>
        <v>0</v>
      </c>
      <c r="KGW41">
        <f t="shared" si="26"/>
        <v>0</v>
      </c>
      <c r="KGX41">
        <f t="shared" si="27"/>
        <v>0</v>
      </c>
      <c r="KGY41">
        <f t="shared" si="28"/>
        <v>0</v>
      </c>
      <c r="KGZ41">
        <f t="shared" si="29"/>
        <v>0</v>
      </c>
      <c r="KHA41">
        <f t="shared" si="30"/>
        <v>0</v>
      </c>
      <c r="KHB41">
        <f t="shared" si="31"/>
        <v>0</v>
      </c>
      <c r="KHC41">
        <f t="shared" si="32"/>
        <v>0</v>
      </c>
      <c r="KHD41">
        <f t="shared" si="33"/>
        <v>0</v>
      </c>
      <c r="KHE41">
        <f t="shared" si="34"/>
        <v>0</v>
      </c>
      <c r="KHF41">
        <f t="shared" si="35"/>
        <v>0</v>
      </c>
      <c r="KHG41">
        <f t="shared" si="36"/>
        <v>0</v>
      </c>
      <c r="KHH41">
        <f t="shared" si="37"/>
        <v>0</v>
      </c>
      <c r="KHI41">
        <f t="shared" si="38"/>
        <v>0</v>
      </c>
      <c r="KHJ41">
        <f t="shared" si="39"/>
        <v>0</v>
      </c>
      <c r="KHK41">
        <f t="shared" si="40"/>
        <v>0</v>
      </c>
      <c r="KHL41">
        <f t="shared" si="41"/>
        <v>0</v>
      </c>
      <c r="KHM41">
        <f t="shared" si="42"/>
        <v>0</v>
      </c>
      <c r="KHN41">
        <f t="shared" si="43"/>
        <v>0</v>
      </c>
      <c r="KHO41">
        <f t="shared" si="44"/>
        <v>0</v>
      </c>
      <c r="KHP41">
        <f t="shared" si="45"/>
        <v>0</v>
      </c>
      <c r="KHQ41">
        <f t="shared" si="46"/>
        <v>0</v>
      </c>
      <c r="KHR41">
        <f t="shared" si="47"/>
        <v>0</v>
      </c>
      <c r="KHS41">
        <f t="shared" si="48"/>
        <v>0</v>
      </c>
      <c r="KHT41">
        <f t="shared" si="49"/>
        <v>0</v>
      </c>
      <c r="KHU41">
        <f t="shared" si="50"/>
        <v>0</v>
      </c>
      <c r="KHV41">
        <f t="shared" si="51"/>
        <v>0</v>
      </c>
      <c r="KHW41">
        <f t="shared" si="52"/>
        <v>0</v>
      </c>
      <c r="KHX41">
        <f t="shared" si="53"/>
        <v>0</v>
      </c>
      <c r="KHY41">
        <f t="shared" si="54"/>
        <v>0</v>
      </c>
      <c r="KHZ41">
        <f t="shared" si="55"/>
        <v>0</v>
      </c>
      <c r="KIA41">
        <f t="shared" si="56"/>
        <v>0</v>
      </c>
      <c r="KIB41">
        <f t="shared" si="57"/>
        <v>0</v>
      </c>
      <c r="KIC41">
        <f t="shared" si="58"/>
        <v>0</v>
      </c>
      <c r="KID41">
        <f t="shared" si="59"/>
        <v>0</v>
      </c>
      <c r="KIE41">
        <f t="shared" si="60"/>
        <v>0</v>
      </c>
      <c r="KIF41">
        <f t="shared" si="61"/>
        <v>0</v>
      </c>
      <c r="KIG41">
        <f t="shared" si="62"/>
        <v>0</v>
      </c>
      <c r="KIH41">
        <f t="shared" si="63"/>
        <v>0</v>
      </c>
      <c r="KII41">
        <f t="shared" si="64"/>
        <v>0</v>
      </c>
      <c r="KIJ41">
        <f t="shared" si="65"/>
        <v>0</v>
      </c>
      <c r="KIK41">
        <f t="shared" si="66"/>
        <v>0</v>
      </c>
      <c r="KIL41">
        <f t="shared" si="67"/>
        <v>0</v>
      </c>
      <c r="KIM41">
        <f t="shared" si="68"/>
        <v>0</v>
      </c>
      <c r="KIN41">
        <f t="shared" si="69"/>
        <v>0</v>
      </c>
      <c r="KIO41">
        <f t="shared" si="70"/>
        <v>0</v>
      </c>
      <c r="KIP41">
        <f t="shared" si="71"/>
        <v>0</v>
      </c>
      <c r="KIQ41">
        <f t="shared" si="72"/>
        <v>0</v>
      </c>
      <c r="KIR41">
        <f t="shared" si="73"/>
        <v>0</v>
      </c>
      <c r="KIS41">
        <f t="shared" si="74"/>
        <v>0</v>
      </c>
      <c r="KIT41">
        <f t="shared" si="75"/>
        <v>0</v>
      </c>
      <c r="KIU41">
        <f t="shared" si="76"/>
        <v>0</v>
      </c>
      <c r="KIV41">
        <f t="shared" si="77"/>
        <v>0</v>
      </c>
      <c r="KIW41">
        <f t="shared" si="78"/>
        <v>0</v>
      </c>
      <c r="KIX41">
        <f t="shared" si="79"/>
        <v>0</v>
      </c>
      <c r="KIY41">
        <f t="shared" si="80"/>
        <v>0</v>
      </c>
      <c r="KIZ41">
        <f t="shared" si="81"/>
        <v>0</v>
      </c>
      <c r="KJA41">
        <f t="shared" si="82"/>
        <v>0</v>
      </c>
      <c r="KJB41">
        <f t="shared" si="83"/>
        <v>0</v>
      </c>
      <c r="KJC41">
        <f t="shared" si="84"/>
        <v>0</v>
      </c>
      <c r="KJD41">
        <f t="shared" si="85"/>
        <v>0</v>
      </c>
      <c r="KJE41">
        <f t="shared" si="86"/>
        <v>0</v>
      </c>
      <c r="KJF41">
        <f t="shared" si="87"/>
        <v>0</v>
      </c>
      <c r="KJG41">
        <f t="shared" si="88"/>
        <v>0</v>
      </c>
      <c r="KJH41">
        <f t="shared" si="89"/>
        <v>0</v>
      </c>
      <c r="KJI41">
        <f t="shared" si="90"/>
        <v>0</v>
      </c>
      <c r="KJJ41">
        <f t="shared" si="91"/>
        <v>0</v>
      </c>
      <c r="KJK41">
        <f t="shared" si="92"/>
        <v>0</v>
      </c>
      <c r="KJL41">
        <f t="shared" si="93"/>
        <v>0</v>
      </c>
      <c r="KJM41">
        <f t="shared" si="94"/>
        <v>0</v>
      </c>
      <c r="KJN41">
        <f t="shared" si="95"/>
        <v>0</v>
      </c>
      <c r="KJO41">
        <f t="shared" si="96"/>
        <v>0</v>
      </c>
      <c r="KJP41">
        <f t="shared" si="97"/>
        <v>0</v>
      </c>
      <c r="KJQ41">
        <f t="shared" si="98"/>
        <v>0</v>
      </c>
      <c r="KJR41">
        <f t="shared" si="99"/>
        <v>0</v>
      </c>
      <c r="KJT41">
        <f t="shared" si="100"/>
        <v>69</v>
      </c>
      <c r="KJV41">
        <f t="shared" si="100"/>
        <v>69</v>
      </c>
      <c r="KJW41">
        <f t="shared" si="101"/>
        <v>2.76</v>
      </c>
      <c r="KJY41">
        <f t="shared" si="101"/>
        <v>2.76</v>
      </c>
    </row>
    <row r="42" spans="1:815 1235:1250 2076:3055 3200:4678 5150:6014 6233:6829 7258:7721">
      <c r="A42" t="s">
        <v>21</v>
      </c>
      <c r="B42">
        <v>1</v>
      </c>
      <c r="FRK42">
        <v>1</v>
      </c>
      <c r="FRL42">
        <v>1</v>
      </c>
      <c r="FRM42">
        <v>1</v>
      </c>
      <c r="FRN42">
        <v>1</v>
      </c>
      <c r="FRO42">
        <v>1</v>
      </c>
      <c r="FRP42">
        <v>1</v>
      </c>
      <c r="FRQ42">
        <v>1</v>
      </c>
      <c r="FRR42">
        <v>1</v>
      </c>
      <c r="FRS42">
        <v>1</v>
      </c>
      <c r="FRT42">
        <v>1</v>
      </c>
      <c r="FRU42">
        <v>1</v>
      </c>
      <c r="FRV42">
        <v>1</v>
      </c>
      <c r="FRW42">
        <v>1</v>
      </c>
      <c r="FRX42">
        <v>1</v>
      </c>
      <c r="FRY42">
        <v>1</v>
      </c>
      <c r="FRZ42">
        <v>1</v>
      </c>
      <c r="FSA42">
        <v>1</v>
      </c>
      <c r="FSB42">
        <v>1</v>
      </c>
      <c r="FSC42">
        <v>1</v>
      </c>
      <c r="FSD42">
        <v>1</v>
      </c>
      <c r="FSE42">
        <v>1</v>
      </c>
      <c r="FSF42">
        <v>1</v>
      </c>
      <c r="FSG42">
        <v>1</v>
      </c>
      <c r="FSH42">
        <v>1</v>
      </c>
      <c r="FSI42">
        <v>1</v>
      </c>
      <c r="FSJ42">
        <v>1</v>
      </c>
      <c r="FSK42">
        <v>1</v>
      </c>
      <c r="FSL42">
        <v>1</v>
      </c>
      <c r="KFW42" s="1">
        <f t="shared" si="0"/>
        <v>28</v>
      </c>
      <c r="KFX42">
        <f t="shared" si="1"/>
        <v>0</v>
      </c>
      <c r="KFY42">
        <f t="shared" si="2"/>
        <v>0</v>
      </c>
      <c r="KFZ42">
        <f t="shared" si="3"/>
        <v>0</v>
      </c>
      <c r="KGA42">
        <f t="shared" si="4"/>
        <v>0</v>
      </c>
      <c r="KGB42">
        <f t="shared" si="5"/>
        <v>0</v>
      </c>
      <c r="KGC42">
        <f t="shared" si="6"/>
        <v>0</v>
      </c>
      <c r="KGD42">
        <f t="shared" si="7"/>
        <v>0</v>
      </c>
      <c r="KGE42">
        <f t="shared" si="8"/>
        <v>0</v>
      </c>
      <c r="KGF42">
        <f t="shared" si="9"/>
        <v>0</v>
      </c>
      <c r="KGG42">
        <f t="shared" si="10"/>
        <v>0</v>
      </c>
      <c r="KGH42">
        <f t="shared" si="11"/>
        <v>0</v>
      </c>
      <c r="KGI42">
        <f t="shared" si="12"/>
        <v>0</v>
      </c>
      <c r="KGJ42">
        <f t="shared" si="13"/>
        <v>0</v>
      </c>
      <c r="KGK42">
        <f t="shared" si="14"/>
        <v>0</v>
      </c>
      <c r="KGL42">
        <f t="shared" si="15"/>
        <v>0</v>
      </c>
      <c r="KGM42">
        <f t="shared" si="16"/>
        <v>0</v>
      </c>
      <c r="KGN42">
        <f t="shared" si="17"/>
        <v>0</v>
      </c>
      <c r="KGO42">
        <f t="shared" si="18"/>
        <v>0</v>
      </c>
      <c r="KGP42">
        <f t="shared" si="19"/>
        <v>0</v>
      </c>
      <c r="KGQ42">
        <f t="shared" si="20"/>
        <v>0</v>
      </c>
      <c r="KGR42">
        <f t="shared" si="21"/>
        <v>0</v>
      </c>
      <c r="KGS42">
        <f t="shared" si="22"/>
        <v>0</v>
      </c>
      <c r="KGT42">
        <f t="shared" si="23"/>
        <v>0</v>
      </c>
      <c r="KGU42">
        <f t="shared" si="24"/>
        <v>0</v>
      </c>
      <c r="KGV42">
        <f t="shared" si="25"/>
        <v>0</v>
      </c>
      <c r="KGW42">
        <f t="shared" si="26"/>
        <v>0</v>
      </c>
      <c r="KGX42">
        <f t="shared" si="27"/>
        <v>0</v>
      </c>
      <c r="KGY42">
        <f t="shared" si="28"/>
        <v>0</v>
      </c>
      <c r="KGZ42">
        <f t="shared" si="29"/>
        <v>0</v>
      </c>
      <c r="KHA42">
        <f t="shared" si="30"/>
        <v>0</v>
      </c>
      <c r="KHB42">
        <f t="shared" si="31"/>
        <v>0</v>
      </c>
      <c r="KHC42">
        <f t="shared" si="32"/>
        <v>0</v>
      </c>
      <c r="KHD42">
        <f t="shared" si="33"/>
        <v>0</v>
      </c>
      <c r="KHE42">
        <f t="shared" si="34"/>
        <v>0</v>
      </c>
      <c r="KHF42">
        <f t="shared" si="35"/>
        <v>0</v>
      </c>
      <c r="KHG42">
        <f t="shared" si="36"/>
        <v>0</v>
      </c>
      <c r="KHH42">
        <f t="shared" si="37"/>
        <v>0</v>
      </c>
      <c r="KHI42">
        <f t="shared" si="38"/>
        <v>0</v>
      </c>
      <c r="KHJ42">
        <f t="shared" si="39"/>
        <v>0</v>
      </c>
      <c r="KHK42">
        <f t="shared" si="40"/>
        <v>0</v>
      </c>
      <c r="KHL42">
        <f t="shared" si="41"/>
        <v>0</v>
      </c>
      <c r="KHM42">
        <f t="shared" si="42"/>
        <v>0</v>
      </c>
      <c r="KHN42">
        <f t="shared" si="43"/>
        <v>0</v>
      </c>
      <c r="KHO42">
        <f t="shared" si="44"/>
        <v>0</v>
      </c>
      <c r="KHP42">
        <f t="shared" si="45"/>
        <v>0</v>
      </c>
      <c r="KHQ42">
        <f t="shared" si="46"/>
        <v>0</v>
      </c>
      <c r="KHR42">
        <f t="shared" si="47"/>
        <v>0</v>
      </c>
      <c r="KHS42">
        <f t="shared" si="48"/>
        <v>0</v>
      </c>
      <c r="KHT42">
        <f t="shared" si="49"/>
        <v>0</v>
      </c>
      <c r="KHU42">
        <f t="shared" si="50"/>
        <v>0</v>
      </c>
      <c r="KHV42">
        <f t="shared" si="51"/>
        <v>0</v>
      </c>
      <c r="KHW42">
        <f t="shared" si="52"/>
        <v>0</v>
      </c>
      <c r="KHX42">
        <f t="shared" si="53"/>
        <v>0</v>
      </c>
      <c r="KHY42">
        <f t="shared" si="54"/>
        <v>0</v>
      </c>
      <c r="KHZ42">
        <f t="shared" si="55"/>
        <v>0</v>
      </c>
      <c r="KIA42">
        <f t="shared" si="56"/>
        <v>0</v>
      </c>
      <c r="KIB42">
        <f t="shared" si="57"/>
        <v>0</v>
      </c>
      <c r="KIC42">
        <f t="shared" si="58"/>
        <v>0</v>
      </c>
      <c r="KID42">
        <f t="shared" si="59"/>
        <v>0</v>
      </c>
      <c r="KIE42">
        <f t="shared" si="60"/>
        <v>0</v>
      </c>
      <c r="KIF42">
        <f t="shared" si="61"/>
        <v>0</v>
      </c>
      <c r="KIG42">
        <f t="shared" si="62"/>
        <v>0</v>
      </c>
      <c r="KIH42">
        <f t="shared" si="63"/>
        <v>0</v>
      </c>
      <c r="KII42">
        <f t="shared" si="64"/>
        <v>0</v>
      </c>
      <c r="KIJ42">
        <f t="shared" si="65"/>
        <v>0</v>
      </c>
      <c r="KIK42">
        <f t="shared" si="66"/>
        <v>0</v>
      </c>
      <c r="KIL42">
        <f t="shared" si="67"/>
        <v>0</v>
      </c>
      <c r="KIM42">
        <f t="shared" si="68"/>
        <v>0</v>
      </c>
      <c r="KIN42">
        <f t="shared" si="69"/>
        <v>0</v>
      </c>
      <c r="KIO42">
        <f t="shared" si="70"/>
        <v>0</v>
      </c>
      <c r="KIP42">
        <f t="shared" si="71"/>
        <v>0</v>
      </c>
      <c r="KIQ42">
        <f t="shared" si="72"/>
        <v>0</v>
      </c>
      <c r="KIR42">
        <f t="shared" si="73"/>
        <v>0</v>
      </c>
      <c r="KIS42">
        <f t="shared" si="74"/>
        <v>0</v>
      </c>
      <c r="KIT42">
        <f t="shared" si="75"/>
        <v>0</v>
      </c>
      <c r="KIU42">
        <f t="shared" si="76"/>
        <v>0</v>
      </c>
      <c r="KIV42">
        <f t="shared" si="77"/>
        <v>0</v>
      </c>
      <c r="KIW42">
        <f t="shared" si="78"/>
        <v>0</v>
      </c>
      <c r="KIX42">
        <f t="shared" si="79"/>
        <v>0</v>
      </c>
      <c r="KIY42">
        <f t="shared" si="80"/>
        <v>0</v>
      </c>
      <c r="KIZ42">
        <f t="shared" si="81"/>
        <v>0</v>
      </c>
      <c r="KJA42">
        <f t="shared" si="82"/>
        <v>0</v>
      </c>
      <c r="KJB42">
        <f t="shared" si="83"/>
        <v>0</v>
      </c>
      <c r="KJC42">
        <f t="shared" si="84"/>
        <v>0</v>
      </c>
      <c r="KJD42">
        <f t="shared" si="85"/>
        <v>0</v>
      </c>
      <c r="KJE42">
        <f t="shared" si="86"/>
        <v>0</v>
      </c>
      <c r="KJF42">
        <f t="shared" si="87"/>
        <v>0</v>
      </c>
      <c r="KJG42">
        <f t="shared" si="88"/>
        <v>0</v>
      </c>
      <c r="KJH42">
        <f t="shared" si="89"/>
        <v>0</v>
      </c>
      <c r="KJI42">
        <f t="shared" si="90"/>
        <v>0</v>
      </c>
      <c r="KJJ42">
        <f t="shared" si="91"/>
        <v>0</v>
      </c>
      <c r="KJK42">
        <f t="shared" si="92"/>
        <v>0</v>
      </c>
      <c r="KJL42">
        <f t="shared" si="93"/>
        <v>0</v>
      </c>
      <c r="KJM42">
        <f t="shared" si="94"/>
        <v>0</v>
      </c>
      <c r="KJN42">
        <f t="shared" si="95"/>
        <v>0</v>
      </c>
      <c r="KJO42">
        <f t="shared" si="96"/>
        <v>0</v>
      </c>
      <c r="KJP42">
        <f t="shared" si="97"/>
        <v>0</v>
      </c>
      <c r="KJQ42">
        <f t="shared" si="98"/>
        <v>0</v>
      </c>
      <c r="KJR42">
        <f t="shared" si="99"/>
        <v>0</v>
      </c>
      <c r="KJT42">
        <f t="shared" si="100"/>
        <v>28</v>
      </c>
      <c r="KJV42">
        <f t="shared" si="100"/>
        <v>28</v>
      </c>
      <c r="KJW42">
        <f t="shared" si="101"/>
        <v>1.1200000000000001</v>
      </c>
      <c r="KJY42">
        <f t="shared" si="101"/>
        <v>1.1200000000000001</v>
      </c>
    </row>
    <row r="43" spans="1:815 1235:1250 2076:3055 3200:4678 5150:6014 6233:6829 7258:7721">
      <c r="A43" t="s">
        <v>37</v>
      </c>
      <c r="B43">
        <v>1</v>
      </c>
      <c r="FSV43">
        <v>1</v>
      </c>
      <c r="FSW43">
        <v>1</v>
      </c>
      <c r="FSX43">
        <v>1</v>
      </c>
      <c r="FSY43">
        <v>1</v>
      </c>
      <c r="FSZ43">
        <v>1</v>
      </c>
      <c r="FTA43">
        <v>1</v>
      </c>
      <c r="FTB43">
        <v>1</v>
      </c>
      <c r="FTC43">
        <v>1</v>
      </c>
      <c r="FTD43">
        <v>1</v>
      </c>
      <c r="FTE43">
        <v>1</v>
      </c>
      <c r="FTF43">
        <v>1</v>
      </c>
      <c r="FTG43">
        <v>1</v>
      </c>
      <c r="KFW43" s="1">
        <f t="shared" si="0"/>
        <v>12</v>
      </c>
      <c r="KFX43">
        <f t="shared" si="1"/>
        <v>0</v>
      </c>
      <c r="KFY43">
        <f t="shared" si="2"/>
        <v>0</v>
      </c>
      <c r="KFZ43">
        <f t="shared" si="3"/>
        <v>0</v>
      </c>
      <c r="KGA43">
        <f t="shared" si="4"/>
        <v>0</v>
      </c>
      <c r="KGB43">
        <f t="shared" si="5"/>
        <v>0</v>
      </c>
      <c r="KGC43">
        <f t="shared" si="6"/>
        <v>0</v>
      </c>
      <c r="KGD43">
        <f t="shared" si="7"/>
        <v>0</v>
      </c>
      <c r="KGE43">
        <f t="shared" si="8"/>
        <v>0</v>
      </c>
      <c r="KGF43">
        <f t="shared" si="9"/>
        <v>0</v>
      </c>
      <c r="KGG43">
        <f t="shared" si="10"/>
        <v>0</v>
      </c>
      <c r="KGH43">
        <f t="shared" si="11"/>
        <v>0</v>
      </c>
      <c r="KGI43">
        <f t="shared" si="12"/>
        <v>0</v>
      </c>
      <c r="KGJ43">
        <f t="shared" si="13"/>
        <v>0</v>
      </c>
      <c r="KGK43">
        <f t="shared" si="14"/>
        <v>0</v>
      </c>
      <c r="KGL43">
        <f t="shared" si="15"/>
        <v>0</v>
      </c>
      <c r="KGM43">
        <f t="shared" si="16"/>
        <v>0</v>
      </c>
      <c r="KGN43">
        <f t="shared" si="17"/>
        <v>0</v>
      </c>
      <c r="KGO43">
        <f t="shared" si="18"/>
        <v>0</v>
      </c>
      <c r="KGP43">
        <f t="shared" si="19"/>
        <v>0</v>
      </c>
      <c r="KGQ43">
        <f t="shared" si="20"/>
        <v>0</v>
      </c>
      <c r="KGR43">
        <f t="shared" si="21"/>
        <v>0</v>
      </c>
      <c r="KGS43">
        <f t="shared" si="22"/>
        <v>0</v>
      </c>
      <c r="KGT43">
        <f t="shared" si="23"/>
        <v>0</v>
      </c>
      <c r="KGU43">
        <f t="shared" si="24"/>
        <v>0</v>
      </c>
      <c r="KGV43">
        <f t="shared" si="25"/>
        <v>0</v>
      </c>
      <c r="KGW43">
        <f t="shared" si="26"/>
        <v>0</v>
      </c>
      <c r="KGX43">
        <f t="shared" si="27"/>
        <v>0</v>
      </c>
      <c r="KGY43">
        <f t="shared" si="28"/>
        <v>0</v>
      </c>
      <c r="KGZ43">
        <f t="shared" si="29"/>
        <v>0</v>
      </c>
      <c r="KHA43">
        <f t="shared" si="30"/>
        <v>0</v>
      </c>
      <c r="KHB43">
        <f t="shared" si="31"/>
        <v>0</v>
      </c>
      <c r="KHC43">
        <f t="shared" si="32"/>
        <v>0</v>
      </c>
      <c r="KHD43">
        <f t="shared" si="33"/>
        <v>0</v>
      </c>
      <c r="KHE43">
        <f t="shared" si="34"/>
        <v>0</v>
      </c>
      <c r="KHF43">
        <f t="shared" si="35"/>
        <v>0</v>
      </c>
      <c r="KHG43">
        <f t="shared" si="36"/>
        <v>0</v>
      </c>
      <c r="KHH43">
        <f t="shared" si="37"/>
        <v>0</v>
      </c>
      <c r="KHI43">
        <f t="shared" si="38"/>
        <v>0</v>
      </c>
      <c r="KHJ43">
        <f t="shared" si="39"/>
        <v>0</v>
      </c>
      <c r="KHK43">
        <f t="shared" si="40"/>
        <v>0</v>
      </c>
      <c r="KHL43">
        <f t="shared" si="41"/>
        <v>0</v>
      </c>
      <c r="KHM43">
        <f t="shared" si="42"/>
        <v>0</v>
      </c>
      <c r="KHN43">
        <f t="shared" si="43"/>
        <v>0</v>
      </c>
      <c r="KHO43">
        <f t="shared" si="44"/>
        <v>0</v>
      </c>
      <c r="KHP43">
        <f t="shared" si="45"/>
        <v>0</v>
      </c>
      <c r="KHQ43">
        <f t="shared" si="46"/>
        <v>0</v>
      </c>
      <c r="KHR43">
        <f t="shared" si="47"/>
        <v>0</v>
      </c>
      <c r="KHS43">
        <f t="shared" si="48"/>
        <v>0</v>
      </c>
      <c r="KHT43">
        <f t="shared" si="49"/>
        <v>0</v>
      </c>
      <c r="KHU43">
        <f t="shared" si="50"/>
        <v>0</v>
      </c>
      <c r="KHV43">
        <f t="shared" si="51"/>
        <v>0</v>
      </c>
      <c r="KHW43">
        <f t="shared" si="52"/>
        <v>0</v>
      </c>
      <c r="KHX43">
        <f t="shared" si="53"/>
        <v>0</v>
      </c>
      <c r="KHY43">
        <f t="shared" si="54"/>
        <v>0</v>
      </c>
      <c r="KHZ43">
        <f t="shared" si="55"/>
        <v>0</v>
      </c>
      <c r="KIA43">
        <f t="shared" si="56"/>
        <v>0</v>
      </c>
      <c r="KIB43">
        <f t="shared" si="57"/>
        <v>0</v>
      </c>
      <c r="KIC43">
        <f t="shared" si="58"/>
        <v>0</v>
      </c>
      <c r="KID43">
        <f t="shared" si="59"/>
        <v>0</v>
      </c>
      <c r="KIE43">
        <f t="shared" si="60"/>
        <v>0</v>
      </c>
      <c r="KIF43">
        <f t="shared" si="61"/>
        <v>0</v>
      </c>
      <c r="KIG43">
        <f t="shared" si="62"/>
        <v>0</v>
      </c>
      <c r="KIH43">
        <f t="shared" si="63"/>
        <v>0</v>
      </c>
      <c r="KII43">
        <f t="shared" si="64"/>
        <v>0</v>
      </c>
      <c r="KIJ43">
        <f t="shared" si="65"/>
        <v>0</v>
      </c>
      <c r="KIK43">
        <f t="shared" si="66"/>
        <v>0</v>
      </c>
      <c r="KIL43">
        <f t="shared" si="67"/>
        <v>0</v>
      </c>
      <c r="KIM43">
        <f t="shared" si="68"/>
        <v>0</v>
      </c>
      <c r="KIN43">
        <f t="shared" si="69"/>
        <v>0</v>
      </c>
      <c r="KIO43">
        <f t="shared" si="70"/>
        <v>0</v>
      </c>
      <c r="KIP43">
        <f t="shared" si="71"/>
        <v>0</v>
      </c>
      <c r="KIQ43">
        <f t="shared" si="72"/>
        <v>0</v>
      </c>
      <c r="KIR43">
        <f t="shared" si="73"/>
        <v>0</v>
      </c>
      <c r="KIS43">
        <f t="shared" si="74"/>
        <v>0</v>
      </c>
      <c r="KIT43">
        <f t="shared" si="75"/>
        <v>0</v>
      </c>
      <c r="KIU43">
        <f t="shared" si="76"/>
        <v>0</v>
      </c>
      <c r="KIV43">
        <f t="shared" si="77"/>
        <v>0</v>
      </c>
      <c r="KIW43">
        <f t="shared" si="78"/>
        <v>0</v>
      </c>
      <c r="KIX43">
        <f t="shared" si="79"/>
        <v>0</v>
      </c>
      <c r="KIY43">
        <f t="shared" si="80"/>
        <v>0</v>
      </c>
      <c r="KIZ43">
        <f t="shared" si="81"/>
        <v>0</v>
      </c>
      <c r="KJA43">
        <f t="shared" si="82"/>
        <v>0</v>
      </c>
      <c r="KJB43">
        <f t="shared" si="83"/>
        <v>0</v>
      </c>
      <c r="KJC43">
        <f t="shared" si="84"/>
        <v>0</v>
      </c>
      <c r="KJD43">
        <f t="shared" si="85"/>
        <v>0</v>
      </c>
      <c r="KJE43">
        <f t="shared" si="86"/>
        <v>0</v>
      </c>
      <c r="KJF43">
        <f t="shared" si="87"/>
        <v>0</v>
      </c>
      <c r="KJG43">
        <f t="shared" si="88"/>
        <v>0</v>
      </c>
      <c r="KJH43">
        <f t="shared" si="89"/>
        <v>0</v>
      </c>
      <c r="KJI43">
        <f t="shared" si="90"/>
        <v>0</v>
      </c>
      <c r="KJJ43">
        <f t="shared" si="91"/>
        <v>0</v>
      </c>
      <c r="KJK43">
        <f t="shared" si="92"/>
        <v>0</v>
      </c>
      <c r="KJL43">
        <f t="shared" si="93"/>
        <v>0</v>
      </c>
      <c r="KJM43">
        <f t="shared" si="94"/>
        <v>0</v>
      </c>
      <c r="KJN43">
        <f t="shared" si="95"/>
        <v>0</v>
      </c>
      <c r="KJO43">
        <f t="shared" si="96"/>
        <v>0</v>
      </c>
      <c r="KJP43">
        <f t="shared" si="97"/>
        <v>0</v>
      </c>
      <c r="KJQ43">
        <f t="shared" si="98"/>
        <v>0</v>
      </c>
      <c r="KJR43">
        <f t="shared" si="99"/>
        <v>0</v>
      </c>
      <c r="KJT43">
        <f t="shared" si="100"/>
        <v>12</v>
      </c>
      <c r="KJV43">
        <f t="shared" si="100"/>
        <v>12</v>
      </c>
      <c r="KJW43">
        <f t="shared" si="101"/>
        <v>0.48</v>
      </c>
      <c r="KJY43">
        <f t="shared" si="101"/>
        <v>0.48</v>
      </c>
    </row>
    <row r="44" spans="1:815 1235:1250 2076:3055 3200:4678 5150:6014 6233:6829 7258:7721">
      <c r="A44" t="s">
        <v>22</v>
      </c>
      <c r="B44">
        <v>4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Y44">
        <v>2</v>
      </c>
      <c r="IZ44">
        <v>2</v>
      </c>
      <c r="JA44">
        <v>2</v>
      </c>
      <c r="JB44">
        <v>2</v>
      </c>
      <c r="JC44">
        <v>2</v>
      </c>
      <c r="JD44">
        <v>2</v>
      </c>
      <c r="JE44">
        <v>2</v>
      </c>
      <c r="JF44">
        <v>2</v>
      </c>
      <c r="JG44">
        <v>2</v>
      </c>
      <c r="JH44">
        <v>2</v>
      </c>
      <c r="JI44">
        <v>2</v>
      </c>
      <c r="FPL44">
        <v>3</v>
      </c>
      <c r="FPM44">
        <v>3</v>
      </c>
      <c r="FPN44">
        <v>3</v>
      </c>
      <c r="FPO44">
        <v>3</v>
      </c>
      <c r="FPP44">
        <v>3</v>
      </c>
      <c r="FPQ44">
        <v>3</v>
      </c>
      <c r="FPR44">
        <v>3</v>
      </c>
      <c r="FPS44">
        <v>3</v>
      </c>
      <c r="FPT44">
        <v>3</v>
      </c>
      <c r="FPU44">
        <v>3</v>
      </c>
      <c r="FPV44">
        <v>3</v>
      </c>
      <c r="FPW44">
        <v>3</v>
      </c>
      <c r="FPX44">
        <v>3</v>
      </c>
      <c r="FPY44">
        <v>3</v>
      </c>
      <c r="FPZ44">
        <v>3</v>
      </c>
      <c r="FQA44">
        <v>3</v>
      </c>
      <c r="FQB44">
        <v>3</v>
      </c>
      <c r="FQC44">
        <v>3</v>
      </c>
      <c r="FQD44">
        <v>3</v>
      </c>
      <c r="FQE44">
        <v>3</v>
      </c>
      <c r="FQF44">
        <v>3</v>
      </c>
      <c r="FQG44">
        <v>3</v>
      </c>
      <c r="FQH44">
        <v>3</v>
      </c>
      <c r="FQI44">
        <v>3</v>
      </c>
      <c r="FQJ44">
        <v>3</v>
      </c>
      <c r="FQK44">
        <v>3</v>
      </c>
      <c r="FQL44">
        <v>3</v>
      </c>
      <c r="FQM44">
        <v>3</v>
      </c>
      <c r="FQN44">
        <v>3</v>
      </c>
      <c r="FQO44">
        <v>3</v>
      </c>
      <c r="FQP44">
        <v>3</v>
      </c>
      <c r="FQQ44">
        <v>3</v>
      </c>
      <c r="FQR44">
        <v>3</v>
      </c>
      <c r="FQS44">
        <v>3</v>
      </c>
      <c r="FQT44">
        <v>3</v>
      </c>
      <c r="FQU44">
        <v>3</v>
      </c>
      <c r="FQV44">
        <v>3</v>
      </c>
      <c r="FQW44">
        <v>3</v>
      </c>
      <c r="FQX44">
        <v>3</v>
      </c>
      <c r="FQY44">
        <v>3</v>
      </c>
      <c r="FQZ44">
        <v>3</v>
      </c>
      <c r="FRA44">
        <v>3</v>
      </c>
      <c r="IYF44">
        <v>4</v>
      </c>
      <c r="IYG44">
        <v>4</v>
      </c>
      <c r="IYH44">
        <v>4</v>
      </c>
      <c r="IYI44">
        <v>4</v>
      </c>
      <c r="IYJ44">
        <v>4</v>
      </c>
      <c r="IYK44">
        <v>4</v>
      </c>
      <c r="IYL44">
        <v>4</v>
      </c>
      <c r="IYM44">
        <v>4</v>
      </c>
      <c r="IYN44">
        <v>4</v>
      </c>
      <c r="IYO44">
        <v>4</v>
      </c>
      <c r="IYP44">
        <v>4</v>
      </c>
      <c r="IYQ44">
        <v>4</v>
      </c>
      <c r="IYR44">
        <v>4</v>
      </c>
      <c r="IYS44">
        <v>4</v>
      </c>
      <c r="IYT44">
        <v>4</v>
      </c>
      <c r="IYU44">
        <v>4</v>
      </c>
      <c r="IYV44">
        <v>4</v>
      </c>
      <c r="IYW44">
        <v>4</v>
      </c>
      <c r="IYX44">
        <v>4</v>
      </c>
      <c r="IYY44">
        <v>4</v>
      </c>
      <c r="IYZ44">
        <v>4</v>
      </c>
      <c r="IZA44">
        <v>4</v>
      </c>
      <c r="IZB44">
        <v>4</v>
      </c>
      <c r="IZC44">
        <v>4</v>
      </c>
      <c r="KFW44" s="1">
        <f t="shared" si="0"/>
        <v>13</v>
      </c>
      <c r="KFX44">
        <f t="shared" si="1"/>
        <v>11</v>
      </c>
      <c r="KFY44">
        <f t="shared" si="2"/>
        <v>42</v>
      </c>
      <c r="KFZ44">
        <f t="shared" si="3"/>
        <v>24</v>
      </c>
      <c r="KGA44">
        <f t="shared" si="4"/>
        <v>0</v>
      </c>
      <c r="KGB44">
        <f t="shared" si="5"/>
        <v>0</v>
      </c>
      <c r="KGC44">
        <f t="shared" si="6"/>
        <v>0</v>
      </c>
      <c r="KGD44">
        <f t="shared" si="7"/>
        <v>0</v>
      </c>
      <c r="KGE44">
        <f t="shared" si="8"/>
        <v>0</v>
      </c>
      <c r="KGF44">
        <f t="shared" si="9"/>
        <v>0</v>
      </c>
      <c r="KGG44">
        <f t="shared" si="10"/>
        <v>0</v>
      </c>
      <c r="KGH44">
        <f t="shared" si="11"/>
        <v>0</v>
      </c>
      <c r="KGI44">
        <f t="shared" si="12"/>
        <v>0</v>
      </c>
      <c r="KGJ44">
        <f t="shared" si="13"/>
        <v>0</v>
      </c>
      <c r="KGK44">
        <f t="shared" si="14"/>
        <v>0</v>
      </c>
      <c r="KGL44">
        <f t="shared" si="15"/>
        <v>0</v>
      </c>
      <c r="KGM44">
        <f t="shared" si="16"/>
        <v>0</v>
      </c>
      <c r="KGN44">
        <f t="shared" si="17"/>
        <v>0</v>
      </c>
      <c r="KGO44">
        <f t="shared" si="18"/>
        <v>0</v>
      </c>
      <c r="KGP44">
        <f t="shared" si="19"/>
        <v>0</v>
      </c>
      <c r="KGQ44">
        <f t="shared" si="20"/>
        <v>0</v>
      </c>
      <c r="KGR44">
        <f t="shared" si="21"/>
        <v>0</v>
      </c>
      <c r="KGS44">
        <f t="shared" si="22"/>
        <v>0</v>
      </c>
      <c r="KGT44">
        <f t="shared" si="23"/>
        <v>0</v>
      </c>
      <c r="KGU44">
        <f t="shared" si="24"/>
        <v>0</v>
      </c>
      <c r="KGV44">
        <f t="shared" si="25"/>
        <v>0</v>
      </c>
      <c r="KGW44">
        <f t="shared" si="26"/>
        <v>0</v>
      </c>
      <c r="KGX44">
        <f t="shared" si="27"/>
        <v>0</v>
      </c>
      <c r="KGY44">
        <f t="shared" si="28"/>
        <v>0</v>
      </c>
      <c r="KGZ44">
        <f t="shared" si="29"/>
        <v>0</v>
      </c>
      <c r="KHA44">
        <f t="shared" si="30"/>
        <v>0</v>
      </c>
      <c r="KHB44">
        <f t="shared" si="31"/>
        <v>0</v>
      </c>
      <c r="KHC44">
        <f t="shared" si="32"/>
        <v>0</v>
      </c>
      <c r="KHD44">
        <f t="shared" si="33"/>
        <v>0</v>
      </c>
      <c r="KHE44">
        <f t="shared" si="34"/>
        <v>0</v>
      </c>
      <c r="KHF44">
        <f t="shared" si="35"/>
        <v>0</v>
      </c>
      <c r="KHG44">
        <f t="shared" si="36"/>
        <v>0</v>
      </c>
      <c r="KHH44">
        <f t="shared" si="37"/>
        <v>0</v>
      </c>
      <c r="KHI44">
        <f t="shared" si="38"/>
        <v>0</v>
      </c>
      <c r="KHJ44">
        <f t="shared" si="39"/>
        <v>0</v>
      </c>
      <c r="KHK44">
        <f t="shared" si="40"/>
        <v>0</v>
      </c>
      <c r="KHL44">
        <f t="shared" si="41"/>
        <v>0</v>
      </c>
      <c r="KHM44">
        <f t="shared" si="42"/>
        <v>0</v>
      </c>
      <c r="KHN44">
        <f t="shared" si="43"/>
        <v>0</v>
      </c>
      <c r="KHO44">
        <f t="shared" si="44"/>
        <v>0</v>
      </c>
      <c r="KHP44">
        <f t="shared" si="45"/>
        <v>0</v>
      </c>
      <c r="KHQ44">
        <f t="shared" si="46"/>
        <v>0</v>
      </c>
      <c r="KHR44">
        <f t="shared" si="47"/>
        <v>0</v>
      </c>
      <c r="KHS44">
        <f t="shared" si="48"/>
        <v>0</v>
      </c>
      <c r="KHT44">
        <f t="shared" si="49"/>
        <v>0</v>
      </c>
      <c r="KHU44">
        <f t="shared" si="50"/>
        <v>0</v>
      </c>
      <c r="KHV44">
        <f t="shared" si="51"/>
        <v>0</v>
      </c>
      <c r="KHW44">
        <f t="shared" si="52"/>
        <v>0</v>
      </c>
      <c r="KHX44">
        <f t="shared" si="53"/>
        <v>0</v>
      </c>
      <c r="KHY44">
        <f t="shared" si="54"/>
        <v>0</v>
      </c>
      <c r="KHZ44">
        <f t="shared" si="55"/>
        <v>0</v>
      </c>
      <c r="KIA44">
        <f t="shared" si="56"/>
        <v>0</v>
      </c>
      <c r="KIB44">
        <f t="shared" si="57"/>
        <v>0</v>
      </c>
      <c r="KIC44">
        <f t="shared" si="58"/>
        <v>0</v>
      </c>
      <c r="KID44">
        <f t="shared" si="59"/>
        <v>0</v>
      </c>
      <c r="KIE44">
        <f t="shared" si="60"/>
        <v>0</v>
      </c>
      <c r="KIF44">
        <f t="shared" si="61"/>
        <v>0</v>
      </c>
      <c r="KIG44">
        <f t="shared" si="62"/>
        <v>0</v>
      </c>
      <c r="KIH44">
        <f t="shared" si="63"/>
        <v>0</v>
      </c>
      <c r="KII44">
        <f t="shared" si="64"/>
        <v>0</v>
      </c>
      <c r="KIJ44">
        <f t="shared" si="65"/>
        <v>0</v>
      </c>
      <c r="KIK44">
        <f t="shared" si="66"/>
        <v>0</v>
      </c>
      <c r="KIL44">
        <f t="shared" si="67"/>
        <v>0</v>
      </c>
      <c r="KIM44">
        <f t="shared" si="68"/>
        <v>0</v>
      </c>
      <c r="KIN44">
        <f t="shared" si="69"/>
        <v>0</v>
      </c>
      <c r="KIO44">
        <f t="shared" si="70"/>
        <v>0</v>
      </c>
      <c r="KIP44">
        <f t="shared" si="71"/>
        <v>0</v>
      </c>
      <c r="KIQ44">
        <f t="shared" si="72"/>
        <v>0</v>
      </c>
      <c r="KIR44">
        <f t="shared" si="73"/>
        <v>0</v>
      </c>
      <c r="KIS44">
        <f t="shared" si="74"/>
        <v>0</v>
      </c>
      <c r="KIT44">
        <f t="shared" si="75"/>
        <v>0</v>
      </c>
      <c r="KIU44">
        <f t="shared" si="76"/>
        <v>0</v>
      </c>
      <c r="KIV44">
        <f t="shared" si="77"/>
        <v>0</v>
      </c>
      <c r="KIW44">
        <f t="shared" si="78"/>
        <v>0</v>
      </c>
      <c r="KIX44">
        <f t="shared" si="79"/>
        <v>0</v>
      </c>
      <c r="KIY44">
        <f t="shared" si="80"/>
        <v>0</v>
      </c>
      <c r="KIZ44">
        <f t="shared" si="81"/>
        <v>0</v>
      </c>
      <c r="KJA44">
        <f t="shared" si="82"/>
        <v>0</v>
      </c>
      <c r="KJB44">
        <f t="shared" si="83"/>
        <v>0</v>
      </c>
      <c r="KJC44">
        <f t="shared" si="84"/>
        <v>0</v>
      </c>
      <c r="KJD44">
        <f t="shared" si="85"/>
        <v>0</v>
      </c>
      <c r="KJE44">
        <f t="shared" si="86"/>
        <v>0</v>
      </c>
      <c r="KJF44">
        <f t="shared" si="87"/>
        <v>0</v>
      </c>
      <c r="KJG44">
        <f t="shared" si="88"/>
        <v>0</v>
      </c>
      <c r="KJH44">
        <f t="shared" si="89"/>
        <v>0</v>
      </c>
      <c r="KJI44">
        <f t="shared" si="90"/>
        <v>0</v>
      </c>
      <c r="KJJ44">
        <f t="shared" si="91"/>
        <v>0</v>
      </c>
      <c r="KJK44">
        <f t="shared" si="92"/>
        <v>0</v>
      </c>
      <c r="KJL44">
        <f t="shared" si="93"/>
        <v>0</v>
      </c>
      <c r="KJM44">
        <f t="shared" si="94"/>
        <v>0</v>
      </c>
      <c r="KJN44">
        <f t="shared" si="95"/>
        <v>0</v>
      </c>
      <c r="KJO44">
        <f t="shared" si="96"/>
        <v>0</v>
      </c>
      <c r="KJP44">
        <f t="shared" si="97"/>
        <v>0</v>
      </c>
      <c r="KJQ44">
        <f t="shared" si="98"/>
        <v>0</v>
      </c>
      <c r="KJR44">
        <f t="shared" si="99"/>
        <v>0</v>
      </c>
      <c r="KJT44">
        <f t="shared" si="100"/>
        <v>90</v>
      </c>
      <c r="KJV44">
        <f t="shared" si="100"/>
        <v>90</v>
      </c>
      <c r="KJW44">
        <f t="shared" si="101"/>
        <v>3.6</v>
      </c>
      <c r="KJY44">
        <f t="shared" si="101"/>
        <v>3.6</v>
      </c>
    </row>
    <row r="45" spans="1:815 1235:1250 2076:3055 3200:4678 5150:6014 6233:6829 7258:7721">
      <c r="A45" t="s">
        <v>38</v>
      </c>
      <c r="B45">
        <v>1</v>
      </c>
      <c r="IZI45">
        <v>1</v>
      </c>
      <c r="IZJ45">
        <v>1</v>
      </c>
      <c r="IZK45">
        <v>1</v>
      </c>
      <c r="IZL45">
        <v>1</v>
      </c>
      <c r="IZM45">
        <v>1</v>
      </c>
      <c r="IZN45">
        <v>1</v>
      </c>
      <c r="IZO45">
        <v>1</v>
      </c>
      <c r="IZP45">
        <v>1</v>
      </c>
      <c r="IZQ45">
        <v>1</v>
      </c>
      <c r="IZR45">
        <v>1</v>
      </c>
      <c r="IZS45">
        <v>1</v>
      </c>
      <c r="IZT45">
        <v>1</v>
      </c>
      <c r="IZU45">
        <v>1</v>
      </c>
      <c r="IZV45">
        <v>1</v>
      </c>
      <c r="IZW45">
        <v>1</v>
      </c>
      <c r="IZX45">
        <v>1</v>
      </c>
      <c r="IZY45">
        <v>1</v>
      </c>
      <c r="IZZ45">
        <v>1</v>
      </c>
      <c r="JAA45">
        <v>1</v>
      </c>
      <c r="JAB45">
        <v>1</v>
      </c>
      <c r="JAC45">
        <v>1</v>
      </c>
      <c r="JAD45">
        <v>1</v>
      </c>
      <c r="JAE45">
        <v>1</v>
      </c>
      <c r="JAF45">
        <v>1</v>
      </c>
      <c r="JAG45">
        <v>1</v>
      </c>
      <c r="JAH45">
        <v>1</v>
      </c>
      <c r="JAI45">
        <v>1</v>
      </c>
      <c r="JAJ45">
        <v>1</v>
      </c>
      <c r="JAK45">
        <v>1</v>
      </c>
      <c r="JAL45">
        <v>1</v>
      </c>
      <c r="JAM45">
        <v>1</v>
      </c>
      <c r="JAN45">
        <v>1</v>
      </c>
      <c r="JAO45">
        <v>1</v>
      </c>
      <c r="JAP45">
        <v>1</v>
      </c>
      <c r="JAQ45">
        <v>1</v>
      </c>
      <c r="JAR45">
        <v>1</v>
      </c>
      <c r="JAS45">
        <v>1</v>
      </c>
      <c r="JAT45">
        <v>1</v>
      </c>
      <c r="JAU45">
        <v>1</v>
      </c>
      <c r="JAV45">
        <v>1</v>
      </c>
      <c r="JAW45">
        <v>1</v>
      </c>
      <c r="JAX45">
        <v>1</v>
      </c>
      <c r="JAY45">
        <v>1</v>
      </c>
      <c r="JAZ45">
        <v>1</v>
      </c>
      <c r="JBA45">
        <v>1</v>
      </c>
      <c r="JBB45">
        <v>1</v>
      </c>
      <c r="KFW45" s="1">
        <f t="shared" si="0"/>
        <v>46</v>
      </c>
      <c r="KFX45">
        <f t="shared" si="1"/>
        <v>0</v>
      </c>
      <c r="KFY45">
        <f t="shared" si="2"/>
        <v>0</v>
      </c>
      <c r="KFZ45">
        <f t="shared" si="3"/>
        <v>0</v>
      </c>
      <c r="KGA45">
        <f t="shared" si="4"/>
        <v>0</v>
      </c>
      <c r="KGB45">
        <f t="shared" si="5"/>
        <v>0</v>
      </c>
      <c r="KGC45">
        <f t="shared" si="6"/>
        <v>0</v>
      </c>
      <c r="KGD45">
        <f t="shared" si="7"/>
        <v>0</v>
      </c>
      <c r="KGE45">
        <f t="shared" si="8"/>
        <v>0</v>
      </c>
      <c r="KGF45">
        <f t="shared" si="9"/>
        <v>0</v>
      </c>
      <c r="KGG45">
        <f t="shared" si="10"/>
        <v>0</v>
      </c>
      <c r="KGH45">
        <f t="shared" si="11"/>
        <v>0</v>
      </c>
      <c r="KGI45">
        <f t="shared" si="12"/>
        <v>0</v>
      </c>
      <c r="KGJ45">
        <f t="shared" si="13"/>
        <v>0</v>
      </c>
      <c r="KGK45">
        <f t="shared" si="14"/>
        <v>0</v>
      </c>
      <c r="KGL45">
        <f t="shared" si="15"/>
        <v>0</v>
      </c>
      <c r="KGM45">
        <f t="shared" si="16"/>
        <v>0</v>
      </c>
      <c r="KGN45">
        <f t="shared" si="17"/>
        <v>0</v>
      </c>
      <c r="KGO45">
        <f t="shared" si="18"/>
        <v>0</v>
      </c>
      <c r="KGP45">
        <f t="shared" si="19"/>
        <v>0</v>
      </c>
      <c r="KGQ45">
        <f t="shared" si="20"/>
        <v>0</v>
      </c>
      <c r="KGR45">
        <f t="shared" si="21"/>
        <v>0</v>
      </c>
      <c r="KGS45">
        <f t="shared" si="22"/>
        <v>0</v>
      </c>
      <c r="KGT45">
        <f t="shared" si="23"/>
        <v>0</v>
      </c>
      <c r="KGU45">
        <f t="shared" si="24"/>
        <v>0</v>
      </c>
      <c r="KGV45">
        <f t="shared" si="25"/>
        <v>0</v>
      </c>
      <c r="KGW45">
        <f t="shared" si="26"/>
        <v>0</v>
      </c>
      <c r="KGX45">
        <f t="shared" si="27"/>
        <v>0</v>
      </c>
      <c r="KGY45">
        <f t="shared" si="28"/>
        <v>0</v>
      </c>
      <c r="KGZ45">
        <f t="shared" si="29"/>
        <v>0</v>
      </c>
      <c r="KHA45">
        <f t="shared" si="30"/>
        <v>0</v>
      </c>
      <c r="KHB45">
        <f t="shared" si="31"/>
        <v>0</v>
      </c>
      <c r="KHC45">
        <f t="shared" si="32"/>
        <v>0</v>
      </c>
      <c r="KHD45">
        <f t="shared" si="33"/>
        <v>0</v>
      </c>
      <c r="KHE45">
        <f t="shared" si="34"/>
        <v>0</v>
      </c>
      <c r="KHF45">
        <f t="shared" si="35"/>
        <v>0</v>
      </c>
      <c r="KHG45">
        <f t="shared" si="36"/>
        <v>0</v>
      </c>
      <c r="KHH45">
        <f t="shared" si="37"/>
        <v>0</v>
      </c>
      <c r="KHI45">
        <f t="shared" si="38"/>
        <v>0</v>
      </c>
      <c r="KHJ45">
        <f t="shared" si="39"/>
        <v>0</v>
      </c>
      <c r="KHK45">
        <f t="shared" si="40"/>
        <v>0</v>
      </c>
      <c r="KHL45">
        <f t="shared" si="41"/>
        <v>0</v>
      </c>
      <c r="KHM45">
        <f t="shared" si="42"/>
        <v>0</v>
      </c>
      <c r="KHN45">
        <f t="shared" si="43"/>
        <v>0</v>
      </c>
      <c r="KHO45">
        <f t="shared" si="44"/>
        <v>0</v>
      </c>
      <c r="KHP45">
        <f t="shared" si="45"/>
        <v>0</v>
      </c>
      <c r="KHQ45">
        <f t="shared" si="46"/>
        <v>0</v>
      </c>
      <c r="KHR45">
        <f t="shared" si="47"/>
        <v>0</v>
      </c>
      <c r="KHS45">
        <f t="shared" si="48"/>
        <v>0</v>
      </c>
      <c r="KHT45">
        <f t="shared" si="49"/>
        <v>0</v>
      </c>
      <c r="KHU45">
        <f t="shared" si="50"/>
        <v>0</v>
      </c>
      <c r="KHV45">
        <f t="shared" si="51"/>
        <v>0</v>
      </c>
      <c r="KHW45">
        <f t="shared" si="52"/>
        <v>0</v>
      </c>
      <c r="KHX45">
        <f t="shared" si="53"/>
        <v>0</v>
      </c>
      <c r="KHY45">
        <f t="shared" si="54"/>
        <v>0</v>
      </c>
      <c r="KHZ45">
        <f t="shared" si="55"/>
        <v>0</v>
      </c>
      <c r="KIA45">
        <f t="shared" si="56"/>
        <v>0</v>
      </c>
      <c r="KIB45">
        <f t="shared" si="57"/>
        <v>0</v>
      </c>
      <c r="KIC45">
        <f t="shared" si="58"/>
        <v>0</v>
      </c>
      <c r="KID45">
        <f t="shared" si="59"/>
        <v>0</v>
      </c>
      <c r="KIE45">
        <f t="shared" si="60"/>
        <v>0</v>
      </c>
      <c r="KIF45">
        <f t="shared" si="61"/>
        <v>0</v>
      </c>
      <c r="KIG45">
        <f t="shared" si="62"/>
        <v>0</v>
      </c>
      <c r="KIH45">
        <f t="shared" si="63"/>
        <v>0</v>
      </c>
      <c r="KII45">
        <f t="shared" si="64"/>
        <v>0</v>
      </c>
      <c r="KIJ45">
        <f t="shared" si="65"/>
        <v>0</v>
      </c>
      <c r="KIK45">
        <f t="shared" si="66"/>
        <v>0</v>
      </c>
      <c r="KIL45">
        <f t="shared" si="67"/>
        <v>0</v>
      </c>
      <c r="KIM45">
        <f t="shared" si="68"/>
        <v>0</v>
      </c>
      <c r="KIN45">
        <f t="shared" si="69"/>
        <v>0</v>
      </c>
      <c r="KIO45">
        <f t="shared" si="70"/>
        <v>0</v>
      </c>
      <c r="KIP45">
        <f t="shared" si="71"/>
        <v>0</v>
      </c>
      <c r="KIQ45">
        <f t="shared" si="72"/>
        <v>0</v>
      </c>
      <c r="KIR45">
        <f t="shared" si="73"/>
        <v>0</v>
      </c>
      <c r="KIS45">
        <f t="shared" si="74"/>
        <v>0</v>
      </c>
      <c r="KIT45">
        <f t="shared" si="75"/>
        <v>0</v>
      </c>
      <c r="KIU45">
        <f t="shared" si="76"/>
        <v>0</v>
      </c>
      <c r="KIV45">
        <f t="shared" si="77"/>
        <v>0</v>
      </c>
      <c r="KIW45">
        <f t="shared" si="78"/>
        <v>0</v>
      </c>
      <c r="KIX45">
        <f t="shared" si="79"/>
        <v>0</v>
      </c>
      <c r="KIY45">
        <f t="shared" si="80"/>
        <v>0</v>
      </c>
      <c r="KIZ45">
        <f t="shared" si="81"/>
        <v>0</v>
      </c>
      <c r="KJA45">
        <f t="shared" si="82"/>
        <v>0</v>
      </c>
      <c r="KJB45">
        <f t="shared" si="83"/>
        <v>0</v>
      </c>
      <c r="KJC45">
        <f t="shared" si="84"/>
        <v>0</v>
      </c>
      <c r="KJD45">
        <f t="shared" si="85"/>
        <v>0</v>
      </c>
      <c r="KJE45">
        <f t="shared" si="86"/>
        <v>0</v>
      </c>
      <c r="KJF45">
        <f t="shared" si="87"/>
        <v>0</v>
      </c>
      <c r="KJG45">
        <f t="shared" si="88"/>
        <v>0</v>
      </c>
      <c r="KJH45">
        <f t="shared" si="89"/>
        <v>0</v>
      </c>
      <c r="KJI45">
        <f t="shared" si="90"/>
        <v>0</v>
      </c>
      <c r="KJJ45">
        <f t="shared" si="91"/>
        <v>0</v>
      </c>
      <c r="KJK45">
        <f t="shared" si="92"/>
        <v>0</v>
      </c>
      <c r="KJL45">
        <f t="shared" si="93"/>
        <v>0</v>
      </c>
      <c r="KJM45">
        <f t="shared" si="94"/>
        <v>0</v>
      </c>
      <c r="KJN45">
        <f t="shared" si="95"/>
        <v>0</v>
      </c>
      <c r="KJO45">
        <f t="shared" si="96"/>
        <v>0</v>
      </c>
      <c r="KJP45">
        <f t="shared" si="97"/>
        <v>0</v>
      </c>
      <c r="KJQ45">
        <f t="shared" si="98"/>
        <v>0</v>
      </c>
      <c r="KJR45">
        <f t="shared" si="99"/>
        <v>0</v>
      </c>
      <c r="KJT45">
        <f t="shared" si="100"/>
        <v>46</v>
      </c>
      <c r="KJV45">
        <f t="shared" si="100"/>
        <v>46</v>
      </c>
      <c r="KJW45">
        <f t="shared" si="101"/>
        <v>1.84</v>
      </c>
      <c r="KJY45">
        <f t="shared" si="101"/>
        <v>1.84</v>
      </c>
    </row>
    <row r="46" spans="1:815 1235:1250 2076:3055 3200:4678 5150:6014 6233:6829 7258:7721">
      <c r="A46" t="s">
        <v>39</v>
      </c>
      <c r="B46">
        <v>14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KV46">
        <v>2</v>
      </c>
      <c r="KW46">
        <v>2</v>
      </c>
      <c r="KX46">
        <v>2</v>
      </c>
      <c r="KY46">
        <v>2</v>
      </c>
      <c r="KZ46">
        <v>2</v>
      </c>
      <c r="LA46">
        <v>2</v>
      </c>
      <c r="LB46">
        <v>2</v>
      </c>
      <c r="LC46">
        <v>2</v>
      </c>
      <c r="LD46">
        <v>2</v>
      </c>
      <c r="LE46">
        <v>2</v>
      </c>
      <c r="LF46">
        <v>2</v>
      </c>
      <c r="LG46">
        <v>2</v>
      </c>
      <c r="LH46">
        <v>2</v>
      </c>
      <c r="LI46">
        <v>2</v>
      </c>
      <c r="AED46">
        <v>3</v>
      </c>
      <c r="AEE46">
        <v>3</v>
      </c>
      <c r="AEF46">
        <v>3</v>
      </c>
      <c r="AEG46">
        <v>3</v>
      </c>
      <c r="AEH46">
        <v>3</v>
      </c>
      <c r="AEI46">
        <v>3</v>
      </c>
      <c r="AUM46">
        <v>4</v>
      </c>
      <c r="AUN46">
        <v>4</v>
      </c>
      <c r="AUO46">
        <v>4</v>
      </c>
      <c r="AUP46">
        <v>4</v>
      </c>
      <c r="AUQ46">
        <v>4</v>
      </c>
      <c r="AUR46">
        <v>4</v>
      </c>
      <c r="AUS46">
        <v>4</v>
      </c>
      <c r="AUT46">
        <v>4</v>
      </c>
      <c r="AUU46">
        <v>4</v>
      </c>
      <c r="AUV46">
        <v>4</v>
      </c>
      <c r="AUW46">
        <v>4</v>
      </c>
      <c r="AUX46">
        <v>4</v>
      </c>
      <c r="AUY46">
        <v>4</v>
      </c>
      <c r="AUZ46">
        <v>4</v>
      </c>
      <c r="AVA46">
        <v>4</v>
      </c>
      <c r="AVB46">
        <v>4</v>
      </c>
      <c r="CAV46">
        <v>5</v>
      </c>
      <c r="CAW46">
        <v>5</v>
      </c>
      <c r="CAX46">
        <v>5</v>
      </c>
      <c r="CAY46">
        <v>5</v>
      </c>
      <c r="CAZ46">
        <v>5</v>
      </c>
      <c r="CBA46">
        <v>5</v>
      </c>
      <c r="CBB46">
        <v>5</v>
      </c>
      <c r="CBC46">
        <v>5</v>
      </c>
      <c r="CBD46">
        <v>5</v>
      </c>
      <c r="CBE46">
        <v>5</v>
      </c>
      <c r="CBF46">
        <v>5</v>
      </c>
      <c r="CBG46">
        <v>5</v>
      </c>
      <c r="CBH46">
        <v>5</v>
      </c>
      <c r="CBI46">
        <v>5</v>
      </c>
      <c r="CBJ46">
        <v>5</v>
      </c>
      <c r="CBK46">
        <v>5</v>
      </c>
      <c r="CBL46">
        <v>5</v>
      </c>
      <c r="CBM46">
        <v>5</v>
      </c>
      <c r="CBN46">
        <v>5</v>
      </c>
      <c r="CBO46">
        <v>5</v>
      </c>
      <c r="CBP46">
        <v>5</v>
      </c>
      <c r="CBQ46">
        <v>5</v>
      </c>
      <c r="CBR46">
        <v>5</v>
      </c>
      <c r="CBS46">
        <v>5</v>
      </c>
      <c r="CBT46">
        <v>5</v>
      </c>
      <c r="CBU46">
        <v>5</v>
      </c>
      <c r="CBV46">
        <v>5</v>
      </c>
      <c r="CBW46">
        <v>5</v>
      </c>
      <c r="CBX46">
        <v>5</v>
      </c>
      <c r="CBY46">
        <v>5</v>
      </c>
      <c r="CCK46">
        <v>6</v>
      </c>
      <c r="CCL46">
        <v>6</v>
      </c>
      <c r="CCM46">
        <v>6</v>
      </c>
      <c r="CCN46">
        <v>6</v>
      </c>
      <c r="CCO46">
        <v>6</v>
      </c>
      <c r="CCP46">
        <v>6</v>
      </c>
      <c r="CCQ46">
        <v>6</v>
      </c>
      <c r="DSB46">
        <v>7</v>
      </c>
      <c r="DSC46">
        <v>7</v>
      </c>
      <c r="DSD46">
        <v>7</v>
      </c>
      <c r="DSE46">
        <v>7</v>
      </c>
      <c r="DSF46">
        <v>7</v>
      </c>
      <c r="DSG46">
        <v>7</v>
      </c>
      <c r="DSH46">
        <v>7</v>
      </c>
      <c r="DSI46">
        <v>7</v>
      </c>
      <c r="DSJ46">
        <v>7</v>
      </c>
      <c r="DSK46">
        <v>7</v>
      </c>
      <c r="DSL46">
        <v>7</v>
      </c>
      <c r="DSM46">
        <v>7</v>
      </c>
      <c r="DSN46">
        <v>7</v>
      </c>
      <c r="DSO46">
        <v>7</v>
      </c>
      <c r="EMB46">
        <v>8</v>
      </c>
      <c r="EMC46">
        <v>8</v>
      </c>
      <c r="EMD46">
        <v>8</v>
      </c>
      <c r="EME46">
        <v>8</v>
      </c>
      <c r="EMF46">
        <v>8</v>
      </c>
      <c r="EMG46">
        <v>8</v>
      </c>
      <c r="EMH46">
        <v>8</v>
      </c>
      <c r="EMI46">
        <v>8</v>
      </c>
      <c r="EMJ46">
        <v>8</v>
      </c>
      <c r="EMK46">
        <v>8</v>
      </c>
      <c r="EML46">
        <v>8</v>
      </c>
      <c r="EMM46">
        <v>8</v>
      </c>
      <c r="ESF46">
        <v>9</v>
      </c>
      <c r="ESG46">
        <v>9</v>
      </c>
      <c r="ESH46">
        <v>9</v>
      </c>
      <c r="ESI46">
        <v>9</v>
      </c>
      <c r="ESJ46">
        <v>9</v>
      </c>
      <c r="ESK46">
        <v>9</v>
      </c>
      <c r="ESL46">
        <v>9</v>
      </c>
      <c r="ESM46">
        <v>9</v>
      </c>
      <c r="ESN46">
        <v>9</v>
      </c>
      <c r="ESO46">
        <v>9</v>
      </c>
      <c r="ESP46">
        <v>9</v>
      </c>
      <c r="ESQ46">
        <v>9</v>
      </c>
      <c r="ESR46">
        <v>9</v>
      </c>
      <c r="ESS46">
        <v>9</v>
      </c>
      <c r="EST46">
        <v>9</v>
      </c>
      <c r="ESU46">
        <v>9</v>
      </c>
      <c r="ESV46">
        <v>9</v>
      </c>
      <c r="ESW46">
        <v>9</v>
      </c>
      <c r="ESX46">
        <v>9</v>
      </c>
      <c r="ESY46">
        <v>9</v>
      </c>
      <c r="ESZ46">
        <v>9</v>
      </c>
      <c r="ETA46">
        <v>9</v>
      </c>
      <c r="ETB46">
        <v>9</v>
      </c>
      <c r="ETC46">
        <v>9</v>
      </c>
      <c r="ETD46">
        <v>9</v>
      </c>
      <c r="ETE46">
        <v>9</v>
      </c>
      <c r="ETF46">
        <v>9</v>
      </c>
      <c r="ETG46">
        <v>9</v>
      </c>
      <c r="ETH46">
        <v>9</v>
      </c>
      <c r="ETI46">
        <v>9</v>
      </c>
      <c r="ETJ46">
        <v>9</v>
      </c>
      <c r="ETK46">
        <v>9</v>
      </c>
      <c r="ETL46">
        <v>9</v>
      </c>
      <c r="ETM46">
        <v>9</v>
      </c>
      <c r="ETN46">
        <v>9</v>
      </c>
      <c r="ETO46">
        <v>9</v>
      </c>
      <c r="ETP46">
        <v>9</v>
      </c>
      <c r="ETQ46">
        <v>9</v>
      </c>
      <c r="ETR46">
        <v>9</v>
      </c>
      <c r="ETS46">
        <v>9</v>
      </c>
      <c r="ETT46">
        <v>9</v>
      </c>
      <c r="ETU46">
        <v>9</v>
      </c>
      <c r="ETV46">
        <v>9</v>
      </c>
      <c r="ETW46">
        <v>9</v>
      </c>
      <c r="ETX46">
        <v>9</v>
      </c>
      <c r="ETY46">
        <v>9</v>
      </c>
      <c r="ETZ46">
        <v>9</v>
      </c>
      <c r="EUA46">
        <v>9</v>
      </c>
      <c r="EUB46">
        <v>9</v>
      </c>
      <c r="EUC46">
        <v>9</v>
      </c>
      <c r="EUD46">
        <v>9</v>
      </c>
      <c r="EUE46">
        <v>9</v>
      </c>
      <c r="GPB46">
        <v>10</v>
      </c>
      <c r="GPC46">
        <v>10</v>
      </c>
      <c r="GPD46">
        <v>10</v>
      </c>
      <c r="GPE46">
        <v>10</v>
      </c>
      <c r="GPF46">
        <v>10</v>
      </c>
      <c r="GPG46">
        <v>10</v>
      </c>
      <c r="GPH46">
        <v>10</v>
      </c>
      <c r="GPI46">
        <v>10</v>
      </c>
      <c r="GPJ46">
        <v>10</v>
      </c>
      <c r="GPK46">
        <v>10</v>
      </c>
      <c r="GPL46">
        <v>10</v>
      </c>
      <c r="GPM46">
        <v>10</v>
      </c>
      <c r="GPN46">
        <v>10</v>
      </c>
      <c r="GPO46">
        <v>10</v>
      </c>
      <c r="GPP46">
        <v>10</v>
      </c>
      <c r="GPQ46">
        <v>10</v>
      </c>
      <c r="GPR46">
        <v>10</v>
      </c>
      <c r="GPS46">
        <v>10</v>
      </c>
      <c r="GPT46">
        <v>10</v>
      </c>
      <c r="GPU46">
        <v>10</v>
      </c>
      <c r="GPV46">
        <v>10</v>
      </c>
      <c r="GPW46">
        <v>10</v>
      </c>
      <c r="GPX46">
        <v>10</v>
      </c>
      <c r="GPY46">
        <v>10</v>
      </c>
      <c r="GPZ46">
        <v>10</v>
      </c>
      <c r="GQA46">
        <v>10</v>
      </c>
      <c r="GQB46">
        <v>10</v>
      </c>
      <c r="GQC46">
        <v>10</v>
      </c>
      <c r="GQD46">
        <v>10</v>
      </c>
      <c r="GQE46">
        <v>10</v>
      </c>
      <c r="GQF46">
        <v>10</v>
      </c>
      <c r="GQG46">
        <v>10</v>
      </c>
      <c r="GQH46">
        <v>10</v>
      </c>
      <c r="GQI46">
        <v>10</v>
      </c>
      <c r="GQJ46">
        <v>10</v>
      </c>
      <c r="HKT46">
        <v>11</v>
      </c>
      <c r="HKU46">
        <v>11</v>
      </c>
      <c r="HKV46">
        <v>11</v>
      </c>
      <c r="HKW46">
        <v>11</v>
      </c>
      <c r="HKX46">
        <v>11</v>
      </c>
      <c r="HKY46">
        <v>11</v>
      </c>
      <c r="HKZ46">
        <v>11</v>
      </c>
      <c r="HLA46">
        <v>11</v>
      </c>
      <c r="HLB46">
        <v>11</v>
      </c>
      <c r="HLC46">
        <v>11</v>
      </c>
      <c r="HLD46">
        <v>11</v>
      </c>
      <c r="HLE46">
        <v>11</v>
      </c>
      <c r="IES46">
        <v>12</v>
      </c>
      <c r="IET46">
        <v>12</v>
      </c>
      <c r="IEU46">
        <v>12</v>
      </c>
      <c r="IEV46">
        <v>12</v>
      </c>
      <c r="IEW46">
        <v>12</v>
      </c>
      <c r="IEX46">
        <v>12</v>
      </c>
      <c r="IEY46">
        <v>12</v>
      </c>
      <c r="IEZ46">
        <v>12</v>
      </c>
      <c r="IFA46">
        <v>12</v>
      </c>
      <c r="IFB46">
        <v>12</v>
      </c>
      <c r="IFC46">
        <v>12</v>
      </c>
      <c r="IFD46">
        <v>12</v>
      </c>
      <c r="IFE46">
        <v>12</v>
      </c>
      <c r="IFF46">
        <v>12</v>
      </c>
      <c r="IFG46">
        <v>12</v>
      </c>
      <c r="IFH46">
        <v>12</v>
      </c>
      <c r="IFI46">
        <v>12</v>
      </c>
      <c r="IFJ46">
        <v>12</v>
      </c>
      <c r="IFK46">
        <v>12</v>
      </c>
      <c r="IFL46">
        <v>12</v>
      </c>
      <c r="IFM46">
        <v>12</v>
      </c>
      <c r="IFN46">
        <v>12</v>
      </c>
      <c r="IFO46">
        <v>12</v>
      </c>
      <c r="IFP46">
        <v>12</v>
      </c>
      <c r="IFQ46">
        <v>12</v>
      </c>
      <c r="IFR46">
        <v>12</v>
      </c>
      <c r="IFS46">
        <v>12</v>
      </c>
      <c r="IFT46">
        <v>12</v>
      </c>
      <c r="IFU46">
        <v>12</v>
      </c>
      <c r="IFV46">
        <v>12</v>
      </c>
      <c r="IFW46">
        <v>12</v>
      </c>
      <c r="IFX46">
        <v>12</v>
      </c>
      <c r="IFY46">
        <v>12</v>
      </c>
      <c r="IFZ46">
        <v>12</v>
      </c>
      <c r="IGA46">
        <v>12</v>
      </c>
      <c r="IGB46">
        <v>12</v>
      </c>
      <c r="IGC46">
        <v>12</v>
      </c>
      <c r="IGD46">
        <v>12</v>
      </c>
      <c r="IGE46">
        <v>12</v>
      </c>
      <c r="IGF46">
        <v>12</v>
      </c>
      <c r="IGG46">
        <v>12</v>
      </c>
      <c r="IGH46">
        <v>12</v>
      </c>
      <c r="IGI46">
        <v>12</v>
      </c>
      <c r="IGJ46">
        <v>12</v>
      </c>
      <c r="IGK46">
        <v>12</v>
      </c>
      <c r="IQV46">
        <v>13</v>
      </c>
      <c r="IQW46">
        <v>13</v>
      </c>
      <c r="IQX46">
        <v>13</v>
      </c>
      <c r="IQY46">
        <v>13</v>
      </c>
      <c r="IQZ46">
        <v>13</v>
      </c>
      <c r="IRA46">
        <v>13</v>
      </c>
      <c r="IRB46">
        <v>13</v>
      </c>
      <c r="IRC46">
        <v>13</v>
      </c>
      <c r="IRD46">
        <v>13</v>
      </c>
      <c r="IRE46">
        <v>13</v>
      </c>
      <c r="IRF46">
        <v>13</v>
      </c>
      <c r="IRG46">
        <v>13</v>
      </c>
      <c r="IRH46">
        <v>13</v>
      </c>
      <c r="IRI46">
        <v>13</v>
      </c>
      <c r="IRJ46">
        <v>13</v>
      </c>
      <c r="IRK46">
        <v>13</v>
      </c>
      <c r="IRL46">
        <v>13</v>
      </c>
      <c r="IRM46">
        <v>13</v>
      </c>
      <c r="IRN46">
        <v>13</v>
      </c>
      <c r="IRO46">
        <v>13</v>
      </c>
      <c r="IRP46">
        <v>13</v>
      </c>
      <c r="IRQ46">
        <v>13</v>
      </c>
      <c r="IRR46">
        <v>13</v>
      </c>
      <c r="IRS46">
        <v>13</v>
      </c>
      <c r="IRT46">
        <v>13</v>
      </c>
      <c r="IRU46">
        <v>13</v>
      </c>
      <c r="JSD46">
        <v>14</v>
      </c>
      <c r="JSE46">
        <v>14</v>
      </c>
      <c r="JSF46">
        <v>14</v>
      </c>
      <c r="JSG46">
        <v>14</v>
      </c>
      <c r="JSH46">
        <v>14</v>
      </c>
      <c r="JSI46">
        <v>14</v>
      </c>
      <c r="JSJ46">
        <v>14</v>
      </c>
      <c r="JSK46">
        <v>14</v>
      </c>
      <c r="JSL46">
        <v>14</v>
      </c>
      <c r="JSM46">
        <v>14</v>
      </c>
      <c r="JSN46">
        <v>14</v>
      </c>
      <c r="KFW46" s="1">
        <f t="shared" si="0"/>
        <v>37</v>
      </c>
      <c r="KFX46">
        <f t="shared" si="1"/>
        <v>14</v>
      </c>
      <c r="KFY46">
        <f t="shared" si="2"/>
        <v>6</v>
      </c>
      <c r="KFZ46">
        <f t="shared" si="3"/>
        <v>16</v>
      </c>
      <c r="KGA46">
        <f t="shared" si="4"/>
        <v>30</v>
      </c>
      <c r="KGB46">
        <f t="shared" si="5"/>
        <v>7</v>
      </c>
      <c r="KGC46">
        <f t="shared" si="6"/>
        <v>14</v>
      </c>
      <c r="KGD46">
        <f t="shared" si="7"/>
        <v>12</v>
      </c>
      <c r="KGE46">
        <f t="shared" si="8"/>
        <v>52</v>
      </c>
      <c r="KGF46">
        <f t="shared" si="9"/>
        <v>35</v>
      </c>
      <c r="KGG46">
        <f t="shared" si="10"/>
        <v>12</v>
      </c>
      <c r="KGH46">
        <f t="shared" si="11"/>
        <v>45</v>
      </c>
      <c r="KGI46">
        <f t="shared" si="12"/>
        <v>26</v>
      </c>
      <c r="KGJ46">
        <f t="shared" si="13"/>
        <v>11</v>
      </c>
      <c r="KGK46">
        <f t="shared" si="14"/>
        <v>0</v>
      </c>
      <c r="KGL46">
        <f t="shared" si="15"/>
        <v>0</v>
      </c>
      <c r="KGM46">
        <f t="shared" si="16"/>
        <v>0</v>
      </c>
      <c r="KGN46">
        <f t="shared" si="17"/>
        <v>0</v>
      </c>
      <c r="KGO46">
        <f t="shared" si="18"/>
        <v>0</v>
      </c>
      <c r="KGP46">
        <f t="shared" si="19"/>
        <v>0</v>
      </c>
      <c r="KGQ46">
        <f t="shared" si="20"/>
        <v>0</v>
      </c>
      <c r="KGR46">
        <f t="shared" si="21"/>
        <v>0</v>
      </c>
      <c r="KGS46">
        <f t="shared" si="22"/>
        <v>0</v>
      </c>
      <c r="KGT46">
        <f t="shared" si="23"/>
        <v>0</v>
      </c>
      <c r="KGU46">
        <f t="shared" si="24"/>
        <v>0</v>
      </c>
      <c r="KGV46">
        <f t="shared" si="25"/>
        <v>0</v>
      </c>
      <c r="KGW46">
        <f t="shared" si="26"/>
        <v>0</v>
      </c>
      <c r="KGX46">
        <f t="shared" si="27"/>
        <v>0</v>
      </c>
      <c r="KGY46">
        <f t="shared" si="28"/>
        <v>0</v>
      </c>
      <c r="KGZ46">
        <f t="shared" si="29"/>
        <v>0</v>
      </c>
      <c r="KHA46">
        <f t="shared" si="30"/>
        <v>0</v>
      </c>
      <c r="KHB46">
        <f t="shared" si="31"/>
        <v>0</v>
      </c>
      <c r="KHC46">
        <f t="shared" si="32"/>
        <v>0</v>
      </c>
      <c r="KHD46">
        <f t="shared" si="33"/>
        <v>0</v>
      </c>
      <c r="KHE46">
        <f t="shared" si="34"/>
        <v>0</v>
      </c>
      <c r="KHF46">
        <f t="shared" si="35"/>
        <v>0</v>
      </c>
      <c r="KHG46">
        <f t="shared" si="36"/>
        <v>0</v>
      </c>
      <c r="KHH46">
        <f t="shared" si="37"/>
        <v>0</v>
      </c>
      <c r="KHI46">
        <f t="shared" si="38"/>
        <v>0</v>
      </c>
      <c r="KHJ46">
        <f t="shared" si="39"/>
        <v>0</v>
      </c>
      <c r="KHK46">
        <f t="shared" si="40"/>
        <v>0</v>
      </c>
      <c r="KHL46">
        <f t="shared" si="41"/>
        <v>0</v>
      </c>
      <c r="KHM46">
        <f t="shared" si="42"/>
        <v>0</v>
      </c>
      <c r="KHN46">
        <f t="shared" si="43"/>
        <v>0</v>
      </c>
      <c r="KHO46">
        <f t="shared" si="44"/>
        <v>0</v>
      </c>
      <c r="KHP46">
        <f t="shared" si="45"/>
        <v>0</v>
      </c>
      <c r="KHQ46">
        <f t="shared" si="46"/>
        <v>0</v>
      </c>
      <c r="KHR46">
        <f t="shared" si="47"/>
        <v>0</v>
      </c>
      <c r="KHS46">
        <f t="shared" si="48"/>
        <v>0</v>
      </c>
      <c r="KHT46">
        <f t="shared" si="49"/>
        <v>0</v>
      </c>
      <c r="KHU46">
        <f t="shared" si="50"/>
        <v>0</v>
      </c>
      <c r="KHV46">
        <f t="shared" si="51"/>
        <v>0</v>
      </c>
      <c r="KHW46">
        <f t="shared" si="52"/>
        <v>0</v>
      </c>
      <c r="KHX46">
        <f t="shared" si="53"/>
        <v>0</v>
      </c>
      <c r="KHY46">
        <f t="shared" si="54"/>
        <v>0</v>
      </c>
      <c r="KHZ46">
        <f t="shared" si="55"/>
        <v>0</v>
      </c>
      <c r="KIA46">
        <f t="shared" si="56"/>
        <v>0</v>
      </c>
      <c r="KIB46">
        <f t="shared" si="57"/>
        <v>0</v>
      </c>
      <c r="KIC46">
        <f t="shared" si="58"/>
        <v>0</v>
      </c>
      <c r="KID46">
        <f t="shared" si="59"/>
        <v>0</v>
      </c>
      <c r="KIE46">
        <f t="shared" si="60"/>
        <v>0</v>
      </c>
      <c r="KIF46">
        <f t="shared" si="61"/>
        <v>0</v>
      </c>
      <c r="KIG46">
        <f t="shared" si="62"/>
        <v>0</v>
      </c>
      <c r="KIH46">
        <f t="shared" si="63"/>
        <v>0</v>
      </c>
      <c r="KII46">
        <f t="shared" si="64"/>
        <v>0</v>
      </c>
      <c r="KIJ46">
        <f t="shared" si="65"/>
        <v>0</v>
      </c>
      <c r="KIK46">
        <f t="shared" si="66"/>
        <v>0</v>
      </c>
      <c r="KIL46">
        <f t="shared" si="67"/>
        <v>0</v>
      </c>
      <c r="KIM46">
        <f t="shared" si="68"/>
        <v>0</v>
      </c>
      <c r="KIN46">
        <f t="shared" si="69"/>
        <v>0</v>
      </c>
      <c r="KIO46">
        <f t="shared" si="70"/>
        <v>0</v>
      </c>
      <c r="KIP46">
        <f t="shared" si="71"/>
        <v>0</v>
      </c>
      <c r="KIQ46">
        <f t="shared" si="72"/>
        <v>0</v>
      </c>
      <c r="KIR46">
        <f t="shared" si="73"/>
        <v>0</v>
      </c>
      <c r="KIS46">
        <f t="shared" si="74"/>
        <v>0</v>
      </c>
      <c r="KIT46">
        <f t="shared" si="75"/>
        <v>0</v>
      </c>
      <c r="KIU46">
        <f t="shared" si="76"/>
        <v>0</v>
      </c>
      <c r="KIV46">
        <f t="shared" si="77"/>
        <v>0</v>
      </c>
      <c r="KIW46">
        <f t="shared" si="78"/>
        <v>0</v>
      </c>
      <c r="KIX46">
        <f t="shared" si="79"/>
        <v>0</v>
      </c>
      <c r="KIY46">
        <f t="shared" si="80"/>
        <v>0</v>
      </c>
      <c r="KIZ46">
        <f t="shared" si="81"/>
        <v>0</v>
      </c>
      <c r="KJA46">
        <f t="shared" si="82"/>
        <v>0</v>
      </c>
      <c r="KJB46">
        <f t="shared" si="83"/>
        <v>0</v>
      </c>
      <c r="KJC46">
        <f t="shared" si="84"/>
        <v>0</v>
      </c>
      <c r="KJD46">
        <f t="shared" si="85"/>
        <v>0</v>
      </c>
      <c r="KJE46">
        <f t="shared" si="86"/>
        <v>0</v>
      </c>
      <c r="KJF46">
        <f t="shared" si="87"/>
        <v>0</v>
      </c>
      <c r="KJG46">
        <f t="shared" si="88"/>
        <v>0</v>
      </c>
      <c r="KJH46">
        <f t="shared" si="89"/>
        <v>0</v>
      </c>
      <c r="KJI46">
        <f t="shared" si="90"/>
        <v>0</v>
      </c>
      <c r="KJJ46">
        <f t="shared" si="91"/>
        <v>0</v>
      </c>
      <c r="KJK46">
        <f t="shared" si="92"/>
        <v>0</v>
      </c>
      <c r="KJL46">
        <f t="shared" si="93"/>
        <v>0</v>
      </c>
      <c r="KJM46">
        <f t="shared" si="94"/>
        <v>0</v>
      </c>
      <c r="KJN46">
        <f t="shared" si="95"/>
        <v>0</v>
      </c>
      <c r="KJO46">
        <f t="shared" si="96"/>
        <v>0</v>
      </c>
      <c r="KJP46">
        <f t="shared" si="97"/>
        <v>0</v>
      </c>
      <c r="KJQ46">
        <f t="shared" si="98"/>
        <v>0</v>
      </c>
      <c r="KJR46">
        <f t="shared" si="99"/>
        <v>0</v>
      </c>
      <c r="KJT46">
        <f t="shared" si="100"/>
        <v>317</v>
      </c>
      <c r="KJV46">
        <f t="shared" si="100"/>
        <v>317</v>
      </c>
      <c r="KJW46">
        <f t="shared" si="101"/>
        <v>12.68</v>
      </c>
      <c r="KJY46" s="1">
        <f t="shared" si="101"/>
        <v>12.68</v>
      </c>
    </row>
    <row r="47" spans="1:815 1235:1250 2076:3055 3200:4678 5150:6014 6233:6829 7258:7721">
      <c r="A47" t="s">
        <v>40</v>
      </c>
      <c r="B47">
        <v>12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IJ47">
        <v>2</v>
      </c>
      <c r="IK47">
        <v>2</v>
      </c>
      <c r="IL47">
        <v>2</v>
      </c>
      <c r="IM47">
        <v>2</v>
      </c>
      <c r="IN47">
        <v>2</v>
      </c>
      <c r="IO47">
        <v>2</v>
      </c>
      <c r="IP47">
        <v>2</v>
      </c>
      <c r="IQ47">
        <v>2</v>
      </c>
      <c r="IR47">
        <v>2</v>
      </c>
      <c r="IS47">
        <v>2</v>
      </c>
      <c r="IT47">
        <v>2</v>
      </c>
      <c r="IU47">
        <v>2</v>
      </c>
      <c r="IV47">
        <v>2</v>
      </c>
      <c r="IW47">
        <v>2</v>
      </c>
      <c r="IX47">
        <v>2</v>
      </c>
      <c r="ZP47">
        <v>3</v>
      </c>
      <c r="ZQ47">
        <v>3</v>
      </c>
      <c r="ZR47">
        <v>3</v>
      </c>
      <c r="ZS47">
        <v>3</v>
      </c>
      <c r="ZT47">
        <v>3</v>
      </c>
      <c r="CXW47">
        <v>4</v>
      </c>
      <c r="CXX47">
        <v>4</v>
      </c>
      <c r="CXY47">
        <v>4</v>
      </c>
      <c r="CXZ47">
        <v>4</v>
      </c>
      <c r="CYA47">
        <v>4</v>
      </c>
      <c r="DTT47">
        <v>5</v>
      </c>
      <c r="DTU47">
        <v>5</v>
      </c>
      <c r="DTV47">
        <v>5</v>
      </c>
      <c r="DTW47">
        <v>5</v>
      </c>
      <c r="ECU47">
        <v>6</v>
      </c>
      <c r="ECV47">
        <v>6</v>
      </c>
      <c r="ECW47">
        <v>6</v>
      </c>
      <c r="ECX47">
        <v>6</v>
      </c>
      <c r="ECY47">
        <v>6</v>
      </c>
      <c r="HNX47">
        <v>7</v>
      </c>
      <c r="HNY47">
        <v>7</v>
      </c>
      <c r="HNZ47">
        <v>7</v>
      </c>
      <c r="HOA47">
        <v>7</v>
      </c>
      <c r="HOB47">
        <v>7</v>
      </c>
      <c r="HOC47">
        <v>7</v>
      </c>
      <c r="HOD47">
        <v>7</v>
      </c>
      <c r="HOE47">
        <v>7</v>
      </c>
      <c r="HOF47">
        <v>7</v>
      </c>
      <c r="HOG47">
        <v>7</v>
      </c>
      <c r="HOH47">
        <v>7</v>
      </c>
      <c r="HOI47">
        <v>7</v>
      </c>
      <c r="HOJ47">
        <v>7</v>
      </c>
      <c r="HOK47">
        <v>7</v>
      </c>
      <c r="HOL47">
        <v>7</v>
      </c>
      <c r="HOM47">
        <v>7</v>
      </c>
      <c r="HON47">
        <v>7</v>
      </c>
      <c r="HOO47">
        <v>7</v>
      </c>
      <c r="HOP47">
        <v>7</v>
      </c>
      <c r="HOQ47">
        <v>7</v>
      </c>
      <c r="HOR47">
        <v>7</v>
      </c>
      <c r="HOS47">
        <v>7</v>
      </c>
      <c r="HOT47">
        <v>7</v>
      </c>
      <c r="HOU47">
        <v>7</v>
      </c>
      <c r="HOV47">
        <v>7</v>
      </c>
      <c r="HOW47">
        <v>7</v>
      </c>
      <c r="HOX47">
        <v>7</v>
      </c>
      <c r="HOY47">
        <v>7</v>
      </c>
      <c r="HOZ47">
        <v>7</v>
      </c>
      <c r="HPA47">
        <v>7</v>
      </c>
      <c r="HPB47">
        <v>7</v>
      </c>
      <c r="HPC47">
        <v>7</v>
      </c>
      <c r="HPD47">
        <v>7</v>
      </c>
      <c r="HPE47">
        <v>7</v>
      </c>
      <c r="HPF47">
        <v>7</v>
      </c>
      <c r="HPG47">
        <v>7</v>
      </c>
      <c r="HPH47">
        <v>7</v>
      </c>
      <c r="HPI47">
        <v>7</v>
      </c>
      <c r="HPJ47">
        <v>7</v>
      </c>
      <c r="HPK47">
        <v>7</v>
      </c>
      <c r="HPL47">
        <v>7</v>
      </c>
      <c r="HPM47">
        <v>7</v>
      </c>
      <c r="HPN47">
        <v>7</v>
      </c>
      <c r="HPO47">
        <v>7</v>
      </c>
      <c r="HPP47">
        <v>7</v>
      </c>
      <c r="HPQ47">
        <v>7</v>
      </c>
      <c r="HPR47">
        <v>7</v>
      </c>
      <c r="HPS47">
        <v>7</v>
      </c>
      <c r="HPT47">
        <v>7</v>
      </c>
      <c r="HPU47">
        <v>7</v>
      </c>
      <c r="HPV47">
        <v>7</v>
      </c>
      <c r="HPW47">
        <v>7</v>
      </c>
      <c r="HPX47">
        <v>7</v>
      </c>
      <c r="HPY47">
        <v>7</v>
      </c>
      <c r="HPZ47">
        <v>7</v>
      </c>
      <c r="HQA47">
        <v>7</v>
      </c>
      <c r="HQB47">
        <v>7</v>
      </c>
      <c r="HQC47">
        <v>7</v>
      </c>
      <c r="HQD47">
        <v>7</v>
      </c>
      <c r="HQE47">
        <v>7</v>
      </c>
      <c r="HQF47">
        <v>7</v>
      </c>
      <c r="HQG47">
        <v>7</v>
      </c>
      <c r="HQH47">
        <v>7</v>
      </c>
      <c r="HQI47">
        <v>7</v>
      </c>
      <c r="HQJ47">
        <v>7</v>
      </c>
      <c r="HQK47">
        <v>7</v>
      </c>
      <c r="HQL47">
        <v>7</v>
      </c>
      <c r="HQM47">
        <v>7</v>
      </c>
      <c r="HQN47">
        <v>7</v>
      </c>
      <c r="HQO47">
        <v>7</v>
      </c>
      <c r="HQP47">
        <v>7</v>
      </c>
      <c r="HQQ47">
        <v>7</v>
      </c>
      <c r="HQR47">
        <v>7</v>
      </c>
      <c r="HQS47">
        <v>7</v>
      </c>
      <c r="HQT47">
        <v>7</v>
      </c>
      <c r="HQU47">
        <v>7</v>
      </c>
      <c r="HQV47">
        <v>7</v>
      </c>
      <c r="HQW47">
        <v>7</v>
      </c>
      <c r="HQX47">
        <v>7</v>
      </c>
      <c r="HQY47">
        <v>7</v>
      </c>
      <c r="HQZ47">
        <v>7</v>
      </c>
      <c r="HRA47">
        <v>7</v>
      </c>
      <c r="HRB47">
        <v>7</v>
      </c>
      <c r="HRC47">
        <v>7</v>
      </c>
      <c r="HRD47">
        <v>7</v>
      </c>
      <c r="HRE47">
        <v>7</v>
      </c>
      <c r="HRF47">
        <v>7</v>
      </c>
      <c r="HRG47">
        <v>7</v>
      </c>
      <c r="HRH47">
        <v>7</v>
      </c>
      <c r="HVA47">
        <v>8</v>
      </c>
      <c r="HVB47">
        <v>8</v>
      </c>
      <c r="HVC47">
        <v>8</v>
      </c>
      <c r="HVD47">
        <v>8</v>
      </c>
      <c r="HVE47">
        <v>8</v>
      </c>
      <c r="HVF47">
        <v>8</v>
      </c>
      <c r="HVG47">
        <v>8</v>
      </c>
      <c r="HVH47">
        <v>8</v>
      </c>
      <c r="HVI47">
        <v>8</v>
      </c>
      <c r="HVZ47">
        <v>9</v>
      </c>
      <c r="HWA47">
        <v>9</v>
      </c>
      <c r="HWB47">
        <v>9</v>
      </c>
      <c r="HWC47">
        <v>9</v>
      </c>
      <c r="HWD47">
        <v>9</v>
      </c>
      <c r="HWE47">
        <v>9</v>
      </c>
      <c r="HWF47">
        <v>9</v>
      </c>
      <c r="HWG47">
        <v>9</v>
      </c>
      <c r="HWH47">
        <v>9</v>
      </c>
      <c r="IXA47">
        <v>10</v>
      </c>
      <c r="IXB47">
        <v>10</v>
      </c>
      <c r="IXC47">
        <v>10</v>
      </c>
      <c r="IXD47">
        <v>10</v>
      </c>
      <c r="IXE47">
        <v>10</v>
      </c>
      <c r="IXF47">
        <v>10</v>
      </c>
      <c r="IXG47">
        <v>10</v>
      </c>
      <c r="IXH47">
        <v>10</v>
      </c>
      <c r="IXI47">
        <v>10</v>
      </c>
      <c r="IXJ47">
        <v>10</v>
      </c>
      <c r="IXK47">
        <v>10</v>
      </c>
      <c r="IXL47">
        <v>10</v>
      </c>
      <c r="IXM47">
        <v>10</v>
      </c>
      <c r="IXN47">
        <v>10</v>
      </c>
      <c r="IXO47">
        <v>10</v>
      </c>
      <c r="IXP47">
        <v>10</v>
      </c>
      <c r="IXQ47">
        <v>10</v>
      </c>
      <c r="IXR47">
        <v>10</v>
      </c>
      <c r="IXS47">
        <v>10</v>
      </c>
      <c r="IXT47">
        <v>10</v>
      </c>
      <c r="JBM47">
        <v>11</v>
      </c>
      <c r="JBN47">
        <v>11</v>
      </c>
      <c r="JBO47">
        <v>11</v>
      </c>
      <c r="JBP47">
        <v>11</v>
      </c>
      <c r="JBQ47">
        <v>11</v>
      </c>
      <c r="KFW47" s="1">
        <f t="shared" si="0"/>
        <v>19</v>
      </c>
      <c r="KFX47">
        <f t="shared" si="1"/>
        <v>15</v>
      </c>
      <c r="KFY47">
        <f t="shared" si="2"/>
        <v>5</v>
      </c>
      <c r="KFZ47">
        <f t="shared" si="3"/>
        <v>5</v>
      </c>
      <c r="KGA47">
        <f t="shared" si="4"/>
        <v>4</v>
      </c>
      <c r="KGB47">
        <f t="shared" si="5"/>
        <v>5</v>
      </c>
      <c r="KGC47">
        <f t="shared" si="6"/>
        <v>89</v>
      </c>
      <c r="KGD47">
        <f t="shared" si="7"/>
        <v>9</v>
      </c>
      <c r="KGE47">
        <f t="shared" si="8"/>
        <v>9</v>
      </c>
      <c r="KGF47">
        <f t="shared" si="9"/>
        <v>20</v>
      </c>
      <c r="KGG47">
        <f t="shared" si="10"/>
        <v>5</v>
      </c>
      <c r="KGH47">
        <f t="shared" si="11"/>
        <v>0</v>
      </c>
      <c r="KGI47">
        <f t="shared" si="12"/>
        <v>0</v>
      </c>
      <c r="KGJ47">
        <f t="shared" si="13"/>
        <v>0</v>
      </c>
      <c r="KGK47">
        <f t="shared" si="14"/>
        <v>0</v>
      </c>
      <c r="KGL47">
        <f t="shared" si="15"/>
        <v>0</v>
      </c>
      <c r="KGM47">
        <f t="shared" si="16"/>
        <v>0</v>
      </c>
      <c r="KGN47">
        <f t="shared" si="17"/>
        <v>0</v>
      </c>
      <c r="KGO47">
        <f t="shared" si="18"/>
        <v>0</v>
      </c>
      <c r="KGP47">
        <f t="shared" si="19"/>
        <v>0</v>
      </c>
      <c r="KGQ47">
        <f t="shared" si="20"/>
        <v>0</v>
      </c>
      <c r="KGR47">
        <f t="shared" si="21"/>
        <v>0</v>
      </c>
      <c r="KGS47">
        <f t="shared" si="22"/>
        <v>0</v>
      </c>
      <c r="KGT47">
        <f t="shared" si="23"/>
        <v>0</v>
      </c>
      <c r="KGU47">
        <f t="shared" si="24"/>
        <v>0</v>
      </c>
      <c r="KGV47">
        <f t="shared" si="25"/>
        <v>0</v>
      </c>
      <c r="KGW47">
        <f t="shared" si="26"/>
        <v>0</v>
      </c>
      <c r="KGX47">
        <f t="shared" si="27"/>
        <v>0</v>
      </c>
      <c r="KGY47">
        <f t="shared" si="28"/>
        <v>0</v>
      </c>
      <c r="KGZ47">
        <f t="shared" si="29"/>
        <v>0</v>
      </c>
      <c r="KHA47">
        <f t="shared" si="30"/>
        <v>0</v>
      </c>
      <c r="KHB47">
        <f t="shared" si="31"/>
        <v>0</v>
      </c>
      <c r="KHC47">
        <f t="shared" si="32"/>
        <v>0</v>
      </c>
      <c r="KHD47">
        <f t="shared" si="33"/>
        <v>0</v>
      </c>
      <c r="KHE47">
        <f t="shared" si="34"/>
        <v>0</v>
      </c>
      <c r="KHF47">
        <f t="shared" si="35"/>
        <v>0</v>
      </c>
      <c r="KHG47">
        <f t="shared" si="36"/>
        <v>0</v>
      </c>
      <c r="KHH47">
        <f t="shared" si="37"/>
        <v>0</v>
      </c>
      <c r="KHI47">
        <f t="shared" si="38"/>
        <v>0</v>
      </c>
      <c r="KHJ47">
        <f t="shared" si="39"/>
        <v>0</v>
      </c>
      <c r="KHK47">
        <f t="shared" si="40"/>
        <v>0</v>
      </c>
      <c r="KHL47">
        <f t="shared" si="41"/>
        <v>0</v>
      </c>
      <c r="KHM47">
        <f t="shared" si="42"/>
        <v>0</v>
      </c>
      <c r="KHN47">
        <f t="shared" si="43"/>
        <v>0</v>
      </c>
      <c r="KHO47">
        <f t="shared" si="44"/>
        <v>0</v>
      </c>
      <c r="KHP47">
        <f t="shared" si="45"/>
        <v>0</v>
      </c>
      <c r="KHQ47">
        <f t="shared" si="46"/>
        <v>0</v>
      </c>
      <c r="KHR47">
        <f t="shared" si="47"/>
        <v>0</v>
      </c>
      <c r="KHS47">
        <f t="shared" si="48"/>
        <v>0</v>
      </c>
      <c r="KHT47">
        <f t="shared" si="49"/>
        <v>0</v>
      </c>
      <c r="KHU47">
        <f t="shared" si="50"/>
        <v>0</v>
      </c>
      <c r="KHV47">
        <f t="shared" si="51"/>
        <v>0</v>
      </c>
      <c r="KHW47">
        <f t="shared" si="52"/>
        <v>0</v>
      </c>
      <c r="KHX47">
        <f t="shared" si="53"/>
        <v>0</v>
      </c>
      <c r="KHY47">
        <f t="shared" si="54"/>
        <v>0</v>
      </c>
      <c r="KHZ47">
        <f t="shared" si="55"/>
        <v>0</v>
      </c>
      <c r="KIA47">
        <f t="shared" si="56"/>
        <v>0</v>
      </c>
      <c r="KIB47">
        <f t="shared" si="57"/>
        <v>0</v>
      </c>
      <c r="KIC47">
        <f t="shared" si="58"/>
        <v>0</v>
      </c>
      <c r="KID47">
        <f t="shared" si="59"/>
        <v>0</v>
      </c>
      <c r="KIE47">
        <f t="shared" si="60"/>
        <v>0</v>
      </c>
      <c r="KIF47">
        <f t="shared" si="61"/>
        <v>0</v>
      </c>
      <c r="KIG47">
        <f t="shared" si="62"/>
        <v>0</v>
      </c>
      <c r="KIH47">
        <f t="shared" si="63"/>
        <v>0</v>
      </c>
      <c r="KII47">
        <f t="shared" si="64"/>
        <v>0</v>
      </c>
      <c r="KIJ47">
        <f t="shared" si="65"/>
        <v>0</v>
      </c>
      <c r="KIK47">
        <f t="shared" si="66"/>
        <v>0</v>
      </c>
      <c r="KIL47">
        <f t="shared" si="67"/>
        <v>0</v>
      </c>
      <c r="KIM47">
        <f t="shared" si="68"/>
        <v>0</v>
      </c>
      <c r="KIN47">
        <f t="shared" si="69"/>
        <v>0</v>
      </c>
      <c r="KIO47">
        <f t="shared" si="70"/>
        <v>0</v>
      </c>
      <c r="KIP47">
        <f t="shared" si="71"/>
        <v>0</v>
      </c>
      <c r="KIQ47">
        <f t="shared" si="72"/>
        <v>0</v>
      </c>
      <c r="KIR47">
        <f t="shared" si="73"/>
        <v>0</v>
      </c>
      <c r="KIS47">
        <f t="shared" si="74"/>
        <v>0</v>
      </c>
      <c r="KIT47">
        <f t="shared" si="75"/>
        <v>0</v>
      </c>
      <c r="KIU47">
        <f t="shared" si="76"/>
        <v>0</v>
      </c>
      <c r="KIV47">
        <f t="shared" si="77"/>
        <v>0</v>
      </c>
      <c r="KIW47">
        <f t="shared" si="78"/>
        <v>0</v>
      </c>
      <c r="KIX47">
        <f t="shared" si="79"/>
        <v>0</v>
      </c>
      <c r="KIY47">
        <f t="shared" si="80"/>
        <v>0</v>
      </c>
      <c r="KIZ47">
        <f t="shared" si="81"/>
        <v>0</v>
      </c>
      <c r="KJA47">
        <f t="shared" si="82"/>
        <v>0</v>
      </c>
      <c r="KJB47">
        <f t="shared" si="83"/>
        <v>0</v>
      </c>
      <c r="KJC47">
        <f t="shared" si="84"/>
        <v>0</v>
      </c>
      <c r="KJD47">
        <f t="shared" si="85"/>
        <v>0</v>
      </c>
      <c r="KJE47">
        <f t="shared" si="86"/>
        <v>0</v>
      </c>
      <c r="KJF47">
        <f t="shared" si="87"/>
        <v>0</v>
      </c>
      <c r="KJG47">
        <f t="shared" si="88"/>
        <v>0</v>
      </c>
      <c r="KJH47">
        <f t="shared" si="89"/>
        <v>0</v>
      </c>
      <c r="KJI47">
        <f t="shared" si="90"/>
        <v>0</v>
      </c>
      <c r="KJJ47">
        <f t="shared" si="91"/>
        <v>0</v>
      </c>
      <c r="KJK47">
        <f t="shared" si="92"/>
        <v>0</v>
      </c>
      <c r="KJL47">
        <f t="shared" si="93"/>
        <v>0</v>
      </c>
      <c r="KJM47">
        <f t="shared" si="94"/>
        <v>0</v>
      </c>
      <c r="KJN47">
        <f t="shared" si="95"/>
        <v>0</v>
      </c>
      <c r="KJO47">
        <f t="shared" si="96"/>
        <v>0</v>
      </c>
      <c r="KJP47">
        <f t="shared" si="97"/>
        <v>0</v>
      </c>
      <c r="KJQ47">
        <f t="shared" si="98"/>
        <v>0</v>
      </c>
      <c r="KJR47">
        <f t="shared" si="99"/>
        <v>0</v>
      </c>
      <c r="KJT47">
        <f t="shared" si="100"/>
        <v>185</v>
      </c>
      <c r="KJV47">
        <f t="shared" si="100"/>
        <v>185</v>
      </c>
      <c r="KJW47">
        <f t="shared" si="101"/>
        <v>7.4</v>
      </c>
      <c r="KJY47">
        <f t="shared" si="101"/>
        <v>7.4</v>
      </c>
    </row>
    <row r="48" spans="1:815 1235:1250 2076:3055 3200:4678 5150:6014 6233:6829 7258:7721">
      <c r="A48" t="s">
        <v>46</v>
      </c>
      <c r="B48">
        <v>9</v>
      </c>
      <c r="OP48">
        <v>1</v>
      </c>
      <c r="OQ48">
        <v>1</v>
      </c>
      <c r="OR48">
        <v>1</v>
      </c>
      <c r="OS48">
        <v>1</v>
      </c>
      <c r="OT48">
        <v>1</v>
      </c>
      <c r="ABX48">
        <v>2</v>
      </c>
      <c r="ABY48">
        <v>2</v>
      </c>
      <c r="ABZ48">
        <v>2</v>
      </c>
      <c r="ACA48">
        <v>2</v>
      </c>
      <c r="ACB48">
        <v>2</v>
      </c>
      <c r="ACC48">
        <v>2</v>
      </c>
      <c r="ACD48">
        <v>2</v>
      </c>
      <c r="ACE48">
        <v>2</v>
      </c>
      <c r="ACF48">
        <v>2</v>
      </c>
      <c r="ACG48">
        <v>2</v>
      </c>
      <c r="ACH48">
        <v>2</v>
      </c>
      <c r="ACI48">
        <v>2</v>
      </c>
      <c r="ACJ48">
        <v>2</v>
      </c>
      <c r="ACK48">
        <v>2</v>
      </c>
      <c r="ACL48">
        <v>2</v>
      </c>
      <c r="ACM48">
        <v>2</v>
      </c>
      <c r="ACN48">
        <v>2</v>
      </c>
      <c r="ACO48">
        <v>2</v>
      </c>
      <c r="ACP48">
        <v>2</v>
      </c>
      <c r="ACQ48">
        <v>2</v>
      </c>
      <c r="CUC48">
        <v>3</v>
      </c>
      <c r="CUD48">
        <v>3</v>
      </c>
      <c r="CUE48">
        <v>3</v>
      </c>
      <c r="CUF48">
        <v>3</v>
      </c>
      <c r="CUG48">
        <v>3</v>
      </c>
      <c r="CUH48">
        <v>3</v>
      </c>
      <c r="CUI48">
        <v>3</v>
      </c>
      <c r="CUJ48">
        <v>3</v>
      </c>
      <c r="CUK48">
        <v>3</v>
      </c>
      <c r="CUL48">
        <v>3</v>
      </c>
      <c r="CUM48">
        <v>3</v>
      </c>
      <c r="CUN48">
        <v>3</v>
      </c>
      <c r="CUO48">
        <v>3</v>
      </c>
      <c r="CUP48">
        <v>3</v>
      </c>
      <c r="CUQ48">
        <v>3</v>
      </c>
      <c r="CUR48">
        <v>3</v>
      </c>
      <c r="CUS48">
        <v>3</v>
      </c>
      <c r="CUT48">
        <v>3</v>
      </c>
      <c r="CUU48">
        <v>3</v>
      </c>
      <c r="CUV48">
        <v>3</v>
      </c>
      <c r="CUW48">
        <v>3</v>
      </c>
      <c r="CUX48">
        <v>3</v>
      </c>
      <c r="CUY48">
        <v>3</v>
      </c>
      <c r="CUZ48">
        <v>3</v>
      </c>
      <c r="CVA48">
        <v>3</v>
      </c>
      <c r="CVB48">
        <v>3</v>
      </c>
      <c r="CVC48">
        <v>3</v>
      </c>
      <c r="CVD48">
        <v>3</v>
      </c>
      <c r="CVE48">
        <v>3</v>
      </c>
      <c r="CVF48">
        <v>3</v>
      </c>
      <c r="CVG48">
        <v>3</v>
      </c>
      <c r="CVH48">
        <v>3</v>
      </c>
      <c r="CVI48">
        <v>3</v>
      </c>
      <c r="CVJ48">
        <v>3</v>
      </c>
      <c r="CVK48">
        <v>3</v>
      </c>
      <c r="CVL48">
        <v>3</v>
      </c>
      <c r="CVM48">
        <v>3</v>
      </c>
      <c r="CVN48">
        <v>3</v>
      </c>
      <c r="CVO48">
        <v>3</v>
      </c>
      <c r="CVP48">
        <v>3</v>
      </c>
      <c r="CVQ48">
        <v>3</v>
      </c>
      <c r="CVR48">
        <v>3</v>
      </c>
      <c r="CVS48">
        <v>3</v>
      </c>
      <c r="CVT48">
        <v>3</v>
      </c>
      <c r="CVU48">
        <v>3</v>
      </c>
      <c r="CVV48">
        <v>3</v>
      </c>
      <c r="CVW48">
        <v>3</v>
      </c>
      <c r="CVX48">
        <v>3</v>
      </c>
      <c r="CVY48">
        <v>3</v>
      </c>
      <c r="CVZ48">
        <v>3</v>
      </c>
      <c r="CWA48">
        <v>3</v>
      </c>
      <c r="CWB48">
        <v>3</v>
      </c>
      <c r="CWC48">
        <v>3</v>
      </c>
      <c r="CWD48">
        <v>3</v>
      </c>
      <c r="CWE48">
        <v>3</v>
      </c>
      <c r="CWF48">
        <v>3</v>
      </c>
      <c r="CWG48">
        <v>3</v>
      </c>
      <c r="CWH48">
        <v>3</v>
      </c>
      <c r="CWI48">
        <v>3</v>
      </c>
      <c r="CWJ48">
        <v>3</v>
      </c>
      <c r="CWK48">
        <v>3</v>
      </c>
      <c r="CWL48">
        <v>3</v>
      </c>
      <c r="CWM48">
        <v>3</v>
      </c>
      <c r="CWN48">
        <v>3</v>
      </c>
      <c r="CWO48">
        <v>3</v>
      </c>
      <c r="CWP48">
        <v>3</v>
      </c>
      <c r="CWQ48">
        <v>3</v>
      </c>
      <c r="CWR48">
        <v>3</v>
      </c>
      <c r="CWS48">
        <v>3</v>
      </c>
      <c r="CWT48">
        <v>3</v>
      </c>
      <c r="CWU48">
        <v>3</v>
      </c>
      <c r="CWV48">
        <v>3</v>
      </c>
      <c r="CWW48">
        <v>3</v>
      </c>
      <c r="CWX48">
        <v>3</v>
      </c>
      <c r="CWY48">
        <v>3</v>
      </c>
      <c r="CWZ48">
        <v>3</v>
      </c>
      <c r="CXA48">
        <v>3</v>
      </c>
      <c r="CXB48">
        <v>3</v>
      </c>
      <c r="CXC48">
        <v>3</v>
      </c>
      <c r="CXD48">
        <v>3</v>
      </c>
      <c r="CXE48">
        <v>3</v>
      </c>
      <c r="CXF48">
        <v>3</v>
      </c>
      <c r="CXG48">
        <v>3</v>
      </c>
      <c r="CXH48">
        <v>3</v>
      </c>
      <c r="CXI48">
        <v>3</v>
      </c>
      <c r="CXJ48">
        <v>3</v>
      </c>
      <c r="CXK48">
        <v>3</v>
      </c>
      <c r="CXL48">
        <v>3</v>
      </c>
      <c r="CXM48">
        <v>3</v>
      </c>
      <c r="CXN48">
        <v>3</v>
      </c>
      <c r="CXO48">
        <v>3</v>
      </c>
      <c r="CXP48">
        <v>3</v>
      </c>
      <c r="CXQ48">
        <v>3</v>
      </c>
      <c r="CXR48">
        <v>3</v>
      </c>
      <c r="CXS48">
        <v>3</v>
      </c>
      <c r="CXT48">
        <v>3</v>
      </c>
      <c r="CXU48">
        <v>3</v>
      </c>
      <c r="CXV48">
        <v>3</v>
      </c>
      <c r="DEZ48">
        <v>4</v>
      </c>
      <c r="DFA48">
        <v>4</v>
      </c>
      <c r="DFB48">
        <v>4</v>
      </c>
      <c r="DFC48">
        <v>4</v>
      </c>
      <c r="DFD48">
        <v>4</v>
      </c>
      <c r="DFE48">
        <v>4</v>
      </c>
      <c r="DFF48">
        <v>4</v>
      </c>
      <c r="DFG48">
        <v>4</v>
      </c>
      <c r="DFH48">
        <v>4</v>
      </c>
      <c r="DFI48">
        <v>4</v>
      </c>
      <c r="DFJ48">
        <v>4</v>
      </c>
      <c r="DFK48">
        <v>4</v>
      </c>
      <c r="DFL48">
        <v>4</v>
      </c>
      <c r="DFM48">
        <v>4</v>
      </c>
      <c r="DLE48">
        <v>5</v>
      </c>
      <c r="DLF48">
        <v>5</v>
      </c>
      <c r="DLG48">
        <v>5</v>
      </c>
      <c r="DLH48">
        <v>5</v>
      </c>
      <c r="DLI48">
        <v>5</v>
      </c>
      <c r="DLJ48">
        <v>5</v>
      </c>
      <c r="DLK48">
        <v>5</v>
      </c>
      <c r="DLL48">
        <v>5</v>
      </c>
      <c r="DLM48">
        <v>5</v>
      </c>
      <c r="DLN48">
        <v>5</v>
      </c>
      <c r="DLO48">
        <v>5</v>
      </c>
      <c r="DLP48">
        <v>5</v>
      </c>
      <c r="DLQ48">
        <v>5</v>
      </c>
      <c r="DLR48">
        <v>5</v>
      </c>
      <c r="DLS48">
        <v>5</v>
      </c>
      <c r="DLT48">
        <v>5</v>
      </c>
      <c r="DLU48">
        <v>5</v>
      </c>
      <c r="DLV48">
        <v>5</v>
      </c>
      <c r="DLW48">
        <v>5</v>
      </c>
      <c r="DLX48">
        <v>5</v>
      </c>
      <c r="DLY48">
        <v>5</v>
      </c>
      <c r="DLZ48">
        <v>5</v>
      </c>
      <c r="DMA48">
        <v>5</v>
      </c>
      <c r="DMB48">
        <v>5</v>
      </c>
      <c r="DMC48">
        <v>5</v>
      </c>
      <c r="DMD48">
        <v>5</v>
      </c>
      <c r="DME48">
        <v>5</v>
      </c>
      <c r="DMF48">
        <v>5</v>
      </c>
      <c r="DMG48">
        <v>5</v>
      </c>
      <c r="DMH48">
        <v>5</v>
      </c>
      <c r="DMI48">
        <v>5</v>
      </c>
      <c r="DMJ48">
        <v>5</v>
      </c>
      <c r="DMK48">
        <v>5</v>
      </c>
      <c r="DML48">
        <v>5</v>
      </c>
      <c r="DMM48">
        <v>5</v>
      </c>
      <c r="EVB48">
        <v>6</v>
      </c>
      <c r="EVC48">
        <v>6</v>
      </c>
      <c r="EVD48">
        <v>6</v>
      </c>
      <c r="EVE48">
        <v>6</v>
      </c>
      <c r="EVF48">
        <v>6</v>
      </c>
      <c r="EVG48">
        <v>6</v>
      </c>
      <c r="EVH48">
        <v>6</v>
      </c>
      <c r="EVI48">
        <v>6</v>
      </c>
      <c r="EVJ48">
        <v>6</v>
      </c>
      <c r="EVK48">
        <v>6</v>
      </c>
      <c r="EVL48">
        <v>6</v>
      </c>
      <c r="EVM48">
        <v>6</v>
      </c>
      <c r="EVN48">
        <v>6</v>
      </c>
      <c r="EVO48">
        <v>6</v>
      </c>
      <c r="EVP48">
        <v>6</v>
      </c>
      <c r="EVQ48">
        <v>6</v>
      </c>
      <c r="EVR48">
        <v>6</v>
      </c>
      <c r="EVS48">
        <v>6</v>
      </c>
      <c r="EVT48">
        <v>6</v>
      </c>
      <c r="EVU48">
        <v>6</v>
      </c>
      <c r="EVV48">
        <v>6</v>
      </c>
      <c r="EVW48">
        <v>6</v>
      </c>
      <c r="EVX48">
        <v>6</v>
      </c>
      <c r="EVY48">
        <v>6</v>
      </c>
      <c r="EVZ48">
        <v>6</v>
      </c>
      <c r="EWA48">
        <v>6</v>
      </c>
      <c r="EWB48">
        <v>6</v>
      </c>
      <c r="EWC48">
        <v>6</v>
      </c>
      <c r="EWD48">
        <v>6</v>
      </c>
      <c r="EWE48">
        <v>6</v>
      </c>
      <c r="EWF48">
        <v>6</v>
      </c>
      <c r="EWG48">
        <v>6</v>
      </c>
      <c r="EWH48">
        <v>6</v>
      </c>
      <c r="EWI48">
        <v>6</v>
      </c>
      <c r="EWJ48">
        <v>6</v>
      </c>
      <c r="EWK48">
        <v>6</v>
      </c>
      <c r="EWL48">
        <v>6</v>
      </c>
      <c r="EWM48">
        <v>6</v>
      </c>
      <c r="EWN48">
        <v>6</v>
      </c>
      <c r="EWO48">
        <v>6</v>
      </c>
      <c r="EWP48">
        <v>6</v>
      </c>
      <c r="EWQ48">
        <v>6</v>
      </c>
      <c r="EWR48">
        <v>6</v>
      </c>
      <c r="EWS48">
        <v>6</v>
      </c>
      <c r="EWT48">
        <v>6</v>
      </c>
      <c r="EWU48">
        <v>6</v>
      </c>
      <c r="EWV48">
        <v>6</v>
      </c>
      <c r="EWW48">
        <v>6</v>
      </c>
      <c r="EWX48">
        <v>6</v>
      </c>
      <c r="EWY48">
        <v>6</v>
      </c>
      <c r="EXL48">
        <v>7</v>
      </c>
      <c r="EXM48">
        <v>7</v>
      </c>
      <c r="EXN48">
        <v>7</v>
      </c>
      <c r="EXO48">
        <v>7</v>
      </c>
      <c r="EXP48">
        <v>7</v>
      </c>
      <c r="EXQ48">
        <v>7</v>
      </c>
      <c r="EXR48">
        <v>7</v>
      </c>
      <c r="EXS48">
        <v>7</v>
      </c>
      <c r="EXT48">
        <v>7</v>
      </c>
      <c r="EXU48">
        <v>7</v>
      </c>
      <c r="EXV48">
        <v>7</v>
      </c>
      <c r="EXW48">
        <v>7</v>
      </c>
      <c r="EXX48">
        <v>7</v>
      </c>
      <c r="EXY48">
        <v>7</v>
      </c>
      <c r="EYH48">
        <v>8</v>
      </c>
      <c r="EYI48">
        <v>8</v>
      </c>
      <c r="EYJ48">
        <v>8</v>
      </c>
      <c r="EYK48">
        <v>8</v>
      </c>
      <c r="EYL48">
        <v>8</v>
      </c>
      <c r="EYM48">
        <v>8</v>
      </c>
      <c r="EYN48">
        <v>8</v>
      </c>
      <c r="EYO48">
        <v>8</v>
      </c>
      <c r="EYP48">
        <v>8</v>
      </c>
      <c r="EYQ48">
        <v>8</v>
      </c>
      <c r="EYR48">
        <v>8</v>
      </c>
      <c r="EYS48">
        <v>8</v>
      </c>
      <c r="EYT48">
        <v>8</v>
      </c>
      <c r="EYU48">
        <v>8</v>
      </c>
      <c r="EYV48">
        <v>8</v>
      </c>
      <c r="EYW48">
        <v>8</v>
      </c>
      <c r="EYX48">
        <v>8</v>
      </c>
      <c r="EYY48">
        <v>8</v>
      </c>
      <c r="EYZ48">
        <v>8</v>
      </c>
      <c r="EZA48">
        <v>8</v>
      </c>
      <c r="EZB48">
        <v>8</v>
      </c>
      <c r="EZC48">
        <v>8</v>
      </c>
      <c r="EZD48">
        <v>8</v>
      </c>
      <c r="EZE48">
        <v>8</v>
      </c>
      <c r="EZF48">
        <v>8</v>
      </c>
      <c r="EZG48">
        <v>8</v>
      </c>
      <c r="EZH48">
        <v>8</v>
      </c>
      <c r="EZI48">
        <v>8</v>
      </c>
      <c r="EZJ48">
        <v>8</v>
      </c>
      <c r="EZK48">
        <v>8</v>
      </c>
      <c r="EZL48">
        <v>8</v>
      </c>
      <c r="EZM48">
        <v>8</v>
      </c>
      <c r="EZN48">
        <v>8</v>
      </c>
      <c r="EZO48">
        <v>8</v>
      </c>
      <c r="EZP48">
        <v>8</v>
      </c>
      <c r="EZQ48">
        <v>8</v>
      </c>
      <c r="EZR48">
        <v>8</v>
      </c>
      <c r="EZS48">
        <v>8</v>
      </c>
      <c r="EZT48">
        <v>8</v>
      </c>
      <c r="EZU48">
        <v>8</v>
      </c>
      <c r="EZV48">
        <v>8</v>
      </c>
      <c r="EZW48">
        <v>8</v>
      </c>
      <c r="EZX48">
        <v>8</v>
      </c>
      <c r="EZY48">
        <v>8</v>
      </c>
      <c r="EZZ48">
        <v>8</v>
      </c>
      <c r="FAA48">
        <v>8</v>
      </c>
      <c r="FAB48">
        <v>8</v>
      </c>
      <c r="FAC48">
        <v>8</v>
      </c>
      <c r="FAD48">
        <v>8</v>
      </c>
      <c r="FAE48">
        <v>8</v>
      </c>
      <c r="FAF48">
        <v>8</v>
      </c>
      <c r="FAG48">
        <v>8</v>
      </c>
      <c r="FAH48">
        <v>8</v>
      </c>
      <c r="FAI48">
        <v>8</v>
      </c>
      <c r="FAJ48">
        <v>8</v>
      </c>
      <c r="FAK48">
        <v>8</v>
      </c>
      <c r="FAL48">
        <v>8</v>
      </c>
      <c r="FAM48">
        <v>8</v>
      </c>
      <c r="FAN48">
        <v>8</v>
      </c>
      <c r="FAO48">
        <v>8</v>
      </c>
      <c r="FAP48">
        <v>8</v>
      </c>
      <c r="FAQ48">
        <v>8</v>
      </c>
      <c r="FAR48">
        <v>8</v>
      </c>
      <c r="FAS48">
        <v>8</v>
      </c>
      <c r="FAT48">
        <v>8</v>
      </c>
      <c r="FAU48">
        <v>8</v>
      </c>
      <c r="FAV48">
        <v>8</v>
      </c>
      <c r="FAW48">
        <v>8</v>
      </c>
      <c r="FAX48">
        <v>8</v>
      </c>
      <c r="FAY48">
        <v>8</v>
      </c>
      <c r="FAZ48">
        <v>8</v>
      </c>
      <c r="FBA48">
        <v>8</v>
      </c>
      <c r="FBB48">
        <v>8</v>
      </c>
      <c r="FBC48">
        <v>8</v>
      </c>
      <c r="FBD48">
        <v>8</v>
      </c>
      <c r="FBE48">
        <v>8</v>
      </c>
      <c r="FBF48">
        <v>8</v>
      </c>
      <c r="FBG48">
        <v>8</v>
      </c>
      <c r="FBH48">
        <v>8</v>
      </c>
      <c r="FBI48">
        <v>8</v>
      </c>
      <c r="FBJ48">
        <v>8</v>
      </c>
      <c r="FBK48">
        <v>8</v>
      </c>
      <c r="FBL48">
        <v>8</v>
      </c>
      <c r="FBM48">
        <v>8</v>
      </c>
      <c r="FBN48">
        <v>8</v>
      </c>
      <c r="FBO48">
        <v>8</v>
      </c>
      <c r="FBP48">
        <v>8</v>
      </c>
      <c r="FBQ48">
        <v>8</v>
      </c>
      <c r="FBR48">
        <v>8</v>
      </c>
      <c r="FBS48">
        <v>8</v>
      </c>
      <c r="FBT48">
        <v>8</v>
      </c>
      <c r="FTQ48">
        <v>9</v>
      </c>
      <c r="FTR48">
        <v>9</v>
      </c>
      <c r="FTS48">
        <v>9</v>
      </c>
      <c r="FTT48">
        <v>9</v>
      </c>
      <c r="FTU48">
        <v>9</v>
      </c>
      <c r="FTV48">
        <v>9</v>
      </c>
      <c r="FTW48">
        <v>9</v>
      </c>
      <c r="FTX48">
        <v>9</v>
      </c>
      <c r="FTY48">
        <v>9</v>
      </c>
      <c r="FTZ48">
        <v>9</v>
      </c>
      <c r="FUA48">
        <v>9</v>
      </c>
      <c r="FUB48">
        <v>9</v>
      </c>
      <c r="FUC48">
        <v>9</v>
      </c>
      <c r="FUD48">
        <v>9</v>
      </c>
      <c r="FUE48">
        <v>9</v>
      </c>
      <c r="FUF48">
        <v>9</v>
      </c>
      <c r="FUG48">
        <v>9</v>
      </c>
      <c r="FUH48">
        <v>9</v>
      </c>
      <c r="FUI48">
        <v>9</v>
      </c>
      <c r="FUJ48">
        <v>9</v>
      </c>
      <c r="FUK48">
        <v>9</v>
      </c>
      <c r="FUL48">
        <v>9</v>
      </c>
      <c r="FUM48">
        <v>9</v>
      </c>
      <c r="FUN48">
        <v>9</v>
      </c>
      <c r="FUO48">
        <v>9</v>
      </c>
      <c r="FUP48">
        <v>9</v>
      </c>
      <c r="FUQ48">
        <v>9</v>
      </c>
      <c r="FUR48">
        <v>9</v>
      </c>
      <c r="FUS48">
        <v>9</v>
      </c>
      <c r="FUT48">
        <v>9</v>
      </c>
      <c r="FUU48">
        <v>9</v>
      </c>
      <c r="FUV48">
        <v>9</v>
      </c>
      <c r="FUW48">
        <v>9</v>
      </c>
      <c r="FUX48">
        <v>9</v>
      </c>
      <c r="FUY48">
        <v>9</v>
      </c>
      <c r="FUZ48">
        <v>9</v>
      </c>
      <c r="FVA48">
        <v>9</v>
      </c>
      <c r="FVB48">
        <v>9</v>
      </c>
      <c r="FVC48">
        <v>9</v>
      </c>
      <c r="FVD48">
        <v>9</v>
      </c>
      <c r="FVE48">
        <v>9</v>
      </c>
      <c r="FVF48">
        <v>9</v>
      </c>
      <c r="FVG48">
        <v>9</v>
      </c>
      <c r="FVH48">
        <v>9</v>
      </c>
      <c r="FVI48">
        <v>9</v>
      </c>
      <c r="FVJ48">
        <v>9</v>
      </c>
      <c r="FVK48">
        <v>9</v>
      </c>
      <c r="FVL48">
        <v>9</v>
      </c>
      <c r="FVM48">
        <v>9</v>
      </c>
      <c r="FVN48">
        <v>9</v>
      </c>
      <c r="FVO48">
        <v>9</v>
      </c>
      <c r="FVP48">
        <v>9</v>
      </c>
      <c r="FVQ48">
        <v>9</v>
      </c>
      <c r="FVR48">
        <v>9</v>
      </c>
      <c r="FVS48">
        <v>9</v>
      </c>
      <c r="FVT48">
        <v>9</v>
      </c>
      <c r="FVU48">
        <v>9</v>
      </c>
      <c r="FVV48">
        <v>9</v>
      </c>
      <c r="FVW48">
        <v>9</v>
      </c>
      <c r="FVX48">
        <v>9</v>
      </c>
      <c r="FVY48">
        <v>9</v>
      </c>
      <c r="FVZ48">
        <v>9</v>
      </c>
      <c r="FWA48">
        <v>9</v>
      </c>
      <c r="FWB48">
        <v>9</v>
      </c>
      <c r="FWC48">
        <v>9</v>
      </c>
      <c r="FWD48">
        <v>9</v>
      </c>
      <c r="FWE48">
        <v>9</v>
      </c>
      <c r="FWF48">
        <v>9</v>
      </c>
      <c r="FWG48">
        <v>9</v>
      </c>
      <c r="FWH48">
        <v>9</v>
      </c>
      <c r="FWI48">
        <v>9</v>
      </c>
      <c r="FWJ48">
        <v>9</v>
      </c>
      <c r="FWK48">
        <v>9</v>
      </c>
      <c r="FWL48">
        <v>9</v>
      </c>
      <c r="FWM48">
        <v>9</v>
      </c>
      <c r="FWN48">
        <v>9</v>
      </c>
      <c r="FWO48">
        <v>9</v>
      </c>
      <c r="FWP48">
        <v>9</v>
      </c>
      <c r="FWQ48">
        <v>9</v>
      </c>
      <c r="FWR48">
        <v>9</v>
      </c>
      <c r="FWS48">
        <v>9</v>
      </c>
      <c r="FWT48">
        <v>9</v>
      </c>
      <c r="FWU48">
        <v>9</v>
      </c>
      <c r="FWV48">
        <v>9</v>
      </c>
      <c r="FWW48">
        <v>9</v>
      </c>
      <c r="FWX48">
        <v>9</v>
      </c>
      <c r="KFW48" s="1">
        <f t="shared" si="0"/>
        <v>5</v>
      </c>
      <c r="KFX48">
        <f t="shared" si="1"/>
        <v>20</v>
      </c>
      <c r="KFY48">
        <f t="shared" si="2"/>
        <v>98</v>
      </c>
      <c r="KFZ48">
        <f t="shared" si="3"/>
        <v>14</v>
      </c>
      <c r="KGA48">
        <f t="shared" si="4"/>
        <v>35</v>
      </c>
      <c r="KGB48">
        <f t="shared" si="5"/>
        <v>50</v>
      </c>
      <c r="KGC48">
        <f t="shared" si="6"/>
        <v>14</v>
      </c>
      <c r="KGD48">
        <f t="shared" si="7"/>
        <v>91</v>
      </c>
      <c r="KGE48">
        <f t="shared" si="8"/>
        <v>86</v>
      </c>
      <c r="KGF48">
        <f t="shared" si="9"/>
        <v>0</v>
      </c>
      <c r="KGG48">
        <f t="shared" si="10"/>
        <v>0</v>
      </c>
      <c r="KGH48">
        <f t="shared" si="11"/>
        <v>0</v>
      </c>
      <c r="KGI48">
        <f t="shared" si="12"/>
        <v>0</v>
      </c>
      <c r="KGJ48">
        <f t="shared" si="13"/>
        <v>0</v>
      </c>
      <c r="KGK48">
        <f t="shared" si="14"/>
        <v>0</v>
      </c>
      <c r="KGL48">
        <f t="shared" si="15"/>
        <v>0</v>
      </c>
      <c r="KGM48">
        <f t="shared" si="16"/>
        <v>0</v>
      </c>
      <c r="KGN48">
        <f t="shared" si="17"/>
        <v>0</v>
      </c>
      <c r="KGO48">
        <f t="shared" si="18"/>
        <v>0</v>
      </c>
      <c r="KGP48">
        <f t="shared" si="19"/>
        <v>0</v>
      </c>
      <c r="KGQ48">
        <f t="shared" si="20"/>
        <v>0</v>
      </c>
      <c r="KGR48">
        <f t="shared" si="21"/>
        <v>0</v>
      </c>
      <c r="KGS48">
        <f t="shared" si="22"/>
        <v>0</v>
      </c>
      <c r="KGT48">
        <f t="shared" si="23"/>
        <v>0</v>
      </c>
      <c r="KGU48">
        <f t="shared" si="24"/>
        <v>0</v>
      </c>
      <c r="KGV48">
        <f t="shared" si="25"/>
        <v>0</v>
      </c>
      <c r="KGW48">
        <f t="shared" si="26"/>
        <v>0</v>
      </c>
      <c r="KGX48">
        <f t="shared" si="27"/>
        <v>0</v>
      </c>
      <c r="KGY48">
        <f t="shared" si="28"/>
        <v>0</v>
      </c>
      <c r="KGZ48">
        <f t="shared" si="29"/>
        <v>0</v>
      </c>
      <c r="KHA48">
        <f t="shared" si="30"/>
        <v>0</v>
      </c>
      <c r="KHB48">
        <f t="shared" si="31"/>
        <v>0</v>
      </c>
      <c r="KHC48">
        <f t="shared" si="32"/>
        <v>0</v>
      </c>
      <c r="KHD48">
        <f t="shared" si="33"/>
        <v>0</v>
      </c>
      <c r="KHE48">
        <f t="shared" si="34"/>
        <v>0</v>
      </c>
      <c r="KHF48">
        <f t="shared" si="35"/>
        <v>0</v>
      </c>
      <c r="KHG48">
        <f t="shared" si="36"/>
        <v>0</v>
      </c>
      <c r="KHH48">
        <f t="shared" si="37"/>
        <v>0</v>
      </c>
      <c r="KHI48">
        <f t="shared" si="38"/>
        <v>0</v>
      </c>
      <c r="KHJ48">
        <f t="shared" si="39"/>
        <v>0</v>
      </c>
      <c r="KHK48">
        <f t="shared" si="40"/>
        <v>0</v>
      </c>
      <c r="KHL48">
        <f t="shared" si="41"/>
        <v>0</v>
      </c>
      <c r="KHM48">
        <f t="shared" si="42"/>
        <v>0</v>
      </c>
      <c r="KHN48">
        <f t="shared" si="43"/>
        <v>0</v>
      </c>
      <c r="KHO48">
        <f t="shared" si="44"/>
        <v>0</v>
      </c>
      <c r="KHP48">
        <f t="shared" si="45"/>
        <v>0</v>
      </c>
      <c r="KHQ48">
        <f t="shared" si="46"/>
        <v>0</v>
      </c>
      <c r="KHR48">
        <f t="shared" si="47"/>
        <v>0</v>
      </c>
      <c r="KHS48">
        <f t="shared" si="48"/>
        <v>0</v>
      </c>
      <c r="KHT48">
        <f t="shared" si="49"/>
        <v>0</v>
      </c>
      <c r="KHU48">
        <f t="shared" si="50"/>
        <v>0</v>
      </c>
      <c r="KHV48">
        <f t="shared" si="51"/>
        <v>0</v>
      </c>
      <c r="KHW48">
        <f t="shared" si="52"/>
        <v>0</v>
      </c>
      <c r="KHX48">
        <f t="shared" si="53"/>
        <v>0</v>
      </c>
      <c r="KHY48">
        <f t="shared" si="54"/>
        <v>0</v>
      </c>
      <c r="KHZ48">
        <f t="shared" si="55"/>
        <v>0</v>
      </c>
      <c r="KIA48">
        <f t="shared" si="56"/>
        <v>0</v>
      </c>
      <c r="KIB48">
        <f t="shared" si="57"/>
        <v>0</v>
      </c>
      <c r="KIC48">
        <f t="shared" si="58"/>
        <v>0</v>
      </c>
      <c r="KID48">
        <f t="shared" si="59"/>
        <v>0</v>
      </c>
      <c r="KIE48">
        <f t="shared" si="60"/>
        <v>0</v>
      </c>
      <c r="KIF48">
        <f t="shared" si="61"/>
        <v>0</v>
      </c>
      <c r="KIG48">
        <f t="shared" si="62"/>
        <v>0</v>
      </c>
      <c r="KIH48">
        <f t="shared" si="63"/>
        <v>0</v>
      </c>
      <c r="KII48">
        <f t="shared" si="64"/>
        <v>0</v>
      </c>
      <c r="KIJ48">
        <f t="shared" si="65"/>
        <v>0</v>
      </c>
      <c r="KIK48">
        <f t="shared" si="66"/>
        <v>0</v>
      </c>
      <c r="KIL48">
        <f t="shared" si="67"/>
        <v>0</v>
      </c>
      <c r="KIM48">
        <f t="shared" si="68"/>
        <v>0</v>
      </c>
      <c r="KIN48">
        <f t="shared" si="69"/>
        <v>0</v>
      </c>
      <c r="KIO48">
        <f t="shared" si="70"/>
        <v>0</v>
      </c>
      <c r="KIP48">
        <f t="shared" si="71"/>
        <v>0</v>
      </c>
      <c r="KIQ48">
        <f t="shared" si="72"/>
        <v>0</v>
      </c>
      <c r="KIR48">
        <f t="shared" si="73"/>
        <v>0</v>
      </c>
      <c r="KIS48">
        <f t="shared" si="74"/>
        <v>0</v>
      </c>
      <c r="KIT48">
        <f t="shared" si="75"/>
        <v>0</v>
      </c>
      <c r="KIU48">
        <f t="shared" si="76"/>
        <v>0</v>
      </c>
      <c r="KIV48">
        <f t="shared" si="77"/>
        <v>0</v>
      </c>
      <c r="KIW48">
        <f t="shared" si="78"/>
        <v>0</v>
      </c>
      <c r="KIX48">
        <f t="shared" si="79"/>
        <v>0</v>
      </c>
      <c r="KIY48">
        <f t="shared" si="80"/>
        <v>0</v>
      </c>
      <c r="KIZ48">
        <f t="shared" si="81"/>
        <v>0</v>
      </c>
      <c r="KJA48">
        <f t="shared" si="82"/>
        <v>0</v>
      </c>
      <c r="KJB48">
        <f t="shared" si="83"/>
        <v>0</v>
      </c>
      <c r="KJC48">
        <f t="shared" si="84"/>
        <v>0</v>
      </c>
      <c r="KJD48">
        <f t="shared" si="85"/>
        <v>0</v>
      </c>
      <c r="KJE48">
        <f t="shared" si="86"/>
        <v>0</v>
      </c>
      <c r="KJF48">
        <f t="shared" si="87"/>
        <v>0</v>
      </c>
      <c r="KJG48">
        <f t="shared" si="88"/>
        <v>0</v>
      </c>
      <c r="KJH48">
        <f t="shared" si="89"/>
        <v>0</v>
      </c>
      <c r="KJI48">
        <f t="shared" si="90"/>
        <v>0</v>
      </c>
      <c r="KJJ48">
        <f t="shared" si="91"/>
        <v>0</v>
      </c>
      <c r="KJK48">
        <f t="shared" si="92"/>
        <v>0</v>
      </c>
      <c r="KJL48">
        <f t="shared" si="93"/>
        <v>0</v>
      </c>
      <c r="KJM48">
        <f t="shared" si="94"/>
        <v>0</v>
      </c>
      <c r="KJN48">
        <f t="shared" si="95"/>
        <v>0</v>
      </c>
      <c r="KJO48">
        <f t="shared" si="96"/>
        <v>0</v>
      </c>
      <c r="KJP48">
        <f t="shared" si="97"/>
        <v>0</v>
      </c>
      <c r="KJQ48">
        <f t="shared" si="98"/>
        <v>0</v>
      </c>
      <c r="KJR48">
        <f t="shared" si="99"/>
        <v>0</v>
      </c>
      <c r="KJT48">
        <f t="shared" si="100"/>
        <v>413</v>
      </c>
      <c r="KJV48">
        <f t="shared" si="100"/>
        <v>413</v>
      </c>
      <c r="KJW48">
        <f t="shared" si="101"/>
        <v>16.52</v>
      </c>
      <c r="KJY48" s="1">
        <f t="shared" si="101"/>
        <v>16.52</v>
      </c>
    </row>
    <row r="49" spans="1:7721">
      <c r="A49" t="s">
        <v>7593</v>
      </c>
      <c r="B49">
        <v>61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JJ49">
        <v>2</v>
      </c>
      <c r="JY49">
        <v>3</v>
      </c>
      <c r="JZ49">
        <v>3</v>
      </c>
      <c r="KA49">
        <v>3</v>
      </c>
      <c r="KB49">
        <v>3</v>
      </c>
      <c r="MJ49">
        <v>4</v>
      </c>
      <c r="OU49">
        <v>5</v>
      </c>
      <c r="OV49">
        <v>5</v>
      </c>
      <c r="OW49">
        <v>5</v>
      </c>
      <c r="OX49">
        <v>5</v>
      </c>
      <c r="OY49">
        <v>5</v>
      </c>
      <c r="OZ49">
        <v>5</v>
      </c>
      <c r="PA49">
        <v>5</v>
      </c>
      <c r="PB49">
        <v>5</v>
      </c>
      <c r="PC49">
        <v>5</v>
      </c>
      <c r="PD49">
        <v>5</v>
      </c>
      <c r="SL49">
        <v>6</v>
      </c>
      <c r="SM49">
        <v>6</v>
      </c>
      <c r="SN49">
        <v>6</v>
      </c>
      <c r="SO49">
        <v>6</v>
      </c>
      <c r="SP49">
        <v>6</v>
      </c>
      <c r="SQ49">
        <v>6</v>
      </c>
      <c r="SR49">
        <v>6</v>
      </c>
      <c r="SS49">
        <v>6</v>
      </c>
      <c r="ST49">
        <v>6</v>
      </c>
      <c r="SU49">
        <v>6</v>
      </c>
      <c r="SV49">
        <v>6</v>
      </c>
      <c r="SW49">
        <v>6</v>
      </c>
      <c r="SX49">
        <v>6</v>
      </c>
      <c r="SY49">
        <v>6</v>
      </c>
      <c r="VK49">
        <v>7</v>
      </c>
      <c r="VL49">
        <v>7</v>
      </c>
      <c r="VM49">
        <v>7</v>
      </c>
      <c r="AJD49">
        <v>8</v>
      </c>
      <c r="ANH49">
        <v>9</v>
      </c>
      <c r="ANI49">
        <v>9</v>
      </c>
      <c r="AOE49">
        <v>10</v>
      </c>
      <c r="AOF49">
        <v>10</v>
      </c>
      <c r="ARB49">
        <v>11</v>
      </c>
      <c r="ARC49">
        <v>11</v>
      </c>
      <c r="ARD49">
        <v>11</v>
      </c>
      <c r="ARE49">
        <v>11</v>
      </c>
      <c r="ARF49">
        <v>11</v>
      </c>
      <c r="ARG49">
        <v>11</v>
      </c>
      <c r="ARH49">
        <v>11</v>
      </c>
      <c r="ATZ49">
        <v>12</v>
      </c>
      <c r="AXU49">
        <v>13</v>
      </c>
      <c r="AXV49">
        <v>13</v>
      </c>
      <c r="AXW49">
        <v>13</v>
      </c>
      <c r="AXX49">
        <v>13</v>
      </c>
      <c r="AYY49">
        <v>14</v>
      </c>
      <c r="AYZ49">
        <v>14</v>
      </c>
      <c r="AZA49">
        <v>14</v>
      </c>
      <c r="AZB49">
        <v>14</v>
      </c>
      <c r="AZC49">
        <v>14</v>
      </c>
      <c r="AZD49">
        <v>14</v>
      </c>
      <c r="AZE49">
        <v>14</v>
      </c>
      <c r="AZF49">
        <v>14</v>
      </c>
      <c r="AZG49">
        <v>14</v>
      </c>
      <c r="BBN49">
        <v>15</v>
      </c>
      <c r="BBO49">
        <v>15</v>
      </c>
      <c r="BBP49">
        <v>15</v>
      </c>
      <c r="BBQ49">
        <v>15</v>
      </c>
      <c r="BBR49">
        <v>15</v>
      </c>
      <c r="BEA49">
        <v>16</v>
      </c>
      <c r="CCZ49">
        <v>17</v>
      </c>
      <c r="CDA49">
        <v>17</v>
      </c>
      <c r="CDB49">
        <v>17</v>
      </c>
      <c r="CDC49">
        <v>17</v>
      </c>
      <c r="CDD49">
        <v>17</v>
      </c>
      <c r="CDE49">
        <v>17</v>
      </c>
      <c r="CDF49">
        <v>17</v>
      </c>
      <c r="CFM49">
        <v>18</v>
      </c>
      <c r="CFN49">
        <v>18</v>
      </c>
      <c r="CGY49">
        <v>19</v>
      </c>
      <c r="CGZ49">
        <v>19</v>
      </c>
      <c r="CHA49">
        <v>19</v>
      </c>
      <c r="CHB49">
        <v>19</v>
      </c>
      <c r="CHC49">
        <v>19</v>
      </c>
      <c r="CHD49">
        <v>19</v>
      </c>
      <c r="CHE49">
        <v>19</v>
      </c>
      <c r="CHF49">
        <v>19</v>
      </c>
      <c r="CHR49">
        <v>20</v>
      </c>
      <c r="CHS49">
        <v>20</v>
      </c>
      <c r="CHT49">
        <v>20</v>
      </c>
      <c r="CHU49">
        <v>20</v>
      </c>
      <c r="CHV49">
        <v>20</v>
      </c>
      <c r="CKG49">
        <v>21</v>
      </c>
      <c r="CKH49">
        <v>21</v>
      </c>
      <c r="CKI49">
        <v>21</v>
      </c>
      <c r="CKJ49">
        <v>21</v>
      </c>
      <c r="CKK49">
        <v>21</v>
      </c>
      <c r="CKL49">
        <v>21</v>
      </c>
      <c r="CKM49">
        <v>21</v>
      </c>
      <c r="CKN49">
        <v>21</v>
      </c>
      <c r="CKO49">
        <v>21</v>
      </c>
      <c r="CKP49">
        <v>21</v>
      </c>
      <c r="CKQ49">
        <v>21</v>
      </c>
      <c r="CKR49">
        <v>21</v>
      </c>
      <c r="CKS49">
        <v>21</v>
      </c>
      <c r="CKT49">
        <v>21</v>
      </c>
      <c r="CKU49">
        <v>21</v>
      </c>
      <c r="CKV49">
        <v>21</v>
      </c>
      <c r="CKW49">
        <v>21</v>
      </c>
      <c r="CKX49">
        <v>21</v>
      </c>
      <c r="CKY49">
        <v>21</v>
      </c>
      <c r="CKZ49">
        <v>21</v>
      </c>
      <c r="CLA49">
        <v>21</v>
      </c>
      <c r="CLB49">
        <v>21</v>
      </c>
      <c r="CLC49">
        <v>21</v>
      </c>
      <c r="CLD49">
        <v>21</v>
      </c>
      <c r="CLE49">
        <v>21</v>
      </c>
      <c r="CLF49">
        <v>21</v>
      </c>
      <c r="CLG49">
        <v>21</v>
      </c>
      <c r="CLH49">
        <v>21</v>
      </c>
      <c r="CLQ49">
        <v>22</v>
      </c>
      <c r="CLR49">
        <v>22</v>
      </c>
      <c r="CLS49">
        <v>22</v>
      </c>
      <c r="CLT49">
        <v>22</v>
      </c>
      <c r="CLU49">
        <v>22</v>
      </c>
      <c r="CLV49">
        <v>22</v>
      </c>
      <c r="CLW49">
        <v>22</v>
      </c>
      <c r="CLX49">
        <v>22</v>
      </c>
      <c r="CLY49">
        <v>22</v>
      </c>
      <c r="CRA49">
        <v>23</v>
      </c>
      <c r="CTZ49">
        <v>24</v>
      </c>
      <c r="CUA49">
        <v>24</v>
      </c>
      <c r="CUB49">
        <v>24</v>
      </c>
      <c r="DAD49">
        <v>25</v>
      </c>
      <c r="DAE49">
        <v>25</v>
      </c>
      <c r="DAF49">
        <v>25</v>
      </c>
      <c r="DAG49">
        <v>25</v>
      </c>
      <c r="DAH49">
        <v>25</v>
      </c>
      <c r="DBG49">
        <v>26</v>
      </c>
      <c r="DBH49">
        <v>26</v>
      </c>
      <c r="DBI49">
        <v>26</v>
      </c>
      <c r="DBJ49">
        <v>26</v>
      </c>
      <c r="DCB49">
        <v>27</v>
      </c>
      <c r="DCC49">
        <v>27</v>
      </c>
      <c r="DCD49">
        <v>27</v>
      </c>
      <c r="DCE49">
        <v>27</v>
      </c>
      <c r="DCF49">
        <v>27</v>
      </c>
      <c r="DCG49">
        <v>27</v>
      </c>
      <c r="DCH49">
        <v>27</v>
      </c>
      <c r="DCI49">
        <v>27</v>
      </c>
      <c r="DCJ49">
        <v>27</v>
      </c>
      <c r="DCK49">
        <v>27</v>
      </c>
      <c r="DCL49">
        <v>27</v>
      </c>
      <c r="DCM49">
        <v>27</v>
      </c>
      <c r="DCN49">
        <v>27</v>
      </c>
      <c r="DCO49">
        <v>27</v>
      </c>
      <c r="DCP49">
        <v>27</v>
      </c>
      <c r="DCQ49">
        <v>27</v>
      </c>
      <c r="DDB49">
        <v>28</v>
      </c>
      <c r="DDC49">
        <v>28</v>
      </c>
      <c r="DDD49">
        <v>28</v>
      </c>
      <c r="DDE49">
        <v>28</v>
      </c>
      <c r="DDF49">
        <v>28</v>
      </c>
      <c r="DDG49">
        <v>28</v>
      </c>
      <c r="DDH49">
        <v>28</v>
      </c>
      <c r="DDI49">
        <v>28</v>
      </c>
      <c r="DDJ49">
        <v>28</v>
      </c>
      <c r="DDK49">
        <v>28</v>
      </c>
      <c r="DDL49">
        <v>28</v>
      </c>
      <c r="DDM49">
        <v>28</v>
      </c>
      <c r="DDN49">
        <v>28</v>
      </c>
      <c r="DDO49">
        <v>28</v>
      </c>
      <c r="DDP49">
        <v>28</v>
      </c>
      <c r="DDQ49">
        <v>28</v>
      </c>
      <c r="DDR49">
        <v>28</v>
      </c>
      <c r="DDS49">
        <v>28</v>
      </c>
      <c r="DDT49">
        <v>28</v>
      </c>
      <c r="DER49">
        <v>29</v>
      </c>
      <c r="DES49">
        <v>29</v>
      </c>
      <c r="DET49">
        <v>29</v>
      </c>
      <c r="DEU49">
        <v>29</v>
      </c>
      <c r="DEV49">
        <v>29</v>
      </c>
      <c r="DEW49">
        <v>29</v>
      </c>
      <c r="DEX49">
        <v>29</v>
      </c>
      <c r="DEY49">
        <v>29</v>
      </c>
      <c r="DPX49">
        <v>30</v>
      </c>
      <c r="DPY49">
        <v>30</v>
      </c>
      <c r="DPZ49">
        <v>30</v>
      </c>
      <c r="DQA49">
        <v>30</v>
      </c>
      <c r="DQB49">
        <v>30</v>
      </c>
      <c r="DQC49">
        <v>30</v>
      </c>
      <c r="DQD49">
        <v>30</v>
      </c>
      <c r="EAD49">
        <v>31</v>
      </c>
      <c r="EAE49">
        <v>31</v>
      </c>
      <c r="EAF49">
        <v>31</v>
      </c>
      <c r="EAG49">
        <v>31</v>
      </c>
      <c r="EER49">
        <v>32</v>
      </c>
      <c r="EES49">
        <v>32</v>
      </c>
      <c r="EET49">
        <v>32</v>
      </c>
      <c r="EEU49">
        <v>32</v>
      </c>
      <c r="EEV49">
        <v>32</v>
      </c>
      <c r="EFX49">
        <v>33</v>
      </c>
      <c r="EFY49">
        <v>33</v>
      </c>
      <c r="EFZ49">
        <v>33</v>
      </c>
      <c r="EGA49">
        <v>33</v>
      </c>
      <c r="EGB49">
        <v>33</v>
      </c>
      <c r="EGC49">
        <v>33</v>
      </c>
      <c r="EGD49">
        <v>33</v>
      </c>
      <c r="EGE49">
        <v>33</v>
      </c>
      <c r="EGF49">
        <v>33</v>
      </c>
      <c r="EGG49">
        <v>33</v>
      </c>
      <c r="EGH49">
        <v>33</v>
      </c>
      <c r="EGI49">
        <v>33</v>
      </c>
      <c r="EGJ49">
        <v>33</v>
      </c>
      <c r="EGK49">
        <v>33</v>
      </c>
      <c r="ELQ49">
        <v>34</v>
      </c>
      <c r="ELR49">
        <v>34</v>
      </c>
      <c r="ELS49">
        <v>34</v>
      </c>
      <c r="ELT49">
        <v>34</v>
      </c>
      <c r="EXI49">
        <v>35</v>
      </c>
      <c r="EXJ49">
        <v>35</v>
      </c>
      <c r="EXK49">
        <v>35</v>
      </c>
      <c r="FLG49">
        <v>36</v>
      </c>
      <c r="FLH49">
        <v>36</v>
      </c>
      <c r="FLI49">
        <v>36</v>
      </c>
      <c r="FLJ49">
        <v>36</v>
      </c>
      <c r="FSM49">
        <v>37</v>
      </c>
      <c r="FSN49">
        <v>37</v>
      </c>
      <c r="FSO49">
        <v>37</v>
      </c>
      <c r="FSP49">
        <v>37</v>
      </c>
      <c r="FTH49">
        <v>38</v>
      </c>
      <c r="FTI49">
        <v>38</v>
      </c>
      <c r="FTP49">
        <v>39</v>
      </c>
      <c r="GBD49">
        <v>40</v>
      </c>
      <c r="GBE49">
        <v>40</v>
      </c>
      <c r="GBF49">
        <v>40</v>
      </c>
      <c r="GBG49">
        <v>40</v>
      </c>
      <c r="GFM49">
        <v>41</v>
      </c>
      <c r="GLH49">
        <v>42</v>
      </c>
      <c r="GLI49">
        <v>42</v>
      </c>
      <c r="GLJ49">
        <v>42</v>
      </c>
      <c r="GLK49">
        <v>42</v>
      </c>
      <c r="GNF49">
        <v>43</v>
      </c>
      <c r="GNG49">
        <v>43</v>
      </c>
      <c r="GNH49">
        <v>43</v>
      </c>
      <c r="GNI49">
        <v>43</v>
      </c>
      <c r="GNJ49">
        <v>43</v>
      </c>
      <c r="GNK49">
        <v>43</v>
      </c>
      <c r="GNL49">
        <v>43</v>
      </c>
      <c r="GNM49">
        <v>43</v>
      </c>
      <c r="GNZ49">
        <v>44</v>
      </c>
      <c r="GOA49">
        <v>44</v>
      </c>
      <c r="GOB49">
        <v>44</v>
      </c>
      <c r="GOC49">
        <v>44</v>
      </c>
      <c r="GOJ49">
        <v>45</v>
      </c>
      <c r="GOK49">
        <v>45</v>
      </c>
      <c r="GOL49">
        <v>45</v>
      </c>
      <c r="GOM49">
        <v>45</v>
      </c>
      <c r="GOT49">
        <v>46</v>
      </c>
      <c r="GOU49">
        <v>46</v>
      </c>
      <c r="GOV49">
        <v>46</v>
      </c>
      <c r="GOW49">
        <v>46</v>
      </c>
      <c r="GRR49">
        <v>47</v>
      </c>
      <c r="GRS49">
        <v>47</v>
      </c>
      <c r="GRT49">
        <v>47</v>
      </c>
      <c r="GRU49">
        <v>47</v>
      </c>
      <c r="GRV49">
        <v>47</v>
      </c>
      <c r="GTD49">
        <v>48</v>
      </c>
      <c r="GTE49">
        <v>48</v>
      </c>
      <c r="GTF49">
        <v>48</v>
      </c>
      <c r="GUL49">
        <v>49</v>
      </c>
      <c r="GUM49">
        <v>49</v>
      </c>
      <c r="GXW49">
        <v>50</v>
      </c>
      <c r="GXX49">
        <v>50</v>
      </c>
      <c r="GXY49">
        <v>50</v>
      </c>
      <c r="GXZ49">
        <v>50</v>
      </c>
      <c r="HFH49">
        <v>51</v>
      </c>
      <c r="HFI49">
        <v>51</v>
      </c>
      <c r="HFJ49">
        <v>51</v>
      </c>
      <c r="HFK49">
        <v>51</v>
      </c>
      <c r="HFL49">
        <v>51</v>
      </c>
      <c r="HFM49">
        <v>51</v>
      </c>
      <c r="HII49">
        <v>52</v>
      </c>
      <c r="HIJ49">
        <v>52</v>
      </c>
      <c r="HUN49">
        <v>53</v>
      </c>
      <c r="HUO49">
        <v>53</v>
      </c>
      <c r="HUP49">
        <v>53</v>
      </c>
      <c r="HUQ49">
        <v>53</v>
      </c>
      <c r="HUR49">
        <v>53</v>
      </c>
      <c r="HUS49">
        <v>53</v>
      </c>
      <c r="HUT49">
        <v>53</v>
      </c>
      <c r="HUU49">
        <v>53</v>
      </c>
      <c r="HUV49">
        <v>53</v>
      </c>
      <c r="HUW49">
        <v>53</v>
      </c>
      <c r="IUZ49">
        <v>54</v>
      </c>
      <c r="IWN49">
        <v>55</v>
      </c>
      <c r="IWO49">
        <v>55</v>
      </c>
      <c r="IWP49">
        <v>55</v>
      </c>
      <c r="JEP49">
        <v>56</v>
      </c>
      <c r="JEQ49">
        <v>56</v>
      </c>
      <c r="JER49">
        <v>56</v>
      </c>
      <c r="JGQ49">
        <v>57</v>
      </c>
      <c r="JGR49">
        <v>57</v>
      </c>
      <c r="JIK49">
        <v>58</v>
      </c>
      <c r="JIL49">
        <v>58</v>
      </c>
      <c r="JIM49">
        <v>58</v>
      </c>
      <c r="JKI49">
        <v>59</v>
      </c>
      <c r="JKJ49">
        <v>59</v>
      </c>
      <c r="JOL49">
        <v>60</v>
      </c>
      <c r="JPC49">
        <v>61</v>
      </c>
      <c r="JPD49">
        <v>61</v>
      </c>
      <c r="KFW49" s="1">
        <f t="shared" si="0"/>
        <v>11</v>
      </c>
      <c r="KFX49">
        <f t="shared" si="1"/>
        <v>1</v>
      </c>
      <c r="KFY49">
        <f t="shared" si="2"/>
        <v>4</v>
      </c>
      <c r="KFZ49">
        <f t="shared" si="3"/>
        <v>1</v>
      </c>
      <c r="KGA49">
        <f t="shared" si="4"/>
        <v>10</v>
      </c>
      <c r="KGB49">
        <f t="shared" si="5"/>
        <v>14</v>
      </c>
      <c r="KGC49">
        <f t="shared" si="6"/>
        <v>3</v>
      </c>
      <c r="KGD49">
        <f t="shared" si="7"/>
        <v>1</v>
      </c>
      <c r="KGE49">
        <f t="shared" si="8"/>
        <v>2</v>
      </c>
      <c r="KGF49">
        <f t="shared" si="9"/>
        <v>2</v>
      </c>
      <c r="KGG49">
        <f t="shared" si="10"/>
        <v>7</v>
      </c>
      <c r="KGH49">
        <f t="shared" si="11"/>
        <v>1</v>
      </c>
      <c r="KGI49">
        <f t="shared" si="12"/>
        <v>4</v>
      </c>
      <c r="KGJ49">
        <f t="shared" si="13"/>
        <v>9</v>
      </c>
      <c r="KGK49">
        <f t="shared" si="14"/>
        <v>5</v>
      </c>
      <c r="KGL49">
        <f t="shared" si="15"/>
        <v>1</v>
      </c>
      <c r="KGM49">
        <f t="shared" si="16"/>
        <v>7</v>
      </c>
      <c r="KGN49">
        <f t="shared" si="17"/>
        <v>2</v>
      </c>
      <c r="KGO49">
        <f t="shared" si="18"/>
        <v>8</v>
      </c>
      <c r="KGP49">
        <f t="shared" si="19"/>
        <v>5</v>
      </c>
      <c r="KGQ49">
        <f t="shared" si="20"/>
        <v>28</v>
      </c>
      <c r="KGR49">
        <f t="shared" si="21"/>
        <v>9</v>
      </c>
      <c r="KGS49">
        <f t="shared" si="22"/>
        <v>1</v>
      </c>
      <c r="KGT49">
        <f t="shared" si="23"/>
        <v>3</v>
      </c>
      <c r="KGU49">
        <f t="shared" si="24"/>
        <v>5</v>
      </c>
      <c r="KGV49">
        <f t="shared" si="25"/>
        <v>4</v>
      </c>
      <c r="KGW49">
        <f t="shared" si="26"/>
        <v>16</v>
      </c>
      <c r="KGX49">
        <f t="shared" si="27"/>
        <v>19</v>
      </c>
      <c r="KGY49">
        <f t="shared" si="28"/>
        <v>8</v>
      </c>
      <c r="KGZ49">
        <f t="shared" si="29"/>
        <v>7</v>
      </c>
      <c r="KHA49">
        <f t="shared" si="30"/>
        <v>4</v>
      </c>
      <c r="KHB49">
        <f t="shared" si="31"/>
        <v>5</v>
      </c>
      <c r="KHC49">
        <f t="shared" si="32"/>
        <v>14</v>
      </c>
      <c r="KHD49">
        <f t="shared" si="33"/>
        <v>4</v>
      </c>
      <c r="KHE49">
        <f t="shared" si="34"/>
        <v>3</v>
      </c>
      <c r="KHF49">
        <f t="shared" si="35"/>
        <v>4</v>
      </c>
      <c r="KHG49">
        <f t="shared" si="36"/>
        <v>4</v>
      </c>
      <c r="KHH49">
        <f t="shared" si="37"/>
        <v>2</v>
      </c>
      <c r="KHI49">
        <f t="shared" si="38"/>
        <v>1</v>
      </c>
      <c r="KHJ49">
        <f t="shared" si="39"/>
        <v>4</v>
      </c>
      <c r="KHK49">
        <f t="shared" si="40"/>
        <v>1</v>
      </c>
      <c r="KHL49">
        <f t="shared" si="41"/>
        <v>4</v>
      </c>
      <c r="KHM49">
        <f t="shared" si="42"/>
        <v>8</v>
      </c>
      <c r="KHN49">
        <f t="shared" si="43"/>
        <v>4</v>
      </c>
      <c r="KHO49">
        <f t="shared" si="44"/>
        <v>4</v>
      </c>
      <c r="KHP49">
        <f t="shared" si="45"/>
        <v>4</v>
      </c>
      <c r="KHQ49">
        <f t="shared" si="46"/>
        <v>5</v>
      </c>
      <c r="KHR49">
        <f t="shared" si="47"/>
        <v>3</v>
      </c>
      <c r="KHS49">
        <f t="shared" si="48"/>
        <v>2</v>
      </c>
      <c r="KHT49">
        <f t="shared" si="49"/>
        <v>4</v>
      </c>
      <c r="KHU49">
        <f t="shared" si="50"/>
        <v>6</v>
      </c>
      <c r="KHV49">
        <f t="shared" si="51"/>
        <v>2</v>
      </c>
      <c r="KHW49">
        <f t="shared" si="52"/>
        <v>10</v>
      </c>
      <c r="KHX49">
        <f t="shared" si="53"/>
        <v>1</v>
      </c>
      <c r="KHY49">
        <f t="shared" si="54"/>
        <v>3</v>
      </c>
      <c r="KHZ49">
        <f t="shared" si="55"/>
        <v>3</v>
      </c>
      <c r="KIA49">
        <f t="shared" si="56"/>
        <v>2</v>
      </c>
      <c r="KIB49">
        <f t="shared" si="57"/>
        <v>3</v>
      </c>
      <c r="KIC49">
        <f t="shared" si="58"/>
        <v>2</v>
      </c>
      <c r="KID49">
        <f t="shared" si="59"/>
        <v>1</v>
      </c>
      <c r="KIE49">
        <f t="shared" si="60"/>
        <v>2</v>
      </c>
      <c r="KIF49">
        <f t="shared" si="61"/>
        <v>0</v>
      </c>
      <c r="KIG49">
        <f t="shared" si="62"/>
        <v>0</v>
      </c>
      <c r="KIH49">
        <f t="shared" si="63"/>
        <v>0</v>
      </c>
      <c r="KII49">
        <f t="shared" si="64"/>
        <v>0</v>
      </c>
      <c r="KIJ49">
        <f t="shared" si="65"/>
        <v>0</v>
      </c>
      <c r="KIK49">
        <f t="shared" si="66"/>
        <v>0</v>
      </c>
      <c r="KIL49">
        <f t="shared" si="67"/>
        <v>0</v>
      </c>
      <c r="KIM49">
        <f t="shared" si="68"/>
        <v>0</v>
      </c>
      <c r="KIN49">
        <f t="shared" si="69"/>
        <v>0</v>
      </c>
      <c r="KIO49">
        <f t="shared" si="70"/>
        <v>0</v>
      </c>
      <c r="KIP49">
        <f t="shared" si="71"/>
        <v>0</v>
      </c>
      <c r="KIQ49">
        <f t="shared" si="72"/>
        <v>0</v>
      </c>
      <c r="KIR49">
        <f t="shared" si="73"/>
        <v>0</v>
      </c>
      <c r="KIS49">
        <f t="shared" si="74"/>
        <v>0</v>
      </c>
      <c r="KIT49">
        <f t="shared" si="75"/>
        <v>0</v>
      </c>
      <c r="KIU49">
        <f t="shared" si="76"/>
        <v>0</v>
      </c>
      <c r="KIV49">
        <f t="shared" si="77"/>
        <v>0</v>
      </c>
      <c r="KIW49">
        <f t="shared" si="78"/>
        <v>0</v>
      </c>
      <c r="KIX49">
        <f t="shared" si="79"/>
        <v>0</v>
      </c>
      <c r="KIY49">
        <f t="shared" si="80"/>
        <v>0</v>
      </c>
      <c r="KIZ49">
        <f t="shared" si="81"/>
        <v>0</v>
      </c>
      <c r="KJA49">
        <f t="shared" si="82"/>
        <v>0</v>
      </c>
      <c r="KJB49">
        <f t="shared" si="83"/>
        <v>0</v>
      </c>
      <c r="KJC49">
        <f t="shared" si="84"/>
        <v>0</v>
      </c>
      <c r="KJD49">
        <f t="shared" si="85"/>
        <v>0</v>
      </c>
      <c r="KJE49">
        <f t="shared" si="86"/>
        <v>0</v>
      </c>
      <c r="KJF49">
        <f t="shared" si="87"/>
        <v>0</v>
      </c>
      <c r="KJG49">
        <f t="shared" si="88"/>
        <v>0</v>
      </c>
      <c r="KJH49">
        <f t="shared" si="89"/>
        <v>0</v>
      </c>
      <c r="KJI49">
        <f t="shared" si="90"/>
        <v>0</v>
      </c>
      <c r="KJJ49">
        <f t="shared" si="91"/>
        <v>0</v>
      </c>
      <c r="KJK49">
        <f t="shared" si="92"/>
        <v>0</v>
      </c>
      <c r="KJL49">
        <f t="shared" si="93"/>
        <v>0</v>
      </c>
      <c r="KJM49">
        <f t="shared" si="94"/>
        <v>0</v>
      </c>
      <c r="KJN49">
        <f t="shared" si="95"/>
        <v>0</v>
      </c>
      <c r="KJO49">
        <f t="shared" si="96"/>
        <v>0</v>
      </c>
      <c r="KJP49">
        <f t="shared" si="97"/>
        <v>0</v>
      </c>
      <c r="KJQ49">
        <f t="shared" si="98"/>
        <v>0</v>
      </c>
      <c r="KJR49">
        <f t="shared" si="99"/>
        <v>0</v>
      </c>
      <c r="KJT49">
        <f t="shared" si="100"/>
        <v>317</v>
      </c>
      <c r="KJV49">
        <f t="shared" si="100"/>
        <v>317</v>
      </c>
      <c r="KJW49">
        <f t="shared" si="101"/>
        <v>12.68</v>
      </c>
      <c r="KJY49" s="1">
        <f t="shared" si="101"/>
        <v>12.68</v>
      </c>
    </row>
    <row r="50" spans="1:7721">
      <c r="KFW50" s="1"/>
      <c r="KJY50" s="1"/>
    </row>
    <row r="51" spans="1:7721">
      <c r="A51" s="1" t="s">
        <v>7548</v>
      </c>
      <c r="B51" s="1" t="s">
        <v>7594</v>
      </c>
      <c r="C51" s="1">
        <f>COUNTBLANK(C6:C49)</f>
        <v>44</v>
      </c>
      <c r="D51" s="1">
        <f t="shared" ref="D51:CX51" si="102">COUNTBLANK(D6:D49)</f>
        <v>44</v>
      </c>
      <c r="E51" s="1">
        <f t="shared" si="102"/>
        <v>44</v>
      </c>
      <c r="F51" s="1">
        <f t="shared" si="102"/>
        <v>44</v>
      </c>
      <c r="G51">
        <f t="shared" si="102"/>
        <v>44</v>
      </c>
      <c r="H51">
        <f t="shared" si="102"/>
        <v>44</v>
      </c>
      <c r="I51">
        <f t="shared" si="102"/>
        <v>44</v>
      </c>
      <c r="J51">
        <f t="shared" si="102"/>
        <v>44</v>
      </c>
      <c r="K51">
        <f t="shared" si="102"/>
        <v>44</v>
      </c>
      <c r="L51">
        <f t="shared" si="102"/>
        <v>44</v>
      </c>
      <c r="M51">
        <f t="shared" si="102"/>
        <v>44</v>
      </c>
      <c r="N51">
        <f t="shared" si="102"/>
        <v>44</v>
      </c>
      <c r="O51">
        <f t="shared" si="102"/>
        <v>44</v>
      </c>
      <c r="P51">
        <f t="shared" si="102"/>
        <v>44</v>
      </c>
      <c r="Q51">
        <f t="shared" si="102"/>
        <v>44</v>
      </c>
      <c r="R51">
        <f t="shared" si="102"/>
        <v>44</v>
      </c>
      <c r="S51">
        <f t="shared" si="102"/>
        <v>44</v>
      </c>
      <c r="T51">
        <f t="shared" si="102"/>
        <v>44</v>
      </c>
      <c r="U51">
        <f t="shared" si="102"/>
        <v>44</v>
      </c>
      <c r="V51">
        <f t="shared" si="102"/>
        <v>44</v>
      </c>
      <c r="W51">
        <f t="shared" si="102"/>
        <v>44</v>
      </c>
      <c r="X51">
        <f t="shared" si="102"/>
        <v>44</v>
      </c>
      <c r="Y51">
        <f t="shared" si="102"/>
        <v>44</v>
      </c>
      <c r="Z51">
        <f t="shared" si="102"/>
        <v>44</v>
      </c>
      <c r="AA51">
        <f t="shared" si="102"/>
        <v>44</v>
      </c>
      <c r="AB51">
        <f t="shared" si="102"/>
        <v>44</v>
      </c>
      <c r="AC51">
        <f t="shared" si="102"/>
        <v>44</v>
      </c>
      <c r="AD51">
        <f t="shared" si="102"/>
        <v>44</v>
      </c>
      <c r="AE51">
        <f t="shared" si="102"/>
        <v>44</v>
      </c>
      <c r="AF51">
        <f t="shared" si="102"/>
        <v>44</v>
      </c>
      <c r="AG51">
        <f t="shared" si="102"/>
        <v>44</v>
      </c>
      <c r="AH51">
        <f t="shared" si="102"/>
        <v>44</v>
      </c>
      <c r="AI51">
        <f t="shared" si="102"/>
        <v>44</v>
      </c>
      <c r="AJ51">
        <f t="shared" si="102"/>
        <v>43</v>
      </c>
      <c r="AK51">
        <f t="shared" ref="AK51:BS51" si="103">COUNTBLANK(AK6:AK49)</f>
        <v>43</v>
      </c>
      <c r="AL51">
        <f t="shared" si="103"/>
        <v>43</v>
      </c>
      <c r="AM51">
        <f t="shared" si="103"/>
        <v>43</v>
      </c>
      <c r="AN51">
        <f t="shared" si="103"/>
        <v>43</v>
      </c>
      <c r="AO51">
        <f t="shared" si="103"/>
        <v>43</v>
      </c>
      <c r="AP51">
        <f t="shared" si="103"/>
        <v>43</v>
      </c>
      <c r="AQ51">
        <f t="shared" si="103"/>
        <v>43</v>
      </c>
      <c r="AR51">
        <f t="shared" si="103"/>
        <v>43</v>
      </c>
      <c r="AS51">
        <f t="shared" si="103"/>
        <v>43</v>
      </c>
      <c r="AT51">
        <f t="shared" si="103"/>
        <v>43</v>
      </c>
      <c r="AU51">
        <f t="shared" si="103"/>
        <v>43</v>
      </c>
      <c r="AV51">
        <f t="shared" si="103"/>
        <v>43</v>
      </c>
      <c r="AW51">
        <f t="shared" si="103"/>
        <v>43</v>
      </c>
      <c r="AX51">
        <f t="shared" si="103"/>
        <v>43</v>
      </c>
      <c r="AY51">
        <f t="shared" si="103"/>
        <v>43</v>
      </c>
      <c r="AZ51">
        <f t="shared" si="103"/>
        <v>43</v>
      </c>
      <c r="BA51">
        <f t="shared" si="103"/>
        <v>43</v>
      </c>
      <c r="BB51">
        <f t="shared" si="103"/>
        <v>43</v>
      </c>
      <c r="BC51">
        <f t="shared" si="103"/>
        <v>43</v>
      </c>
      <c r="BD51">
        <f t="shared" si="103"/>
        <v>43</v>
      </c>
      <c r="BE51">
        <f t="shared" si="103"/>
        <v>43</v>
      </c>
      <c r="BF51">
        <f t="shared" si="103"/>
        <v>43</v>
      </c>
      <c r="BG51">
        <f t="shared" si="103"/>
        <v>43</v>
      </c>
      <c r="BH51">
        <f t="shared" si="103"/>
        <v>43</v>
      </c>
      <c r="BI51">
        <f t="shared" si="103"/>
        <v>43</v>
      </c>
      <c r="BJ51">
        <f t="shared" si="103"/>
        <v>43</v>
      </c>
      <c r="BK51">
        <f t="shared" si="103"/>
        <v>43</v>
      </c>
      <c r="BL51">
        <f t="shared" si="103"/>
        <v>43</v>
      </c>
      <c r="BM51">
        <f t="shared" si="103"/>
        <v>43</v>
      </c>
      <c r="BN51">
        <f t="shared" si="103"/>
        <v>43</v>
      </c>
      <c r="BO51">
        <f t="shared" si="103"/>
        <v>43</v>
      </c>
      <c r="BP51">
        <f t="shared" si="103"/>
        <v>43</v>
      </c>
      <c r="BQ51">
        <f t="shared" si="103"/>
        <v>43</v>
      </c>
      <c r="BR51">
        <f t="shared" si="103"/>
        <v>43</v>
      </c>
      <c r="BS51">
        <f t="shared" si="103"/>
        <v>43</v>
      </c>
      <c r="BT51">
        <f t="shared" si="102"/>
        <v>43</v>
      </c>
      <c r="BU51">
        <f t="shared" si="102"/>
        <v>43</v>
      </c>
      <c r="BV51">
        <f t="shared" si="102"/>
        <v>43</v>
      </c>
      <c r="BW51">
        <f t="shared" si="102"/>
        <v>43</v>
      </c>
      <c r="BX51">
        <f t="shared" si="102"/>
        <v>43</v>
      </c>
      <c r="BY51">
        <f t="shared" si="102"/>
        <v>43</v>
      </c>
      <c r="BZ51">
        <f t="shared" si="102"/>
        <v>43</v>
      </c>
      <c r="CA51">
        <f t="shared" si="102"/>
        <v>43</v>
      </c>
      <c r="CB51">
        <f t="shared" si="102"/>
        <v>43</v>
      </c>
      <c r="CC51">
        <f t="shared" si="102"/>
        <v>43</v>
      </c>
      <c r="CD51">
        <f t="shared" si="102"/>
        <v>43</v>
      </c>
      <c r="CE51">
        <f t="shared" si="102"/>
        <v>43</v>
      </c>
      <c r="CF51">
        <f t="shared" si="102"/>
        <v>43</v>
      </c>
      <c r="CG51">
        <f t="shared" si="102"/>
        <v>43</v>
      </c>
      <c r="CH51">
        <f t="shared" si="102"/>
        <v>43</v>
      </c>
      <c r="CI51">
        <f t="shared" si="102"/>
        <v>43</v>
      </c>
      <c r="CJ51">
        <f t="shared" si="102"/>
        <v>43</v>
      </c>
      <c r="CK51">
        <f t="shared" si="102"/>
        <v>43</v>
      </c>
      <c r="CL51">
        <f t="shared" si="102"/>
        <v>43</v>
      </c>
      <c r="CM51">
        <f t="shared" si="102"/>
        <v>43</v>
      </c>
      <c r="CN51">
        <f t="shared" si="102"/>
        <v>43</v>
      </c>
      <c r="CO51">
        <f t="shared" si="102"/>
        <v>43</v>
      </c>
      <c r="CP51">
        <f t="shared" si="102"/>
        <v>43</v>
      </c>
      <c r="CQ51">
        <f t="shared" si="102"/>
        <v>43</v>
      </c>
      <c r="CR51">
        <f t="shared" si="102"/>
        <v>43</v>
      </c>
      <c r="CS51">
        <f t="shared" si="102"/>
        <v>43</v>
      </c>
      <c r="CT51">
        <f t="shared" si="102"/>
        <v>43</v>
      </c>
      <c r="CU51">
        <f t="shared" si="102"/>
        <v>43</v>
      </c>
      <c r="CV51">
        <f t="shared" si="102"/>
        <v>43</v>
      </c>
      <c r="CW51">
        <f t="shared" si="102"/>
        <v>43</v>
      </c>
      <c r="CX51">
        <f t="shared" si="102"/>
        <v>43</v>
      </c>
      <c r="CY51">
        <f t="shared" ref="CY51:FJ51" si="104">COUNTBLANK(CY6:CY49)</f>
        <v>43</v>
      </c>
      <c r="CZ51">
        <f t="shared" si="104"/>
        <v>43</v>
      </c>
      <c r="DA51">
        <f t="shared" si="104"/>
        <v>43</v>
      </c>
      <c r="DB51">
        <f t="shared" si="104"/>
        <v>43</v>
      </c>
      <c r="DC51">
        <f t="shared" si="104"/>
        <v>43</v>
      </c>
      <c r="DD51">
        <f t="shared" si="104"/>
        <v>43</v>
      </c>
      <c r="DE51">
        <f t="shared" si="104"/>
        <v>43</v>
      </c>
      <c r="DF51">
        <f t="shared" si="104"/>
        <v>43</v>
      </c>
      <c r="DG51">
        <f t="shared" si="104"/>
        <v>43</v>
      </c>
      <c r="DH51">
        <f t="shared" si="104"/>
        <v>43</v>
      </c>
      <c r="DI51">
        <f t="shared" si="104"/>
        <v>43</v>
      </c>
      <c r="DJ51">
        <f t="shared" si="104"/>
        <v>43</v>
      </c>
      <c r="DK51">
        <f t="shared" si="104"/>
        <v>43</v>
      </c>
      <c r="DL51">
        <f t="shared" si="104"/>
        <v>43</v>
      </c>
      <c r="DM51">
        <f t="shared" si="104"/>
        <v>43</v>
      </c>
      <c r="DN51">
        <f t="shared" si="104"/>
        <v>43</v>
      </c>
      <c r="DO51">
        <f t="shared" si="104"/>
        <v>43</v>
      </c>
      <c r="DP51">
        <f t="shared" si="104"/>
        <v>43</v>
      </c>
      <c r="DQ51">
        <f t="shared" si="104"/>
        <v>43</v>
      </c>
      <c r="DR51">
        <f t="shared" si="104"/>
        <v>43</v>
      </c>
      <c r="DS51">
        <f t="shared" si="104"/>
        <v>43</v>
      </c>
      <c r="DT51">
        <f t="shared" si="104"/>
        <v>43</v>
      </c>
      <c r="DU51">
        <f t="shared" si="104"/>
        <v>43</v>
      </c>
      <c r="DV51">
        <f t="shared" si="104"/>
        <v>43</v>
      </c>
      <c r="DW51">
        <f t="shared" si="104"/>
        <v>43</v>
      </c>
      <c r="DX51">
        <f t="shared" si="104"/>
        <v>43</v>
      </c>
      <c r="DY51">
        <f t="shared" si="104"/>
        <v>43</v>
      </c>
      <c r="DZ51">
        <f t="shared" si="104"/>
        <v>43</v>
      </c>
      <c r="EA51">
        <f t="shared" si="104"/>
        <v>43</v>
      </c>
      <c r="EB51">
        <f t="shared" si="104"/>
        <v>43</v>
      </c>
      <c r="EC51">
        <f t="shared" si="104"/>
        <v>43</v>
      </c>
      <c r="ED51">
        <f t="shared" si="104"/>
        <v>43</v>
      </c>
      <c r="EE51">
        <f t="shared" si="104"/>
        <v>43</v>
      </c>
      <c r="EF51">
        <f t="shared" si="104"/>
        <v>43</v>
      </c>
      <c r="EG51">
        <f t="shared" si="104"/>
        <v>43</v>
      </c>
      <c r="EH51">
        <f t="shared" si="104"/>
        <v>43</v>
      </c>
      <c r="EI51">
        <f t="shared" si="104"/>
        <v>43</v>
      </c>
      <c r="EJ51">
        <f t="shared" si="104"/>
        <v>43</v>
      </c>
      <c r="EK51">
        <f t="shared" si="104"/>
        <v>43</v>
      </c>
      <c r="EL51">
        <f t="shared" si="104"/>
        <v>43</v>
      </c>
      <c r="EM51">
        <f t="shared" si="104"/>
        <v>43</v>
      </c>
      <c r="EN51">
        <f t="shared" si="104"/>
        <v>43</v>
      </c>
      <c r="EO51">
        <f t="shared" si="104"/>
        <v>43</v>
      </c>
      <c r="EP51">
        <f t="shared" si="104"/>
        <v>43</v>
      </c>
      <c r="EQ51">
        <f t="shared" si="104"/>
        <v>43</v>
      </c>
      <c r="ER51">
        <f t="shared" si="104"/>
        <v>43</v>
      </c>
      <c r="ES51">
        <f t="shared" si="104"/>
        <v>43</v>
      </c>
      <c r="ET51">
        <f t="shared" si="104"/>
        <v>43</v>
      </c>
      <c r="EU51">
        <f t="shared" si="104"/>
        <v>43</v>
      </c>
      <c r="EV51">
        <f t="shared" si="104"/>
        <v>43</v>
      </c>
      <c r="EW51">
        <f t="shared" si="104"/>
        <v>43</v>
      </c>
      <c r="EX51">
        <f t="shared" si="104"/>
        <v>43</v>
      </c>
      <c r="EY51">
        <f t="shared" si="104"/>
        <v>43</v>
      </c>
      <c r="EZ51">
        <f t="shared" si="104"/>
        <v>43</v>
      </c>
      <c r="FA51">
        <f t="shared" si="104"/>
        <v>43</v>
      </c>
      <c r="FB51">
        <f t="shared" si="104"/>
        <v>43</v>
      </c>
      <c r="FC51">
        <f t="shared" si="104"/>
        <v>43</v>
      </c>
      <c r="FD51">
        <f t="shared" si="104"/>
        <v>43</v>
      </c>
      <c r="FE51">
        <f t="shared" si="104"/>
        <v>43</v>
      </c>
      <c r="FF51">
        <f t="shared" si="104"/>
        <v>43</v>
      </c>
      <c r="FG51">
        <f t="shared" si="104"/>
        <v>43</v>
      </c>
      <c r="FH51">
        <f t="shared" si="104"/>
        <v>43</v>
      </c>
      <c r="FI51">
        <f t="shared" si="104"/>
        <v>43</v>
      </c>
      <c r="FJ51">
        <f t="shared" si="104"/>
        <v>43</v>
      </c>
      <c r="FK51">
        <f t="shared" ref="FK51:HV51" si="105">COUNTBLANK(FK6:FK49)</f>
        <v>43</v>
      </c>
      <c r="FL51">
        <f t="shared" si="105"/>
        <v>43</v>
      </c>
      <c r="FM51">
        <f t="shared" si="105"/>
        <v>43</v>
      </c>
      <c r="FN51">
        <f t="shared" si="105"/>
        <v>43</v>
      </c>
      <c r="FO51">
        <f t="shared" si="105"/>
        <v>43</v>
      </c>
      <c r="FP51">
        <f t="shared" si="105"/>
        <v>43</v>
      </c>
      <c r="FQ51">
        <f t="shared" si="105"/>
        <v>43</v>
      </c>
      <c r="FR51">
        <f t="shared" si="105"/>
        <v>43</v>
      </c>
      <c r="FS51">
        <f t="shared" si="105"/>
        <v>43</v>
      </c>
      <c r="FT51">
        <f t="shared" si="105"/>
        <v>43</v>
      </c>
      <c r="FU51">
        <f t="shared" si="105"/>
        <v>43</v>
      </c>
      <c r="FV51">
        <f t="shared" si="105"/>
        <v>43</v>
      </c>
      <c r="FW51">
        <f t="shared" si="105"/>
        <v>43</v>
      </c>
      <c r="FX51">
        <f t="shared" si="105"/>
        <v>43</v>
      </c>
      <c r="FY51">
        <f t="shared" si="105"/>
        <v>43</v>
      </c>
      <c r="FZ51">
        <f t="shared" si="105"/>
        <v>43</v>
      </c>
      <c r="GA51">
        <f t="shared" si="105"/>
        <v>43</v>
      </c>
      <c r="GB51">
        <f t="shared" si="105"/>
        <v>43</v>
      </c>
      <c r="GC51">
        <f t="shared" si="105"/>
        <v>43</v>
      </c>
      <c r="GD51">
        <f t="shared" si="105"/>
        <v>43</v>
      </c>
      <c r="GE51">
        <f t="shared" si="105"/>
        <v>43</v>
      </c>
      <c r="GF51">
        <f t="shared" si="105"/>
        <v>43</v>
      </c>
      <c r="GG51">
        <f t="shared" si="105"/>
        <v>43</v>
      </c>
      <c r="GH51">
        <f t="shared" si="105"/>
        <v>43</v>
      </c>
      <c r="GI51">
        <f t="shared" si="105"/>
        <v>43</v>
      </c>
      <c r="GJ51">
        <f t="shared" si="105"/>
        <v>43</v>
      </c>
      <c r="GK51">
        <f t="shared" si="105"/>
        <v>43</v>
      </c>
      <c r="GL51">
        <f t="shared" si="105"/>
        <v>43</v>
      </c>
      <c r="GM51">
        <f t="shared" si="105"/>
        <v>43</v>
      </c>
      <c r="GN51">
        <f t="shared" si="105"/>
        <v>43</v>
      </c>
      <c r="GO51">
        <f t="shared" si="105"/>
        <v>43</v>
      </c>
      <c r="GP51">
        <f t="shared" si="105"/>
        <v>43</v>
      </c>
      <c r="GQ51">
        <f t="shared" si="105"/>
        <v>43</v>
      </c>
      <c r="GR51">
        <f t="shared" si="105"/>
        <v>43</v>
      </c>
      <c r="GS51">
        <f t="shared" si="105"/>
        <v>43</v>
      </c>
      <c r="GT51">
        <f t="shared" si="105"/>
        <v>43</v>
      </c>
      <c r="GU51">
        <f t="shared" si="105"/>
        <v>43</v>
      </c>
      <c r="GV51">
        <f t="shared" si="105"/>
        <v>43</v>
      </c>
      <c r="GW51">
        <f t="shared" si="105"/>
        <v>43</v>
      </c>
      <c r="GX51">
        <f t="shared" si="105"/>
        <v>43</v>
      </c>
      <c r="GY51">
        <f t="shared" si="105"/>
        <v>43</v>
      </c>
      <c r="GZ51">
        <f t="shared" si="105"/>
        <v>43</v>
      </c>
      <c r="HA51">
        <f t="shared" si="105"/>
        <v>43</v>
      </c>
      <c r="HB51">
        <f t="shared" si="105"/>
        <v>43</v>
      </c>
      <c r="HC51">
        <f t="shared" si="105"/>
        <v>43</v>
      </c>
      <c r="HD51">
        <f t="shared" si="105"/>
        <v>43</v>
      </c>
      <c r="HE51">
        <f t="shared" si="105"/>
        <v>43</v>
      </c>
      <c r="HF51">
        <f t="shared" si="105"/>
        <v>43</v>
      </c>
      <c r="HG51">
        <f t="shared" si="105"/>
        <v>43</v>
      </c>
      <c r="HH51">
        <f t="shared" si="105"/>
        <v>43</v>
      </c>
      <c r="HI51">
        <f t="shared" si="105"/>
        <v>43</v>
      </c>
      <c r="HJ51">
        <f t="shared" si="105"/>
        <v>43</v>
      </c>
      <c r="HK51">
        <f t="shared" si="105"/>
        <v>43</v>
      </c>
      <c r="HL51">
        <f t="shared" si="105"/>
        <v>43</v>
      </c>
      <c r="HM51">
        <f t="shared" si="105"/>
        <v>43</v>
      </c>
      <c r="HN51">
        <f t="shared" si="105"/>
        <v>43</v>
      </c>
      <c r="HO51">
        <f t="shared" si="105"/>
        <v>43</v>
      </c>
      <c r="HP51">
        <f t="shared" si="105"/>
        <v>43</v>
      </c>
      <c r="HQ51">
        <f t="shared" si="105"/>
        <v>43</v>
      </c>
      <c r="HR51">
        <f t="shared" si="105"/>
        <v>43</v>
      </c>
      <c r="HS51">
        <f t="shared" si="105"/>
        <v>43</v>
      </c>
      <c r="HT51">
        <f t="shared" si="105"/>
        <v>43</v>
      </c>
      <c r="HU51">
        <f t="shared" si="105"/>
        <v>43</v>
      </c>
      <c r="HV51">
        <f t="shared" si="105"/>
        <v>43</v>
      </c>
      <c r="HW51">
        <f t="shared" ref="HW51:KH51" si="106">COUNTBLANK(HW6:HW49)</f>
        <v>43</v>
      </c>
      <c r="HX51">
        <f t="shared" si="106"/>
        <v>43</v>
      </c>
      <c r="HY51">
        <f t="shared" si="106"/>
        <v>43</v>
      </c>
      <c r="HZ51">
        <f t="shared" si="106"/>
        <v>43</v>
      </c>
      <c r="IA51">
        <f t="shared" si="106"/>
        <v>43</v>
      </c>
      <c r="IB51">
        <f t="shared" si="106"/>
        <v>43</v>
      </c>
      <c r="IC51">
        <f t="shared" si="106"/>
        <v>43</v>
      </c>
      <c r="ID51">
        <f t="shared" si="106"/>
        <v>43</v>
      </c>
      <c r="IE51">
        <f t="shared" si="106"/>
        <v>43</v>
      </c>
      <c r="IF51">
        <f t="shared" si="106"/>
        <v>43</v>
      </c>
      <c r="IG51">
        <f t="shared" si="106"/>
        <v>43</v>
      </c>
      <c r="IH51">
        <f t="shared" si="106"/>
        <v>43</v>
      </c>
      <c r="II51">
        <f t="shared" si="106"/>
        <v>43</v>
      </c>
      <c r="IJ51">
        <f t="shared" si="106"/>
        <v>43</v>
      </c>
      <c r="IK51">
        <f t="shared" si="106"/>
        <v>43</v>
      </c>
      <c r="IL51">
        <f t="shared" si="106"/>
        <v>43</v>
      </c>
      <c r="IM51">
        <f t="shared" si="106"/>
        <v>43</v>
      </c>
      <c r="IN51">
        <f t="shared" si="106"/>
        <v>43</v>
      </c>
      <c r="IO51">
        <f t="shared" si="106"/>
        <v>43</v>
      </c>
      <c r="IP51">
        <f t="shared" si="106"/>
        <v>43</v>
      </c>
      <c r="IQ51">
        <f t="shared" si="106"/>
        <v>43</v>
      </c>
      <c r="IR51">
        <f t="shared" si="106"/>
        <v>43</v>
      </c>
      <c r="IS51">
        <f t="shared" si="106"/>
        <v>43</v>
      </c>
      <c r="IT51">
        <f t="shared" si="106"/>
        <v>43</v>
      </c>
      <c r="IU51">
        <f t="shared" si="106"/>
        <v>43</v>
      </c>
      <c r="IV51">
        <f t="shared" si="106"/>
        <v>43</v>
      </c>
      <c r="IW51">
        <f t="shared" si="106"/>
        <v>43</v>
      </c>
      <c r="IX51">
        <f t="shared" si="106"/>
        <v>43</v>
      </c>
      <c r="IY51">
        <f t="shared" si="106"/>
        <v>43</v>
      </c>
      <c r="IZ51">
        <f t="shared" si="106"/>
        <v>43</v>
      </c>
      <c r="JA51">
        <f t="shared" si="106"/>
        <v>43</v>
      </c>
      <c r="JB51">
        <f t="shared" si="106"/>
        <v>43</v>
      </c>
      <c r="JC51">
        <f t="shared" si="106"/>
        <v>43</v>
      </c>
      <c r="JD51">
        <f t="shared" si="106"/>
        <v>43</v>
      </c>
      <c r="JE51">
        <f t="shared" si="106"/>
        <v>43</v>
      </c>
      <c r="JF51">
        <f t="shared" si="106"/>
        <v>43</v>
      </c>
      <c r="JG51">
        <f t="shared" si="106"/>
        <v>43</v>
      </c>
      <c r="JH51">
        <f t="shared" si="106"/>
        <v>43</v>
      </c>
      <c r="JI51">
        <f t="shared" si="106"/>
        <v>43</v>
      </c>
      <c r="JJ51">
        <f t="shared" si="106"/>
        <v>43</v>
      </c>
      <c r="JK51">
        <f t="shared" si="106"/>
        <v>43</v>
      </c>
      <c r="JL51">
        <f t="shared" si="106"/>
        <v>43</v>
      </c>
      <c r="JM51">
        <f t="shared" si="106"/>
        <v>43</v>
      </c>
      <c r="JN51">
        <f t="shared" si="106"/>
        <v>43</v>
      </c>
      <c r="JO51">
        <f t="shared" si="106"/>
        <v>43</v>
      </c>
      <c r="JP51">
        <f t="shared" si="106"/>
        <v>43</v>
      </c>
      <c r="JQ51">
        <f t="shared" si="106"/>
        <v>43</v>
      </c>
      <c r="JR51">
        <f t="shared" si="106"/>
        <v>43</v>
      </c>
      <c r="JS51">
        <f t="shared" si="106"/>
        <v>43</v>
      </c>
      <c r="JT51">
        <f t="shared" si="106"/>
        <v>43</v>
      </c>
      <c r="JU51">
        <f t="shared" si="106"/>
        <v>43</v>
      </c>
      <c r="JV51">
        <f t="shared" si="106"/>
        <v>43</v>
      </c>
      <c r="JW51">
        <f t="shared" si="106"/>
        <v>43</v>
      </c>
      <c r="JX51">
        <f t="shared" si="106"/>
        <v>43</v>
      </c>
      <c r="JY51">
        <f t="shared" si="106"/>
        <v>43</v>
      </c>
      <c r="JZ51">
        <f t="shared" si="106"/>
        <v>43</v>
      </c>
      <c r="KA51">
        <f t="shared" si="106"/>
        <v>43</v>
      </c>
      <c r="KB51">
        <f t="shared" si="106"/>
        <v>43</v>
      </c>
      <c r="KC51">
        <f t="shared" si="106"/>
        <v>43</v>
      </c>
      <c r="KD51">
        <f t="shared" si="106"/>
        <v>43</v>
      </c>
      <c r="KE51">
        <f t="shared" si="106"/>
        <v>43</v>
      </c>
      <c r="KF51">
        <f t="shared" si="106"/>
        <v>43</v>
      </c>
      <c r="KG51">
        <f t="shared" si="106"/>
        <v>43</v>
      </c>
      <c r="KH51">
        <f t="shared" si="106"/>
        <v>43</v>
      </c>
      <c r="KI51">
        <f t="shared" ref="KI51:MT51" si="107">COUNTBLANK(KI6:KI49)</f>
        <v>43</v>
      </c>
      <c r="KJ51">
        <f t="shared" si="107"/>
        <v>43</v>
      </c>
      <c r="KK51">
        <f t="shared" si="107"/>
        <v>43</v>
      </c>
      <c r="KL51">
        <f t="shared" si="107"/>
        <v>43</v>
      </c>
      <c r="KM51">
        <f t="shared" si="107"/>
        <v>43</v>
      </c>
      <c r="KN51">
        <f t="shared" si="107"/>
        <v>43</v>
      </c>
      <c r="KO51">
        <f t="shared" si="107"/>
        <v>43</v>
      </c>
      <c r="KP51">
        <f t="shared" si="107"/>
        <v>43</v>
      </c>
      <c r="KQ51">
        <f t="shared" si="107"/>
        <v>43</v>
      </c>
      <c r="KR51">
        <f t="shared" si="107"/>
        <v>43</v>
      </c>
      <c r="KS51">
        <f t="shared" si="107"/>
        <v>43</v>
      </c>
      <c r="KT51">
        <f t="shared" si="107"/>
        <v>43</v>
      </c>
      <c r="KU51">
        <f t="shared" si="107"/>
        <v>43</v>
      </c>
      <c r="KV51">
        <f t="shared" si="107"/>
        <v>43</v>
      </c>
      <c r="KW51">
        <f t="shared" si="107"/>
        <v>43</v>
      </c>
      <c r="KX51">
        <f t="shared" si="107"/>
        <v>43</v>
      </c>
      <c r="KY51">
        <f t="shared" si="107"/>
        <v>43</v>
      </c>
      <c r="KZ51">
        <f t="shared" si="107"/>
        <v>43</v>
      </c>
      <c r="LA51">
        <f t="shared" si="107"/>
        <v>43</v>
      </c>
      <c r="LB51">
        <f t="shared" si="107"/>
        <v>43</v>
      </c>
      <c r="LC51">
        <f t="shared" si="107"/>
        <v>43</v>
      </c>
      <c r="LD51">
        <f t="shared" si="107"/>
        <v>43</v>
      </c>
      <c r="LE51">
        <f t="shared" si="107"/>
        <v>43</v>
      </c>
      <c r="LF51">
        <f t="shared" si="107"/>
        <v>43</v>
      </c>
      <c r="LG51">
        <f t="shared" si="107"/>
        <v>43</v>
      </c>
      <c r="LH51">
        <f t="shared" si="107"/>
        <v>43</v>
      </c>
      <c r="LI51">
        <f t="shared" si="107"/>
        <v>43</v>
      </c>
      <c r="LJ51">
        <f t="shared" si="107"/>
        <v>43</v>
      </c>
      <c r="LK51">
        <f t="shared" si="107"/>
        <v>43</v>
      </c>
      <c r="LL51">
        <f t="shared" si="107"/>
        <v>43</v>
      </c>
      <c r="LM51">
        <f t="shared" si="107"/>
        <v>43</v>
      </c>
      <c r="LN51">
        <f t="shared" si="107"/>
        <v>43</v>
      </c>
      <c r="LO51">
        <f t="shared" si="107"/>
        <v>43</v>
      </c>
      <c r="LP51">
        <f t="shared" si="107"/>
        <v>43</v>
      </c>
      <c r="LQ51">
        <f t="shared" si="107"/>
        <v>43</v>
      </c>
      <c r="LR51">
        <f t="shared" si="107"/>
        <v>43</v>
      </c>
      <c r="LS51">
        <f t="shared" si="107"/>
        <v>43</v>
      </c>
      <c r="LT51">
        <f t="shared" si="107"/>
        <v>43</v>
      </c>
      <c r="LU51">
        <f t="shared" si="107"/>
        <v>43</v>
      </c>
      <c r="LV51">
        <f t="shared" si="107"/>
        <v>43</v>
      </c>
      <c r="LW51">
        <f t="shared" si="107"/>
        <v>43</v>
      </c>
      <c r="LX51">
        <f t="shared" si="107"/>
        <v>43</v>
      </c>
      <c r="LY51">
        <f t="shared" si="107"/>
        <v>43</v>
      </c>
      <c r="LZ51">
        <f t="shared" si="107"/>
        <v>43</v>
      </c>
      <c r="MA51">
        <f t="shared" si="107"/>
        <v>43</v>
      </c>
      <c r="MB51">
        <f t="shared" si="107"/>
        <v>43</v>
      </c>
      <c r="MC51">
        <f t="shared" si="107"/>
        <v>43</v>
      </c>
      <c r="MD51">
        <f t="shared" si="107"/>
        <v>43</v>
      </c>
      <c r="ME51">
        <f t="shared" si="107"/>
        <v>43</v>
      </c>
      <c r="MF51">
        <f t="shared" si="107"/>
        <v>43</v>
      </c>
      <c r="MG51">
        <f t="shared" si="107"/>
        <v>43</v>
      </c>
      <c r="MH51">
        <f t="shared" si="107"/>
        <v>43</v>
      </c>
      <c r="MI51">
        <f t="shared" si="107"/>
        <v>43</v>
      </c>
      <c r="MJ51">
        <f t="shared" si="107"/>
        <v>43</v>
      </c>
      <c r="MK51">
        <f t="shared" si="107"/>
        <v>43</v>
      </c>
      <c r="ML51">
        <f t="shared" si="107"/>
        <v>43</v>
      </c>
      <c r="MM51">
        <f t="shared" si="107"/>
        <v>43</v>
      </c>
      <c r="MN51">
        <f t="shared" si="107"/>
        <v>43</v>
      </c>
      <c r="MO51">
        <f t="shared" si="107"/>
        <v>43</v>
      </c>
      <c r="MP51">
        <f t="shared" si="107"/>
        <v>43</v>
      </c>
      <c r="MQ51">
        <f t="shared" si="107"/>
        <v>43</v>
      </c>
      <c r="MR51">
        <f t="shared" si="107"/>
        <v>43</v>
      </c>
      <c r="MS51">
        <f t="shared" si="107"/>
        <v>43</v>
      </c>
      <c r="MT51">
        <f t="shared" si="107"/>
        <v>43</v>
      </c>
      <c r="MU51">
        <f t="shared" ref="MU51:PF51" si="108">COUNTBLANK(MU6:MU49)</f>
        <v>43</v>
      </c>
      <c r="MV51">
        <f t="shared" si="108"/>
        <v>43</v>
      </c>
      <c r="MW51">
        <f t="shared" si="108"/>
        <v>43</v>
      </c>
      <c r="MX51">
        <f t="shared" si="108"/>
        <v>43</v>
      </c>
      <c r="MY51">
        <f t="shared" si="108"/>
        <v>43</v>
      </c>
      <c r="MZ51">
        <f t="shared" si="108"/>
        <v>43</v>
      </c>
      <c r="NA51">
        <f t="shared" si="108"/>
        <v>43</v>
      </c>
      <c r="NB51">
        <f t="shared" si="108"/>
        <v>43</v>
      </c>
      <c r="NC51">
        <f t="shared" si="108"/>
        <v>43</v>
      </c>
      <c r="ND51">
        <f t="shared" si="108"/>
        <v>43</v>
      </c>
      <c r="NE51">
        <f t="shared" si="108"/>
        <v>43</v>
      </c>
      <c r="NF51">
        <f t="shared" si="108"/>
        <v>43</v>
      </c>
      <c r="NG51">
        <f t="shared" si="108"/>
        <v>43</v>
      </c>
      <c r="NH51">
        <f t="shared" si="108"/>
        <v>43</v>
      </c>
      <c r="NI51">
        <f t="shared" si="108"/>
        <v>43</v>
      </c>
      <c r="NJ51">
        <f t="shared" si="108"/>
        <v>43</v>
      </c>
      <c r="NK51">
        <f t="shared" si="108"/>
        <v>43</v>
      </c>
      <c r="NL51">
        <f t="shared" si="108"/>
        <v>43</v>
      </c>
      <c r="NM51">
        <f t="shared" si="108"/>
        <v>43</v>
      </c>
      <c r="NN51">
        <f t="shared" si="108"/>
        <v>43</v>
      </c>
      <c r="NO51">
        <f t="shared" si="108"/>
        <v>43</v>
      </c>
      <c r="NP51">
        <f t="shared" si="108"/>
        <v>43</v>
      </c>
      <c r="NQ51">
        <f t="shared" si="108"/>
        <v>43</v>
      </c>
      <c r="NR51">
        <f t="shared" si="108"/>
        <v>43</v>
      </c>
      <c r="NS51">
        <f t="shared" si="108"/>
        <v>43</v>
      </c>
      <c r="NT51">
        <f t="shared" si="108"/>
        <v>43</v>
      </c>
      <c r="NU51">
        <f t="shared" si="108"/>
        <v>43</v>
      </c>
      <c r="NV51">
        <f t="shared" si="108"/>
        <v>43</v>
      </c>
      <c r="NW51">
        <f t="shared" si="108"/>
        <v>43</v>
      </c>
      <c r="NX51">
        <f t="shared" si="108"/>
        <v>43</v>
      </c>
      <c r="NY51">
        <f t="shared" si="108"/>
        <v>43</v>
      </c>
      <c r="NZ51">
        <f t="shared" si="108"/>
        <v>43</v>
      </c>
      <c r="OA51">
        <f t="shared" si="108"/>
        <v>43</v>
      </c>
      <c r="OB51">
        <f t="shared" si="108"/>
        <v>43</v>
      </c>
      <c r="OC51">
        <f t="shared" si="108"/>
        <v>43</v>
      </c>
      <c r="OD51">
        <f t="shared" si="108"/>
        <v>43</v>
      </c>
      <c r="OE51">
        <f t="shared" si="108"/>
        <v>43</v>
      </c>
      <c r="OF51">
        <f t="shared" si="108"/>
        <v>43</v>
      </c>
      <c r="OG51">
        <f t="shared" si="108"/>
        <v>43</v>
      </c>
      <c r="OH51">
        <f t="shared" si="108"/>
        <v>43</v>
      </c>
      <c r="OI51">
        <f t="shared" si="108"/>
        <v>43</v>
      </c>
      <c r="OJ51">
        <f t="shared" si="108"/>
        <v>43</v>
      </c>
      <c r="OK51">
        <f t="shared" si="108"/>
        <v>43</v>
      </c>
      <c r="OL51">
        <f t="shared" si="108"/>
        <v>43</v>
      </c>
      <c r="OM51">
        <f t="shared" si="108"/>
        <v>43</v>
      </c>
      <c r="ON51">
        <f t="shared" si="108"/>
        <v>43</v>
      </c>
      <c r="OO51">
        <f t="shared" si="108"/>
        <v>43</v>
      </c>
      <c r="OP51">
        <f t="shared" si="108"/>
        <v>43</v>
      </c>
      <c r="OQ51">
        <f t="shared" si="108"/>
        <v>43</v>
      </c>
      <c r="OR51">
        <f t="shared" si="108"/>
        <v>43</v>
      </c>
      <c r="OS51">
        <f t="shared" si="108"/>
        <v>43</v>
      </c>
      <c r="OT51">
        <f t="shared" si="108"/>
        <v>43</v>
      </c>
      <c r="OU51">
        <f t="shared" si="108"/>
        <v>43</v>
      </c>
      <c r="OV51">
        <f t="shared" si="108"/>
        <v>43</v>
      </c>
      <c r="OW51">
        <f t="shared" si="108"/>
        <v>43</v>
      </c>
      <c r="OX51">
        <f t="shared" si="108"/>
        <v>43</v>
      </c>
      <c r="OY51">
        <f t="shared" si="108"/>
        <v>43</v>
      </c>
      <c r="OZ51">
        <f t="shared" si="108"/>
        <v>43</v>
      </c>
      <c r="PA51">
        <f t="shared" si="108"/>
        <v>43</v>
      </c>
      <c r="PB51">
        <f t="shared" si="108"/>
        <v>43</v>
      </c>
      <c r="PC51">
        <f t="shared" si="108"/>
        <v>43</v>
      </c>
      <c r="PD51">
        <f t="shared" si="108"/>
        <v>43</v>
      </c>
      <c r="PE51">
        <f t="shared" si="108"/>
        <v>43</v>
      </c>
      <c r="PF51">
        <f t="shared" si="108"/>
        <v>43</v>
      </c>
      <c r="PG51">
        <f t="shared" ref="PG51:RR51" si="109">COUNTBLANK(PG6:PG49)</f>
        <v>43</v>
      </c>
      <c r="PH51">
        <f t="shared" si="109"/>
        <v>43</v>
      </c>
      <c r="PI51">
        <f t="shared" si="109"/>
        <v>43</v>
      </c>
      <c r="PJ51">
        <f t="shared" si="109"/>
        <v>43</v>
      </c>
      <c r="PK51">
        <f t="shared" si="109"/>
        <v>43</v>
      </c>
      <c r="PL51">
        <f t="shared" si="109"/>
        <v>43</v>
      </c>
      <c r="PM51">
        <f t="shared" si="109"/>
        <v>43</v>
      </c>
      <c r="PN51">
        <f t="shared" si="109"/>
        <v>43</v>
      </c>
      <c r="PO51">
        <f t="shared" si="109"/>
        <v>43</v>
      </c>
      <c r="PP51">
        <f t="shared" si="109"/>
        <v>43</v>
      </c>
      <c r="PQ51">
        <f t="shared" si="109"/>
        <v>43</v>
      </c>
      <c r="PR51">
        <f t="shared" si="109"/>
        <v>43</v>
      </c>
      <c r="PS51">
        <f t="shared" si="109"/>
        <v>43</v>
      </c>
      <c r="PT51">
        <f t="shared" si="109"/>
        <v>43</v>
      </c>
      <c r="PU51">
        <f t="shared" si="109"/>
        <v>43</v>
      </c>
      <c r="PV51">
        <f t="shared" si="109"/>
        <v>43</v>
      </c>
      <c r="PW51">
        <f t="shared" si="109"/>
        <v>43</v>
      </c>
      <c r="PX51">
        <f t="shared" si="109"/>
        <v>43</v>
      </c>
      <c r="PY51">
        <f t="shared" si="109"/>
        <v>43</v>
      </c>
      <c r="PZ51">
        <f t="shared" si="109"/>
        <v>43</v>
      </c>
      <c r="QA51">
        <f t="shared" si="109"/>
        <v>43</v>
      </c>
      <c r="QB51">
        <f t="shared" si="109"/>
        <v>43</v>
      </c>
      <c r="QC51">
        <f t="shared" si="109"/>
        <v>43</v>
      </c>
      <c r="QD51">
        <f t="shared" si="109"/>
        <v>43</v>
      </c>
      <c r="QE51">
        <f t="shared" si="109"/>
        <v>43</v>
      </c>
      <c r="QF51">
        <f t="shared" si="109"/>
        <v>43</v>
      </c>
      <c r="QG51">
        <f t="shared" si="109"/>
        <v>43</v>
      </c>
      <c r="QH51">
        <f t="shared" si="109"/>
        <v>43</v>
      </c>
      <c r="QI51">
        <f t="shared" si="109"/>
        <v>43</v>
      </c>
      <c r="QJ51">
        <f t="shared" si="109"/>
        <v>43</v>
      </c>
      <c r="QK51">
        <f t="shared" si="109"/>
        <v>43</v>
      </c>
      <c r="QL51">
        <f t="shared" si="109"/>
        <v>43</v>
      </c>
      <c r="QM51">
        <f t="shared" si="109"/>
        <v>43</v>
      </c>
      <c r="QN51">
        <f t="shared" si="109"/>
        <v>43</v>
      </c>
      <c r="QO51">
        <f t="shared" si="109"/>
        <v>43</v>
      </c>
      <c r="QP51">
        <f t="shared" si="109"/>
        <v>43</v>
      </c>
      <c r="QQ51">
        <f t="shared" si="109"/>
        <v>43</v>
      </c>
      <c r="QR51">
        <f t="shared" si="109"/>
        <v>43</v>
      </c>
      <c r="QS51">
        <f t="shared" si="109"/>
        <v>43</v>
      </c>
      <c r="QT51">
        <f t="shared" si="109"/>
        <v>43</v>
      </c>
      <c r="QU51">
        <f t="shared" si="109"/>
        <v>43</v>
      </c>
      <c r="QV51">
        <f t="shared" si="109"/>
        <v>43</v>
      </c>
      <c r="QW51">
        <f t="shared" si="109"/>
        <v>43</v>
      </c>
      <c r="QX51">
        <f t="shared" si="109"/>
        <v>43</v>
      </c>
      <c r="QY51">
        <f t="shared" si="109"/>
        <v>43</v>
      </c>
      <c r="QZ51">
        <f t="shared" si="109"/>
        <v>43</v>
      </c>
      <c r="RA51">
        <f t="shared" si="109"/>
        <v>43</v>
      </c>
      <c r="RB51">
        <f t="shared" si="109"/>
        <v>43</v>
      </c>
      <c r="RC51">
        <f t="shared" si="109"/>
        <v>43</v>
      </c>
      <c r="RD51">
        <f t="shared" si="109"/>
        <v>43</v>
      </c>
      <c r="RE51">
        <f t="shared" si="109"/>
        <v>43</v>
      </c>
      <c r="RF51">
        <f t="shared" si="109"/>
        <v>43</v>
      </c>
      <c r="RG51">
        <f t="shared" si="109"/>
        <v>43</v>
      </c>
      <c r="RH51">
        <f t="shared" si="109"/>
        <v>43</v>
      </c>
      <c r="RI51">
        <f t="shared" si="109"/>
        <v>43</v>
      </c>
      <c r="RJ51">
        <f t="shared" si="109"/>
        <v>43</v>
      </c>
      <c r="RK51">
        <f t="shared" si="109"/>
        <v>43</v>
      </c>
      <c r="RL51">
        <f t="shared" si="109"/>
        <v>43</v>
      </c>
      <c r="RM51">
        <f t="shared" si="109"/>
        <v>43</v>
      </c>
      <c r="RN51">
        <f t="shared" si="109"/>
        <v>43</v>
      </c>
      <c r="RO51">
        <f t="shared" si="109"/>
        <v>43</v>
      </c>
      <c r="RP51">
        <f t="shared" si="109"/>
        <v>43</v>
      </c>
      <c r="RQ51">
        <f t="shared" si="109"/>
        <v>43</v>
      </c>
      <c r="RR51">
        <f t="shared" si="109"/>
        <v>43</v>
      </c>
      <c r="RS51">
        <f t="shared" ref="RS51:UD51" si="110">COUNTBLANK(RS6:RS49)</f>
        <v>43</v>
      </c>
      <c r="RT51">
        <f t="shared" si="110"/>
        <v>43</v>
      </c>
      <c r="RU51">
        <f t="shared" si="110"/>
        <v>43</v>
      </c>
      <c r="RV51">
        <f t="shared" si="110"/>
        <v>43</v>
      </c>
      <c r="RW51">
        <f t="shared" si="110"/>
        <v>43</v>
      </c>
      <c r="RX51">
        <f t="shared" si="110"/>
        <v>43</v>
      </c>
      <c r="RY51">
        <f t="shared" si="110"/>
        <v>43</v>
      </c>
      <c r="RZ51">
        <f t="shared" si="110"/>
        <v>43</v>
      </c>
      <c r="SA51">
        <f t="shared" si="110"/>
        <v>43</v>
      </c>
      <c r="SB51">
        <f t="shared" si="110"/>
        <v>43</v>
      </c>
      <c r="SC51">
        <f t="shared" si="110"/>
        <v>43</v>
      </c>
      <c r="SD51">
        <f t="shared" si="110"/>
        <v>43</v>
      </c>
      <c r="SE51">
        <f t="shared" si="110"/>
        <v>43</v>
      </c>
      <c r="SF51">
        <f t="shared" si="110"/>
        <v>43</v>
      </c>
      <c r="SG51">
        <f t="shared" si="110"/>
        <v>43</v>
      </c>
      <c r="SH51">
        <f t="shared" si="110"/>
        <v>43</v>
      </c>
      <c r="SI51">
        <f t="shared" si="110"/>
        <v>43</v>
      </c>
      <c r="SJ51">
        <f t="shared" si="110"/>
        <v>43</v>
      </c>
      <c r="SK51">
        <f t="shared" si="110"/>
        <v>43</v>
      </c>
      <c r="SL51">
        <f t="shared" si="110"/>
        <v>43</v>
      </c>
      <c r="SM51">
        <f t="shared" si="110"/>
        <v>43</v>
      </c>
      <c r="SN51">
        <f t="shared" si="110"/>
        <v>43</v>
      </c>
      <c r="SO51">
        <f t="shared" si="110"/>
        <v>43</v>
      </c>
      <c r="SP51">
        <f t="shared" si="110"/>
        <v>43</v>
      </c>
      <c r="SQ51">
        <f t="shared" si="110"/>
        <v>43</v>
      </c>
      <c r="SR51">
        <f t="shared" si="110"/>
        <v>43</v>
      </c>
      <c r="SS51">
        <f t="shared" si="110"/>
        <v>43</v>
      </c>
      <c r="ST51">
        <f t="shared" si="110"/>
        <v>43</v>
      </c>
      <c r="SU51">
        <f t="shared" si="110"/>
        <v>43</v>
      </c>
      <c r="SV51">
        <f t="shared" si="110"/>
        <v>43</v>
      </c>
      <c r="SW51">
        <f t="shared" si="110"/>
        <v>43</v>
      </c>
      <c r="SX51">
        <f t="shared" si="110"/>
        <v>43</v>
      </c>
      <c r="SY51">
        <f t="shared" si="110"/>
        <v>43</v>
      </c>
      <c r="SZ51">
        <f t="shared" si="110"/>
        <v>43</v>
      </c>
      <c r="TA51">
        <f t="shared" si="110"/>
        <v>43</v>
      </c>
      <c r="TB51">
        <f t="shared" si="110"/>
        <v>43</v>
      </c>
      <c r="TC51">
        <f t="shared" si="110"/>
        <v>43</v>
      </c>
      <c r="TD51">
        <f t="shared" si="110"/>
        <v>43</v>
      </c>
      <c r="TE51">
        <f t="shared" si="110"/>
        <v>43</v>
      </c>
      <c r="TF51">
        <f t="shared" si="110"/>
        <v>43</v>
      </c>
      <c r="TG51">
        <f t="shared" si="110"/>
        <v>43</v>
      </c>
      <c r="TH51">
        <f t="shared" si="110"/>
        <v>43</v>
      </c>
      <c r="TI51">
        <f t="shared" si="110"/>
        <v>43</v>
      </c>
      <c r="TJ51">
        <f t="shared" si="110"/>
        <v>43</v>
      </c>
      <c r="TK51">
        <f t="shared" si="110"/>
        <v>43</v>
      </c>
      <c r="TL51">
        <f t="shared" si="110"/>
        <v>43</v>
      </c>
      <c r="TM51">
        <f t="shared" si="110"/>
        <v>43</v>
      </c>
      <c r="TN51">
        <f t="shared" si="110"/>
        <v>43</v>
      </c>
      <c r="TO51">
        <f t="shared" si="110"/>
        <v>43</v>
      </c>
      <c r="TP51">
        <f t="shared" si="110"/>
        <v>43</v>
      </c>
      <c r="TQ51">
        <f t="shared" si="110"/>
        <v>43</v>
      </c>
      <c r="TR51">
        <f t="shared" si="110"/>
        <v>43</v>
      </c>
      <c r="TS51">
        <f t="shared" si="110"/>
        <v>43</v>
      </c>
      <c r="TT51">
        <f t="shared" si="110"/>
        <v>43</v>
      </c>
      <c r="TU51">
        <f t="shared" si="110"/>
        <v>43</v>
      </c>
      <c r="TV51">
        <f t="shared" si="110"/>
        <v>43</v>
      </c>
      <c r="TW51">
        <f t="shared" si="110"/>
        <v>43</v>
      </c>
      <c r="TX51">
        <f t="shared" si="110"/>
        <v>43</v>
      </c>
      <c r="TY51">
        <f t="shared" si="110"/>
        <v>43</v>
      </c>
      <c r="TZ51">
        <f t="shared" si="110"/>
        <v>43</v>
      </c>
      <c r="UA51">
        <f t="shared" si="110"/>
        <v>43</v>
      </c>
      <c r="UB51">
        <f t="shared" si="110"/>
        <v>43</v>
      </c>
      <c r="UC51">
        <f t="shared" si="110"/>
        <v>43</v>
      </c>
      <c r="UD51">
        <f t="shared" si="110"/>
        <v>43</v>
      </c>
      <c r="UE51">
        <f t="shared" ref="UE51:WP51" si="111">COUNTBLANK(UE6:UE49)</f>
        <v>43</v>
      </c>
      <c r="UF51">
        <f t="shared" si="111"/>
        <v>43</v>
      </c>
      <c r="UG51">
        <f t="shared" si="111"/>
        <v>43</v>
      </c>
      <c r="UH51">
        <f t="shared" si="111"/>
        <v>43</v>
      </c>
      <c r="UI51">
        <f t="shared" si="111"/>
        <v>43</v>
      </c>
      <c r="UJ51">
        <f t="shared" si="111"/>
        <v>43</v>
      </c>
      <c r="UK51">
        <f t="shared" si="111"/>
        <v>43</v>
      </c>
      <c r="UL51">
        <f t="shared" si="111"/>
        <v>43</v>
      </c>
      <c r="UM51">
        <f t="shared" si="111"/>
        <v>43</v>
      </c>
      <c r="UN51">
        <f t="shared" si="111"/>
        <v>43</v>
      </c>
      <c r="UO51">
        <f t="shared" si="111"/>
        <v>43</v>
      </c>
      <c r="UP51">
        <f t="shared" si="111"/>
        <v>43</v>
      </c>
      <c r="UQ51">
        <f t="shared" si="111"/>
        <v>43</v>
      </c>
      <c r="UR51">
        <f t="shared" si="111"/>
        <v>43</v>
      </c>
      <c r="US51">
        <f t="shared" si="111"/>
        <v>43</v>
      </c>
      <c r="UT51">
        <f t="shared" si="111"/>
        <v>43</v>
      </c>
      <c r="UU51">
        <f t="shared" si="111"/>
        <v>43</v>
      </c>
      <c r="UV51">
        <f t="shared" si="111"/>
        <v>43</v>
      </c>
      <c r="UW51">
        <f t="shared" si="111"/>
        <v>43</v>
      </c>
      <c r="UX51">
        <f t="shared" si="111"/>
        <v>43</v>
      </c>
      <c r="UY51">
        <f t="shared" si="111"/>
        <v>43</v>
      </c>
      <c r="UZ51">
        <f t="shared" si="111"/>
        <v>43</v>
      </c>
      <c r="VA51">
        <f t="shared" si="111"/>
        <v>43</v>
      </c>
      <c r="VB51">
        <f t="shared" si="111"/>
        <v>43</v>
      </c>
      <c r="VC51">
        <f t="shared" si="111"/>
        <v>43</v>
      </c>
      <c r="VD51">
        <f t="shared" si="111"/>
        <v>43</v>
      </c>
      <c r="VE51">
        <f t="shared" si="111"/>
        <v>43</v>
      </c>
      <c r="VF51">
        <f t="shared" si="111"/>
        <v>43</v>
      </c>
      <c r="VG51">
        <f t="shared" si="111"/>
        <v>43</v>
      </c>
      <c r="VH51">
        <f t="shared" si="111"/>
        <v>43</v>
      </c>
      <c r="VI51">
        <f t="shared" si="111"/>
        <v>43</v>
      </c>
      <c r="VJ51">
        <f t="shared" si="111"/>
        <v>43</v>
      </c>
      <c r="VK51">
        <f t="shared" si="111"/>
        <v>43</v>
      </c>
      <c r="VL51">
        <f t="shared" si="111"/>
        <v>43</v>
      </c>
      <c r="VM51">
        <f t="shared" si="111"/>
        <v>43</v>
      </c>
      <c r="VN51">
        <f t="shared" si="111"/>
        <v>43</v>
      </c>
      <c r="VO51">
        <f t="shared" si="111"/>
        <v>43</v>
      </c>
      <c r="VP51">
        <f t="shared" si="111"/>
        <v>43</v>
      </c>
      <c r="VQ51">
        <f t="shared" si="111"/>
        <v>43</v>
      </c>
      <c r="VR51">
        <f t="shared" si="111"/>
        <v>43</v>
      </c>
      <c r="VS51">
        <f t="shared" si="111"/>
        <v>43</v>
      </c>
      <c r="VT51">
        <f t="shared" si="111"/>
        <v>43</v>
      </c>
      <c r="VU51">
        <f t="shared" si="111"/>
        <v>43</v>
      </c>
      <c r="VV51">
        <f t="shared" si="111"/>
        <v>43</v>
      </c>
      <c r="VW51">
        <f t="shared" si="111"/>
        <v>43</v>
      </c>
      <c r="VX51">
        <f t="shared" si="111"/>
        <v>43</v>
      </c>
      <c r="VY51">
        <f t="shared" si="111"/>
        <v>43</v>
      </c>
      <c r="VZ51">
        <f t="shared" si="111"/>
        <v>43</v>
      </c>
      <c r="WA51">
        <f t="shared" si="111"/>
        <v>43</v>
      </c>
      <c r="WB51">
        <f t="shared" si="111"/>
        <v>43</v>
      </c>
      <c r="WC51">
        <f t="shared" si="111"/>
        <v>43</v>
      </c>
      <c r="WD51">
        <f t="shared" si="111"/>
        <v>43</v>
      </c>
      <c r="WE51">
        <f t="shared" si="111"/>
        <v>43</v>
      </c>
      <c r="WF51">
        <f t="shared" si="111"/>
        <v>43</v>
      </c>
      <c r="WG51">
        <f t="shared" si="111"/>
        <v>43</v>
      </c>
      <c r="WH51">
        <f t="shared" si="111"/>
        <v>43</v>
      </c>
      <c r="WI51">
        <f t="shared" si="111"/>
        <v>43</v>
      </c>
      <c r="WJ51">
        <f t="shared" si="111"/>
        <v>43</v>
      </c>
      <c r="WK51">
        <f t="shared" si="111"/>
        <v>43</v>
      </c>
      <c r="WL51">
        <f t="shared" si="111"/>
        <v>43</v>
      </c>
      <c r="WM51">
        <f t="shared" si="111"/>
        <v>43</v>
      </c>
      <c r="WN51">
        <f t="shared" si="111"/>
        <v>43</v>
      </c>
      <c r="WO51">
        <f t="shared" si="111"/>
        <v>43</v>
      </c>
      <c r="WP51">
        <f t="shared" si="111"/>
        <v>43</v>
      </c>
      <c r="WQ51">
        <f t="shared" ref="WQ51:ZB51" si="112">COUNTBLANK(WQ6:WQ49)</f>
        <v>43</v>
      </c>
      <c r="WR51">
        <f t="shared" si="112"/>
        <v>43</v>
      </c>
      <c r="WS51">
        <f t="shared" si="112"/>
        <v>43</v>
      </c>
      <c r="WT51">
        <f t="shared" si="112"/>
        <v>43</v>
      </c>
      <c r="WU51">
        <f t="shared" si="112"/>
        <v>43</v>
      </c>
      <c r="WV51">
        <f t="shared" si="112"/>
        <v>43</v>
      </c>
      <c r="WW51">
        <f t="shared" si="112"/>
        <v>43</v>
      </c>
      <c r="WX51">
        <f t="shared" si="112"/>
        <v>43</v>
      </c>
      <c r="WY51">
        <f t="shared" si="112"/>
        <v>43</v>
      </c>
      <c r="WZ51">
        <f t="shared" si="112"/>
        <v>43</v>
      </c>
      <c r="XA51">
        <f t="shared" si="112"/>
        <v>43</v>
      </c>
      <c r="XB51">
        <f t="shared" si="112"/>
        <v>43</v>
      </c>
      <c r="XC51">
        <f t="shared" si="112"/>
        <v>43</v>
      </c>
      <c r="XD51">
        <f t="shared" si="112"/>
        <v>43</v>
      </c>
      <c r="XE51">
        <f t="shared" si="112"/>
        <v>43</v>
      </c>
      <c r="XF51">
        <f t="shared" si="112"/>
        <v>43</v>
      </c>
      <c r="XG51">
        <f t="shared" si="112"/>
        <v>43</v>
      </c>
      <c r="XH51">
        <f t="shared" si="112"/>
        <v>43</v>
      </c>
      <c r="XI51">
        <f t="shared" si="112"/>
        <v>43</v>
      </c>
      <c r="XJ51">
        <f t="shared" si="112"/>
        <v>43</v>
      </c>
      <c r="XK51">
        <f t="shared" si="112"/>
        <v>43</v>
      </c>
      <c r="XL51">
        <f t="shared" si="112"/>
        <v>43</v>
      </c>
      <c r="XM51">
        <f t="shared" si="112"/>
        <v>43</v>
      </c>
      <c r="XN51">
        <f t="shared" si="112"/>
        <v>43</v>
      </c>
      <c r="XO51">
        <f t="shared" si="112"/>
        <v>43</v>
      </c>
      <c r="XP51">
        <f t="shared" si="112"/>
        <v>43</v>
      </c>
      <c r="XQ51">
        <f t="shared" si="112"/>
        <v>43</v>
      </c>
      <c r="XR51">
        <f t="shared" si="112"/>
        <v>43</v>
      </c>
      <c r="XS51">
        <f t="shared" si="112"/>
        <v>43</v>
      </c>
      <c r="XT51">
        <f t="shared" si="112"/>
        <v>43</v>
      </c>
      <c r="XU51">
        <f t="shared" si="112"/>
        <v>43</v>
      </c>
      <c r="XV51">
        <f t="shared" si="112"/>
        <v>43</v>
      </c>
      <c r="XW51">
        <f t="shared" si="112"/>
        <v>43</v>
      </c>
      <c r="XX51">
        <f t="shared" si="112"/>
        <v>43</v>
      </c>
      <c r="XY51">
        <f t="shared" si="112"/>
        <v>43</v>
      </c>
      <c r="XZ51">
        <f t="shared" si="112"/>
        <v>43</v>
      </c>
      <c r="YA51">
        <f t="shared" si="112"/>
        <v>43</v>
      </c>
      <c r="YB51">
        <f t="shared" si="112"/>
        <v>43</v>
      </c>
      <c r="YC51">
        <f t="shared" si="112"/>
        <v>43</v>
      </c>
      <c r="YD51">
        <f t="shared" si="112"/>
        <v>43</v>
      </c>
      <c r="YE51">
        <f t="shared" si="112"/>
        <v>43</v>
      </c>
      <c r="YF51">
        <f t="shared" si="112"/>
        <v>43</v>
      </c>
      <c r="YG51">
        <f t="shared" si="112"/>
        <v>43</v>
      </c>
      <c r="YH51">
        <f t="shared" si="112"/>
        <v>43</v>
      </c>
      <c r="YI51">
        <f t="shared" si="112"/>
        <v>43</v>
      </c>
      <c r="YJ51">
        <f t="shared" si="112"/>
        <v>43</v>
      </c>
      <c r="YK51">
        <f t="shared" si="112"/>
        <v>43</v>
      </c>
      <c r="YL51">
        <f t="shared" si="112"/>
        <v>43</v>
      </c>
      <c r="YM51">
        <f t="shared" si="112"/>
        <v>43</v>
      </c>
      <c r="YN51">
        <f t="shared" si="112"/>
        <v>43</v>
      </c>
      <c r="YO51">
        <f t="shared" si="112"/>
        <v>43</v>
      </c>
      <c r="YP51">
        <f t="shared" si="112"/>
        <v>43</v>
      </c>
      <c r="YQ51">
        <f t="shared" si="112"/>
        <v>43</v>
      </c>
      <c r="YR51">
        <f t="shared" si="112"/>
        <v>43</v>
      </c>
      <c r="YS51">
        <f t="shared" si="112"/>
        <v>43</v>
      </c>
      <c r="YT51">
        <f t="shared" si="112"/>
        <v>43</v>
      </c>
      <c r="YU51">
        <f t="shared" si="112"/>
        <v>43</v>
      </c>
      <c r="YV51">
        <f t="shared" si="112"/>
        <v>43</v>
      </c>
      <c r="YW51">
        <f t="shared" si="112"/>
        <v>43</v>
      </c>
      <c r="YX51">
        <f t="shared" si="112"/>
        <v>43</v>
      </c>
      <c r="YY51">
        <f t="shared" si="112"/>
        <v>43</v>
      </c>
      <c r="YZ51">
        <f t="shared" si="112"/>
        <v>43</v>
      </c>
      <c r="ZA51">
        <f t="shared" si="112"/>
        <v>43</v>
      </c>
      <c r="ZB51">
        <f t="shared" si="112"/>
        <v>43</v>
      </c>
      <c r="ZC51">
        <f t="shared" ref="ZC51:ABN51" si="113">COUNTBLANK(ZC6:ZC49)</f>
        <v>43</v>
      </c>
      <c r="ZD51">
        <f t="shared" si="113"/>
        <v>43</v>
      </c>
      <c r="ZE51">
        <f t="shared" si="113"/>
        <v>43</v>
      </c>
      <c r="ZF51">
        <f t="shared" si="113"/>
        <v>43</v>
      </c>
      <c r="ZG51">
        <f t="shared" si="113"/>
        <v>43</v>
      </c>
      <c r="ZH51">
        <f t="shared" si="113"/>
        <v>43</v>
      </c>
      <c r="ZI51">
        <f t="shared" si="113"/>
        <v>43</v>
      </c>
      <c r="ZJ51">
        <f t="shared" si="113"/>
        <v>43</v>
      </c>
      <c r="ZK51">
        <f t="shared" si="113"/>
        <v>43</v>
      </c>
      <c r="ZL51">
        <f t="shared" si="113"/>
        <v>43</v>
      </c>
      <c r="ZM51">
        <f t="shared" si="113"/>
        <v>43</v>
      </c>
      <c r="ZN51">
        <f t="shared" si="113"/>
        <v>43</v>
      </c>
      <c r="ZO51">
        <f t="shared" si="113"/>
        <v>43</v>
      </c>
      <c r="ZP51">
        <f t="shared" si="113"/>
        <v>43</v>
      </c>
      <c r="ZQ51">
        <f t="shared" si="113"/>
        <v>43</v>
      </c>
      <c r="ZR51">
        <f t="shared" si="113"/>
        <v>43</v>
      </c>
      <c r="ZS51">
        <f t="shared" si="113"/>
        <v>43</v>
      </c>
      <c r="ZT51">
        <f t="shared" si="113"/>
        <v>43</v>
      </c>
      <c r="ZU51">
        <f t="shared" si="113"/>
        <v>43</v>
      </c>
      <c r="ZV51">
        <f t="shared" si="113"/>
        <v>43</v>
      </c>
      <c r="ZW51">
        <f t="shared" si="113"/>
        <v>43</v>
      </c>
      <c r="ZX51">
        <f t="shared" si="113"/>
        <v>43</v>
      </c>
      <c r="ZY51">
        <f t="shared" si="113"/>
        <v>43</v>
      </c>
      <c r="ZZ51">
        <f t="shared" si="113"/>
        <v>43</v>
      </c>
      <c r="AAA51">
        <f t="shared" si="113"/>
        <v>43</v>
      </c>
      <c r="AAB51">
        <f t="shared" si="113"/>
        <v>43</v>
      </c>
      <c r="AAC51">
        <f t="shared" si="113"/>
        <v>43</v>
      </c>
      <c r="AAD51">
        <f t="shared" si="113"/>
        <v>43</v>
      </c>
      <c r="AAE51">
        <f t="shared" si="113"/>
        <v>43</v>
      </c>
      <c r="AAF51">
        <f t="shared" si="113"/>
        <v>43</v>
      </c>
      <c r="AAG51">
        <f t="shared" si="113"/>
        <v>43</v>
      </c>
      <c r="AAH51">
        <f t="shared" si="113"/>
        <v>43</v>
      </c>
      <c r="AAI51">
        <f t="shared" si="113"/>
        <v>43</v>
      </c>
      <c r="AAJ51">
        <f t="shared" si="113"/>
        <v>43</v>
      </c>
      <c r="AAK51">
        <f t="shared" si="113"/>
        <v>43</v>
      </c>
      <c r="AAL51">
        <f t="shared" si="113"/>
        <v>43</v>
      </c>
      <c r="AAM51">
        <f t="shared" si="113"/>
        <v>43</v>
      </c>
      <c r="AAN51">
        <f t="shared" si="113"/>
        <v>43</v>
      </c>
      <c r="AAO51">
        <f t="shared" si="113"/>
        <v>43</v>
      </c>
      <c r="AAP51">
        <f t="shared" si="113"/>
        <v>43</v>
      </c>
      <c r="AAQ51">
        <f t="shared" si="113"/>
        <v>43</v>
      </c>
      <c r="AAR51">
        <f t="shared" si="113"/>
        <v>43</v>
      </c>
      <c r="AAS51">
        <f t="shared" si="113"/>
        <v>43</v>
      </c>
      <c r="AAT51">
        <f t="shared" si="113"/>
        <v>43</v>
      </c>
      <c r="AAU51">
        <f t="shared" si="113"/>
        <v>43</v>
      </c>
      <c r="AAV51">
        <f t="shared" si="113"/>
        <v>43</v>
      </c>
      <c r="AAW51">
        <f t="shared" si="113"/>
        <v>43</v>
      </c>
      <c r="AAX51">
        <f t="shared" si="113"/>
        <v>43</v>
      </c>
      <c r="AAY51">
        <f t="shared" si="113"/>
        <v>43</v>
      </c>
      <c r="AAZ51">
        <f t="shared" si="113"/>
        <v>43</v>
      </c>
      <c r="ABA51">
        <f t="shared" si="113"/>
        <v>43</v>
      </c>
      <c r="ABB51">
        <f t="shared" si="113"/>
        <v>43</v>
      </c>
      <c r="ABC51">
        <f t="shared" si="113"/>
        <v>43</v>
      </c>
      <c r="ABD51">
        <f t="shared" si="113"/>
        <v>43</v>
      </c>
      <c r="ABE51">
        <f t="shared" si="113"/>
        <v>43</v>
      </c>
      <c r="ABF51">
        <f t="shared" si="113"/>
        <v>43</v>
      </c>
      <c r="ABG51">
        <f t="shared" si="113"/>
        <v>43</v>
      </c>
      <c r="ABH51">
        <f t="shared" si="113"/>
        <v>43</v>
      </c>
      <c r="ABI51">
        <f t="shared" si="113"/>
        <v>43</v>
      </c>
      <c r="ABJ51">
        <f t="shared" si="113"/>
        <v>43</v>
      </c>
      <c r="ABK51">
        <f t="shared" si="113"/>
        <v>43</v>
      </c>
      <c r="ABL51">
        <f t="shared" si="113"/>
        <v>43</v>
      </c>
      <c r="ABM51">
        <f t="shared" si="113"/>
        <v>43</v>
      </c>
      <c r="ABN51">
        <f t="shared" si="113"/>
        <v>43</v>
      </c>
      <c r="ABO51">
        <f t="shared" ref="ABO51:ADZ51" si="114">COUNTBLANK(ABO6:ABO49)</f>
        <v>43</v>
      </c>
      <c r="ABP51">
        <f t="shared" si="114"/>
        <v>43</v>
      </c>
      <c r="ABQ51">
        <f t="shared" si="114"/>
        <v>43</v>
      </c>
      <c r="ABR51">
        <f t="shared" si="114"/>
        <v>43</v>
      </c>
      <c r="ABS51">
        <f t="shared" si="114"/>
        <v>43</v>
      </c>
      <c r="ABT51">
        <f t="shared" si="114"/>
        <v>43</v>
      </c>
      <c r="ABU51">
        <f t="shared" si="114"/>
        <v>43</v>
      </c>
      <c r="ABV51">
        <f t="shared" si="114"/>
        <v>43</v>
      </c>
      <c r="ABW51">
        <f t="shared" si="114"/>
        <v>43</v>
      </c>
      <c r="ABX51">
        <f t="shared" si="114"/>
        <v>43</v>
      </c>
      <c r="ABY51">
        <f t="shared" si="114"/>
        <v>43</v>
      </c>
      <c r="ABZ51">
        <f t="shared" si="114"/>
        <v>43</v>
      </c>
      <c r="ACA51">
        <f t="shared" si="114"/>
        <v>43</v>
      </c>
      <c r="ACB51">
        <f t="shared" si="114"/>
        <v>43</v>
      </c>
      <c r="ACC51">
        <f t="shared" si="114"/>
        <v>43</v>
      </c>
      <c r="ACD51">
        <f t="shared" si="114"/>
        <v>43</v>
      </c>
      <c r="ACE51">
        <f t="shared" si="114"/>
        <v>43</v>
      </c>
      <c r="ACF51">
        <f t="shared" si="114"/>
        <v>43</v>
      </c>
      <c r="ACG51">
        <f t="shared" si="114"/>
        <v>43</v>
      </c>
      <c r="ACH51">
        <f t="shared" si="114"/>
        <v>43</v>
      </c>
      <c r="ACI51">
        <f t="shared" si="114"/>
        <v>43</v>
      </c>
      <c r="ACJ51">
        <f t="shared" si="114"/>
        <v>43</v>
      </c>
      <c r="ACK51">
        <f t="shared" si="114"/>
        <v>43</v>
      </c>
      <c r="ACL51">
        <f t="shared" si="114"/>
        <v>43</v>
      </c>
      <c r="ACM51">
        <f t="shared" si="114"/>
        <v>43</v>
      </c>
      <c r="ACN51">
        <f t="shared" si="114"/>
        <v>43</v>
      </c>
      <c r="ACO51">
        <f t="shared" si="114"/>
        <v>43</v>
      </c>
      <c r="ACP51">
        <f t="shared" si="114"/>
        <v>43</v>
      </c>
      <c r="ACQ51">
        <f t="shared" si="114"/>
        <v>43</v>
      </c>
      <c r="ACR51">
        <f t="shared" si="114"/>
        <v>43</v>
      </c>
      <c r="ACS51">
        <f t="shared" si="114"/>
        <v>43</v>
      </c>
      <c r="ACT51">
        <f t="shared" si="114"/>
        <v>43</v>
      </c>
      <c r="ACU51">
        <f t="shared" si="114"/>
        <v>43</v>
      </c>
      <c r="ACV51">
        <f t="shared" si="114"/>
        <v>43</v>
      </c>
      <c r="ACW51">
        <f t="shared" si="114"/>
        <v>43</v>
      </c>
      <c r="ACX51">
        <f t="shared" si="114"/>
        <v>43</v>
      </c>
      <c r="ACY51">
        <f t="shared" si="114"/>
        <v>43</v>
      </c>
      <c r="ACZ51">
        <f t="shared" si="114"/>
        <v>43</v>
      </c>
      <c r="ADA51">
        <f t="shared" si="114"/>
        <v>43</v>
      </c>
      <c r="ADB51">
        <f t="shared" si="114"/>
        <v>43</v>
      </c>
      <c r="ADC51">
        <f t="shared" si="114"/>
        <v>43</v>
      </c>
      <c r="ADD51">
        <f t="shared" si="114"/>
        <v>43</v>
      </c>
      <c r="ADE51">
        <f t="shared" si="114"/>
        <v>43</v>
      </c>
      <c r="ADF51">
        <f t="shared" si="114"/>
        <v>43</v>
      </c>
      <c r="ADG51">
        <f t="shared" si="114"/>
        <v>43</v>
      </c>
      <c r="ADH51">
        <f t="shared" si="114"/>
        <v>43</v>
      </c>
      <c r="ADI51">
        <f t="shared" si="114"/>
        <v>43</v>
      </c>
      <c r="ADJ51">
        <f t="shared" si="114"/>
        <v>43</v>
      </c>
      <c r="ADK51">
        <f t="shared" si="114"/>
        <v>43</v>
      </c>
      <c r="ADL51">
        <f t="shared" si="114"/>
        <v>43</v>
      </c>
      <c r="ADM51">
        <f t="shared" si="114"/>
        <v>43</v>
      </c>
      <c r="ADN51">
        <f t="shared" si="114"/>
        <v>43</v>
      </c>
      <c r="ADO51">
        <f t="shared" si="114"/>
        <v>43</v>
      </c>
      <c r="ADP51">
        <f t="shared" si="114"/>
        <v>43</v>
      </c>
      <c r="ADQ51">
        <f t="shared" si="114"/>
        <v>43</v>
      </c>
      <c r="ADR51">
        <f t="shared" si="114"/>
        <v>43</v>
      </c>
      <c r="ADS51">
        <f t="shared" si="114"/>
        <v>43</v>
      </c>
      <c r="ADT51">
        <f t="shared" si="114"/>
        <v>43</v>
      </c>
      <c r="ADU51">
        <f t="shared" si="114"/>
        <v>43</v>
      </c>
      <c r="ADV51">
        <f t="shared" si="114"/>
        <v>43</v>
      </c>
      <c r="ADW51">
        <f t="shared" si="114"/>
        <v>43</v>
      </c>
      <c r="ADX51">
        <f t="shared" si="114"/>
        <v>43</v>
      </c>
      <c r="ADY51">
        <f t="shared" si="114"/>
        <v>43</v>
      </c>
      <c r="ADZ51">
        <f t="shared" si="114"/>
        <v>43</v>
      </c>
      <c r="AEA51">
        <f t="shared" ref="AEA51:AGL51" si="115">COUNTBLANK(AEA6:AEA49)</f>
        <v>43</v>
      </c>
      <c r="AEB51">
        <f t="shared" si="115"/>
        <v>43</v>
      </c>
      <c r="AEC51">
        <f t="shared" si="115"/>
        <v>43</v>
      </c>
      <c r="AED51">
        <f t="shared" si="115"/>
        <v>43</v>
      </c>
      <c r="AEE51">
        <f t="shared" si="115"/>
        <v>43</v>
      </c>
      <c r="AEF51">
        <f t="shared" si="115"/>
        <v>43</v>
      </c>
      <c r="AEG51">
        <f t="shared" si="115"/>
        <v>43</v>
      </c>
      <c r="AEH51">
        <f t="shared" si="115"/>
        <v>43</v>
      </c>
      <c r="AEI51">
        <f t="shared" si="115"/>
        <v>43</v>
      </c>
      <c r="AEJ51">
        <f t="shared" si="115"/>
        <v>43</v>
      </c>
      <c r="AEK51">
        <f t="shared" si="115"/>
        <v>43</v>
      </c>
      <c r="AEL51">
        <f t="shared" si="115"/>
        <v>43</v>
      </c>
      <c r="AEM51">
        <f t="shared" si="115"/>
        <v>43</v>
      </c>
      <c r="AEN51">
        <f t="shared" si="115"/>
        <v>43</v>
      </c>
      <c r="AEO51">
        <f t="shared" si="115"/>
        <v>43</v>
      </c>
      <c r="AEP51">
        <f t="shared" si="115"/>
        <v>43</v>
      </c>
      <c r="AEQ51">
        <f t="shared" si="115"/>
        <v>43</v>
      </c>
      <c r="AER51">
        <f t="shared" si="115"/>
        <v>43</v>
      </c>
      <c r="AES51">
        <f t="shared" si="115"/>
        <v>43</v>
      </c>
      <c r="AET51">
        <f t="shared" si="115"/>
        <v>43</v>
      </c>
      <c r="AEU51">
        <f t="shared" si="115"/>
        <v>43</v>
      </c>
      <c r="AEV51">
        <f t="shared" si="115"/>
        <v>43</v>
      </c>
      <c r="AEW51">
        <f t="shared" si="115"/>
        <v>43</v>
      </c>
      <c r="AEX51">
        <f t="shared" si="115"/>
        <v>43</v>
      </c>
      <c r="AEY51">
        <f t="shared" si="115"/>
        <v>43</v>
      </c>
      <c r="AEZ51">
        <f t="shared" si="115"/>
        <v>43</v>
      </c>
      <c r="AFA51">
        <f t="shared" si="115"/>
        <v>43</v>
      </c>
      <c r="AFB51">
        <f t="shared" si="115"/>
        <v>43</v>
      </c>
      <c r="AFC51">
        <f t="shared" si="115"/>
        <v>43</v>
      </c>
      <c r="AFD51">
        <f t="shared" si="115"/>
        <v>43</v>
      </c>
      <c r="AFE51">
        <f t="shared" si="115"/>
        <v>43</v>
      </c>
      <c r="AFF51">
        <f t="shared" si="115"/>
        <v>43</v>
      </c>
      <c r="AFG51">
        <f t="shared" si="115"/>
        <v>43</v>
      </c>
      <c r="AFH51">
        <f t="shared" si="115"/>
        <v>43</v>
      </c>
      <c r="AFI51">
        <f t="shared" si="115"/>
        <v>43</v>
      </c>
      <c r="AFJ51">
        <f t="shared" si="115"/>
        <v>43</v>
      </c>
      <c r="AFK51">
        <f t="shared" si="115"/>
        <v>43</v>
      </c>
      <c r="AFL51">
        <f t="shared" si="115"/>
        <v>43</v>
      </c>
      <c r="AFM51">
        <f t="shared" si="115"/>
        <v>43</v>
      </c>
      <c r="AFN51">
        <f t="shared" si="115"/>
        <v>43</v>
      </c>
      <c r="AFO51">
        <f t="shared" si="115"/>
        <v>43</v>
      </c>
      <c r="AFP51">
        <f t="shared" si="115"/>
        <v>43</v>
      </c>
      <c r="AFQ51">
        <f t="shared" si="115"/>
        <v>43</v>
      </c>
      <c r="AFR51">
        <f t="shared" si="115"/>
        <v>43</v>
      </c>
      <c r="AFS51">
        <f t="shared" si="115"/>
        <v>43</v>
      </c>
      <c r="AFT51">
        <f t="shared" si="115"/>
        <v>43</v>
      </c>
      <c r="AFU51">
        <f t="shared" si="115"/>
        <v>43</v>
      </c>
      <c r="AFV51">
        <f t="shared" si="115"/>
        <v>43</v>
      </c>
      <c r="AFW51">
        <f t="shared" si="115"/>
        <v>43</v>
      </c>
      <c r="AFX51">
        <f t="shared" si="115"/>
        <v>43</v>
      </c>
      <c r="AFY51">
        <f t="shared" si="115"/>
        <v>43</v>
      </c>
      <c r="AFZ51">
        <f t="shared" si="115"/>
        <v>43</v>
      </c>
      <c r="AGA51">
        <f t="shared" si="115"/>
        <v>43</v>
      </c>
      <c r="AGB51">
        <f t="shared" si="115"/>
        <v>43</v>
      </c>
      <c r="AGC51">
        <f t="shared" si="115"/>
        <v>43</v>
      </c>
      <c r="AGD51">
        <f t="shared" si="115"/>
        <v>43</v>
      </c>
      <c r="AGE51">
        <f t="shared" si="115"/>
        <v>43</v>
      </c>
      <c r="AGF51">
        <f t="shared" si="115"/>
        <v>43</v>
      </c>
      <c r="AGG51">
        <f t="shared" si="115"/>
        <v>43</v>
      </c>
      <c r="AGH51">
        <f t="shared" si="115"/>
        <v>43</v>
      </c>
      <c r="AGI51">
        <f t="shared" si="115"/>
        <v>43</v>
      </c>
      <c r="AGJ51">
        <f t="shared" si="115"/>
        <v>43</v>
      </c>
      <c r="AGK51">
        <f t="shared" si="115"/>
        <v>43</v>
      </c>
      <c r="AGL51">
        <f t="shared" si="115"/>
        <v>43</v>
      </c>
      <c r="AGM51">
        <f t="shared" ref="AGM51:AIX51" si="116">COUNTBLANK(AGM6:AGM49)</f>
        <v>43</v>
      </c>
      <c r="AGN51">
        <f t="shared" si="116"/>
        <v>43</v>
      </c>
      <c r="AGO51">
        <f t="shared" si="116"/>
        <v>43</v>
      </c>
      <c r="AGP51">
        <f t="shared" si="116"/>
        <v>43</v>
      </c>
      <c r="AGQ51">
        <f t="shared" si="116"/>
        <v>43</v>
      </c>
      <c r="AGR51">
        <f t="shared" si="116"/>
        <v>43</v>
      </c>
      <c r="AGS51">
        <f t="shared" si="116"/>
        <v>43</v>
      </c>
      <c r="AGT51">
        <f t="shared" si="116"/>
        <v>43</v>
      </c>
      <c r="AGU51">
        <f t="shared" si="116"/>
        <v>43</v>
      </c>
      <c r="AGV51">
        <f t="shared" si="116"/>
        <v>43</v>
      </c>
      <c r="AGW51">
        <f t="shared" si="116"/>
        <v>43</v>
      </c>
      <c r="AGX51">
        <f t="shared" si="116"/>
        <v>43</v>
      </c>
      <c r="AGY51">
        <f t="shared" si="116"/>
        <v>43</v>
      </c>
      <c r="AGZ51">
        <f t="shared" si="116"/>
        <v>43</v>
      </c>
      <c r="AHA51">
        <f t="shared" si="116"/>
        <v>43</v>
      </c>
      <c r="AHB51">
        <f t="shared" si="116"/>
        <v>43</v>
      </c>
      <c r="AHC51">
        <f t="shared" si="116"/>
        <v>43</v>
      </c>
      <c r="AHD51">
        <f t="shared" si="116"/>
        <v>43</v>
      </c>
      <c r="AHE51">
        <f t="shared" si="116"/>
        <v>43</v>
      </c>
      <c r="AHF51">
        <f t="shared" si="116"/>
        <v>43</v>
      </c>
      <c r="AHG51">
        <f t="shared" si="116"/>
        <v>43</v>
      </c>
      <c r="AHH51">
        <f t="shared" si="116"/>
        <v>43</v>
      </c>
      <c r="AHI51">
        <f t="shared" si="116"/>
        <v>43</v>
      </c>
      <c r="AHJ51">
        <f t="shared" si="116"/>
        <v>43</v>
      </c>
      <c r="AHK51">
        <f t="shared" si="116"/>
        <v>43</v>
      </c>
      <c r="AHL51">
        <f t="shared" si="116"/>
        <v>43</v>
      </c>
      <c r="AHM51">
        <f t="shared" si="116"/>
        <v>43</v>
      </c>
      <c r="AHN51">
        <f t="shared" si="116"/>
        <v>43</v>
      </c>
      <c r="AHO51">
        <f t="shared" si="116"/>
        <v>43</v>
      </c>
      <c r="AHP51">
        <f t="shared" si="116"/>
        <v>43</v>
      </c>
      <c r="AHQ51">
        <f t="shared" si="116"/>
        <v>43</v>
      </c>
      <c r="AHR51">
        <f t="shared" si="116"/>
        <v>43</v>
      </c>
      <c r="AHS51">
        <f t="shared" si="116"/>
        <v>43</v>
      </c>
      <c r="AHT51">
        <f t="shared" si="116"/>
        <v>43</v>
      </c>
      <c r="AHU51">
        <f t="shared" si="116"/>
        <v>43</v>
      </c>
      <c r="AHV51">
        <f t="shared" si="116"/>
        <v>43</v>
      </c>
      <c r="AHW51">
        <f t="shared" si="116"/>
        <v>43</v>
      </c>
      <c r="AHX51">
        <f t="shared" si="116"/>
        <v>43</v>
      </c>
      <c r="AHY51">
        <f t="shared" si="116"/>
        <v>43</v>
      </c>
      <c r="AHZ51">
        <f t="shared" si="116"/>
        <v>43</v>
      </c>
      <c r="AIA51">
        <f t="shared" si="116"/>
        <v>43</v>
      </c>
      <c r="AIB51">
        <f t="shared" si="116"/>
        <v>43</v>
      </c>
      <c r="AIC51">
        <f t="shared" si="116"/>
        <v>43</v>
      </c>
      <c r="AID51">
        <f t="shared" si="116"/>
        <v>43</v>
      </c>
      <c r="AIE51">
        <f t="shared" si="116"/>
        <v>43</v>
      </c>
      <c r="AIF51">
        <f t="shared" si="116"/>
        <v>43</v>
      </c>
      <c r="AIG51">
        <f t="shared" si="116"/>
        <v>43</v>
      </c>
      <c r="AIH51">
        <f t="shared" si="116"/>
        <v>43</v>
      </c>
      <c r="AII51">
        <f t="shared" si="116"/>
        <v>43</v>
      </c>
      <c r="AIJ51">
        <f t="shared" si="116"/>
        <v>43</v>
      </c>
      <c r="AIK51">
        <f t="shared" si="116"/>
        <v>43</v>
      </c>
      <c r="AIL51">
        <f t="shared" si="116"/>
        <v>43</v>
      </c>
      <c r="AIM51">
        <f t="shared" si="116"/>
        <v>43</v>
      </c>
      <c r="AIN51">
        <f t="shared" si="116"/>
        <v>43</v>
      </c>
      <c r="AIO51">
        <f t="shared" si="116"/>
        <v>43</v>
      </c>
      <c r="AIP51">
        <f t="shared" si="116"/>
        <v>43</v>
      </c>
      <c r="AIQ51">
        <f t="shared" si="116"/>
        <v>43</v>
      </c>
      <c r="AIR51">
        <f t="shared" si="116"/>
        <v>43</v>
      </c>
      <c r="AIS51">
        <f t="shared" si="116"/>
        <v>43</v>
      </c>
      <c r="AIT51">
        <f t="shared" si="116"/>
        <v>43</v>
      </c>
      <c r="AIU51">
        <f t="shared" si="116"/>
        <v>43</v>
      </c>
      <c r="AIV51">
        <f t="shared" si="116"/>
        <v>43</v>
      </c>
      <c r="AIW51">
        <f t="shared" si="116"/>
        <v>43</v>
      </c>
      <c r="AIX51">
        <f t="shared" si="116"/>
        <v>43</v>
      </c>
      <c r="AIY51">
        <f t="shared" ref="AIY51:ALJ51" si="117">COUNTBLANK(AIY6:AIY49)</f>
        <v>43</v>
      </c>
      <c r="AIZ51">
        <f t="shared" si="117"/>
        <v>43</v>
      </c>
      <c r="AJA51">
        <f t="shared" si="117"/>
        <v>43</v>
      </c>
      <c r="AJB51">
        <f t="shared" si="117"/>
        <v>43</v>
      </c>
      <c r="AJC51">
        <f t="shared" si="117"/>
        <v>43</v>
      </c>
      <c r="AJD51">
        <f t="shared" si="117"/>
        <v>43</v>
      </c>
      <c r="AJE51">
        <f t="shared" si="117"/>
        <v>43</v>
      </c>
      <c r="AJF51">
        <f t="shared" si="117"/>
        <v>43</v>
      </c>
      <c r="AJG51">
        <f t="shared" si="117"/>
        <v>43</v>
      </c>
      <c r="AJH51">
        <f t="shared" si="117"/>
        <v>43</v>
      </c>
      <c r="AJI51">
        <f t="shared" si="117"/>
        <v>43</v>
      </c>
      <c r="AJJ51">
        <f t="shared" si="117"/>
        <v>43</v>
      </c>
      <c r="AJK51">
        <f t="shared" si="117"/>
        <v>43</v>
      </c>
      <c r="AJL51">
        <f t="shared" si="117"/>
        <v>43</v>
      </c>
      <c r="AJM51">
        <f t="shared" si="117"/>
        <v>43</v>
      </c>
      <c r="AJN51">
        <f t="shared" si="117"/>
        <v>43</v>
      </c>
      <c r="AJO51">
        <f t="shared" si="117"/>
        <v>43</v>
      </c>
      <c r="AJP51">
        <f t="shared" si="117"/>
        <v>43</v>
      </c>
      <c r="AJQ51">
        <f t="shared" si="117"/>
        <v>43</v>
      </c>
      <c r="AJR51">
        <f t="shared" si="117"/>
        <v>43</v>
      </c>
      <c r="AJS51">
        <f t="shared" si="117"/>
        <v>43</v>
      </c>
      <c r="AJT51">
        <f t="shared" si="117"/>
        <v>43</v>
      </c>
      <c r="AJU51">
        <f t="shared" si="117"/>
        <v>43</v>
      </c>
      <c r="AJV51">
        <f t="shared" si="117"/>
        <v>43</v>
      </c>
      <c r="AJW51">
        <f t="shared" si="117"/>
        <v>43</v>
      </c>
      <c r="AJX51">
        <f t="shared" si="117"/>
        <v>43</v>
      </c>
      <c r="AJY51">
        <f t="shared" si="117"/>
        <v>43</v>
      </c>
      <c r="AJZ51">
        <f t="shared" si="117"/>
        <v>43</v>
      </c>
      <c r="AKA51">
        <f t="shared" si="117"/>
        <v>43</v>
      </c>
      <c r="AKB51">
        <f t="shared" si="117"/>
        <v>43</v>
      </c>
      <c r="AKC51">
        <f t="shared" si="117"/>
        <v>43</v>
      </c>
      <c r="AKD51">
        <f t="shared" si="117"/>
        <v>43</v>
      </c>
      <c r="AKE51">
        <f t="shared" si="117"/>
        <v>43</v>
      </c>
      <c r="AKF51">
        <f t="shared" si="117"/>
        <v>43</v>
      </c>
      <c r="AKG51">
        <f t="shared" si="117"/>
        <v>43</v>
      </c>
      <c r="AKH51">
        <f t="shared" si="117"/>
        <v>43</v>
      </c>
      <c r="AKI51">
        <f t="shared" si="117"/>
        <v>43</v>
      </c>
      <c r="AKJ51">
        <f t="shared" si="117"/>
        <v>43</v>
      </c>
      <c r="AKK51">
        <f t="shared" si="117"/>
        <v>43</v>
      </c>
      <c r="AKL51">
        <f t="shared" si="117"/>
        <v>43</v>
      </c>
      <c r="AKM51">
        <f t="shared" si="117"/>
        <v>43</v>
      </c>
      <c r="AKN51">
        <f t="shared" si="117"/>
        <v>43</v>
      </c>
      <c r="AKO51">
        <f t="shared" si="117"/>
        <v>43</v>
      </c>
      <c r="AKP51">
        <f t="shared" si="117"/>
        <v>43</v>
      </c>
      <c r="AKQ51">
        <f t="shared" si="117"/>
        <v>43</v>
      </c>
      <c r="AKR51">
        <f t="shared" si="117"/>
        <v>43</v>
      </c>
      <c r="AKS51">
        <f t="shared" si="117"/>
        <v>43</v>
      </c>
      <c r="AKT51">
        <f t="shared" si="117"/>
        <v>43</v>
      </c>
      <c r="AKU51">
        <f t="shared" si="117"/>
        <v>43</v>
      </c>
      <c r="AKV51">
        <f t="shared" si="117"/>
        <v>43</v>
      </c>
      <c r="AKW51">
        <f t="shared" si="117"/>
        <v>43</v>
      </c>
      <c r="AKX51">
        <f t="shared" si="117"/>
        <v>43</v>
      </c>
      <c r="AKY51">
        <f t="shared" si="117"/>
        <v>43</v>
      </c>
      <c r="AKZ51">
        <f t="shared" si="117"/>
        <v>43</v>
      </c>
      <c r="ALA51">
        <f t="shared" si="117"/>
        <v>43</v>
      </c>
      <c r="ALB51">
        <f t="shared" si="117"/>
        <v>43</v>
      </c>
      <c r="ALC51">
        <f t="shared" si="117"/>
        <v>43</v>
      </c>
      <c r="ALD51">
        <f t="shared" si="117"/>
        <v>43</v>
      </c>
      <c r="ALE51">
        <f t="shared" si="117"/>
        <v>43</v>
      </c>
      <c r="ALF51">
        <f t="shared" si="117"/>
        <v>43</v>
      </c>
      <c r="ALG51">
        <f t="shared" si="117"/>
        <v>43</v>
      </c>
      <c r="ALH51">
        <f t="shared" si="117"/>
        <v>43</v>
      </c>
      <c r="ALI51">
        <f t="shared" si="117"/>
        <v>43</v>
      </c>
      <c r="ALJ51">
        <f t="shared" si="117"/>
        <v>43</v>
      </c>
      <c r="ALK51">
        <f t="shared" ref="ALK51:ANV51" si="118">COUNTBLANK(ALK6:ALK49)</f>
        <v>43</v>
      </c>
      <c r="ALL51">
        <f t="shared" si="118"/>
        <v>43</v>
      </c>
      <c r="ALM51">
        <f t="shared" si="118"/>
        <v>43</v>
      </c>
      <c r="ALN51">
        <f t="shared" si="118"/>
        <v>43</v>
      </c>
      <c r="ALO51">
        <f t="shared" si="118"/>
        <v>43</v>
      </c>
      <c r="ALP51">
        <f t="shared" si="118"/>
        <v>43</v>
      </c>
      <c r="ALQ51">
        <f t="shared" si="118"/>
        <v>43</v>
      </c>
      <c r="ALR51">
        <f t="shared" si="118"/>
        <v>43</v>
      </c>
      <c r="ALS51">
        <f t="shared" si="118"/>
        <v>43</v>
      </c>
      <c r="ALT51">
        <f t="shared" si="118"/>
        <v>43</v>
      </c>
      <c r="ALU51">
        <f t="shared" si="118"/>
        <v>43</v>
      </c>
      <c r="ALV51">
        <f t="shared" si="118"/>
        <v>43</v>
      </c>
      <c r="ALW51">
        <f t="shared" si="118"/>
        <v>43</v>
      </c>
      <c r="ALX51">
        <f t="shared" si="118"/>
        <v>43</v>
      </c>
      <c r="ALY51">
        <f t="shared" si="118"/>
        <v>43</v>
      </c>
      <c r="ALZ51">
        <f t="shared" si="118"/>
        <v>43</v>
      </c>
      <c r="AMA51">
        <f t="shared" si="118"/>
        <v>43</v>
      </c>
      <c r="AMB51">
        <f t="shared" si="118"/>
        <v>43</v>
      </c>
      <c r="AMC51">
        <f t="shared" si="118"/>
        <v>43</v>
      </c>
      <c r="AMD51">
        <f t="shared" si="118"/>
        <v>43</v>
      </c>
      <c r="AME51">
        <f t="shared" si="118"/>
        <v>43</v>
      </c>
      <c r="AMF51">
        <f t="shared" si="118"/>
        <v>43</v>
      </c>
      <c r="AMG51">
        <f t="shared" si="118"/>
        <v>43</v>
      </c>
      <c r="AMH51">
        <f t="shared" si="118"/>
        <v>43</v>
      </c>
      <c r="AMI51">
        <f t="shared" si="118"/>
        <v>43</v>
      </c>
      <c r="AMJ51">
        <f t="shared" si="118"/>
        <v>43</v>
      </c>
      <c r="AMK51">
        <f t="shared" si="118"/>
        <v>43</v>
      </c>
      <c r="AML51">
        <f t="shared" si="118"/>
        <v>43</v>
      </c>
      <c r="AMM51">
        <f t="shared" si="118"/>
        <v>43</v>
      </c>
      <c r="AMN51">
        <f t="shared" si="118"/>
        <v>43</v>
      </c>
      <c r="AMO51">
        <f t="shared" si="118"/>
        <v>43</v>
      </c>
      <c r="AMP51">
        <f t="shared" si="118"/>
        <v>43</v>
      </c>
      <c r="AMQ51">
        <f t="shared" si="118"/>
        <v>43</v>
      </c>
      <c r="AMR51">
        <f t="shared" si="118"/>
        <v>43</v>
      </c>
      <c r="AMS51">
        <f t="shared" si="118"/>
        <v>43</v>
      </c>
      <c r="AMT51">
        <f t="shared" si="118"/>
        <v>43</v>
      </c>
      <c r="AMU51">
        <f t="shared" si="118"/>
        <v>43</v>
      </c>
      <c r="AMV51">
        <f t="shared" si="118"/>
        <v>43</v>
      </c>
      <c r="AMW51">
        <f t="shared" si="118"/>
        <v>43</v>
      </c>
      <c r="AMX51">
        <f t="shared" si="118"/>
        <v>43</v>
      </c>
      <c r="AMY51">
        <f t="shared" si="118"/>
        <v>43</v>
      </c>
      <c r="AMZ51">
        <f t="shared" si="118"/>
        <v>43</v>
      </c>
      <c r="ANA51">
        <f t="shared" si="118"/>
        <v>43</v>
      </c>
      <c r="ANB51">
        <f t="shared" si="118"/>
        <v>43</v>
      </c>
      <c r="ANC51">
        <f t="shared" si="118"/>
        <v>43</v>
      </c>
      <c r="AND51">
        <f t="shared" si="118"/>
        <v>43</v>
      </c>
      <c r="ANE51">
        <f t="shared" si="118"/>
        <v>43</v>
      </c>
      <c r="ANF51">
        <f t="shared" si="118"/>
        <v>43</v>
      </c>
      <c r="ANG51">
        <f t="shared" si="118"/>
        <v>43</v>
      </c>
      <c r="ANH51">
        <f t="shared" si="118"/>
        <v>43</v>
      </c>
      <c r="ANI51">
        <f t="shared" si="118"/>
        <v>43</v>
      </c>
      <c r="ANJ51">
        <f t="shared" si="118"/>
        <v>43</v>
      </c>
      <c r="ANK51">
        <f t="shared" si="118"/>
        <v>43</v>
      </c>
      <c r="ANL51">
        <f t="shared" si="118"/>
        <v>43</v>
      </c>
      <c r="ANM51">
        <f t="shared" si="118"/>
        <v>43</v>
      </c>
      <c r="ANN51">
        <f t="shared" si="118"/>
        <v>43</v>
      </c>
      <c r="ANO51">
        <f t="shared" si="118"/>
        <v>43</v>
      </c>
      <c r="ANP51">
        <f t="shared" si="118"/>
        <v>43</v>
      </c>
      <c r="ANQ51">
        <f t="shared" si="118"/>
        <v>43</v>
      </c>
      <c r="ANR51">
        <f t="shared" si="118"/>
        <v>43</v>
      </c>
      <c r="ANS51">
        <f t="shared" si="118"/>
        <v>43</v>
      </c>
      <c r="ANT51">
        <f t="shared" si="118"/>
        <v>43</v>
      </c>
      <c r="ANU51">
        <f t="shared" si="118"/>
        <v>43</v>
      </c>
      <c r="ANV51">
        <f t="shared" si="118"/>
        <v>43</v>
      </c>
      <c r="ANW51">
        <f t="shared" ref="ANW51:AQH51" si="119">COUNTBLANK(ANW6:ANW49)</f>
        <v>43</v>
      </c>
      <c r="ANX51">
        <f t="shared" si="119"/>
        <v>43</v>
      </c>
      <c r="ANY51">
        <f t="shared" si="119"/>
        <v>43</v>
      </c>
      <c r="ANZ51">
        <f t="shared" si="119"/>
        <v>43</v>
      </c>
      <c r="AOA51">
        <f t="shared" si="119"/>
        <v>43</v>
      </c>
      <c r="AOB51">
        <f t="shared" si="119"/>
        <v>43</v>
      </c>
      <c r="AOC51">
        <f t="shared" si="119"/>
        <v>43</v>
      </c>
      <c r="AOD51">
        <f t="shared" si="119"/>
        <v>43</v>
      </c>
      <c r="AOE51">
        <f t="shared" si="119"/>
        <v>43</v>
      </c>
      <c r="AOF51">
        <f t="shared" si="119"/>
        <v>43</v>
      </c>
      <c r="AOG51">
        <f t="shared" si="119"/>
        <v>43</v>
      </c>
      <c r="AOH51">
        <f t="shared" si="119"/>
        <v>43</v>
      </c>
      <c r="AOI51">
        <f t="shared" si="119"/>
        <v>43</v>
      </c>
      <c r="AOJ51">
        <f t="shared" si="119"/>
        <v>43</v>
      </c>
      <c r="AOK51">
        <f t="shared" si="119"/>
        <v>43</v>
      </c>
      <c r="AOL51">
        <f t="shared" si="119"/>
        <v>43</v>
      </c>
      <c r="AOM51">
        <f t="shared" si="119"/>
        <v>43</v>
      </c>
      <c r="AON51">
        <f t="shared" si="119"/>
        <v>43</v>
      </c>
      <c r="AOO51">
        <f t="shared" si="119"/>
        <v>43</v>
      </c>
      <c r="AOP51">
        <f t="shared" si="119"/>
        <v>43</v>
      </c>
      <c r="AOQ51">
        <f t="shared" si="119"/>
        <v>43</v>
      </c>
      <c r="AOR51">
        <f t="shared" si="119"/>
        <v>43</v>
      </c>
      <c r="AOS51">
        <f t="shared" si="119"/>
        <v>43</v>
      </c>
      <c r="AOT51">
        <f t="shared" si="119"/>
        <v>43</v>
      </c>
      <c r="AOU51">
        <f t="shared" si="119"/>
        <v>43</v>
      </c>
      <c r="AOV51">
        <f t="shared" si="119"/>
        <v>43</v>
      </c>
      <c r="AOW51">
        <f t="shared" si="119"/>
        <v>43</v>
      </c>
      <c r="AOX51">
        <f t="shared" si="119"/>
        <v>43</v>
      </c>
      <c r="AOY51">
        <f t="shared" si="119"/>
        <v>43</v>
      </c>
      <c r="AOZ51">
        <f t="shared" si="119"/>
        <v>43</v>
      </c>
      <c r="APA51">
        <f t="shared" si="119"/>
        <v>43</v>
      </c>
      <c r="APB51">
        <f t="shared" si="119"/>
        <v>43</v>
      </c>
      <c r="APC51">
        <f t="shared" si="119"/>
        <v>43</v>
      </c>
      <c r="APD51">
        <f t="shared" si="119"/>
        <v>43</v>
      </c>
      <c r="APE51">
        <f t="shared" si="119"/>
        <v>43</v>
      </c>
      <c r="APF51">
        <f t="shared" si="119"/>
        <v>43</v>
      </c>
      <c r="APG51">
        <f t="shared" si="119"/>
        <v>43</v>
      </c>
      <c r="APH51">
        <f t="shared" si="119"/>
        <v>43</v>
      </c>
      <c r="API51">
        <f t="shared" si="119"/>
        <v>43</v>
      </c>
      <c r="APJ51">
        <f t="shared" si="119"/>
        <v>43</v>
      </c>
      <c r="APK51">
        <f t="shared" si="119"/>
        <v>43</v>
      </c>
      <c r="APL51">
        <f t="shared" si="119"/>
        <v>43</v>
      </c>
      <c r="APM51">
        <f t="shared" si="119"/>
        <v>43</v>
      </c>
      <c r="APN51">
        <f t="shared" si="119"/>
        <v>43</v>
      </c>
      <c r="APO51">
        <f t="shared" si="119"/>
        <v>43</v>
      </c>
      <c r="APP51">
        <f t="shared" si="119"/>
        <v>43</v>
      </c>
      <c r="APQ51">
        <f t="shared" si="119"/>
        <v>43</v>
      </c>
      <c r="APR51">
        <f t="shared" si="119"/>
        <v>43</v>
      </c>
      <c r="APS51">
        <f t="shared" si="119"/>
        <v>43</v>
      </c>
      <c r="APT51">
        <f t="shared" si="119"/>
        <v>43</v>
      </c>
      <c r="APU51">
        <f t="shared" si="119"/>
        <v>43</v>
      </c>
      <c r="APV51">
        <f t="shared" si="119"/>
        <v>43</v>
      </c>
      <c r="APW51">
        <f t="shared" si="119"/>
        <v>43</v>
      </c>
      <c r="APX51">
        <f t="shared" si="119"/>
        <v>43</v>
      </c>
      <c r="APY51">
        <f t="shared" si="119"/>
        <v>43</v>
      </c>
      <c r="APZ51">
        <f t="shared" si="119"/>
        <v>43</v>
      </c>
      <c r="AQA51">
        <f t="shared" si="119"/>
        <v>43</v>
      </c>
      <c r="AQB51">
        <f t="shared" si="119"/>
        <v>43</v>
      </c>
      <c r="AQC51">
        <f t="shared" si="119"/>
        <v>43</v>
      </c>
      <c r="AQD51">
        <f t="shared" si="119"/>
        <v>43</v>
      </c>
      <c r="AQE51">
        <f t="shared" si="119"/>
        <v>43</v>
      </c>
      <c r="AQF51">
        <f t="shared" si="119"/>
        <v>43</v>
      </c>
      <c r="AQG51">
        <f t="shared" si="119"/>
        <v>43</v>
      </c>
      <c r="AQH51">
        <f t="shared" si="119"/>
        <v>43</v>
      </c>
      <c r="AQI51">
        <f t="shared" ref="AQI51:AST51" si="120">COUNTBLANK(AQI6:AQI49)</f>
        <v>43</v>
      </c>
      <c r="AQJ51">
        <f t="shared" si="120"/>
        <v>43</v>
      </c>
      <c r="AQK51">
        <f t="shared" si="120"/>
        <v>43</v>
      </c>
      <c r="AQL51">
        <f t="shared" si="120"/>
        <v>43</v>
      </c>
      <c r="AQM51">
        <f t="shared" si="120"/>
        <v>43</v>
      </c>
      <c r="AQN51">
        <f t="shared" si="120"/>
        <v>43</v>
      </c>
      <c r="AQO51">
        <f t="shared" si="120"/>
        <v>43</v>
      </c>
      <c r="AQP51">
        <f t="shared" si="120"/>
        <v>43</v>
      </c>
      <c r="AQQ51">
        <f t="shared" si="120"/>
        <v>43</v>
      </c>
      <c r="AQR51">
        <f t="shared" si="120"/>
        <v>43</v>
      </c>
      <c r="AQS51">
        <f t="shared" si="120"/>
        <v>43</v>
      </c>
      <c r="AQT51">
        <f t="shared" si="120"/>
        <v>43</v>
      </c>
      <c r="AQU51">
        <f t="shared" si="120"/>
        <v>43</v>
      </c>
      <c r="AQV51">
        <f t="shared" si="120"/>
        <v>43</v>
      </c>
      <c r="AQW51">
        <f t="shared" si="120"/>
        <v>43</v>
      </c>
      <c r="AQX51">
        <f t="shared" si="120"/>
        <v>43</v>
      </c>
      <c r="AQY51">
        <f t="shared" si="120"/>
        <v>43</v>
      </c>
      <c r="AQZ51">
        <f t="shared" si="120"/>
        <v>43</v>
      </c>
      <c r="ARA51">
        <f t="shared" si="120"/>
        <v>43</v>
      </c>
      <c r="ARB51">
        <f t="shared" si="120"/>
        <v>43</v>
      </c>
      <c r="ARC51">
        <f t="shared" si="120"/>
        <v>43</v>
      </c>
      <c r="ARD51">
        <f t="shared" si="120"/>
        <v>43</v>
      </c>
      <c r="ARE51">
        <f t="shared" si="120"/>
        <v>43</v>
      </c>
      <c r="ARF51">
        <f t="shared" si="120"/>
        <v>43</v>
      </c>
      <c r="ARG51">
        <f t="shared" si="120"/>
        <v>43</v>
      </c>
      <c r="ARH51">
        <f t="shared" si="120"/>
        <v>43</v>
      </c>
      <c r="ARI51">
        <f t="shared" si="120"/>
        <v>43</v>
      </c>
      <c r="ARJ51">
        <f t="shared" si="120"/>
        <v>43</v>
      </c>
      <c r="ARK51">
        <f t="shared" si="120"/>
        <v>43</v>
      </c>
      <c r="ARL51">
        <f t="shared" si="120"/>
        <v>43</v>
      </c>
      <c r="ARM51">
        <f t="shared" si="120"/>
        <v>43</v>
      </c>
      <c r="ARN51">
        <f t="shared" si="120"/>
        <v>43</v>
      </c>
      <c r="ARO51">
        <f t="shared" si="120"/>
        <v>43</v>
      </c>
      <c r="ARP51">
        <f t="shared" si="120"/>
        <v>43</v>
      </c>
      <c r="ARQ51">
        <f t="shared" si="120"/>
        <v>43</v>
      </c>
      <c r="ARR51">
        <f t="shared" si="120"/>
        <v>43</v>
      </c>
      <c r="ARS51">
        <f t="shared" si="120"/>
        <v>43</v>
      </c>
      <c r="ART51">
        <f t="shared" si="120"/>
        <v>43</v>
      </c>
      <c r="ARU51">
        <f t="shared" si="120"/>
        <v>43</v>
      </c>
      <c r="ARV51">
        <f t="shared" si="120"/>
        <v>43</v>
      </c>
      <c r="ARW51">
        <f t="shared" si="120"/>
        <v>43</v>
      </c>
      <c r="ARX51">
        <f t="shared" si="120"/>
        <v>43</v>
      </c>
      <c r="ARY51">
        <f t="shared" si="120"/>
        <v>43</v>
      </c>
      <c r="ARZ51">
        <f t="shared" si="120"/>
        <v>43</v>
      </c>
      <c r="ASA51">
        <f t="shared" si="120"/>
        <v>43</v>
      </c>
      <c r="ASB51">
        <f t="shared" si="120"/>
        <v>43</v>
      </c>
      <c r="ASC51">
        <f t="shared" si="120"/>
        <v>43</v>
      </c>
      <c r="ASD51">
        <f t="shared" si="120"/>
        <v>43</v>
      </c>
      <c r="ASE51">
        <f t="shared" si="120"/>
        <v>43</v>
      </c>
      <c r="ASF51">
        <f t="shared" si="120"/>
        <v>43</v>
      </c>
      <c r="ASG51">
        <f t="shared" si="120"/>
        <v>43</v>
      </c>
      <c r="ASH51">
        <f t="shared" si="120"/>
        <v>43</v>
      </c>
      <c r="ASI51">
        <f t="shared" si="120"/>
        <v>43</v>
      </c>
      <c r="ASJ51">
        <f t="shared" si="120"/>
        <v>43</v>
      </c>
      <c r="ASK51">
        <f t="shared" si="120"/>
        <v>43</v>
      </c>
      <c r="ASL51">
        <f t="shared" si="120"/>
        <v>43</v>
      </c>
      <c r="ASM51">
        <f t="shared" si="120"/>
        <v>43</v>
      </c>
      <c r="ASN51">
        <f t="shared" si="120"/>
        <v>43</v>
      </c>
      <c r="ASO51">
        <f t="shared" si="120"/>
        <v>43</v>
      </c>
      <c r="ASP51">
        <f t="shared" si="120"/>
        <v>43</v>
      </c>
      <c r="ASQ51">
        <f t="shared" si="120"/>
        <v>43</v>
      </c>
      <c r="ASR51">
        <f t="shared" si="120"/>
        <v>43</v>
      </c>
      <c r="ASS51">
        <f t="shared" si="120"/>
        <v>43</v>
      </c>
      <c r="AST51">
        <f t="shared" si="120"/>
        <v>43</v>
      </c>
      <c r="ASU51">
        <f t="shared" ref="ASU51:AVF51" si="121">COUNTBLANK(ASU6:ASU49)</f>
        <v>43</v>
      </c>
      <c r="ASV51">
        <f t="shared" si="121"/>
        <v>43</v>
      </c>
      <c r="ASW51">
        <f t="shared" si="121"/>
        <v>43</v>
      </c>
      <c r="ASX51">
        <f t="shared" si="121"/>
        <v>43</v>
      </c>
      <c r="ASY51">
        <f t="shared" si="121"/>
        <v>43</v>
      </c>
      <c r="ASZ51">
        <f t="shared" si="121"/>
        <v>43</v>
      </c>
      <c r="ATA51">
        <f t="shared" si="121"/>
        <v>43</v>
      </c>
      <c r="ATB51">
        <f t="shared" si="121"/>
        <v>43</v>
      </c>
      <c r="ATC51">
        <f t="shared" si="121"/>
        <v>43</v>
      </c>
      <c r="ATD51">
        <f t="shared" si="121"/>
        <v>43</v>
      </c>
      <c r="ATE51">
        <f t="shared" si="121"/>
        <v>43</v>
      </c>
      <c r="ATF51">
        <f t="shared" si="121"/>
        <v>43</v>
      </c>
      <c r="ATG51">
        <f t="shared" si="121"/>
        <v>43</v>
      </c>
      <c r="ATH51">
        <f t="shared" si="121"/>
        <v>43</v>
      </c>
      <c r="ATI51">
        <f t="shared" si="121"/>
        <v>43</v>
      </c>
      <c r="ATJ51">
        <f t="shared" si="121"/>
        <v>43</v>
      </c>
      <c r="ATK51">
        <f t="shared" si="121"/>
        <v>43</v>
      </c>
      <c r="ATL51">
        <f t="shared" si="121"/>
        <v>43</v>
      </c>
      <c r="ATM51">
        <f t="shared" si="121"/>
        <v>43</v>
      </c>
      <c r="ATN51">
        <f t="shared" si="121"/>
        <v>43</v>
      </c>
      <c r="ATO51">
        <f t="shared" si="121"/>
        <v>43</v>
      </c>
      <c r="ATP51">
        <f t="shared" si="121"/>
        <v>43</v>
      </c>
      <c r="ATQ51">
        <f t="shared" si="121"/>
        <v>43</v>
      </c>
      <c r="ATR51">
        <f t="shared" si="121"/>
        <v>43</v>
      </c>
      <c r="ATS51">
        <f t="shared" si="121"/>
        <v>43</v>
      </c>
      <c r="ATT51">
        <f t="shared" si="121"/>
        <v>43</v>
      </c>
      <c r="ATU51">
        <f t="shared" si="121"/>
        <v>43</v>
      </c>
      <c r="ATV51">
        <f t="shared" si="121"/>
        <v>43</v>
      </c>
      <c r="ATW51">
        <f t="shared" si="121"/>
        <v>43</v>
      </c>
      <c r="ATX51">
        <f t="shared" si="121"/>
        <v>43</v>
      </c>
      <c r="ATY51">
        <f t="shared" si="121"/>
        <v>43</v>
      </c>
      <c r="ATZ51">
        <f t="shared" si="121"/>
        <v>43</v>
      </c>
      <c r="AUA51">
        <f t="shared" si="121"/>
        <v>43</v>
      </c>
      <c r="AUB51">
        <f t="shared" si="121"/>
        <v>43</v>
      </c>
      <c r="AUC51">
        <f t="shared" si="121"/>
        <v>43</v>
      </c>
      <c r="AUD51">
        <f t="shared" si="121"/>
        <v>43</v>
      </c>
      <c r="AUE51">
        <f t="shared" si="121"/>
        <v>43</v>
      </c>
      <c r="AUF51">
        <f t="shared" si="121"/>
        <v>43</v>
      </c>
      <c r="AUG51">
        <f t="shared" si="121"/>
        <v>43</v>
      </c>
      <c r="AUH51">
        <f t="shared" si="121"/>
        <v>43</v>
      </c>
      <c r="AUI51">
        <f t="shared" si="121"/>
        <v>43</v>
      </c>
      <c r="AUJ51">
        <f t="shared" si="121"/>
        <v>43</v>
      </c>
      <c r="AUK51">
        <f t="shared" si="121"/>
        <v>43</v>
      </c>
      <c r="AUL51">
        <f t="shared" si="121"/>
        <v>43</v>
      </c>
      <c r="AUM51">
        <f t="shared" si="121"/>
        <v>43</v>
      </c>
      <c r="AUN51">
        <f t="shared" si="121"/>
        <v>43</v>
      </c>
      <c r="AUO51">
        <f t="shared" si="121"/>
        <v>43</v>
      </c>
      <c r="AUP51">
        <f t="shared" si="121"/>
        <v>43</v>
      </c>
      <c r="AUQ51">
        <f t="shared" si="121"/>
        <v>43</v>
      </c>
      <c r="AUR51">
        <f t="shared" si="121"/>
        <v>43</v>
      </c>
      <c r="AUS51">
        <f t="shared" si="121"/>
        <v>43</v>
      </c>
      <c r="AUT51">
        <f t="shared" si="121"/>
        <v>43</v>
      </c>
      <c r="AUU51">
        <f t="shared" si="121"/>
        <v>43</v>
      </c>
      <c r="AUV51">
        <f t="shared" si="121"/>
        <v>43</v>
      </c>
      <c r="AUW51">
        <f t="shared" si="121"/>
        <v>43</v>
      </c>
      <c r="AUX51">
        <f t="shared" si="121"/>
        <v>43</v>
      </c>
      <c r="AUY51">
        <f t="shared" si="121"/>
        <v>43</v>
      </c>
      <c r="AUZ51">
        <f t="shared" si="121"/>
        <v>43</v>
      </c>
      <c r="AVA51">
        <f t="shared" si="121"/>
        <v>43</v>
      </c>
      <c r="AVB51">
        <f t="shared" si="121"/>
        <v>43</v>
      </c>
      <c r="AVC51">
        <f t="shared" si="121"/>
        <v>43</v>
      </c>
      <c r="AVD51">
        <f t="shared" si="121"/>
        <v>43</v>
      </c>
      <c r="AVE51">
        <f t="shared" si="121"/>
        <v>43</v>
      </c>
      <c r="AVF51">
        <f t="shared" si="121"/>
        <v>43</v>
      </c>
      <c r="AVG51">
        <f t="shared" ref="AVG51:AXR51" si="122">COUNTBLANK(AVG6:AVG49)</f>
        <v>43</v>
      </c>
      <c r="AVH51">
        <f t="shared" si="122"/>
        <v>43</v>
      </c>
      <c r="AVI51">
        <f t="shared" si="122"/>
        <v>43</v>
      </c>
      <c r="AVJ51">
        <f t="shared" si="122"/>
        <v>43</v>
      </c>
      <c r="AVK51">
        <f t="shared" si="122"/>
        <v>43</v>
      </c>
      <c r="AVL51">
        <f t="shared" si="122"/>
        <v>43</v>
      </c>
      <c r="AVM51">
        <f t="shared" si="122"/>
        <v>43</v>
      </c>
      <c r="AVN51">
        <f t="shared" si="122"/>
        <v>43</v>
      </c>
      <c r="AVO51">
        <f t="shared" si="122"/>
        <v>43</v>
      </c>
      <c r="AVP51">
        <f t="shared" si="122"/>
        <v>43</v>
      </c>
      <c r="AVQ51">
        <f t="shared" si="122"/>
        <v>43</v>
      </c>
      <c r="AVR51">
        <f t="shared" si="122"/>
        <v>43</v>
      </c>
      <c r="AVS51">
        <f t="shared" si="122"/>
        <v>43</v>
      </c>
      <c r="AVT51">
        <f t="shared" si="122"/>
        <v>43</v>
      </c>
      <c r="AVU51">
        <f t="shared" si="122"/>
        <v>43</v>
      </c>
      <c r="AVV51">
        <f t="shared" si="122"/>
        <v>43</v>
      </c>
      <c r="AVW51">
        <f t="shared" si="122"/>
        <v>43</v>
      </c>
      <c r="AVX51">
        <f t="shared" si="122"/>
        <v>43</v>
      </c>
      <c r="AVY51">
        <f t="shared" si="122"/>
        <v>43</v>
      </c>
      <c r="AVZ51">
        <f t="shared" si="122"/>
        <v>43</v>
      </c>
      <c r="AWA51">
        <f t="shared" si="122"/>
        <v>43</v>
      </c>
      <c r="AWB51">
        <f t="shared" si="122"/>
        <v>43</v>
      </c>
      <c r="AWC51">
        <f t="shared" si="122"/>
        <v>43</v>
      </c>
      <c r="AWD51">
        <f t="shared" si="122"/>
        <v>43</v>
      </c>
      <c r="AWE51">
        <f t="shared" si="122"/>
        <v>43</v>
      </c>
      <c r="AWF51">
        <f t="shared" si="122"/>
        <v>43</v>
      </c>
      <c r="AWG51">
        <f t="shared" si="122"/>
        <v>43</v>
      </c>
      <c r="AWH51">
        <f t="shared" si="122"/>
        <v>43</v>
      </c>
      <c r="AWI51">
        <f t="shared" si="122"/>
        <v>43</v>
      </c>
      <c r="AWJ51">
        <f t="shared" si="122"/>
        <v>43</v>
      </c>
      <c r="AWK51">
        <f t="shared" si="122"/>
        <v>43</v>
      </c>
      <c r="AWL51">
        <f t="shared" si="122"/>
        <v>43</v>
      </c>
      <c r="AWM51">
        <f t="shared" si="122"/>
        <v>43</v>
      </c>
      <c r="AWN51">
        <f t="shared" si="122"/>
        <v>43</v>
      </c>
      <c r="AWO51">
        <f t="shared" si="122"/>
        <v>43</v>
      </c>
      <c r="AWP51">
        <f t="shared" si="122"/>
        <v>43</v>
      </c>
      <c r="AWQ51">
        <f t="shared" si="122"/>
        <v>43</v>
      </c>
      <c r="AWR51">
        <f t="shared" si="122"/>
        <v>43</v>
      </c>
      <c r="AWS51">
        <f t="shared" si="122"/>
        <v>43</v>
      </c>
      <c r="AWT51">
        <f t="shared" si="122"/>
        <v>43</v>
      </c>
      <c r="AWU51">
        <f t="shared" si="122"/>
        <v>43</v>
      </c>
      <c r="AWV51">
        <f t="shared" si="122"/>
        <v>43</v>
      </c>
      <c r="AWW51">
        <f t="shared" si="122"/>
        <v>43</v>
      </c>
      <c r="AWX51">
        <f t="shared" si="122"/>
        <v>43</v>
      </c>
      <c r="AWY51">
        <f t="shared" si="122"/>
        <v>43</v>
      </c>
      <c r="AWZ51">
        <f t="shared" si="122"/>
        <v>43</v>
      </c>
      <c r="AXA51">
        <f t="shared" si="122"/>
        <v>43</v>
      </c>
      <c r="AXB51">
        <f t="shared" si="122"/>
        <v>43</v>
      </c>
      <c r="AXC51">
        <f t="shared" si="122"/>
        <v>43</v>
      </c>
      <c r="AXD51">
        <f t="shared" si="122"/>
        <v>43</v>
      </c>
      <c r="AXE51">
        <f t="shared" si="122"/>
        <v>43</v>
      </c>
      <c r="AXF51">
        <f t="shared" si="122"/>
        <v>43</v>
      </c>
      <c r="AXG51">
        <f t="shared" si="122"/>
        <v>43</v>
      </c>
      <c r="AXH51">
        <f t="shared" si="122"/>
        <v>43</v>
      </c>
      <c r="AXI51">
        <f t="shared" si="122"/>
        <v>43</v>
      </c>
      <c r="AXJ51">
        <f t="shared" si="122"/>
        <v>43</v>
      </c>
      <c r="AXK51">
        <f t="shared" si="122"/>
        <v>43</v>
      </c>
      <c r="AXL51">
        <f t="shared" si="122"/>
        <v>43</v>
      </c>
      <c r="AXM51">
        <f t="shared" si="122"/>
        <v>43</v>
      </c>
      <c r="AXN51">
        <f t="shared" si="122"/>
        <v>43</v>
      </c>
      <c r="AXO51">
        <f t="shared" si="122"/>
        <v>43</v>
      </c>
      <c r="AXP51">
        <f t="shared" si="122"/>
        <v>43</v>
      </c>
      <c r="AXQ51">
        <f t="shared" si="122"/>
        <v>43</v>
      </c>
      <c r="AXR51">
        <f t="shared" si="122"/>
        <v>43</v>
      </c>
      <c r="AXS51">
        <f t="shared" ref="AXS51:BAD51" si="123">COUNTBLANK(AXS6:AXS49)</f>
        <v>43</v>
      </c>
      <c r="AXT51">
        <f t="shared" si="123"/>
        <v>43</v>
      </c>
      <c r="AXU51">
        <f t="shared" si="123"/>
        <v>43</v>
      </c>
      <c r="AXV51">
        <f t="shared" si="123"/>
        <v>43</v>
      </c>
      <c r="AXW51">
        <f t="shared" si="123"/>
        <v>43</v>
      </c>
      <c r="AXX51">
        <f t="shared" si="123"/>
        <v>43</v>
      </c>
      <c r="AXY51">
        <f t="shared" si="123"/>
        <v>43</v>
      </c>
      <c r="AXZ51">
        <f t="shared" si="123"/>
        <v>43</v>
      </c>
      <c r="AYA51">
        <f t="shared" si="123"/>
        <v>43</v>
      </c>
      <c r="AYB51">
        <f t="shared" si="123"/>
        <v>43</v>
      </c>
      <c r="AYC51">
        <f t="shared" si="123"/>
        <v>43</v>
      </c>
      <c r="AYD51">
        <f t="shared" si="123"/>
        <v>43</v>
      </c>
      <c r="AYE51">
        <f t="shared" si="123"/>
        <v>43</v>
      </c>
      <c r="AYF51">
        <f t="shared" si="123"/>
        <v>43</v>
      </c>
      <c r="AYG51">
        <f t="shared" si="123"/>
        <v>43</v>
      </c>
      <c r="AYH51">
        <f t="shared" si="123"/>
        <v>43</v>
      </c>
      <c r="AYI51">
        <f t="shared" si="123"/>
        <v>43</v>
      </c>
      <c r="AYJ51">
        <f t="shared" si="123"/>
        <v>43</v>
      </c>
      <c r="AYK51">
        <f t="shared" si="123"/>
        <v>43</v>
      </c>
      <c r="AYL51">
        <f t="shared" si="123"/>
        <v>43</v>
      </c>
      <c r="AYM51">
        <f t="shared" si="123"/>
        <v>43</v>
      </c>
      <c r="AYN51">
        <f t="shared" si="123"/>
        <v>43</v>
      </c>
      <c r="AYO51">
        <f t="shared" si="123"/>
        <v>43</v>
      </c>
      <c r="AYP51">
        <f t="shared" si="123"/>
        <v>43</v>
      </c>
      <c r="AYQ51">
        <f t="shared" si="123"/>
        <v>43</v>
      </c>
      <c r="AYR51">
        <f t="shared" si="123"/>
        <v>43</v>
      </c>
      <c r="AYS51">
        <f t="shared" si="123"/>
        <v>43</v>
      </c>
      <c r="AYT51">
        <f t="shared" si="123"/>
        <v>43</v>
      </c>
      <c r="AYU51">
        <f t="shared" si="123"/>
        <v>43</v>
      </c>
      <c r="AYV51">
        <f t="shared" si="123"/>
        <v>43</v>
      </c>
      <c r="AYW51">
        <f t="shared" si="123"/>
        <v>43</v>
      </c>
      <c r="AYX51">
        <f t="shared" si="123"/>
        <v>43</v>
      </c>
      <c r="AYY51">
        <f t="shared" si="123"/>
        <v>43</v>
      </c>
      <c r="AYZ51">
        <f t="shared" si="123"/>
        <v>43</v>
      </c>
      <c r="AZA51">
        <f t="shared" si="123"/>
        <v>43</v>
      </c>
      <c r="AZB51">
        <f t="shared" si="123"/>
        <v>43</v>
      </c>
      <c r="AZC51">
        <f t="shared" si="123"/>
        <v>43</v>
      </c>
      <c r="AZD51">
        <f t="shared" si="123"/>
        <v>43</v>
      </c>
      <c r="AZE51">
        <f t="shared" si="123"/>
        <v>43</v>
      </c>
      <c r="AZF51">
        <f t="shared" si="123"/>
        <v>43</v>
      </c>
      <c r="AZG51">
        <f t="shared" si="123"/>
        <v>43</v>
      </c>
      <c r="AZH51">
        <f t="shared" si="123"/>
        <v>43</v>
      </c>
      <c r="AZI51">
        <f t="shared" si="123"/>
        <v>43</v>
      </c>
      <c r="AZJ51">
        <f t="shared" si="123"/>
        <v>43</v>
      </c>
      <c r="AZK51">
        <f t="shared" si="123"/>
        <v>43</v>
      </c>
      <c r="AZL51">
        <f t="shared" si="123"/>
        <v>43</v>
      </c>
      <c r="AZM51">
        <f t="shared" si="123"/>
        <v>43</v>
      </c>
      <c r="AZN51">
        <f t="shared" si="123"/>
        <v>43</v>
      </c>
      <c r="AZO51">
        <f t="shared" si="123"/>
        <v>43</v>
      </c>
      <c r="AZP51">
        <f t="shared" si="123"/>
        <v>43</v>
      </c>
      <c r="AZQ51">
        <f t="shared" si="123"/>
        <v>43</v>
      </c>
      <c r="AZR51">
        <f t="shared" si="123"/>
        <v>43</v>
      </c>
      <c r="AZS51">
        <f t="shared" si="123"/>
        <v>43</v>
      </c>
      <c r="AZT51">
        <f t="shared" si="123"/>
        <v>43</v>
      </c>
      <c r="AZU51">
        <f t="shared" si="123"/>
        <v>43</v>
      </c>
      <c r="AZV51">
        <f t="shared" si="123"/>
        <v>43</v>
      </c>
      <c r="AZW51">
        <f t="shared" si="123"/>
        <v>43</v>
      </c>
      <c r="AZX51">
        <f t="shared" si="123"/>
        <v>43</v>
      </c>
      <c r="AZY51">
        <f t="shared" si="123"/>
        <v>43</v>
      </c>
      <c r="AZZ51">
        <f t="shared" si="123"/>
        <v>43</v>
      </c>
      <c r="BAA51">
        <f t="shared" si="123"/>
        <v>43</v>
      </c>
      <c r="BAB51">
        <f t="shared" si="123"/>
        <v>43</v>
      </c>
      <c r="BAC51">
        <f t="shared" si="123"/>
        <v>43</v>
      </c>
      <c r="BAD51">
        <f t="shared" si="123"/>
        <v>43</v>
      </c>
      <c r="BAE51">
        <f t="shared" ref="BAE51:BCP51" si="124">COUNTBLANK(BAE6:BAE49)</f>
        <v>43</v>
      </c>
      <c r="BAF51">
        <f t="shared" si="124"/>
        <v>43</v>
      </c>
      <c r="BAG51">
        <f t="shared" si="124"/>
        <v>43</v>
      </c>
      <c r="BAH51">
        <f t="shared" si="124"/>
        <v>43</v>
      </c>
      <c r="BAI51">
        <f t="shared" si="124"/>
        <v>43</v>
      </c>
      <c r="BAJ51">
        <f t="shared" si="124"/>
        <v>43</v>
      </c>
      <c r="BAK51">
        <f t="shared" si="124"/>
        <v>43</v>
      </c>
      <c r="BAL51">
        <f t="shared" si="124"/>
        <v>43</v>
      </c>
      <c r="BAM51">
        <f t="shared" si="124"/>
        <v>43</v>
      </c>
      <c r="BAN51">
        <f t="shared" si="124"/>
        <v>43</v>
      </c>
      <c r="BAO51">
        <f t="shared" si="124"/>
        <v>43</v>
      </c>
      <c r="BAP51">
        <f t="shared" si="124"/>
        <v>43</v>
      </c>
      <c r="BAQ51">
        <f t="shared" si="124"/>
        <v>43</v>
      </c>
      <c r="BAR51">
        <f t="shared" si="124"/>
        <v>43</v>
      </c>
      <c r="BAS51">
        <f t="shared" si="124"/>
        <v>43</v>
      </c>
      <c r="BAT51">
        <f t="shared" si="124"/>
        <v>43</v>
      </c>
      <c r="BAU51">
        <f t="shared" si="124"/>
        <v>43</v>
      </c>
      <c r="BAV51">
        <f t="shared" si="124"/>
        <v>43</v>
      </c>
      <c r="BAW51">
        <f t="shared" si="124"/>
        <v>43</v>
      </c>
      <c r="BAX51">
        <f t="shared" si="124"/>
        <v>43</v>
      </c>
      <c r="BAY51">
        <f t="shared" si="124"/>
        <v>43</v>
      </c>
      <c r="BAZ51">
        <f t="shared" si="124"/>
        <v>43</v>
      </c>
      <c r="BBA51">
        <f t="shared" si="124"/>
        <v>43</v>
      </c>
      <c r="BBB51">
        <f t="shared" si="124"/>
        <v>43</v>
      </c>
      <c r="BBC51">
        <f t="shared" si="124"/>
        <v>43</v>
      </c>
      <c r="BBD51">
        <f t="shared" si="124"/>
        <v>43</v>
      </c>
      <c r="BBE51">
        <f t="shared" si="124"/>
        <v>43</v>
      </c>
      <c r="BBF51">
        <f t="shared" si="124"/>
        <v>43</v>
      </c>
      <c r="BBG51">
        <f t="shared" si="124"/>
        <v>43</v>
      </c>
      <c r="BBH51">
        <f t="shared" si="124"/>
        <v>43</v>
      </c>
      <c r="BBI51">
        <f t="shared" si="124"/>
        <v>43</v>
      </c>
      <c r="BBJ51">
        <f t="shared" si="124"/>
        <v>43</v>
      </c>
      <c r="BBK51">
        <f t="shared" si="124"/>
        <v>43</v>
      </c>
      <c r="BBL51">
        <f t="shared" si="124"/>
        <v>43</v>
      </c>
      <c r="BBM51">
        <f t="shared" si="124"/>
        <v>43</v>
      </c>
      <c r="BBN51">
        <f t="shared" si="124"/>
        <v>43</v>
      </c>
      <c r="BBO51">
        <f t="shared" si="124"/>
        <v>43</v>
      </c>
      <c r="BBP51">
        <f t="shared" si="124"/>
        <v>43</v>
      </c>
      <c r="BBQ51">
        <f t="shared" si="124"/>
        <v>43</v>
      </c>
      <c r="BBR51">
        <f t="shared" si="124"/>
        <v>43</v>
      </c>
      <c r="BBS51">
        <f t="shared" si="124"/>
        <v>43</v>
      </c>
      <c r="BBT51">
        <f t="shared" si="124"/>
        <v>43</v>
      </c>
      <c r="BBU51">
        <f t="shared" si="124"/>
        <v>43</v>
      </c>
      <c r="BBV51">
        <f t="shared" si="124"/>
        <v>43</v>
      </c>
      <c r="BBW51">
        <f t="shared" si="124"/>
        <v>43</v>
      </c>
      <c r="BBX51">
        <f t="shared" si="124"/>
        <v>43</v>
      </c>
      <c r="BBY51">
        <f t="shared" si="124"/>
        <v>43</v>
      </c>
      <c r="BBZ51">
        <f t="shared" si="124"/>
        <v>43</v>
      </c>
      <c r="BCA51">
        <f t="shared" si="124"/>
        <v>43</v>
      </c>
      <c r="BCB51">
        <f t="shared" si="124"/>
        <v>43</v>
      </c>
      <c r="BCC51">
        <f t="shared" si="124"/>
        <v>43</v>
      </c>
      <c r="BCD51">
        <f t="shared" si="124"/>
        <v>43</v>
      </c>
      <c r="BCE51">
        <f t="shared" si="124"/>
        <v>43</v>
      </c>
      <c r="BCF51">
        <f t="shared" si="124"/>
        <v>43</v>
      </c>
      <c r="BCG51">
        <f t="shared" si="124"/>
        <v>43</v>
      </c>
      <c r="BCH51">
        <f t="shared" si="124"/>
        <v>43</v>
      </c>
      <c r="BCI51">
        <f t="shared" si="124"/>
        <v>43</v>
      </c>
      <c r="BCJ51">
        <f t="shared" si="124"/>
        <v>43</v>
      </c>
      <c r="BCK51">
        <f t="shared" si="124"/>
        <v>43</v>
      </c>
      <c r="BCL51">
        <f t="shared" si="124"/>
        <v>43</v>
      </c>
      <c r="BCM51">
        <f t="shared" si="124"/>
        <v>43</v>
      </c>
      <c r="BCN51">
        <f t="shared" si="124"/>
        <v>43</v>
      </c>
      <c r="BCO51">
        <f t="shared" si="124"/>
        <v>43</v>
      </c>
      <c r="BCP51">
        <f t="shared" si="124"/>
        <v>43</v>
      </c>
      <c r="BCQ51">
        <f t="shared" ref="BCQ51:BFB51" si="125">COUNTBLANK(BCQ6:BCQ49)</f>
        <v>43</v>
      </c>
      <c r="BCR51">
        <f t="shared" si="125"/>
        <v>43</v>
      </c>
      <c r="BCS51">
        <f t="shared" si="125"/>
        <v>43</v>
      </c>
      <c r="BCT51">
        <f t="shared" si="125"/>
        <v>43</v>
      </c>
      <c r="BCU51">
        <f t="shared" si="125"/>
        <v>43</v>
      </c>
      <c r="BCV51">
        <f t="shared" si="125"/>
        <v>43</v>
      </c>
      <c r="BCW51">
        <f t="shared" si="125"/>
        <v>43</v>
      </c>
      <c r="BCX51">
        <f t="shared" si="125"/>
        <v>43</v>
      </c>
      <c r="BCY51">
        <f t="shared" si="125"/>
        <v>43</v>
      </c>
      <c r="BCZ51">
        <f t="shared" si="125"/>
        <v>43</v>
      </c>
      <c r="BDA51">
        <f t="shared" si="125"/>
        <v>43</v>
      </c>
      <c r="BDB51">
        <f t="shared" si="125"/>
        <v>43</v>
      </c>
      <c r="BDC51">
        <f t="shared" si="125"/>
        <v>43</v>
      </c>
      <c r="BDD51">
        <f t="shared" si="125"/>
        <v>43</v>
      </c>
      <c r="BDE51">
        <f t="shared" si="125"/>
        <v>43</v>
      </c>
      <c r="BDF51">
        <f t="shared" si="125"/>
        <v>43</v>
      </c>
      <c r="BDG51">
        <f t="shared" si="125"/>
        <v>43</v>
      </c>
      <c r="BDH51">
        <f t="shared" si="125"/>
        <v>43</v>
      </c>
      <c r="BDI51">
        <f t="shared" si="125"/>
        <v>43</v>
      </c>
      <c r="BDJ51">
        <f t="shared" si="125"/>
        <v>43</v>
      </c>
      <c r="BDK51">
        <f t="shared" si="125"/>
        <v>43</v>
      </c>
      <c r="BDL51">
        <f t="shared" si="125"/>
        <v>43</v>
      </c>
      <c r="BDM51">
        <f t="shared" si="125"/>
        <v>43</v>
      </c>
      <c r="BDN51">
        <f t="shared" si="125"/>
        <v>43</v>
      </c>
      <c r="BDO51">
        <f t="shared" si="125"/>
        <v>43</v>
      </c>
      <c r="BDP51">
        <f t="shared" si="125"/>
        <v>43</v>
      </c>
      <c r="BDQ51">
        <f t="shared" si="125"/>
        <v>43</v>
      </c>
      <c r="BDR51">
        <f t="shared" si="125"/>
        <v>43</v>
      </c>
      <c r="BDS51">
        <f t="shared" si="125"/>
        <v>43</v>
      </c>
      <c r="BDT51">
        <f t="shared" si="125"/>
        <v>43</v>
      </c>
      <c r="BDU51">
        <f t="shared" si="125"/>
        <v>43</v>
      </c>
      <c r="BDV51">
        <f t="shared" si="125"/>
        <v>43</v>
      </c>
      <c r="BDW51">
        <f t="shared" si="125"/>
        <v>43</v>
      </c>
      <c r="BDX51">
        <f t="shared" si="125"/>
        <v>43</v>
      </c>
      <c r="BDY51">
        <f t="shared" si="125"/>
        <v>43</v>
      </c>
      <c r="BDZ51">
        <f t="shared" si="125"/>
        <v>43</v>
      </c>
      <c r="BEA51">
        <f t="shared" si="125"/>
        <v>43</v>
      </c>
      <c r="BEB51">
        <f t="shared" si="125"/>
        <v>43</v>
      </c>
      <c r="BEC51">
        <f t="shared" si="125"/>
        <v>43</v>
      </c>
      <c r="BED51">
        <f t="shared" si="125"/>
        <v>43</v>
      </c>
      <c r="BEE51">
        <f t="shared" si="125"/>
        <v>43</v>
      </c>
      <c r="BEF51">
        <f t="shared" si="125"/>
        <v>43</v>
      </c>
      <c r="BEG51">
        <f t="shared" si="125"/>
        <v>43</v>
      </c>
      <c r="BEH51">
        <f t="shared" si="125"/>
        <v>43</v>
      </c>
      <c r="BEI51">
        <f t="shared" si="125"/>
        <v>43</v>
      </c>
      <c r="BEJ51">
        <f t="shared" si="125"/>
        <v>43</v>
      </c>
      <c r="BEK51">
        <f t="shared" si="125"/>
        <v>43</v>
      </c>
      <c r="BEL51">
        <f t="shared" si="125"/>
        <v>43</v>
      </c>
      <c r="BEM51">
        <f t="shared" si="125"/>
        <v>43</v>
      </c>
      <c r="BEN51">
        <f t="shared" si="125"/>
        <v>43</v>
      </c>
      <c r="BEO51">
        <f t="shared" si="125"/>
        <v>43</v>
      </c>
      <c r="BEP51">
        <f t="shared" si="125"/>
        <v>43</v>
      </c>
      <c r="BEQ51">
        <f t="shared" si="125"/>
        <v>43</v>
      </c>
      <c r="BER51">
        <f t="shared" si="125"/>
        <v>43</v>
      </c>
      <c r="BES51">
        <f t="shared" si="125"/>
        <v>43</v>
      </c>
      <c r="BET51">
        <f t="shared" si="125"/>
        <v>43</v>
      </c>
      <c r="BEU51">
        <f t="shared" si="125"/>
        <v>43</v>
      </c>
      <c r="BEV51">
        <f t="shared" si="125"/>
        <v>43</v>
      </c>
      <c r="BEW51">
        <f t="shared" si="125"/>
        <v>43</v>
      </c>
      <c r="BEX51">
        <f t="shared" si="125"/>
        <v>43</v>
      </c>
      <c r="BEY51">
        <f t="shared" si="125"/>
        <v>43</v>
      </c>
      <c r="BEZ51">
        <f t="shared" si="125"/>
        <v>43</v>
      </c>
      <c r="BFA51">
        <f t="shared" si="125"/>
        <v>43</v>
      </c>
      <c r="BFB51">
        <f t="shared" si="125"/>
        <v>43</v>
      </c>
      <c r="BFC51">
        <f t="shared" ref="BFC51:BHN51" si="126">COUNTBLANK(BFC6:BFC49)</f>
        <v>43</v>
      </c>
      <c r="BFD51">
        <f t="shared" si="126"/>
        <v>43</v>
      </c>
      <c r="BFE51">
        <f t="shared" si="126"/>
        <v>43</v>
      </c>
      <c r="BFF51">
        <f t="shared" si="126"/>
        <v>43</v>
      </c>
      <c r="BFG51">
        <f t="shared" si="126"/>
        <v>43</v>
      </c>
      <c r="BFH51">
        <f t="shared" si="126"/>
        <v>43</v>
      </c>
      <c r="BFI51">
        <f t="shared" si="126"/>
        <v>43</v>
      </c>
      <c r="BFJ51">
        <f t="shared" si="126"/>
        <v>43</v>
      </c>
      <c r="BFK51">
        <f t="shared" si="126"/>
        <v>43</v>
      </c>
      <c r="BFL51">
        <f t="shared" si="126"/>
        <v>43</v>
      </c>
      <c r="BFM51">
        <f t="shared" si="126"/>
        <v>43</v>
      </c>
      <c r="BFN51">
        <f t="shared" si="126"/>
        <v>43</v>
      </c>
      <c r="BFO51">
        <f t="shared" si="126"/>
        <v>43</v>
      </c>
      <c r="BFP51">
        <f t="shared" si="126"/>
        <v>43</v>
      </c>
      <c r="BFQ51">
        <f t="shared" si="126"/>
        <v>43</v>
      </c>
      <c r="BFR51">
        <f t="shared" si="126"/>
        <v>43</v>
      </c>
      <c r="BFS51">
        <f t="shared" si="126"/>
        <v>43</v>
      </c>
      <c r="BFT51">
        <f t="shared" si="126"/>
        <v>43</v>
      </c>
      <c r="BFU51">
        <f t="shared" si="126"/>
        <v>43</v>
      </c>
      <c r="BFV51">
        <f t="shared" si="126"/>
        <v>43</v>
      </c>
      <c r="BFW51">
        <f t="shared" si="126"/>
        <v>43</v>
      </c>
      <c r="BFX51">
        <f t="shared" si="126"/>
        <v>43</v>
      </c>
      <c r="BFY51">
        <f t="shared" si="126"/>
        <v>43</v>
      </c>
      <c r="BFZ51">
        <f t="shared" si="126"/>
        <v>43</v>
      </c>
      <c r="BGA51">
        <f t="shared" si="126"/>
        <v>43</v>
      </c>
      <c r="BGB51">
        <f t="shared" si="126"/>
        <v>43</v>
      </c>
      <c r="BGC51">
        <f t="shared" si="126"/>
        <v>43</v>
      </c>
      <c r="BGD51">
        <f t="shared" si="126"/>
        <v>43</v>
      </c>
      <c r="BGE51">
        <f t="shared" si="126"/>
        <v>43</v>
      </c>
      <c r="BGF51">
        <f t="shared" si="126"/>
        <v>43</v>
      </c>
      <c r="BGG51">
        <f t="shared" si="126"/>
        <v>43</v>
      </c>
      <c r="BGH51">
        <f t="shared" si="126"/>
        <v>43</v>
      </c>
      <c r="BGI51">
        <f t="shared" si="126"/>
        <v>43</v>
      </c>
      <c r="BGJ51">
        <f t="shared" si="126"/>
        <v>43</v>
      </c>
      <c r="BGK51">
        <f t="shared" si="126"/>
        <v>43</v>
      </c>
      <c r="BGL51">
        <f t="shared" si="126"/>
        <v>43</v>
      </c>
      <c r="BGM51">
        <f t="shared" si="126"/>
        <v>43</v>
      </c>
      <c r="BGN51">
        <f t="shared" si="126"/>
        <v>43</v>
      </c>
      <c r="BGO51">
        <f t="shared" si="126"/>
        <v>43</v>
      </c>
      <c r="BGP51">
        <f t="shared" si="126"/>
        <v>43</v>
      </c>
      <c r="BGQ51">
        <f t="shared" si="126"/>
        <v>43</v>
      </c>
      <c r="BGR51">
        <f t="shared" si="126"/>
        <v>43</v>
      </c>
      <c r="BGS51">
        <f t="shared" si="126"/>
        <v>43</v>
      </c>
      <c r="BGT51">
        <f t="shared" si="126"/>
        <v>43</v>
      </c>
      <c r="BGU51">
        <f t="shared" si="126"/>
        <v>43</v>
      </c>
      <c r="BGV51">
        <f t="shared" si="126"/>
        <v>43</v>
      </c>
      <c r="BGW51">
        <f t="shared" si="126"/>
        <v>43</v>
      </c>
      <c r="BGX51">
        <f t="shared" si="126"/>
        <v>43</v>
      </c>
      <c r="BGY51">
        <f t="shared" si="126"/>
        <v>43</v>
      </c>
      <c r="BGZ51">
        <f t="shared" si="126"/>
        <v>43</v>
      </c>
      <c r="BHA51">
        <f t="shared" si="126"/>
        <v>43</v>
      </c>
      <c r="BHB51">
        <f t="shared" si="126"/>
        <v>43</v>
      </c>
      <c r="BHC51">
        <f t="shared" si="126"/>
        <v>43</v>
      </c>
      <c r="BHD51">
        <f t="shared" si="126"/>
        <v>43</v>
      </c>
      <c r="BHE51">
        <f t="shared" si="126"/>
        <v>43</v>
      </c>
      <c r="BHF51">
        <f t="shared" si="126"/>
        <v>43</v>
      </c>
      <c r="BHG51">
        <f t="shared" si="126"/>
        <v>43</v>
      </c>
      <c r="BHH51">
        <f t="shared" si="126"/>
        <v>43</v>
      </c>
      <c r="BHI51">
        <f t="shared" si="126"/>
        <v>43</v>
      </c>
      <c r="BHJ51">
        <f t="shared" si="126"/>
        <v>43</v>
      </c>
      <c r="BHK51">
        <f t="shared" si="126"/>
        <v>43</v>
      </c>
      <c r="BHL51">
        <f t="shared" si="126"/>
        <v>43</v>
      </c>
      <c r="BHM51">
        <f t="shared" si="126"/>
        <v>43</v>
      </c>
      <c r="BHN51">
        <f t="shared" si="126"/>
        <v>43</v>
      </c>
      <c r="BHO51">
        <f t="shared" ref="BHO51:BJZ51" si="127">COUNTBLANK(BHO6:BHO49)</f>
        <v>43</v>
      </c>
      <c r="BHP51">
        <f t="shared" si="127"/>
        <v>43</v>
      </c>
      <c r="BHQ51">
        <f t="shared" si="127"/>
        <v>43</v>
      </c>
      <c r="BHR51">
        <f t="shared" si="127"/>
        <v>43</v>
      </c>
      <c r="BHS51">
        <f t="shared" si="127"/>
        <v>43</v>
      </c>
      <c r="BHT51">
        <f t="shared" si="127"/>
        <v>43</v>
      </c>
      <c r="BHU51">
        <f t="shared" si="127"/>
        <v>43</v>
      </c>
      <c r="BHV51">
        <f t="shared" si="127"/>
        <v>43</v>
      </c>
      <c r="BHW51">
        <f t="shared" si="127"/>
        <v>43</v>
      </c>
      <c r="BHX51">
        <f t="shared" si="127"/>
        <v>43</v>
      </c>
      <c r="BHY51">
        <f t="shared" si="127"/>
        <v>43</v>
      </c>
      <c r="BHZ51">
        <f t="shared" si="127"/>
        <v>43</v>
      </c>
      <c r="BIA51">
        <f t="shared" si="127"/>
        <v>43</v>
      </c>
      <c r="BIB51">
        <f t="shared" si="127"/>
        <v>43</v>
      </c>
      <c r="BIC51">
        <f t="shared" si="127"/>
        <v>43</v>
      </c>
      <c r="BID51">
        <f t="shared" si="127"/>
        <v>43</v>
      </c>
      <c r="BIE51">
        <f t="shared" si="127"/>
        <v>43</v>
      </c>
      <c r="BIF51">
        <f t="shared" si="127"/>
        <v>43</v>
      </c>
      <c r="BIG51">
        <f t="shared" si="127"/>
        <v>43</v>
      </c>
      <c r="BIH51">
        <f t="shared" si="127"/>
        <v>43</v>
      </c>
      <c r="BII51">
        <f t="shared" si="127"/>
        <v>43</v>
      </c>
      <c r="BIJ51">
        <f t="shared" si="127"/>
        <v>43</v>
      </c>
      <c r="BIK51">
        <f t="shared" si="127"/>
        <v>43</v>
      </c>
      <c r="BIL51">
        <f t="shared" si="127"/>
        <v>43</v>
      </c>
      <c r="BIM51">
        <f t="shared" si="127"/>
        <v>43</v>
      </c>
      <c r="BIN51">
        <f t="shared" si="127"/>
        <v>43</v>
      </c>
      <c r="BIO51">
        <f t="shared" si="127"/>
        <v>43</v>
      </c>
      <c r="BIP51">
        <f t="shared" si="127"/>
        <v>43</v>
      </c>
      <c r="BIQ51">
        <f t="shared" si="127"/>
        <v>43</v>
      </c>
      <c r="BIR51">
        <f t="shared" si="127"/>
        <v>43</v>
      </c>
      <c r="BIS51">
        <f t="shared" si="127"/>
        <v>43</v>
      </c>
      <c r="BIT51">
        <f t="shared" si="127"/>
        <v>43</v>
      </c>
      <c r="BIU51">
        <f t="shared" si="127"/>
        <v>43</v>
      </c>
      <c r="BIV51">
        <f t="shared" si="127"/>
        <v>43</v>
      </c>
      <c r="BIW51">
        <f t="shared" si="127"/>
        <v>43</v>
      </c>
      <c r="BIX51">
        <f t="shared" si="127"/>
        <v>43</v>
      </c>
      <c r="BIY51">
        <f t="shared" si="127"/>
        <v>43</v>
      </c>
      <c r="BIZ51">
        <f t="shared" si="127"/>
        <v>43</v>
      </c>
      <c r="BJA51">
        <f t="shared" si="127"/>
        <v>43</v>
      </c>
      <c r="BJB51">
        <f t="shared" si="127"/>
        <v>43</v>
      </c>
      <c r="BJC51">
        <f t="shared" si="127"/>
        <v>43</v>
      </c>
      <c r="BJD51">
        <f t="shared" si="127"/>
        <v>43</v>
      </c>
      <c r="BJE51">
        <f t="shared" si="127"/>
        <v>43</v>
      </c>
      <c r="BJF51">
        <f t="shared" si="127"/>
        <v>43</v>
      </c>
      <c r="BJG51">
        <f t="shared" si="127"/>
        <v>43</v>
      </c>
      <c r="BJH51">
        <f t="shared" si="127"/>
        <v>43</v>
      </c>
      <c r="BJI51">
        <f t="shared" si="127"/>
        <v>43</v>
      </c>
      <c r="BJJ51">
        <f t="shared" si="127"/>
        <v>43</v>
      </c>
      <c r="BJK51">
        <f t="shared" si="127"/>
        <v>43</v>
      </c>
      <c r="BJL51">
        <f t="shared" si="127"/>
        <v>43</v>
      </c>
      <c r="BJM51">
        <f t="shared" si="127"/>
        <v>43</v>
      </c>
      <c r="BJN51">
        <f t="shared" si="127"/>
        <v>43</v>
      </c>
      <c r="BJO51">
        <f t="shared" si="127"/>
        <v>43</v>
      </c>
      <c r="BJP51">
        <f t="shared" si="127"/>
        <v>43</v>
      </c>
      <c r="BJQ51">
        <f t="shared" si="127"/>
        <v>43</v>
      </c>
      <c r="BJR51">
        <f t="shared" si="127"/>
        <v>43</v>
      </c>
      <c r="BJS51">
        <f t="shared" si="127"/>
        <v>43</v>
      </c>
      <c r="BJT51">
        <f t="shared" si="127"/>
        <v>43</v>
      </c>
      <c r="BJU51">
        <f t="shared" si="127"/>
        <v>43</v>
      </c>
      <c r="BJV51">
        <f t="shared" si="127"/>
        <v>43</v>
      </c>
      <c r="BJW51">
        <f t="shared" si="127"/>
        <v>43</v>
      </c>
      <c r="BJX51">
        <f t="shared" si="127"/>
        <v>43</v>
      </c>
      <c r="BJY51">
        <f t="shared" si="127"/>
        <v>43</v>
      </c>
      <c r="BJZ51">
        <f t="shared" si="127"/>
        <v>43</v>
      </c>
      <c r="BKA51">
        <f t="shared" ref="BKA51:BML51" si="128">COUNTBLANK(BKA6:BKA49)</f>
        <v>43</v>
      </c>
      <c r="BKB51">
        <f t="shared" si="128"/>
        <v>43</v>
      </c>
      <c r="BKC51">
        <f t="shared" si="128"/>
        <v>43</v>
      </c>
      <c r="BKD51">
        <f t="shared" si="128"/>
        <v>43</v>
      </c>
      <c r="BKE51">
        <f t="shared" si="128"/>
        <v>43</v>
      </c>
      <c r="BKF51">
        <f t="shared" si="128"/>
        <v>43</v>
      </c>
      <c r="BKG51">
        <f t="shared" si="128"/>
        <v>43</v>
      </c>
      <c r="BKH51">
        <f t="shared" si="128"/>
        <v>43</v>
      </c>
      <c r="BKI51">
        <f t="shared" si="128"/>
        <v>43</v>
      </c>
      <c r="BKJ51">
        <f t="shared" si="128"/>
        <v>43</v>
      </c>
      <c r="BKK51">
        <f t="shared" si="128"/>
        <v>43</v>
      </c>
      <c r="BKL51">
        <f t="shared" si="128"/>
        <v>43</v>
      </c>
      <c r="BKM51">
        <f t="shared" si="128"/>
        <v>43</v>
      </c>
      <c r="BKN51">
        <f t="shared" si="128"/>
        <v>43</v>
      </c>
      <c r="BKO51">
        <f t="shared" si="128"/>
        <v>43</v>
      </c>
      <c r="BKP51">
        <f t="shared" si="128"/>
        <v>43</v>
      </c>
      <c r="BKQ51">
        <f t="shared" si="128"/>
        <v>43</v>
      </c>
      <c r="BKR51">
        <f t="shared" si="128"/>
        <v>43</v>
      </c>
      <c r="BKS51">
        <f t="shared" si="128"/>
        <v>43</v>
      </c>
      <c r="BKT51">
        <f t="shared" si="128"/>
        <v>43</v>
      </c>
      <c r="BKU51">
        <f t="shared" si="128"/>
        <v>43</v>
      </c>
      <c r="BKV51">
        <f t="shared" si="128"/>
        <v>43</v>
      </c>
      <c r="BKW51">
        <f t="shared" si="128"/>
        <v>43</v>
      </c>
      <c r="BKX51">
        <f t="shared" si="128"/>
        <v>43</v>
      </c>
      <c r="BKY51">
        <f t="shared" si="128"/>
        <v>43</v>
      </c>
      <c r="BKZ51">
        <f t="shared" si="128"/>
        <v>43</v>
      </c>
      <c r="BLA51">
        <f t="shared" si="128"/>
        <v>43</v>
      </c>
      <c r="BLB51">
        <f t="shared" si="128"/>
        <v>43</v>
      </c>
      <c r="BLC51">
        <f t="shared" si="128"/>
        <v>43</v>
      </c>
      <c r="BLD51">
        <f t="shared" si="128"/>
        <v>43</v>
      </c>
      <c r="BLE51">
        <f t="shared" si="128"/>
        <v>43</v>
      </c>
      <c r="BLF51">
        <f t="shared" si="128"/>
        <v>43</v>
      </c>
      <c r="BLG51">
        <f t="shared" si="128"/>
        <v>43</v>
      </c>
      <c r="BLH51">
        <f t="shared" si="128"/>
        <v>43</v>
      </c>
      <c r="BLI51">
        <f t="shared" si="128"/>
        <v>43</v>
      </c>
      <c r="BLJ51">
        <f t="shared" si="128"/>
        <v>43</v>
      </c>
      <c r="BLK51">
        <f t="shared" si="128"/>
        <v>43</v>
      </c>
      <c r="BLL51">
        <f t="shared" si="128"/>
        <v>43</v>
      </c>
      <c r="BLM51">
        <f t="shared" si="128"/>
        <v>43</v>
      </c>
      <c r="BLN51">
        <f t="shared" si="128"/>
        <v>43</v>
      </c>
      <c r="BLO51">
        <f t="shared" si="128"/>
        <v>43</v>
      </c>
      <c r="BLP51">
        <f t="shared" si="128"/>
        <v>43</v>
      </c>
      <c r="BLQ51">
        <f t="shared" si="128"/>
        <v>43</v>
      </c>
      <c r="BLR51">
        <f t="shared" si="128"/>
        <v>43</v>
      </c>
      <c r="BLS51">
        <f t="shared" si="128"/>
        <v>43</v>
      </c>
      <c r="BLT51">
        <f t="shared" si="128"/>
        <v>43</v>
      </c>
      <c r="BLU51">
        <f t="shared" si="128"/>
        <v>43</v>
      </c>
      <c r="BLV51">
        <f t="shared" si="128"/>
        <v>43</v>
      </c>
      <c r="BLW51">
        <f t="shared" si="128"/>
        <v>43</v>
      </c>
      <c r="BLX51">
        <f t="shared" si="128"/>
        <v>43</v>
      </c>
      <c r="BLY51">
        <f t="shared" si="128"/>
        <v>43</v>
      </c>
      <c r="BLZ51">
        <f t="shared" si="128"/>
        <v>43</v>
      </c>
      <c r="BMA51">
        <f t="shared" si="128"/>
        <v>43</v>
      </c>
      <c r="BMB51">
        <f t="shared" si="128"/>
        <v>43</v>
      </c>
      <c r="BMC51">
        <f t="shared" si="128"/>
        <v>43</v>
      </c>
      <c r="BMD51">
        <f t="shared" si="128"/>
        <v>43</v>
      </c>
      <c r="BME51">
        <f t="shared" si="128"/>
        <v>43</v>
      </c>
      <c r="BMF51">
        <f t="shared" si="128"/>
        <v>43</v>
      </c>
      <c r="BMG51">
        <f t="shared" si="128"/>
        <v>43</v>
      </c>
      <c r="BMH51">
        <f t="shared" si="128"/>
        <v>43</v>
      </c>
      <c r="BMI51">
        <f t="shared" si="128"/>
        <v>43</v>
      </c>
      <c r="BMJ51">
        <f t="shared" si="128"/>
        <v>43</v>
      </c>
      <c r="BMK51">
        <f t="shared" si="128"/>
        <v>43</v>
      </c>
      <c r="BML51">
        <f t="shared" si="128"/>
        <v>43</v>
      </c>
      <c r="BMM51">
        <f t="shared" ref="BMM51:BOX51" si="129">COUNTBLANK(BMM6:BMM49)</f>
        <v>43</v>
      </c>
      <c r="BMN51">
        <f t="shared" si="129"/>
        <v>43</v>
      </c>
      <c r="BMO51">
        <f t="shared" si="129"/>
        <v>43</v>
      </c>
      <c r="BMP51">
        <f t="shared" si="129"/>
        <v>43</v>
      </c>
      <c r="BMQ51">
        <f t="shared" si="129"/>
        <v>43</v>
      </c>
      <c r="BMR51">
        <f t="shared" si="129"/>
        <v>43</v>
      </c>
      <c r="BMS51">
        <f t="shared" si="129"/>
        <v>43</v>
      </c>
      <c r="BMT51">
        <f t="shared" si="129"/>
        <v>43</v>
      </c>
      <c r="BMU51">
        <f t="shared" si="129"/>
        <v>43</v>
      </c>
      <c r="BMV51">
        <f t="shared" si="129"/>
        <v>43</v>
      </c>
      <c r="BMW51">
        <f t="shared" si="129"/>
        <v>43</v>
      </c>
      <c r="BMX51">
        <f t="shared" si="129"/>
        <v>43</v>
      </c>
      <c r="BMY51">
        <f t="shared" si="129"/>
        <v>43</v>
      </c>
      <c r="BMZ51">
        <f t="shared" si="129"/>
        <v>43</v>
      </c>
      <c r="BNA51">
        <f t="shared" si="129"/>
        <v>43</v>
      </c>
      <c r="BNB51">
        <f t="shared" si="129"/>
        <v>43</v>
      </c>
      <c r="BNC51">
        <f t="shared" si="129"/>
        <v>43</v>
      </c>
      <c r="BND51">
        <f t="shared" si="129"/>
        <v>43</v>
      </c>
      <c r="BNE51">
        <f t="shared" si="129"/>
        <v>43</v>
      </c>
      <c r="BNF51">
        <f t="shared" si="129"/>
        <v>43</v>
      </c>
      <c r="BNG51">
        <f t="shared" si="129"/>
        <v>43</v>
      </c>
      <c r="BNH51">
        <f t="shared" si="129"/>
        <v>43</v>
      </c>
      <c r="BNI51">
        <f t="shared" si="129"/>
        <v>43</v>
      </c>
      <c r="BNJ51">
        <f t="shared" si="129"/>
        <v>43</v>
      </c>
      <c r="BNK51">
        <f t="shared" si="129"/>
        <v>43</v>
      </c>
      <c r="BNL51">
        <f t="shared" si="129"/>
        <v>43</v>
      </c>
      <c r="BNM51">
        <f t="shared" si="129"/>
        <v>43</v>
      </c>
      <c r="BNN51">
        <f t="shared" si="129"/>
        <v>43</v>
      </c>
      <c r="BNO51">
        <f t="shared" si="129"/>
        <v>43</v>
      </c>
      <c r="BNP51">
        <f t="shared" si="129"/>
        <v>43</v>
      </c>
      <c r="BNQ51">
        <f t="shared" si="129"/>
        <v>43</v>
      </c>
      <c r="BNR51">
        <f t="shared" si="129"/>
        <v>43</v>
      </c>
      <c r="BNS51">
        <f t="shared" si="129"/>
        <v>43</v>
      </c>
      <c r="BNT51">
        <f t="shared" si="129"/>
        <v>43</v>
      </c>
      <c r="BNU51">
        <f t="shared" si="129"/>
        <v>43</v>
      </c>
      <c r="BNV51">
        <f t="shared" si="129"/>
        <v>43</v>
      </c>
      <c r="BNW51">
        <f t="shared" si="129"/>
        <v>43</v>
      </c>
      <c r="BNX51">
        <f t="shared" si="129"/>
        <v>43</v>
      </c>
      <c r="BNY51">
        <f t="shared" si="129"/>
        <v>43</v>
      </c>
      <c r="BNZ51">
        <f t="shared" si="129"/>
        <v>43</v>
      </c>
      <c r="BOA51">
        <f t="shared" si="129"/>
        <v>43</v>
      </c>
      <c r="BOB51">
        <f t="shared" si="129"/>
        <v>43</v>
      </c>
      <c r="BOC51">
        <f t="shared" si="129"/>
        <v>43</v>
      </c>
      <c r="BOD51">
        <f t="shared" si="129"/>
        <v>43</v>
      </c>
      <c r="BOE51">
        <f t="shared" si="129"/>
        <v>43</v>
      </c>
      <c r="BOF51">
        <f t="shared" si="129"/>
        <v>43</v>
      </c>
      <c r="BOG51">
        <f t="shared" si="129"/>
        <v>43</v>
      </c>
      <c r="BOH51">
        <f t="shared" si="129"/>
        <v>43</v>
      </c>
      <c r="BOI51">
        <f t="shared" si="129"/>
        <v>43</v>
      </c>
      <c r="BOJ51">
        <f t="shared" si="129"/>
        <v>43</v>
      </c>
      <c r="BOK51">
        <f t="shared" si="129"/>
        <v>43</v>
      </c>
      <c r="BOL51">
        <f t="shared" si="129"/>
        <v>43</v>
      </c>
      <c r="BOM51">
        <f t="shared" si="129"/>
        <v>43</v>
      </c>
      <c r="BON51">
        <f t="shared" si="129"/>
        <v>43</v>
      </c>
      <c r="BOO51">
        <f t="shared" si="129"/>
        <v>43</v>
      </c>
      <c r="BOP51">
        <f t="shared" si="129"/>
        <v>43</v>
      </c>
      <c r="BOQ51">
        <f t="shared" si="129"/>
        <v>43</v>
      </c>
      <c r="BOR51">
        <f t="shared" si="129"/>
        <v>43</v>
      </c>
      <c r="BOS51">
        <f t="shared" si="129"/>
        <v>43</v>
      </c>
      <c r="BOT51">
        <f t="shared" si="129"/>
        <v>43</v>
      </c>
      <c r="BOU51">
        <f t="shared" si="129"/>
        <v>43</v>
      </c>
      <c r="BOV51">
        <f t="shared" si="129"/>
        <v>43</v>
      </c>
      <c r="BOW51">
        <f t="shared" si="129"/>
        <v>43</v>
      </c>
      <c r="BOX51">
        <f t="shared" si="129"/>
        <v>43</v>
      </c>
      <c r="BOY51">
        <f t="shared" ref="BOY51:BRJ51" si="130">COUNTBLANK(BOY6:BOY49)</f>
        <v>43</v>
      </c>
      <c r="BOZ51">
        <f t="shared" si="130"/>
        <v>43</v>
      </c>
      <c r="BPA51">
        <f t="shared" si="130"/>
        <v>43</v>
      </c>
      <c r="BPB51">
        <f t="shared" si="130"/>
        <v>43</v>
      </c>
      <c r="BPC51">
        <f t="shared" si="130"/>
        <v>43</v>
      </c>
      <c r="BPD51">
        <f t="shared" si="130"/>
        <v>43</v>
      </c>
      <c r="BPE51">
        <f t="shared" si="130"/>
        <v>43</v>
      </c>
      <c r="BPF51">
        <f t="shared" si="130"/>
        <v>43</v>
      </c>
      <c r="BPG51">
        <f t="shared" si="130"/>
        <v>43</v>
      </c>
      <c r="BPH51">
        <f t="shared" si="130"/>
        <v>43</v>
      </c>
      <c r="BPI51">
        <f t="shared" si="130"/>
        <v>43</v>
      </c>
      <c r="BPJ51">
        <f t="shared" si="130"/>
        <v>43</v>
      </c>
      <c r="BPK51">
        <f t="shared" si="130"/>
        <v>43</v>
      </c>
      <c r="BPL51">
        <f t="shared" si="130"/>
        <v>43</v>
      </c>
      <c r="BPM51">
        <f t="shared" si="130"/>
        <v>43</v>
      </c>
      <c r="BPN51">
        <f t="shared" si="130"/>
        <v>43</v>
      </c>
      <c r="BPO51">
        <f t="shared" si="130"/>
        <v>43</v>
      </c>
      <c r="BPP51">
        <f t="shared" si="130"/>
        <v>43</v>
      </c>
      <c r="BPQ51">
        <f t="shared" si="130"/>
        <v>43</v>
      </c>
      <c r="BPR51">
        <f t="shared" si="130"/>
        <v>43</v>
      </c>
      <c r="BPS51">
        <f t="shared" si="130"/>
        <v>43</v>
      </c>
      <c r="BPT51">
        <f t="shared" si="130"/>
        <v>43</v>
      </c>
      <c r="BPU51">
        <f t="shared" si="130"/>
        <v>43</v>
      </c>
      <c r="BPV51">
        <f t="shared" si="130"/>
        <v>43</v>
      </c>
      <c r="BPW51">
        <f t="shared" si="130"/>
        <v>43</v>
      </c>
      <c r="BPX51">
        <f t="shared" si="130"/>
        <v>43</v>
      </c>
      <c r="BPY51">
        <f t="shared" si="130"/>
        <v>43</v>
      </c>
      <c r="BPZ51">
        <f t="shared" si="130"/>
        <v>43</v>
      </c>
      <c r="BQA51">
        <f t="shared" si="130"/>
        <v>43</v>
      </c>
      <c r="BQB51">
        <f t="shared" si="130"/>
        <v>43</v>
      </c>
      <c r="BQC51">
        <f t="shared" si="130"/>
        <v>43</v>
      </c>
      <c r="BQD51">
        <f t="shared" si="130"/>
        <v>43</v>
      </c>
      <c r="BQE51">
        <f t="shared" si="130"/>
        <v>43</v>
      </c>
      <c r="BQF51">
        <f t="shared" si="130"/>
        <v>43</v>
      </c>
      <c r="BQG51">
        <f t="shared" si="130"/>
        <v>43</v>
      </c>
      <c r="BQH51">
        <f t="shared" si="130"/>
        <v>43</v>
      </c>
      <c r="BQI51">
        <f t="shared" si="130"/>
        <v>43</v>
      </c>
      <c r="BQJ51">
        <f t="shared" si="130"/>
        <v>43</v>
      </c>
      <c r="BQK51">
        <f t="shared" si="130"/>
        <v>43</v>
      </c>
      <c r="BQL51">
        <f t="shared" si="130"/>
        <v>43</v>
      </c>
      <c r="BQM51">
        <f t="shared" si="130"/>
        <v>43</v>
      </c>
      <c r="BQN51">
        <f t="shared" si="130"/>
        <v>43</v>
      </c>
      <c r="BQO51">
        <f t="shared" si="130"/>
        <v>43</v>
      </c>
      <c r="BQP51">
        <f t="shared" si="130"/>
        <v>43</v>
      </c>
      <c r="BQQ51">
        <f t="shared" si="130"/>
        <v>43</v>
      </c>
      <c r="BQR51">
        <f t="shared" si="130"/>
        <v>43</v>
      </c>
      <c r="BQS51">
        <f t="shared" si="130"/>
        <v>43</v>
      </c>
      <c r="BQT51">
        <f t="shared" si="130"/>
        <v>43</v>
      </c>
      <c r="BQU51">
        <f t="shared" si="130"/>
        <v>43</v>
      </c>
      <c r="BQV51">
        <f t="shared" si="130"/>
        <v>43</v>
      </c>
      <c r="BQW51">
        <f t="shared" si="130"/>
        <v>43</v>
      </c>
      <c r="BQX51">
        <f t="shared" si="130"/>
        <v>43</v>
      </c>
      <c r="BQY51">
        <f t="shared" si="130"/>
        <v>43</v>
      </c>
      <c r="BQZ51">
        <f t="shared" si="130"/>
        <v>43</v>
      </c>
      <c r="BRA51">
        <f t="shared" si="130"/>
        <v>43</v>
      </c>
      <c r="BRB51">
        <f t="shared" si="130"/>
        <v>43</v>
      </c>
      <c r="BRC51">
        <f t="shared" si="130"/>
        <v>43</v>
      </c>
      <c r="BRD51">
        <f t="shared" si="130"/>
        <v>43</v>
      </c>
      <c r="BRE51">
        <f t="shared" si="130"/>
        <v>43</v>
      </c>
      <c r="BRF51">
        <f t="shared" si="130"/>
        <v>43</v>
      </c>
      <c r="BRG51">
        <f t="shared" si="130"/>
        <v>43</v>
      </c>
      <c r="BRH51">
        <f t="shared" si="130"/>
        <v>43</v>
      </c>
      <c r="BRI51">
        <f t="shared" si="130"/>
        <v>43</v>
      </c>
      <c r="BRJ51">
        <f t="shared" si="130"/>
        <v>43</v>
      </c>
      <c r="BRK51">
        <f t="shared" ref="BRK51:BTV51" si="131">COUNTBLANK(BRK6:BRK49)</f>
        <v>43</v>
      </c>
      <c r="BRL51">
        <f t="shared" si="131"/>
        <v>43</v>
      </c>
      <c r="BRM51">
        <f t="shared" si="131"/>
        <v>43</v>
      </c>
      <c r="BRN51">
        <f t="shared" si="131"/>
        <v>43</v>
      </c>
      <c r="BRO51">
        <f t="shared" si="131"/>
        <v>43</v>
      </c>
      <c r="BRP51">
        <f t="shared" si="131"/>
        <v>43</v>
      </c>
      <c r="BRQ51">
        <f t="shared" si="131"/>
        <v>43</v>
      </c>
      <c r="BRR51">
        <f t="shared" si="131"/>
        <v>43</v>
      </c>
      <c r="BRS51">
        <f t="shared" si="131"/>
        <v>43</v>
      </c>
      <c r="BRT51">
        <f t="shared" si="131"/>
        <v>43</v>
      </c>
      <c r="BRU51">
        <f t="shared" si="131"/>
        <v>43</v>
      </c>
      <c r="BRV51">
        <f t="shared" si="131"/>
        <v>43</v>
      </c>
      <c r="BRW51">
        <f t="shared" si="131"/>
        <v>43</v>
      </c>
      <c r="BRX51">
        <f t="shared" si="131"/>
        <v>43</v>
      </c>
      <c r="BRY51">
        <f t="shared" si="131"/>
        <v>43</v>
      </c>
      <c r="BRZ51">
        <f t="shared" si="131"/>
        <v>43</v>
      </c>
      <c r="BSA51">
        <f t="shared" si="131"/>
        <v>43</v>
      </c>
      <c r="BSB51">
        <f t="shared" si="131"/>
        <v>43</v>
      </c>
      <c r="BSC51">
        <f t="shared" si="131"/>
        <v>43</v>
      </c>
      <c r="BSD51">
        <f t="shared" si="131"/>
        <v>43</v>
      </c>
      <c r="BSE51">
        <f t="shared" si="131"/>
        <v>43</v>
      </c>
      <c r="BSF51">
        <f t="shared" si="131"/>
        <v>43</v>
      </c>
      <c r="BSG51">
        <f t="shared" si="131"/>
        <v>43</v>
      </c>
      <c r="BSH51">
        <f t="shared" si="131"/>
        <v>43</v>
      </c>
      <c r="BSI51">
        <f t="shared" si="131"/>
        <v>43</v>
      </c>
      <c r="BSJ51">
        <f t="shared" si="131"/>
        <v>43</v>
      </c>
      <c r="BSK51">
        <f t="shared" si="131"/>
        <v>43</v>
      </c>
      <c r="BSL51">
        <f t="shared" si="131"/>
        <v>43</v>
      </c>
      <c r="BSM51">
        <f t="shared" si="131"/>
        <v>43</v>
      </c>
      <c r="BSN51">
        <f t="shared" si="131"/>
        <v>43</v>
      </c>
      <c r="BSO51">
        <f t="shared" si="131"/>
        <v>43</v>
      </c>
      <c r="BSP51">
        <f t="shared" si="131"/>
        <v>43</v>
      </c>
      <c r="BSQ51">
        <f t="shared" si="131"/>
        <v>43</v>
      </c>
      <c r="BSR51">
        <f t="shared" si="131"/>
        <v>43</v>
      </c>
      <c r="BSS51">
        <f t="shared" si="131"/>
        <v>43</v>
      </c>
      <c r="BST51">
        <f t="shared" si="131"/>
        <v>43</v>
      </c>
      <c r="BSU51">
        <f t="shared" si="131"/>
        <v>43</v>
      </c>
      <c r="BSV51">
        <f t="shared" si="131"/>
        <v>43</v>
      </c>
      <c r="BSW51">
        <f t="shared" si="131"/>
        <v>43</v>
      </c>
      <c r="BSX51">
        <f t="shared" si="131"/>
        <v>43</v>
      </c>
      <c r="BSY51">
        <f t="shared" si="131"/>
        <v>43</v>
      </c>
      <c r="BSZ51">
        <f t="shared" si="131"/>
        <v>43</v>
      </c>
      <c r="BTA51">
        <f t="shared" si="131"/>
        <v>43</v>
      </c>
      <c r="BTB51">
        <f t="shared" si="131"/>
        <v>43</v>
      </c>
      <c r="BTC51">
        <f t="shared" si="131"/>
        <v>43</v>
      </c>
      <c r="BTD51">
        <f t="shared" si="131"/>
        <v>43</v>
      </c>
      <c r="BTE51">
        <f t="shared" si="131"/>
        <v>43</v>
      </c>
      <c r="BTF51">
        <f t="shared" si="131"/>
        <v>43</v>
      </c>
      <c r="BTG51">
        <f t="shared" si="131"/>
        <v>43</v>
      </c>
      <c r="BTH51">
        <f t="shared" si="131"/>
        <v>43</v>
      </c>
      <c r="BTI51">
        <f t="shared" si="131"/>
        <v>43</v>
      </c>
      <c r="BTJ51">
        <f t="shared" si="131"/>
        <v>43</v>
      </c>
      <c r="BTK51">
        <f t="shared" si="131"/>
        <v>43</v>
      </c>
      <c r="BTL51">
        <f t="shared" si="131"/>
        <v>43</v>
      </c>
      <c r="BTM51">
        <f t="shared" si="131"/>
        <v>43</v>
      </c>
      <c r="BTN51">
        <f t="shared" si="131"/>
        <v>43</v>
      </c>
      <c r="BTO51">
        <f t="shared" si="131"/>
        <v>43</v>
      </c>
      <c r="BTP51">
        <f t="shared" si="131"/>
        <v>43</v>
      </c>
      <c r="BTQ51">
        <f t="shared" si="131"/>
        <v>43</v>
      </c>
      <c r="BTR51">
        <f t="shared" si="131"/>
        <v>43</v>
      </c>
      <c r="BTS51">
        <f t="shared" si="131"/>
        <v>43</v>
      </c>
      <c r="BTT51">
        <f t="shared" si="131"/>
        <v>43</v>
      </c>
      <c r="BTU51">
        <f t="shared" si="131"/>
        <v>43</v>
      </c>
      <c r="BTV51">
        <f t="shared" si="131"/>
        <v>43</v>
      </c>
      <c r="BTW51">
        <f t="shared" ref="BTW51:BWH51" si="132">COUNTBLANK(BTW6:BTW49)</f>
        <v>43</v>
      </c>
      <c r="BTX51">
        <f t="shared" si="132"/>
        <v>43</v>
      </c>
      <c r="BTY51">
        <f t="shared" si="132"/>
        <v>43</v>
      </c>
      <c r="BTZ51">
        <f t="shared" si="132"/>
        <v>43</v>
      </c>
      <c r="BUA51">
        <f t="shared" si="132"/>
        <v>43</v>
      </c>
      <c r="BUB51">
        <f t="shared" si="132"/>
        <v>43</v>
      </c>
      <c r="BUC51">
        <f t="shared" si="132"/>
        <v>43</v>
      </c>
      <c r="BUD51">
        <f t="shared" si="132"/>
        <v>43</v>
      </c>
      <c r="BUE51">
        <f t="shared" si="132"/>
        <v>43</v>
      </c>
      <c r="BUF51">
        <f t="shared" si="132"/>
        <v>43</v>
      </c>
      <c r="BUG51">
        <f t="shared" si="132"/>
        <v>43</v>
      </c>
      <c r="BUH51">
        <f t="shared" si="132"/>
        <v>43</v>
      </c>
      <c r="BUI51">
        <f t="shared" si="132"/>
        <v>43</v>
      </c>
      <c r="BUJ51">
        <f t="shared" si="132"/>
        <v>43</v>
      </c>
      <c r="BUK51">
        <f t="shared" si="132"/>
        <v>43</v>
      </c>
      <c r="BUL51">
        <f t="shared" si="132"/>
        <v>43</v>
      </c>
      <c r="BUM51">
        <f t="shared" si="132"/>
        <v>43</v>
      </c>
      <c r="BUN51">
        <f t="shared" si="132"/>
        <v>43</v>
      </c>
      <c r="BUO51">
        <f t="shared" si="132"/>
        <v>43</v>
      </c>
      <c r="BUP51">
        <f t="shared" si="132"/>
        <v>43</v>
      </c>
      <c r="BUQ51">
        <f t="shared" si="132"/>
        <v>43</v>
      </c>
      <c r="BUR51">
        <f t="shared" si="132"/>
        <v>43</v>
      </c>
      <c r="BUS51">
        <f t="shared" si="132"/>
        <v>43</v>
      </c>
      <c r="BUT51">
        <f t="shared" si="132"/>
        <v>43</v>
      </c>
      <c r="BUU51">
        <f t="shared" si="132"/>
        <v>43</v>
      </c>
      <c r="BUV51">
        <f t="shared" si="132"/>
        <v>43</v>
      </c>
      <c r="BUW51">
        <f t="shared" si="132"/>
        <v>43</v>
      </c>
      <c r="BUX51">
        <f t="shared" si="132"/>
        <v>43</v>
      </c>
      <c r="BUY51">
        <f t="shared" si="132"/>
        <v>43</v>
      </c>
      <c r="BUZ51">
        <f t="shared" si="132"/>
        <v>43</v>
      </c>
      <c r="BVA51">
        <f t="shared" si="132"/>
        <v>43</v>
      </c>
      <c r="BVB51">
        <f t="shared" si="132"/>
        <v>43</v>
      </c>
      <c r="BVC51">
        <f t="shared" si="132"/>
        <v>43</v>
      </c>
      <c r="BVD51">
        <f t="shared" si="132"/>
        <v>43</v>
      </c>
      <c r="BVE51">
        <f t="shared" si="132"/>
        <v>43</v>
      </c>
      <c r="BVF51">
        <f t="shared" si="132"/>
        <v>43</v>
      </c>
      <c r="BVG51">
        <f t="shared" si="132"/>
        <v>43</v>
      </c>
      <c r="BVH51">
        <f t="shared" si="132"/>
        <v>43</v>
      </c>
      <c r="BVI51">
        <f t="shared" si="132"/>
        <v>43</v>
      </c>
      <c r="BVJ51">
        <f t="shared" si="132"/>
        <v>43</v>
      </c>
      <c r="BVK51">
        <f t="shared" si="132"/>
        <v>42</v>
      </c>
      <c r="BVL51">
        <f t="shared" si="132"/>
        <v>42</v>
      </c>
      <c r="BVM51">
        <f t="shared" si="132"/>
        <v>42</v>
      </c>
      <c r="BVN51">
        <f t="shared" si="132"/>
        <v>42</v>
      </c>
      <c r="BVO51">
        <f t="shared" si="132"/>
        <v>42</v>
      </c>
      <c r="BVP51">
        <f t="shared" si="132"/>
        <v>42</v>
      </c>
      <c r="BVQ51">
        <f t="shared" si="132"/>
        <v>42</v>
      </c>
      <c r="BVR51">
        <f t="shared" si="132"/>
        <v>42</v>
      </c>
      <c r="BVS51">
        <f t="shared" si="132"/>
        <v>42</v>
      </c>
      <c r="BVT51">
        <f t="shared" si="132"/>
        <v>42</v>
      </c>
      <c r="BVU51">
        <f t="shared" si="132"/>
        <v>42</v>
      </c>
      <c r="BVV51">
        <f t="shared" si="132"/>
        <v>42</v>
      </c>
      <c r="BVW51">
        <f t="shared" si="132"/>
        <v>43</v>
      </c>
      <c r="BVX51">
        <f t="shared" si="132"/>
        <v>43</v>
      </c>
      <c r="BVY51">
        <f t="shared" si="132"/>
        <v>43</v>
      </c>
      <c r="BVZ51">
        <f t="shared" si="132"/>
        <v>43</v>
      </c>
      <c r="BWA51">
        <f t="shared" si="132"/>
        <v>43</v>
      </c>
      <c r="BWB51">
        <f t="shared" si="132"/>
        <v>43</v>
      </c>
      <c r="BWC51">
        <f t="shared" si="132"/>
        <v>43</v>
      </c>
      <c r="BWD51">
        <f t="shared" si="132"/>
        <v>43</v>
      </c>
      <c r="BWE51">
        <f t="shared" si="132"/>
        <v>43</v>
      </c>
      <c r="BWF51">
        <f t="shared" si="132"/>
        <v>43</v>
      </c>
      <c r="BWG51">
        <f t="shared" si="132"/>
        <v>43</v>
      </c>
      <c r="BWH51">
        <f t="shared" si="132"/>
        <v>43</v>
      </c>
      <c r="BWI51">
        <f t="shared" ref="BWI51:BYT51" si="133">COUNTBLANK(BWI6:BWI49)</f>
        <v>43</v>
      </c>
      <c r="BWJ51">
        <f t="shared" si="133"/>
        <v>43</v>
      </c>
      <c r="BWK51">
        <f t="shared" si="133"/>
        <v>43</v>
      </c>
      <c r="BWL51">
        <f t="shared" si="133"/>
        <v>43</v>
      </c>
      <c r="BWM51">
        <f t="shared" si="133"/>
        <v>43</v>
      </c>
      <c r="BWN51">
        <f t="shared" si="133"/>
        <v>43</v>
      </c>
      <c r="BWO51">
        <f t="shared" si="133"/>
        <v>43</v>
      </c>
      <c r="BWP51">
        <f t="shared" si="133"/>
        <v>43</v>
      </c>
      <c r="BWQ51">
        <f t="shared" si="133"/>
        <v>43</v>
      </c>
      <c r="BWR51">
        <f t="shared" si="133"/>
        <v>43</v>
      </c>
      <c r="BWS51">
        <f t="shared" si="133"/>
        <v>43</v>
      </c>
      <c r="BWT51">
        <f t="shared" si="133"/>
        <v>43</v>
      </c>
      <c r="BWU51">
        <f t="shared" si="133"/>
        <v>43</v>
      </c>
      <c r="BWV51">
        <f t="shared" si="133"/>
        <v>43</v>
      </c>
      <c r="BWW51">
        <f t="shared" si="133"/>
        <v>43</v>
      </c>
      <c r="BWX51">
        <f t="shared" si="133"/>
        <v>43</v>
      </c>
      <c r="BWY51">
        <f t="shared" si="133"/>
        <v>43</v>
      </c>
      <c r="BWZ51">
        <f t="shared" si="133"/>
        <v>43</v>
      </c>
      <c r="BXA51">
        <f t="shared" si="133"/>
        <v>43</v>
      </c>
      <c r="BXB51">
        <f t="shared" si="133"/>
        <v>43</v>
      </c>
      <c r="BXC51">
        <f t="shared" si="133"/>
        <v>43</v>
      </c>
      <c r="BXD51">
        <f t="shared" si="133"/>
        <v>43</v>
      </c>
      <c r="BXE51">
        <f t="shared" si="133"/>
        <v>43</v>
      </c>
      <c r="BXF51">
        <f t="shared" si="133"/>
        <v>43</v>
      </c>
      <c r="BXG51">
        <f t="shared" si="133"/>
        <v>43</v>
      </c>
      <c r="BXH51">
        <f t="shared" si="133"/>
        <v>43</v>
      </c>
      <c r="BXI51">
        <f t="shared" si="133"/>
        <v>43</v>
      </c>
      <c r="BXJ51">
        <f t="shared" si="133"/>
        <v>43</v>
      </c>
      <c r="BXK51">
        <f t="shared" si="133"/>
        <v>43</v>
      </c>
      <c r="BXL51">
        <f t="shared" si="133"/>
        <v>43</v>
      </c>
      <c r="BXM51">
        <f t="shared" si="133"/>
        <v>43</v>
      </c>
      <c r="BXN51">
        <f t="shared" si="133"/>
        <v>43</v>
      </c>
      <c r="BXO51">
        <f t="shared" si="133"/>
        <v>43</v>
      </c>
      <c r="BXP51">
        <f t="shared" si="133"/>
        <v>43</v>
      </c>
      <c r="BXQ51">
        <f t="shared" si="133"/>
        <v>43</v>
      </c>
      <c r="BXR51">
        <f t="shared" si="133"/>
        <v>43</v>
      </c>
      <c r="BXS51">
        <f t="shared" si="133"/>
        <v>43</v>
      </c>
      <c r="BXT51">
        <f t="shared" si="133"/>
        <v>43</v>
      </c>
      <c r="BXU51">
        <f t="shared" si="133"/>
        <v>43</v>
      </c>
      <c r="BXV51">
        <f t="shared" si="133"/>
        <v>43</v>
      </c>
      <c r="BXW51">
        <f t="shared" si="133"/>
        <v>43</v>
      </c>
      <c r="BXX51">
        <f t="shared" si="133"/>
        <v>43</v>
      </c>
      <c r="BXY51">
        <f t="shared" si="133"/>
        <v>43</v>
      </c>
      <c r="BXZ51">
        <f t="shared" si="133"/>
        <v>43</v>
      </c>
      <c r="BYA51">
        <f t="shared" si="133"/>
        <v>43</v>
      </c>
      <c r="BYB51">
        <f t="shared" si="133"/>
        <v>43</v>
      </c>
      <c r="BYC51">
        <f t="shared" si="133"/>
        <v>43</v>
      </c>
      <c r="BYD51">
        <f t="shared" si="133"/>
        <v>43</v>
      </c>
      <c r="BYE51">
        <f t="shared" si="133"/>
        <v>43</v>
      </c>
      <c r="BYF51">
        <f t="shared" si="133"/>
        <v>43</v>
      </c>
      <c r="BYG51">
        <f t="shared" si="133"/>
        <v>43</v>
      </c>
      <c r="BYH51">
        <f t="shared" si="133"/>
        <v>43</v>
      </c>
      <c r="BYI51">
        <f t="shared" si="133"/>
        <v>43</v>
      </c>
      <c r="BYJ51">
        <f t="shared" si="133"/>
        <v>43</v>
      </c>
      <c r="BYK51">
        <f t="shared" si="133"/>
        <v>43</v>
      </c>
      <c r="BYL51">
        <f t="shared" si="133"/>
        <v>43</v>
      </c>
      <c r="BYM51">
        <f t="shared" si="133"/>
        <v>43</v>
      </c>
      <c r="BYN51">
        <f t="shared" si="133"/>
        <v>43</v>
      </c>
      <c r="BYO51">
        <f t="shared" si="133"/>
        <v>43</v>
      </c>
      <c r="BYP51">
        <f t="shared" si="133"/>
        <v>43</v>
      </c>
      <c r="BYQ51">
        <f t="shared" si="133"/>
        <v>43</v>
      </c>
      <c r="BYR51">
        <f t="shared" si="133"/>
        <v>43</v>
      </c>
      <c r="BYS51">
        <f t="shared" si="133"/>
        <v>43</v>
      </c>
      <c r="BYT51">
        <f t="shared" si="133"/>
        <v>43</v>
      </c>
      <c r="BYU51">
        <f t="shared" ref="BYU51:CBF51" si="134">COUNTBLANK(BYU6:BYU49)</f>
        <v>43</v>
      </c>
      <c r="BYV51">
        <f t="shared" si="134"/>
        <v>43</v>
      </c>
      <c r="BYW51">
        <f t="shared" si="134"/>
        <v>43</v>
      </c>
      <c r="BYX51">
        <f t="shared" si="134"/>
        <v>43</v>
      </c>
      <c r="BYY51">
        <f t="shared" si="134"/>
        <v>43</v>
      </c>
      <c r="BYZ51">
        <f t="shared" si="134"/>
        <v>43</v>
      </c>
      <c r="BZA51">
        <f t="shared" si="134"/>
        <v>43</v>
      </c>
      <c r="BZB51">
        <f t="shared" si="134"/>
        <v>43</v>
      </c>
      <c r="BZC51">
        <f t="shared" si="134"/>
        <v>43</v>
      </c>
      <c r="BZD51">
        <f t="shared" si="134"/>
        <v>43</v>
      </c>
      <c r="BZE51">
        <f t="shared" si="134"/>
        <v>43</v>
      </c>
      <c r="BZF51">
        <f t="shared" si="134"/>
        <v>43</v>
      </c>
      <c r="BZG51">
        <f t="shared" si="134"/>
        <v>43</v>
      </c>
      <c r="BZH51">
        <f t="shared" si="134"/>
        <v>43</v>
      </c>
      <c r="BZI51">
        <f t="shared" si="134"/>
        <v>43</v>
      </c>
      <c r="BZJ51">
        <f t="shared" si="134"/>
        <v>43</v>
      </c>
      <c r="BZK51">
        <f t="shared" si="134"/>
        <v>43</v>
      </c>
      <c r="BZL51">
        <f t="shared" si="134"/>
        <v>43</v>
      </c>
      <c r="BZM51">
        <f t="shared" si="134"/>
        <v>43</v>
      </c>
      <c r="BZN51">
        <f t="shared" si="134"/>
        <v>43</v>
      </c>
      <c r="BZO51">
        <f t="shared" si="134"/>
        <v>43</v>
      </c>
      <c r="BZP51">
        <f t="shared" si="134"/>
        <v>43</v>
      </c>
      <c r="BZQ51">
        <f t="shared" si="134"/>
        <v>43</v>
      </c>
      <c r="BZR51">
        <f t="shared" si="134"/>
        <v>43</v>
      </c>
      <c r="BZS51">
        <f t="shared" si="134"/>
        <v>43</v>
      </c>
      <c r="BZT51">
        <f t="shared" si="134"/>
        <v>43</v>
      </c>
      <c r="BZU51">
        <f t="shared" si="134"/>
        <v>43</v>
      </c>
      <c r="BZV51">
        <f t="shared" si="134"/>
        <v>43</v>
      </c>
      <c r="BZW51">
        <f t="shared" si="134"/>
        <v>43</v>
      </c>
      <c r="BZX51">
        <f t="shared" si="134"/>
        <v>43</v>
      </c>
      <c r="BZY51">
        <f t="shared" si="134"/>
        <v>43</v>
      </c>
      <c r="BZZ51">
        <f t="shared" si="134"/>
        <v>43</v>
      </c>
      <c r="CAA51">
        <f t="shared" si="134"/>
        <v>43</v>
      </c>
      <c r="CAB51">
        <f t="shared" si="134"/>
        <v>43</v>
      </c>
      <c r="CAC51">
        <f t="shared" si="134"/>
        <v>43</v>
      </c>
      <c r="CAD51">
        <f t="shared" si="134"/>
        <v>43</v>
      </c>
      <c r="CAE51">
        <f t="shared" si="134"/>
        <v>43</v>
      </c>
      <c r="CAF51">
        <f t="shared" si="134"/>
        <v>43</v>
      </c>
      <c r="CAG51">
        <f t="shared" si="134"/>
        <v>43</v>
      </c>
      <c r="CAH51">
        <f t="shared" si="134"/>
        <v>43</v>
      </c>
      <c r="CAI51">
        <f t="shared" si="134"/>
        <v>43</v>
      </c>
      <c r="CAJ51">
        <f t="shared" si="134"/>
        <v>43</v>
      </c>
      <c r="CAK51">
        <f t="shared" si="134"/>
        <v>43</v>
      </c>
      <c r="CAL51">
        <f t="shared" si="134"/>
        <v>43</v>
      </c>
      <c r="CAM51">
        <f t="shared" si="134"/>
        <v>43</v>
      </c>
      <c r="CAN51">
        <f t="shared" si="134"/>
        <v>43</v>
      </c>
      <c r="CAO51">
        <f t="shared" si="134"/>
        <v>43</v>
      </c>
      <c r="CAP51">
        <f t="shared" si="134"/>
        <v>43</v>
      </c>
      <c r="CAQ51">
        <f t="shared" si="134"/>
        <v>43</v>
      </c>
      <c r="CAR51">
        <f t="shared" si="134"/>
        <v>43</v>
      </c>
      <c r="CAS51">
        <f t="shared" si="134"/>
        <v>43</v>
      </c>
      <c r="CAT51">
        <f t="shared" si="134"/>
        <v>43</v>
      </c>
      <c r="CAU51">
        <f t="shared" si="134"/>
        <v>43</v>
      </c>
      <c r="CAV51">
        <f t="shared" si="134"/>
        <v>43</v>
      </c>
      <c r="CAW51">
        <f t="shared" si="134"/>
        <v>43</v>
      </c>
      <c r="CAX51">
        <f t="shared" si="134"/>
        <v>43</v>
      </c>
      <c r="CAY51">
        <f t="shared" si="134"/>
        <v>43</v>
      </c>
      <c r="CAZ51">
        <f t="shared" si="134"/>
        <v>43</v>
      </c>
      <c r="CBA51">
        <f t="shared" si="134"/>
        <v>43</v>
      </c>
      <c r="CBB51">
        <f t="shared" si="134"/>
        <v>43</v>
      </c>
      <c r="CBC51">
        <f t="shared" si="134"/>
        <v>43</v>
      </c>
      <c r="CBD51">
        <f t="shared" si="134"/>
        <v>43</v>
      </c>
      <c r="CBE51">
        <f t="shared" si="134"/>
        <v>43</v>
      </c>
      <c r="CBF51">
        <f t="shared" si="134"/>
        <v>43</v>
      </c>
      <c r="CBG51">
        <f t="shared" ref="CBG51:CDR51" si="135">COUNTBLANK(CBG6:CBG49)</f>
        <v>43</v>
      </c>
      <c r="CBH51">
        <f t="shared" si="135"/>
        <v>43</v>
      </c>
      <c r="CBI51">
        <f t="shared" si="135"/>
        <v>43</v>
      </c>
      <c r="CBJ51">
        <f t="shared" si="135"/>
        <v>43</v>
      </c>
      <c r="CBK51">
        <f t="shared" si="135"/>
        <v>43</v>
      </c>
      <c r="CBL51">
        <f t="shared" si="135"/>
        <v>43</v>
      </c>
      <c r="CBM51">
        <f t="shared" si="135"/>
        <v>43</v>
      </c>
      <c r="CBN51">
        <f t="shared" si="135"/>
        <v>43</v>
      </c>
      <c r="CBO51">
        <f t="shared" si="135"/>
        <v>43</v>
      </c>
      <c r="CBP51">
        <f t="shared" si="135"/>
        <v>43</v>
      </c>
      <c r="CBQ51">
        <f t="shared" si="135"/>
        <v>43</v>
      </c>
      <c r="CBR51">
        <f t="shared" si="135"/>
        <v>43</v>
      </c>
      <c r="CBS51">
        <f t="shared" si="135"/>
        <v>43</v>
      </c>
      <c r="CBT51">
        <f t="shared" si="135"/>
        <v>43</v>
      </c>
      <c r="CBU51">
        <f t="shared" si="135"/>
        <v>43</v>
      </c>
      <c r="CBV51">
        <f t="shared" si="135"/>
        <v>43</v>
      </c>
      <c r="CBW51">
        <f t="shared" si="135"/>
        <v>43</v>
      </c>
      <c r="CBX51">
        <f t="shared" si="135"/>
        <v>43</v>
      </c>
      <c r="CBY51">
        <f t="shared" si="135"/>
        <v>43</v>
      </c>
      <c r="CBZ51">
        <f t="shared" si="135"/>
        <v>43</v>
      </c>
      <c r="CCA51">
        <f t="shared" si="135"/>
        <v>43</v>
      </c>
      <c r="CCB51">
        <f t="shared" si="135"/>
        <v>43</v>
      </c>
      <c r="CCC51">
        <f t="shared" si="135"/>
        <v>43</v>
      </c>
      <c r="CCD51">
        <f t="shared" si="135"/>
        <v>43</v>
      </c>
      <c r="CCE51">
        <f t="shared" si="135"/>
        <v>43</v>
      </c>
      <c r="CCF51">
        <f t="shared" si="135"/>
        <v>43</v>
      </c>
      <c r="CCG51">
        <f t="shared" si="135"/>
        <v>43</v>
      </c>
      <c r="CCH51">
        <f t="shared" si="135"/>
        <v>43</v>
      </c>
      <c r="CCI51">
        <f t="shared" si="135"/>
        <v>43</v>
      </c>
      <c r="CCJ51">
        <f t="shared" si="135"/>
        <v>43</v>
      </c>
      <c r="CCK51">
        <f t="shared" si="135"/>
        <v>43</v>
      </c>
      <c r="CCL51">
        <f t="shared" si="135"/>
        <v>43</v>
      </c>
      <c r="CCM51">
        <f t="shared" si="135"/>
        <v>43</v>
      </c>
      <c r="CCN51">
        <f t="shared" si="135"/>
        <v>43</v>
      </c>
      <c r="CCO51">
        <f t="shared" si="135"/>
        <v>43</v>
      </c>
      <c r="CCP51">
        <f t="shared" si="135"/>
        <v>43</v>
      </c>
      <c r="CCQ51">
        <f t="shared" si="135"/>
        <v>43</v>
      </c>
      <c r="CCR51">
        <f t="shared" si="135"/>
        <v>43</v>
      </c>
      <c r="CCS51">
        <f t="shared" si="135"/>
        <v>43</v>
      </c>
      <c r="CCT51">
        <f t="shared" si="135"/>
        <v>43</v>
      </c>
      <c r="CCU51">
        <f t="shared" si="135"/>
        <v>43</v>
      </c>
      <c r="CCV51">
        <f t="shared" si="135"/>
        <v>43</v>
      </c>
      <c r="CCW51">
        <f t="shared" si="135"/>
        <v>43</v>
      </c>
      <c r="CCX51">
        <f t="shared" si="135"/>
        <v>43</v>
      </c>
      <c r="CCY51">
        <f t="shared" si="135"/>
        <v>43</v>
      </c>
      <c r="CCZ51">
        <f t="shared" si="135"/>
        <v>43</v>
      </c>
      <c r="CDA51">
        <f t="shared" si="135"/>
        <v>43</v>
      </c>
      <c r="CDB51">
        <f t="shared" si="135"/>
        <v>43</v>
      </c>
      <c r="CDC51">
        <f t="shared" si="135"/>
        <v>43</v>
      </c>
      <c r="CDD51">
        <f t="shared" si="135"/>
        <v>43</v>
      </c>
      <c r="CDE51">
        <f t="shared" si="135"/>
        <v>43</v>
      </c>
      <c r="CDF51">
        <f t="shared" si="135"/>
        <v>43</v>
      </c>
      <c r="CDG51">
        <f t="shared" si="135"/>
        <v>43</v>
      </c>
      <c r="CDH51">
        <f t="shared" si="135"/>
        <v>43</v>
      </c>
      <c r="CDI51">
        <f t="shared" si="135"/>
        <v>43</v>
      </c>
      <c r="CDJ51">
        <f t="shared" si="135"/>
        <v>43</v>
      </c>
      <c r="CDK51">
        <f t="shared" si="135"/>
        <v>43</v>
      </c>
      <c r="CDL51">
        <f t="shared" si="135"/>
        <v>43</v>
      </c>
      <c r="CDM51">
        <f t="shared" si="135"/>
        <v>43</v>
      </c>
      <c r="CDN51">
        <f t="shared" si="135"/>
        <v>43</v>
      </c>
      <c r="CDO51">
        <f t="shared" si="135"/>
        <v>43</v>
      </c>
      <c r="CDP51">
        <f t="shared" si="135"/>
        <v>43</v>
      </c>
      <c r="CDQ51">
        <f t="shared" si="135"/>
        <v>43</v>
      </c>
      <c r="CDR51">
        <f t="shared" si="135"/>
        <v>43</v>
      </c>
      <c r="CDS51">
        <f t="shared" ref="CDS51:CGD51" si="136">COUNTBLANK(CDS6:CDS49)</f>
        <v>43</v>
      </c>
      <c r="CDT51">
        <f t="shared" si="136"/>
        <v>43</v>
      </c>
      <c r="CDU51">
        <f t="shared" si="136"/>
        <v>43</v>
      </c>
      <c r="CDV51">
        <f t="shared" si="136"/>
        <v>43</v>
      </c>
      <c r="CDW51">
        <f t="shared" si="136"/>
        <v>43</v>
      </c>
      <c r="CDX51">
        <f t="shared" si="136"/>
        <v>43</v>
      </c>
      <c r="CDY51">
        <f t="shared" si="136"/>
        <v>43</v>
      </c>
      <c r="CDZ51">
        <f t="shared" si="136"/>
        <v>43</v>
      </c>
      <c r="CEA51">
        <f t="shared" si="136"/>
        <v>43</v>
      </c>
      <c r="CEB51">
        <f t="shared" si="136"/>
        <v>43</v>
      </c>
      <c r="CEC51">
        <f t="shared" si="136"/>
        <v>43</v>
      </c>
      <c r="CED51">
        <f t="shared" si="136"/>
        <v>43</v>
      </c>
      <c r="CEE51">
        <f t="shared" si="136"/>
        <v>43</v>
      </c>
      <c r="CEF51">
        <f t="shared" si="136"/>
        <v>43</v>
      </c>
      <c r="CEG51">
        <f t="shared" si="136"/>
        <v>43</v>
      </c>
      <c r="CEH51">
        <f t="shared" si="136"/>
        <v>43</v>
      </c>
      <c r="CEI51">
        <f t="shared" si="136"/>
        <v>43</v>
      </c>
      <c r="CEJ51">
        <f t="shared" si="136"/>
        <v>43</v>
      </c>
      <c r="CEK51">
        <f t="shared" si="136"/>
        <v>43</v>
      </c>
      <c r="CEL51">
        <f t="shared" si="136"/>
        <v>43</v>
      </c>
      <c r="CEM51">
        <f t="shared" si="136"/>
        <v>43</v>
      </c>
      <c r="CEN51">
        <f t="shared" si="136"/>
        <v>43</v>
      </c>
      <c r="CEO51">
        <f t="shared" si="136"/>
        <v>43</v>
      </c>
      <c r="CEP51">
        <f t="shared" si="136"/>
        <v>43</v>
      </c>
      <c r="CEQ51">
        <f t="shared" si="136"/>
        <v>43</v>
      </c>
      <c r="CER51">
        <f t="shared" si="136"/>
        <v>43</v>
      </c>
      <c r="CES51">
        <f t="shared" si="136"/>
        <v>43</v>
      </c>
      <c r="CET51">
        <f t="shared" si="136"/>
        <v>43</v>
      </c>
      <c r="CEU51">
        <f t="shared" si="136"/>
        <v>43</v>
      </c>
      <c r="CEV51">
        <f t="shared" si="136"/>
        <v>43</v>
      </c>
      <c r="CEW51">
        <f t="shared" si="136"/>
        <v>43</v>
      </c>
      <c r="CEX51">
        <f t="shared" si="136"/>
        <v>43</v>
      </c>
      <c r="CEY51">
        <f t="shared" si="136"/>
        <v>43</v>
      </c>
      <c r="CEZ51">
        <f t="shared" si="136"/>
        <v>43</v>
      </c>
      <c r="CFA51">
        <f t="shared" si="136"/>
        <v>43</v>
      </c>
      <c r="CFB51">
        <f t="shared" si="136"/>
        <v>43</v>
      </c>
      <c r="CFC51">
        <f t="shared" si="136"/>
        <v>43</v>
      </c>
      <c r="CFD51">
        <f t="shared" si="136"/>
        <v>43</v>
      </c>
      <c r="CFE51">
        <f t="shared" si="136"/>
        <v>43</v>
      </c>
      <c r="CFF51">
        <f t="shared" si="136"/>
        <v>43</v>
      </c>
      <c r="CFG51">
        <f t="shared" si="136"/>
        <v>43</v>
      </c>
      <c r="CFH51">
        <f t="shared" si="136"/>
        <v>43</v>
      </c>
      <c r="CFI51">
        <f t="shared" si="136"/>
        <v>43</v>
      </c>
      <c r="CFJ51">
        <f t="shared" si="136"/>
        <v>43</v>
      </c>
      <c r="CFK51">
        <f t="shared" si="136"/>
        <v>43</v>
      </c>
      <c r="CFL51">
        <f t="shared" si="136"/>
        <v>43</v>
      </c>
      <c r="CFM51">
        <f t="shared" si="136"/>
        <v>43</v>
      </c>
      <c r="CFN51">
        <f t="shared" si="136"/>
        <v>43</v>
      </c>
      <c r="CFO51">
        <f t="shared" si="136"/>
        <v>43</v>
      </c>
      <c r="CFP51">
        <f t="shared" si="136"/>
        <v>43</v>
      </c>
      <c r="CFQ51">
        <f t="shared" si="136"/>
        <v>43</v>
      </c>
      <c r="CFR51">
        <f t="shared" si="136"/>
        <v>43</v>
      </c>
      <c r="CFS51">
        <f t="shared" si="136"/>
        <v>43</v>
      </c>
      <c r="CFT51">
        <f t="shared" si="136"/>
        <v>43</v>
      </c>
      <c r="CFU51">
        <f t="shared" si="136"/>
        <v>43</v>
      </c>
      <c r="CFV51">
        <f t="shared" si="136"/>
        <v>43</v>
      </c>
      <c r="CFW51">
        <f t="shared" si="136"/>
        <v>43</v>
      </c>
      <c r="CFX51">
        <f t="shared" si="136"/>
        <v>43</v>
      </c>
      <c r="CFY51">
        <f t="shared" si="136"/>
        <v>43</v>
      </c>
      <c r="CFZ51">
        <f t="shared" si="136"/>
        <v>43</v>
      </c>
      <c r="CGA51">
        <f t="shared" si="136"/>
        <v>43</v>
      </c>
      <c r="CGB51">
        <f t="shared" si="136"/>
        <v>43</v>
      </c>
      <c r="CGC51">
        <f t="shared" si="136"/>
        <v>43</v>
      </c>
      <c r="CGD51">
        <f t="shared" si="136"/>
        <v>43</v>
      </c>
      <c r="CGE51">
        <f t="shared" ref="CGE51:CIP51" si="137">COUNTBLANK(CGE6:CGE49)</f>
        <v>43</v>
      </c>
      <c r="CGF51">
        <f t="shared" si="137"/>
        <v>43</v>
      </c>
      <c r="CGG51">
        <f t="shared" si="137"/>
        <v>43</v>
      </c>
      <c r="CGH51">
        <f t="shared" si="137"/>
        <v>43</v>
      </c>
      <c r="CGI51">
        <f t="shared" si="137"/>
        <v>43</v>
      </c>
      <c r="CGJ51">
        <f t="shared" si="137"/>
        <v>43</v>
      </c>
      <c r="CGK51">
        <f t="shared" si="137"/>
        <v>43</v>
      </c>
      <c r="CGL51">
        <f t="shared" si="137"/>
        <v>43</v>
      </c>
      <c r="CGM51">
        <f t="shared" si="137"/>
        <v>43</v>
      </c>
      <c r="CGN51">
        <f t="shared" si="137"/>
        <v>43</v>
      </c>
      <c r="CGO51">
        <f t="shared" si="137"/>
        <v>43</v>
      </c>
      <c r="CGP51">
        <f t="shared" si="137"/>
        <v>43</v>
      </c>
      <c r="CGQ51">
        <f t="shared" si="137"/>
        <v>43</v>
      </c>
      <c r="CGR51">
        <f t="shared" si="137"/>
        <v>43</v>
      </c>
      <c r="CGS51">
        <f t="shared" si="137"/>
        <v>43</v>
      </c>
      <c r="CGT51">
        <f t="shared" si="137"/>
        <v>43</v>
      </c>
      <c r="CGU51">
        <f t="shared" si="137"/>
        <v>43</v>
      </c>
      <c r="CGV51">
        <f t="shared" si="137"/>
        <v>43</v>
      </c>
      <c r="CGW51">
        <f t="shared" si="137"/>
        <v>43</v>
      </c>
      <c r="CGX51">
        <f t="shared" si="137"/>
        <v>43</v>
      </c>
      <c r="CGY51">
        <f t="shared" si="137"/>
        <v>43</v>
      </c>
      <c r="CGZ51">
        <f t="shared" si="137"/>
        <v>43</v>
      </c>
      <c r="CHA51">
        <f t="shared" si="137"/>
        <v>43</v>
      </c>
      <c r="CHB51">
        <f t="shared" si="137"/>
        <v>43</v>
      </c>
      <c r="CHC51">
        <f t="shared" si="137"/>
        <v>43</v>
      </c>
      <c r="CHD51">
        <f t="shared" si="137"/>
        <v>43</v>
      </c>
      <c r="CHE51">
        <f t="shared" si="137"/>
        <v>43</v>
      </c>
      <c r="CHF51">
        <f t="shared" si="137"/>
        <v>43</v>
      </c>
      <c r="CHG51">
        <f t="shared" si="137"/>
        <v>43</v>
      </c>
      <c r="CHH51">
        <f t="shared" si="137"/>
        <v>43</v>
      </c>
      <c r="CHI51">
        <f t="shared" si="137"/>
        <v>43</v>
      </c>
      <c r="CHJ51">
        <f t="shared" si="137"/>
        <v>43</v>
      </c>
      <c r="CHK51">
        <f t="shared" si="137"/>
        <v>43</v>
      </c>
      <c r="CHL51">
        <f t="shared" si="137"/>
        <v>43</v>
      </c>
      <c r="CHM51">
        <f t="shared" si="137"/>
        <v>43</v>
      </c>
      <c r="CHN51">
        <f t="shared" si="137"/>
        <v>43</v>
      </c>
      <c r="CHO51">
        <f t="shared" si="137"/>
        <v>43</v>
      </c>
      <c r="CHP51">
        <f t="shared" si="137"/>
        <v>43</v>
      </c>
      <c r="CHQ51">
        <f t="shared" si="137"/>
        <v>43</v>
      </c>
      <c r="CHR51">
        <f t="shared" si="137"/>
        <v>43</v>
      </c>
      <c r="CHS51">
        <f t="shared" si="137"/>
        <v>43</v>
      </c>
      <c r="CHT51">
        <f t="shared" si="137"/>
        <v>43</v>
      </c>
      <c r="CHU51">
        <f t="shared" si="137"/>
        <v>43</v>
      </c>
      <c r="CHV51">
        <f t="shared" si="137"/>
        <v>43</v>
      </c>
      <c r="CHW51">
        <f t="shared" si="137"/>
        <v>43</v>
      </c>
      <c r="CHX51">
        <f t="shared" si="137"/>
        <v>43</v>
      </c>
      <c r="CHY51">
        <f t="shared" si="137"/>
        <v>43</v>
      </c>
      <c r="CHZ51">
        <f t="shared" si="137"/>
        <v>43</v>
      </c>
      <c r="CIA51">
        <f t="shared" si="137"/>
        <v>43</v>
      </c>
      <c r="CIB51">
        <f t="shared" si="137"/>
        <v>43</v>
      </c>
      <c r="CIC51">
        <f t="shared" si="137"/>
        <v>43</v>
      </c>
      <c r="CID51">
        <f t="shared" si="137"/>
        <v>43</v>
      </c>
      <c r="CIE51">
        <f t="shared" si="137"/>
        <v>43</v>
      </c>
      <c r="CIF51">
        <f t="shared" si="137"/>
        <v>43</v>
      </c>
      <c r="CIG51">
        <f t="shared" si="137"/>
        <v>43</v>
      </c>
      <c r="CIH51">
        <f t="shared" si="137"/>
        <v>43</v>
      </c>
      <c r="CII51">
        <f t="shared" si="137"/>
        <v>43</v>
      </c>
      <c r="CIJ51">
        <f t="shared" si="137"/>
        <v>43</v>
      </c>
      <c r="CIK51">
        <f t="shared" si="137"/>
        <v>43</v>
      </c>
      <c r="CIL51">
        <f t="shared" si="137"/>
        <v>43</v>
      </c>
      <c r="CIM51">
        <f t="shared" si="137"/>
        <v>43</v>
      </c>
      <c r="CIN51">
        <f t="shared" si="137"/>
        <v>43</v>
      </c>
      <c r="CIO51">
        <f t="shared" si="137"/>
        <v>43</v>
      </c>
      <c r="CIP51">
        <f t="shared" si="137"/>
        <v>43</v>
      </c>
      <c r="CIQ51">
        <f t="shared" ref="CIQ51:CLB51" si="138">COUNTBLANK(CIQ6:CIQ49)</f>
        <v>43</v>
      </c>
      <c r="CIR51">
        <f t="shared" si="138"/>
        <v>43</v>
      </c>
      <c r="CIS51">
        <f t="shared" si="138"/>
        <v>43</v>
      </c>
      <c r="CIT51">
        <f t="shared" si="138"/>
        <v>43</v>
      </c>
      <c r="CIU51">
        <f t="shared" si="138"/>
        <v>43</v>
      </c>
      <c r="CIV51">
        <f t="shared" si="138"/>
        <v>43</v>
      </c>
      <c r="CIW51">
        <f t="shared" si="138"/>
        <v>43</v>
      </c>
      <c r="CIX51">
        <f t="shared" si="138"/>
        <v>43</v>
      </c>
      <c r="CIY51">
        <f t="shared" si="138"/>
        <v>43</v>
      </c>
      <c r="CIZ51">
        <f t="shared" si="138"/>
        <v>43</v>
      </c>
      <c r="CJA51">
        <f t="shared" si="138"/>
        <v>43</v>
      </c>
      <c r="CJB51">
        <f t="shared" si="138"/>
        <v>43</v>
      </c>
      <c r="CJC51">
        <f t="shared" si="138"/>
        <v>43</v>
      </c>
      <c r="CJD51">
        <f t="shared" si="138"/>
        <v>43</v>
      </c>
      <c r="CJE51">
        <f t="shared" si="138"/>
        <v>43</v>
      </c>
      <c r="CJF51">
        <f t="shared" si="138"/>
        <v>43</v>
      </c>
      <c r="CJG51">
        <f t="shared" si="138"/>
        <v>43</v>
      </c>
      <c r="CJH51">
        <f t="shared" si="138"/>
        <v>43</v>
      </c>
      <c r="CJI51">
        <f t="shared" si="138"/>
        <v>43</v>
      </c>
      <c r="CJJ51">
        <f t="shared" si="138"/>
        <v>43</v>
      </c>
      <c r="CJK51">
        <f t="shared" si="138"/>
        <v>43</v>
      </c>
      <c r="CJL51">
        <f t="shared" si="138"/>
        <v>43</v>
      </c>
      <c r="CJM51">
        <f t="shared" si="138"/>
        <v>43</v>
      </c>
      <c r="CJN51">
        <f t="shared" si="138"/>
        <v>43</v>
      </c>
      <c r="CJO51">
        <f t="shared" si="138"/>
        <v>43</v>
      </c>
      <c r="CJP51">
        <f t="shared" si="138"/>
        <v>43</v>
      </c>
      <c r="CJQ51">
        <f t="shared" si="138"/>
        <v>43</v>
      </c>
      <c r="CJR51">
        <f t="shared" si="138"/>
        <v>43</v>
      </c>
      <c r="CJS51">
        <f t="shared" si="138"/>
        <v>43</v>
      </c>
      <c r="CJT51">
        <f t="shared" si="138"/>
        <v>43</v>
      </c>
      <c r="CJU51">
        <f t="shared" si="138"/>
        <v>43</v>
      </c>
      <c r="CJV51">
        <f t="shared" si="138"/>
        <v>43</v>
      </c>
      <c r="CJW51">
        <f t="shared" si="138"/>
        <v>43</v>
      </c>
      <c r="CJX51">
        <f t="shared" si="138"/>
        <v>43</v>
      </c>
      <c r="CJY51">
        <f t="shared" si="138"/>
        <v>43</v>
      </c>
      <c r="CJZ51">
        <f t="shared" si="138"/>
        <v>43</v>
      </c>
      <c r="CKA51">
        <f t="shared" si="138"/>
        <v>43</v>
      </c>
      <c r="CKB51">
        <f t="shared" si="138"/>
        <v>43</v>
      </c>
      <c r="CKC51">
        <f t="shared" si="138"/>
        <v>43</v>
      </c>
      <c r="CKD51">
        <f t="shared" si="138"/>
        <v>43</v>
      </c>
      <c r="CKE51">
        <f t="shared" si="138"/>
        <v>43</v>
      </c>
      <c r="CKF51">
        <f t="shared" si="138"/>
        <v>43</v>
      </c>
      <c r="CKG51">
        <f t="shared" si="138"/>
        <v>43</v>
      </c>
      <c r="CKH51">
        <f t="shared" si="138"/>
        <v>43</v>
      </c>
      <c r="CKI51">
        <f t="shared" si="138"/>
        <v>43</v>
      </c>
      <c r="CKJ51">
        <f t="shared" si="138"/>
        <v>43</v>
      </c>
      <c r="CKK51">
        <f t="shared" si="138"/>
        <v>43</v>
      </c>
      <c r="CKL51">
        <f t="shared" si="138"/>
        <v>43</v>
      </c>
      <c r="CKM51">
        <f t="shared" si="138"/>
        <v>43</v>
      </c>
      <c r="CKN51">
        <f t="shared" si="138"/>
        <v>43</v>
      </c>
      <c r="CKO51">
        <f t="shared" si="138"/>
        <v>43</v>
      </c>
      <c r="CKP51">
        <f t="shared" si="138"/>
        <v>43</v>
      </c>
      <c r="CKQ51">
        <f t="shared" si="138"/>
        <v>43</v>
      </c>
      <c r="CKR51">
        <f t="shared" si="138"/>
        <v>43</v>
      </c>
      <c r="CKS51">
        <f t="shared" si="138"/>
        <v>43</v>
      </c>
      <c r="CKT51">
        <f t="shared" si="138"/>
        <v>43</v>
      </c>
      <c r="CKU51">
        <f t="shared" si="138"/>
        <v>43</v>
      </c>
      <c r="CKV51">
        <f t="shared" si="138"/>
        <v>43</v>
      </c>
      <c r="CKW51">
        <f t="shared" si="138"/>
        <v>43</v>
      </c>
      <c r="CKX51">
        <f t="shared" si="138"/>
        <v>43</v>
      </c>
      <c r="CKY51">
        <f t="shared" si="138"/>
        <v>43</v>
      </c>
      <c r="CKZ51">
        <f t="shared" si="138"/>
        <v>43</v>
      </c>
      <c r="CLA51">
        <f t="shared" si="138"/>
        <v>43</v>
      </c>
      <c r="CLB51">
        <f t="shared" si="138"/>
        <v>43</v>
      </c>
      <c r="CLC51">
        <f t="shared" ref="CLC51:CNN51" si="139">COUNTBLANK(CLC6:CLC49)</f>
        <v>43</v>
      </c>
      <c r="CLD51">
        <f t="shared" si="139"/>
        <v>43</v>
      </c>
      <c r="CLE51">
        <f t="shared" si="139"/>
        <v>43</v>
      </c>
      <c r="CLF51">
        <f t="shared" si="139"/>
        <v>43</v>
      </c>
      <c r="CLG51">
        <f t="shared" si="139"/>
        <v>43</v>
      </c>
      <c r="CLH51">
        <f t="shared" si="139"/>
        <v>43</v>
      </c>
      <c r="CLI51">
        <f t="shared" si="139"/>
        <v>43</v>
      </c>
      <c r="CLJ51">
        <f t="shared" si="139"/>
        <v>43</v>
      </c>
      <c r="CLK51">
        <f t="shared" si="139"/>
        <v>43</v>
      </c>
      <c r="CLL51">
        <f t="shared" si="139"/>
        <v>43</v>
      </c>
      <c r="CLM51">
        <f t="shared" si="139"/>
        <v>43</v>
      </c>
      <c r="CLN51">
        <f t="shared" si="139"/>
        <v>43</v>
      </c>
      <c r="CLO51">
        <f t="shared" si="139"/>
        <v>43</v>
      </c>
      <c r="CLP51">
        <f t="shared" si="139"/>
        <v>43</v>
      </c>
      <c r="CLQ51">
        <f t="shared" si="139"/>
        <v>43</v>
      </c>
      <c r="CLR51">
        <f t="shared" si="139"/>
        <v>43</v>
      </c>
      <c r="CLS51">
        <f t="shared" si="139"/>
        <v>43</v>
      </c>
      <c r="CLT51">
        <f t="shared" si="139"/>
        <v>43</v>
      </c>
      <c r="CLU51">
        <f t="shared" si="139"/>
        <v>43</v>
      </c>
      <c r="CLV51">
        <f t="shared" si="139"/>
        <v>43</v>
      </c>
      <c r="CLW51">
        <f t="shared" si="139"/>
        <v>43</v>
      </c>
      <c r="CLX51">
        <f t="shared" si="139"/>
        <v>43</v>
      </c>
      <c r="CLY51">
        <f t="shared" si="139"/>
        <v>43</v>
      </c>
      <c r="CLZ51">
        <f t="shared" si="139"/>
        <v>43</v>
      </c>
      <c r="CMA51">
        <f t="shared" si="139"/>
        <v>43</v>
      </c>
      <c r="CMB51">
        <f t="shared" si="139"/>
        <v>43</v>
      </c>
      <c r="CMC51">
        <f t="shared" si="139"/>
        <v>43</v>
      </c>
      <c r="CMD51">
        <f t="shared" si="139"/>
        <v>43</v>
      </c>
      <c r="CME51">
        <f t="shared" si="139"/>
        <v>43</v>
      </c>
      <c r="CMF51">
        <f t="shared" si="139"/>
        <v>43</v>
      </c>
      <c r="CMG51">
        <f t="shared" si="139"/>
        <v>43</v>
      </c>
      <c r="CMH51">
        <f t="shared" si="139"/>
        <v>43</v>
      </c>
      <c r="CMI51">
        <f t="shared" si="139"/>
        <v>43</v>
      </c>
      <c r="CMJ51">
        <f t="shared" si="139"/>
        <v>43</v>
      </c>
      <c r="CMK51">
        <f t="shared" si="139"/>
        <v>43</v>
      </c>
      <c r="CML51">
        <f t="shared" si="139"/>
        <v>43</v>
      </c>
      <c r="CMM51">
        <f t="shared" si="139"/>
        <v>43</v>
      </c>
      <c r="CMN51">
        <f t="shared" si="139"/>
        <v>43</v>
      </c>
      <c r="CMO51">
        <f t="shared" si="139"/>
        <v>43</v>
      </c>
      <c r="CMP51">
        <f t="shared" si="139"/>
        <v>43</v>
      </c>
      <c r="CMQ51">
        <f t="shared" si="139"/>
        <v>43</v>
      </c>
      <c r="CMR51">
        <f t="shared" si="139"/>
        <v>43</v>
      </c>
      <c r="CMS51">
        <f t="shared" si="139"/>
        <v>43</v>
      </c>
      <c r="CMT51">
        <f t="shared" si="139"/>
        <v>43</v>
      </c>
      <c r="CMU51">
        <f t="shared" si="139"/>
        <v>43</v>
      </c>
      <c r="CMV51">
        <f t="shared" si="139"/>
        <v>43</v>
      </c>
      <c r="CMW51">
        <f t="shared" si="139"/>
        <v>43</v>
      </c>
      <c r="CMX51">
        <f t="shared" si="139"/>
        <v>43</v>
      </c>
      <c r="CMY51">
        <f t="shared" si="139"/>
        <v>43</v>
      </c>
      <c r="CMZ51">
        <f t="shared" si="139"/>
        <v>43</v>
      </c>
      <c r="CNA51">
        <f t="shared" si="139"/>
        <v>43</v>
      </c>
      <c r="CNB51">
        <f t="shared" si="139"/>
        <v>43</v>
      </c>
      <c r="CNC51">
        <f t="shared" si="139"/>
        <v>43</v>
      </c>
      <c r="CND51">
        <f t="shared" si="139"/>
        <v>43</v>
      </c>
      <c r="CNE51">
        <f t="shared" si="139"/>
        <v>43</v>
      </c>
      <c r="CNF51">
        <f t="shared" si="139"/>
        <v>43</v>
      </c>
      <c r="CNG51">
        <f t="shared" si="139"/>
        <v>43</v>
      </c>
      <c r="CNH51">
        <f t="shared" si="139"/>
        <v>43</v>
      </c>
      <c r="CNI51">
        <f t="shared" si="139"/>
        <v>43</v>
      </c>
      <c r="CNJ51">
        <f t="shared" si="139"/>
        <v>43</v>
      </c>
      <c r="CNK51">
        <f t="shared" si="139"/>
        <v>43</v>
      </c>
      <c r="CNL51">
        <f t="shared" si="139"/>
        <v>43</v>
      </c>
      <c r="CNM51">
        <f t="shared" si="139"/>
        <v>43</v>
      </c>
      <c r="CNN51">
        <f t="shared" si="139"/>
        <v>43</v>
      </c>
      <c r="CNO51">
        <f t="shared" ref="CNO51:CPZ51" si="140">COUNTBLANK(CNO6:CNO49)</f>
        <v>43</v>
      </c>
      <c r="CNP51">
        <f t="shared" si="140"/>
        <v>43</v>
      </c>
      <c r="CNQ51">
        <f t="shared" si="140"/>
        <v>43</v>
      </c>
      <c r="CNR51">
        <f t="shared" si="140"/>
        <v>43</v>
      </c>
      <c r="CNS51">
        <f t="shared" si="140"/>
        <v>43</v>
      </c>
      <c r="CNT51">
        <f t="shared" si="140"/>
        <v>43</v>
      </c>
      <c r="CNU51">
        <f t="shared" si="140"/>
        <v>43</v>
      </c>
      <c r="CNV51">
        <f t="shared" si="140"/>
        <v>43</v>
      </c>
      <c r="CNW51">
        <f t="shared" si="140"/>
        <v>43</v>
      </c>
      <c r="CNX51">
        <f t="shared" si="140"/>
        <v>43</v>
      </c>
      <c r="CNY51">
        <f t="shared" si="140"/>
        <v>43</v>
      </c>
      <c r="CNZ51">
        <f t="shared" si="140"/>
        <v>43</v>
      </c>
      <c r="COA51">
        <f t="shared" si="140"/>
        <v>43</v>
      </c>
      <c r="COB51">
        <f t="shared" si="140"/>
        <v>43</v>
      </c>
      <c r="COC51">
        <f t="shared" si="140"/>
        <v>43</v>
      </c>
      <c r="COD51">
        <f t="shared" si="140"/>
        <v>43</v>
      </c>
      <c r="COE51">
        <f t="shared" si="140"/>
        <v>43</v>
      </c>
      <c r="COF51">
        <f t="shared" si="140"/>
        <v>43</v>
      </c>
      <c r="COG51">
        <f t="shared" si="140"/>
        <v>43</v>
      </c>
      <c r="COH51">
        <f t="shared" si="140"/>
        <v>43</v>
      </c>
      <c r="COI51">
        <f t="shared" si="140"/>
        <v>43</v>
      </c>
      <c r="COJ51">
        <f t="shared" si="140"/>
        <v>43</v>
      </c>
      <c r="COK51">
        <f t="shared" si="140"/>
        <v>43</v>
      </c>
      <c r="COL51">
        <f t="shared" si="140"/>
        <v>43</v>
      </c>
      <c r="COM51">
        <f t="shared" si="140"/>
        <v>43</v>
      </c>
      <c r="CON51">
        <f t="shared" si="140"/>
        <v>43</v>
      </c>
      <c r="COO51">
        <f t="shared" si="140"/>
        <v>43</v>
      </c>
      <c r="COP51">
        <f t="shared" si="140"/>
        <v>43</v>
      </c>
      <c r="COQ51">
        <f t="shared" si="140"/>
        <v>43</v>
      </c>
      <c r="COR51">
        <f t="shared" si="140"/>
        <v>43</v>
      </c>
      <c r="COS51">
        <f t="shared" si="140"/>
        <v>43</v>
      </c>
      <c r="COT51">
        <f t="shared" si="140"/>
        <v>43</v>
      </c>
      <c r="COU51">
        <f t="shared" si="140"/>
        <v>43</v>
      </c>
      <c r="COV51">
        <f t="shared" si="140"/>
        <v>43</v>
      </c>
      <c r="COW51">
        <f t="shared" si="140"/>
        <v>43</v>
      </c>
      <c r="COX51">
        <f t="shared" si="140"/>
        <v>43</v>
      </c>
      <c r="COY51">
        <f t="shared" si="140"/>
        <v>43</v>
      </c>
      <c r="COZ51">
        <f t="shared" si="140"/>
        <v>43</v>
      </c>
      <c r="CPA51">
        <f t="shared" si="140"/>
        <v>43</v>
      </c>
      <c r="CPB51">
        <f t="shared" si="140"/>
        <v>43</v>
      </c>
      <c r="CPC51">
        <f t="shared" si="140"/>
        <v>43</v>
      </c>
      <c r="CPD51">
        <f t="shared" si="140"/>
        <v>43</v>
      </c>
      <c r="CPE51">
        <f t="shared" si="140"/>
        <v>43</v>
      </c>
      <c r="CPF51">
        <f t="shared" si="140"/>
        <v>43</v>
      </c>
      <c r="CPG51">
        <f t="shared" si="140"/>
        <v>43</v>
      </c>
      <c r="CPH51">
        <f t="shared" si="140"/>
        <v>43</v>
      </c>
      <c r="CPI51">
        <f t="shared" si="140"/>
        <v>43</v>
      </c>
      <c r="CPJ51">
        <f t="shared" si="140"/>
        <v>43</v>
      </c>
      <c r="CPK51">
        <f t="shared" si="140"/>
        <v>43</v>
      </c>
      <c r="CPL51">
        <f t="shared" si="140"/>
        <v>43</v>
      </c>
      <c r="CPM51">
        <f t="shared" si="140"/>
        <v>43</v>
      </c>
      <c r="CPN51">
        <f t="shared" si="140"/>
        <v>43</v>
      </c>
      <c r="CPO51">
        <f t="shared" si="140"/>
        <v>43</v>
      </c>
      <c r="CPP51">
        <f t="shared" si="140"/>
        <v>43</v>
      </c>
      <c r="CPQ51">
        <f t="shared" si="140"/>
        <v>43</v>
      </c>
      <c r="CPR51">
        <f t="shared" si="140"/>
        <v>43</v>
      </c>
      <c r="CPS51">
        <f t="shared" si="140"/>
        <v>43</v>
      </c>
      <c r="CPT51">
        <f t="shared" si="140"/>
        <v>43</v>
      </c>
      <c r="CPU51">
        <f t="shared" si="140"/>
        <v>43</v>
      </c>
      <c r="CPV51">
        <f t="shared" si="140"/>
        <v>43</v>
      </c>
      <c r="CPW51">
        <f t="shared" si="140"/>
        <v>43</v>
      </c>
      <c r="CPX51">
        <f t="shared" si="140"/>
        <v>43</v>
      </c>
      <c r="CPY51">
        <f t="shared" si="140"/>
        <v>43</v>
      </c>
      <c r="CPZ51">
        <f t="shared" si="140"/>
        <v>43</v>
      </c>
      <c r="CQA51">
        <f t="shared" ref="CQA51:CSL51" si="141">COUNTBLANK(CQA6:CQA49)</f>
        <v>43</v>
      </c>
      <c r="CQB51">
        <f t="shared" si="141"/>
        <v>43</v>
      </c>
      <c r="CQC51">
        <f t="shared" si="141"/>
        <v>43</v>
      </c>
      <c r="CQD51">
        <f t="shared" si="141"/>
        <v>43</v>
      </c>
      <c r="CQE51">
        <f t="shared" si="141"/>
        <v>43</v>
      </c>
      <c r="CQF51">
        <f t="shared" si="141"/>
        <v>43</v>
      </c>
      <c r="CQG51">
        <f t="shared" si="141"/>
        <v>43</v>
      </c>
      <c r="CQH51">
        <f t="shared" si="141"/>
        <v>43</v>
      </c>
      <c r="CQI51">
        <f t="shared" si="141"/>
        <v>43</v>
      </c>
      <c r="CQJ51">
        <f t="shared" si="141"/>
        <v>43</v>
      </c>
      <c r="CQK51">
        <f t="shared" si="141"/>
        <v>43</v>
      </c>
      <c r="CQL51">
        <f t="shared" si="141"/>
        <v>43</v>
      </c>
      <c r="CQM51">
        <f t="shared" si="141"/>
        <v>43</v>
      </c>
      <c r="CQN51">
        <f t="shared" si="141"/>
        <v>43</v>
      </c>
      <c r="CQO51">
        <f t="shared" si="141"/>
        <v>43</v>
      </c>
      <c r="CQP51">
        <f t="shared" si="141"/>
        <v>43</v>
      </c>
      <c r="CQQ51">
        <f t="shared" si="141"/>
        <v>43</v>
      </c>
      <c r="CQR51">
        <f t="shared" si="141"/>
        <v>43</v>
      </c>
      <c r="CQS51">
        <f t="shared" si="141"/>
        <v>43</v>
      </c>
      <c r="CQT51">
        <f t="shared" si="141"/>
        <v>43</v>
      </c>
      <c r="CQU51">
        <f t="shared" si="141"/>
        <v>43</v>
      </c>
      <c r="CQV51">
        <f t="shared" si="141"/>
        <v>43</v>
      </c>
      <c r="CQW51">
        <f t="shared" si="141"/>
        <v>43</v>
      </c>
      <c r="CQX51">
        <f t="shared" si="141"/>
        <v>43</v>
      </c>
      <c r="CQY51">
        <f t="shared" si="141"/>
        <v>43</v>
      </c>
      <c r="CQZ51">
        <f t="shared" si="141"/>
        <v>43</v>
      </c>
      <c r="CRA51">
        <f t="shared" si="141"/>
        <v>43</v>
      </c>
      <c r="CRB51">
        <f t="shared" si="141"/>
        <v>43</v>
      </c>
      <c r="CRC51">
        <f t="shared" si="141"/>
        <v>43</v>
      </c>
      <c r="CRD51">
        <f t="shared" si="141"/>
        <v>43</v>
      </c>
      <c r="CRE51">
        <f t="shared" si="141"/>
        <v>43</v>
      </c>
      <c r="CRF51">
        <f t="shared" si="141"/>
        <v>43</v>
      </c>
      <c r="CRG51">
        <f t="shared" si="141"/>
        <v>43</v>
      </c>
      <c r="CRH51">
        <f t="shared" si="141"/>
        <v>43</v>
      </c>
      <c r="CRI51">
        <f t="shared" si="141"/>
        <v>43</v>
      </c>
      <c r="CRJ51">
        <f t="shared" si="141"/>
        <v>43</v>
      </c>
      <c r="CRK51">
        <f t="shared" si="141"/>
        <v>43</v>
      </c>
      <c r="CRL51">
        <f t="shared" si="141"/>
        <v>43</v>
      </c>
      <c r="CRM51">
        <f t="shared" si="141"/>
        <v>43</v>
      </c>
      <c r="CRN51">
        <f t="shared" si="141"/>
        <v>43</v>
      </c>
      <c r="CRO51">
        <f t="shared" si="141"/>
        <v>43</v>
      </c>
      <c r="CRP51">
        <f t="shared" si="141"/>
        <v>43</v>
      </c>
      <c r="CRQ51">
        <f t="shared" si="141"/>
        <v>43</v>
      </c>
      <c r="CRR51">
        <f t="shared" si="141"/>
        <v>43</v>
      </c>
      <c r="CRS51">
        <f t="shared" si="141"/>
        <v>43</v>
      </c>
      <c r="CRT51">
        <f t="shared" si="141"/>
        <v>43</v>
      </c>
      <c r="CRU51">
        <f t="shared" si="141"/>
        <v>43</v>
      </c>
      <c r="CRV51">
        <f t="shared" si="141"/>
        <v>43</v>
      </c>
      <c r="CRW51">
        <f t="shared" si="141"/>
        <v>43</v>
      </c>
      <c r="CRX51">
        <f t="shared" si="141"/>
        <v>43</v>
      </c>
      <c r="CRY51">
        <f t="shared" si="141"/>
        <v>43</v>
      </c>
      <c r="CRZ51">
        <f t="shared" si="141"/>
        <v>43</v>
      </c>
      <c r="CSA51">
        <f t="shared" si="141"/>
        <v>43</v>
      </c>
      <c r="CSB51">
        <f t="shared" si="141"/>
        <v>43</v>
      </c>
      <c r="CSC51">
        <f t="shared" si="141"/>
        <v>43</v>
      </c>
      <c r="CSD51">
        <f t="shared" si="141"/>
        <v>43</v>
      </c>
      <c r="CSE51">
        <f t="shared" si="141"/>
        <v>43</v>
      </c>
      <c r="CSF51">
        <f t="shared" si="141"/>
        <v>43</v>
      </c>
      <c r="CSG51">
        <f t="shared" si="141"/>
        <v>43</v>
      </c>
      <c r="CSH51">
        <f t="shared" si="141"/>
        <v>43</v>
      </c>
      <c r="CSI51">
        <f t="shared" si="141"/>
        <v>43</v>
      </c>
      <c r="CSJ51">
        <f t="shared" si="141"/>
        <v>43</v>
      </c>
      <c r="CSK51">
        <f t="shared" si="141"/>
        <v>43</v>
      </c>
      <c r="CSL51">
        <f t="shared" si="141"/>
        <v>43</v>
      </c>
      <c r="CSM51">
        <f t="shared" ref="CSM51:CUX51" si="142">COUNTBLANK(CSM6:CSM49)</f>
        <v>43</v>
      </c>
      <c r="CSN51">
        <f t="shared" si="142"/>
        <v>43</v>
      </c>
      <c r="CSO51">
        <f t="shared" si="142"/>
        <v>43</v>
      </c>
      <c r="CSP51">
        <f t="shared" si="142"/>
        <v>43</v>
      </c>
      <c r="CSQ51">
        <f t="shared" si="142"/>
        <v>43</v>
      </c>
      <c r="CSR51">
        <f t="shared" si="142"/>
        <v>43</v>
      </c>
      <c r="CSS51">
        <f t="shared" si="142"/>
        <v>43</v>
      </c>
      <c r="CST51">
        <f t="shared" si="142"/>
        <v>43</v>
      </c>
      <c r="CSU51">
        <f t="shared" si="142"/>
        <v>43</v>
      </c>
      <c r="CSV51">
        <f t="shared" si="142"/>
        <v>43</v>
      </c>
      <c r="CSW51">
        <f t="shared" si="142"/>
        <v>43</v>
      </c>
      <c r="CSX51">
        <f t="shared" si="142"/>
        <v>43</v>
      </c>
      <c r="CSY51">
        <f t="shared" si="142"/>
        <v>43</v>
      </c>
      <c r="CSZ51">
        <f t="shared" si="142"/>
        <v>43</v>
      </c>
      <c r="CTA51">
        <f t="shared" si="142"/>
        <v>43</v>
      </c>
      <c r="CTB51">
        <f t="shared" si="142"/>
        <v>43</v>
      </c>
      <c r="CTC51">
        <f t="shared" si="142"/>
        <v>43</v>
      </c>
      <c r="CTD51">
        <f t="shared" si="142"/>
        <v>43</v>
      </c>
      <c r="CTE51">
        <f t="shared" si="142"/>
        <v>43</v>
      </c>
      <c r="CTF51">
        <f t="shared" si="142"/>
        <v>43</v>
      </c>
      <c r="CTG51">
        <f t="shared" si="142"/>
        <v>43</v>
      </c>
      <c r="CTH51">
        <f t="shared" si="142"/>
        <v>43</v>
      </c>
      <c r="CTI51">
        <f t="shared" si="142"/>
        <v>43</v>
      </c>
      <c r="CTJ51">
        <f t="shared" si="142"/>
        <v>43</v>
      </c>
      <c r="CTK51">
        <f t="shared" si="142"/>
        <v>43</v>
      </c>
      <c r="CTL51">
        <f t="shared" si="142"/>
        <v>43</v>
      </c>
      <c r="CTM51">
        <f t="shared" si="142"/>
        <v>43</v>
      </c>
      <c r="CTN51">
        <f t="shared" si="142"/>
        <v>43</v>
      </c>
      <c r="CTO51">
        <f t="shared" si="142"/>
        <v>43</v>
      </c>
      <c r="CTP51">
        <f t="shared" si="142"/>
        <v>43</v>
      </c>
      <c r="CTQ51">
        <f t="shared" si="142"/>
        <v>43</v>
      </c>
      <c r="CTR51">
        <f t="shared" si="142"/>
        <v>43</v>
      </c>
      <c r="CTS51">
        <f t="shared" si="142"/>
        <v>43</v>
      </c>
      <c r="CTT51">
        <f t="shared" si="142"/>
        <v>43</v>
      </c>
      <c r="CTU51">
        <f t="shared" si="142"/>
        <v>43</v>
      </c>
      <c r="CTV51">
        <f t="shared" si="142"/>
        <v>43</v>
      </c>
      <c r="CTW51">
        <f t="shared" si="142"/>
        <v>43</v>
      </c>
      <c r="CTX51">
        <f t="shared" si="142"/>
        <v>43</v>
      </c>
      <c r="CTY51">
        <f t="shared" si="142"/>
        <v>43</v>
      </c>
      <c r="CTZ51">
        <f t="shared" si="142"/>
        <v>43</v>
      </c>
      <c r="CUA51">
        <f t="shared" si="142"/>
        <v>43</v>
      </c>
      <c r="CUB51">
        <f t="shared" si="142"/>
        <v>43</v>
      </c>
      <c r="CUC51">
        <f t="shared" si="142"/>
        <v>43</v>
      </c>
      <c r="CUD51">
        <f t="shared" si="142"/>
        <v>43</v>
      </c>
      <c r="CUE51">
        <f t="shared" si="142"/>
        <v>43</v>
      </c>
      <c r="CUF51">
        <f t="shared" si="142"/>
        <v>43</v>
      </c>
      <c r="CUG51">
        <f t="shared" si="142"/>
        <v>43</v>
      </c>
      <c r="CUH51">
        <f t="shared" si="142"/>
        <v>43</v>
      </c>
      <c r="CUI51">
        <f t="shared" si="142"/>
        <v>43</v>
      </c>
      <c r="CUJ51">
        <f t="shared" si="142"/>
        <v>43</v>
      </c>
      <c r="CUK51">
        <f t="shared" si="142"/>
        <v>43</v>
      </c>
      <c r="CUL51">
        <f t="shared" si="142"/>
        <v>43</v>
      </c>
      <c r="CUM51">
        <f t="shared" si="142"/>
        <v>43</v>
      </c>
      <c r="CUN51">
        <f t="shared" si="142"/>
        <v>43</v>
      </c>
      <c r="CUO51">
        <f t="shared" si="142"/>
        <v>43</v>
      </c>
      <c r="CUP51">
        <f t="shared" si="142"/>
        <v>43</v>
      </c>
      <c r="CUQ51">
        <f t="shared" si="142"/>
        <v>43</v>
      </c>
      <c r="CUR51">
        <f t="shared" si="142"/>
        <v>43</v>
      </c>
      <c r="CUS51">
        <f t="shared" si="142"/>
        <v>43</v>
      </c>
      <c r="CUT51">
        <f t="shared" si="142"/>
        <v>43</v>
      </c>
      <c r="CUU51">
        <f t="shared" si="142"/>
        <v>43</v>
      </c>
      <c r="CUV51">
        <f t="shared" si="142"/>
        <v>43</v>
      </c>
      <c r="CUW51">
        <f t="shared" si="142"/>
        <v>43</v>
      </c>
      <c r="CUX51">
        <f t="shared" si="142"/>
        <v>43</v>
      </c>
      <c r="CUY51">
        <f t="shared" ref="CUY51:CXJ51" si="143">COUNTBLANK(CUY6:CUY49)</f>
        <v>43</v>
      </c>
      <c r="CUZ51">
        <f t="shared" si="143"/>
        <v>43</v>
      </c>
      <c r="CVA51">
        <f t="shared" si="143"/>
        <v>43</v>
      </c>
      <c r="CVB51">
        <f t="shared" si="143"/>
        <v>43</v>
      </c>
      <c r="CVC51">
        <f t="shared" si="143"/>
        <v>43</v>
      </c>
      <c r="CVD51">
        <f t="shared" si="143"/>
        <v>43</v>
      </c>
      <c r="CVE51">
        <f t="shared" si="143"/>
        <v>43</v>
      </c>
      <c r="CVF51">
        <f t="shared" si="143"/>
        <v>43</v>
      </c>
      <c r="CVG51">
        <f t="shared" si="143"/>
        <v>43</v>
      </c>
      <c r="CVH51">
        <f t="shared" si="143"/>
        <v>43</v>
      </c>
      <c r="CVI51">
        <f t="shared" si="143"/>
        <v>43</v>
      </c>
      <c r="CVJ51">
        <f t="shared" si="143"/>
        <v>43</v>
      </c>
      <c r="CVK51">
        <f t="shared" si="143"/>
        <v>43</v>
      </c>
      <c r="CVL51">
        <f t="shared" si="143"/>
        <v>43</v>
      </c>
      <c r="CVM51">
        <f t="shared" si="143"/>
        <v>43</v>
      </c>
      <c r="CVN51">
        <f t="shared" si="143"/>
        <v>43</v>
      </c>
      <c r="CVO51">
        <f t="shared" si="143"/>
        <v>43</v>
      </c>
      <c r="CVP51">
        <f t="shared" si="143"/>
        <v>43</v>
      </c>
      <c r="CVQ51">
        <f t="shared" si="143"/>
        <v>43</v>
      </c>
      <c r="CVR51">
        <f t="shared" si="143"/>
        <v>43</v>
      </c>
      <c r="CVS51">
        <f t="shared" si="143"/>
        <v>43</v>
      </c>
      <c r="CVT51">
        <f t="shared" si="143"/>
        <v>43</v>
      </c>
      <c r="CVU51">
        <f t="shared" si="143"/>
        <v>43</v>
      </c>
      <c r="CVV51">
        <f t="shared" si="143"/>
        <v>43</v>
      </c>
      <c r="CVW51">
        <f t="shared" si="143"/>
        <v>43</v>
      </c>
      <c r="CVX51">
        <f t="shared" si="143"/>
        <v>43</v>
      </c>
      <c r="CVY51">
        <f t="shared" si="143"/>
        <v>43</v>
      </c>
      <c r="CVZ51">
        <f t="shared" si="143"/>
        <v>43</v>
      </c>
      <c r="CWA51">
        <f t="shared" si="143"/>
        <v>43</v>
      </c>
      <c r="CWB51">
        <f t="shared" si="143"/>
        <v>43</v>
      </c>
      <c r="CWC51">
        <f t="shared" si="143"/>
        <v>43</v>
      </c>
      <c r="CWD51">
        <f t="shared" si="143"/>
        <v>43</v>
      </c>
      <c r="CWE51">
        <f t="shared" si="143"/>
        <v>43</v>
      </c>
      <c r="CWF51">
        <f t="shared" si="143"/>
        <v>43</v>
      </c>
      <c r="CWG51">
        <f t="shared" si="143"/>
        <v>43</v>
      </c>
      <c r="CWH51">
        <f t="shared" si="143"/>
        <v>43</v>
      </c>
      <c r="CWI51">
        <f t="shared" si="143"/>
        <v>43</v>
      </c>
      <c r="CWJ51">
        <f t="shared" si="143"/>
        <v>43</v>
      </c>
      <c r="CWK51">
        <f t="shared" si="143"/>
        <v>43</v>
      </c>
      <c r="CWL51">
        <f t="shared" si="143"/>
        <v>43</v>
      </c>
      <c r="CWM51">
        <f t="shared" si="143"/>
        <v>43</v>
      </c>
      <c r="CWN51">
        <f t="shared" si="143"/>
        <v>43</v>
      </c>
      <c r="CWO51">
        <f t="shared" si="143"/>
        <v>43</v>
      </c>
      <c r="CWP51">
        <f t="shared" si="143"/>
        <v>43</v>
      </c>
      <c r="CWQ51">
        <f t="shared" si="143"/>
        <v>43</v>
      </c>
      <c r="CWR51">
        <f t="shared" si="143"/>
        <v>43</v>
      </c>
      <c r="CWS51">
        <f t="shared" si="143"/>
        <v>43</v>
      </c>
      <c r="CWT51">
        <f t="shared" si="143"/>
        <v>43</v>
      </c>
      <c r="CWU51">
        <f t="shared" si="143"/>
        <v>43</v>
      </c>
      <c r="CWV51">
        <f t="shared" si="143"/>
        <v>43</v>
      </c>
      <c r="CWW51">
        <f t="shared" si="143"/>
        <v>43</v>
      </c>
      <c r="CWX51">
        <f t="shared" si="143"/>
        <v>43</v>
      </c>
      <c r="CWY51">
        <f t="shared" si="143"/>
        <v>43</v>
      </c>
      <c r="CWZ51">
        <f t="shared" si="143"/>
        <v>43</v>
      </c>
      <c r="CXA51">
        <f t="shared" si="143"/>
        <v>43</v>
      </c>
      <c r="CXB51">
        <f t="shared" si="143"/>
        <v>43</v>
      </c>
      <c r="CXC51">
        <f t="shared" si="143"/>
        <v>43</v>
      </c>
      <c r="CXD51">
        <f t="shared" si="143"/>
        <v>43</v>
      </c>
      <c r="CXE51">
        <f t="shared" si="143"/>
        <v>43</v>
      </c>
      <c r="CXF51">
        <f t="shared" si="143"/>
        <v>43</v>
      </c>
      <c r="CXG51">
        <f t="shared" si="143"/>
        <v>43</v>
      </c>
      <c r="CXH51">
        <f t="shared" si="143"/>
        <v>43</v>
      </c>
      <c r="CXI51">
        <f t="shared" si="143"/>
        <v>43</v>
      </c>
      <c r="CXJ51">
        <f t="shared" si="143"/>
        <v>43</v>
      </c>
      <c r="CXK51">
        <f t="shared" ref="CXK51:CZV51" si="144">COUNTBLANK(CXK6:CXK49)</f>
        <v>43</v>
      </c>
      <c r="CXL51">
        <f t="shared" si="144"/>
        <v>43</v>
      </c>
      <c r="CXM51">
        <f t="shared" si="144"/>
        <v>43</v>
      </c>
      <c r="CXN51">
        <f t="shared" si="144"/>
        <v>43</v>
      </c>
      <c r="CXO51">
        <f t="shared" si="144"/>
        <v>43</v>
      </c>
      <c r="CXP51">
        <f t="shared" si="144"/>
        <v>43</v>
      </c>
      <c r="CXQ51">
        <f t="shared" si="144"/>
        <v>43</v>
      </c>
      <c r="CXR51">
        <f t="shared" si="144"/>
        <v>43</v>
      </c>
      <c r="CXS51">
        <f t="shared" si="144"/>
        <v>43</v>
      </c>
      <c r="CXT51">
        <f t="shared" si="144"/>
        <v>43</v>
      </c>
      <c r="CXU51">
        <f t="shared" si="144"/>
        <v>43</v>
      </c>
      <c r="CXV51">
        <f t="shared" si="144"/>
        <v>43</v>
      </c>
      <c r="CXW51">
        <f t="shared" si="144"/>
        <v>43</v>
      </c>
      <c r="CXX51">
        <f t="shared" si="144"/>
        <v>43</v>
      </c>
      <c r="CXY51">
        <f t="shared" si="144"/>
        <v>43</v>
      </c>
      <c r="CXZ51">
        <f t="shared" si="144"/>
        <v>43</v>
      </c>
      <c r="CYA51">
        <f t="shared" si="144"/>
        <v>43</v>
      </c>
      <c r="CYB51">
        <f t="shared" si="144"/>
        <v>43</v>
      </c>
      <c r="CYC51">
        <f t="shared" si="144"/>
        <v>43</v>
      </c>
      <c r="CYD51">
        <f t="shared" si="144"/>
        <v>43</v>
      </c>
      <c r="CYE51">
        <f t="shared" si="144"/>
        <v>43</v>
      </c>
      <c r="CYF51">
        <f t="shared" si="144"/>
        <v>43</v>
      </c>
      <c r="CYG51">
        <f t="shared" si="144"/>
        <v>43</v>
      </c>
      <c r="CYH51">
        <f t="shared" si="144"/>
        <v>43</v>
      </c>
      <c r="CYI51">
        <f t="shared" si="144"/>
        <v>43</v>
      </c>
      <c r="CYJ51">
        <f t="shared" si="144"/>
        <v>43</v>
      </c>
      <c r="CYK51">
        <f t="shared" si="144"/>
        <v>43</v>
      </c>
      <c r="CYL51">
        <f t="shared" si="144"/>
        <v>43</v>
      </c>
      <c r="CYM51">
        <f t="shared" si="144"/>
        <v>43</v>
      </c>
      <c r="CYN51">
        <f t="shared" si="144"/>
        <v>43</v>
      </c>
      <c r="CYO51">
        <f t="shared" si="144"/>
        <v>43</v>
      </c>
      <c r="CYP51">
        <f t="shared" si="144"/>
        <v>43</v>
      </c>
      <c r="CYQ51">
        <f t="shared" si="144"/>
        <v>43</v>
      </c>
      <c r="CYR51">
        <f t="shared" si="144"/>
        <v>43</v>
      </c>
      <c r="CYS51">
        <f t="shared" si="144"/>
        <v>43</v>
      </c>
      <c r="CYT51">
        <f t="shared" si="144"/>
        <v>43</v>
      </c>
      <c r="CYU51">
        <f t="shared" si="144"/>
        <v>43</v>
      </c>
      <c r="CYV51">
        <f t="shared" si="144"/>
        <v>43</v>
      </c>
      <c r="CYW51">
        <f t="shared" si="144"/>
        <v>43</v>
      </c>
      <c r="CYX51">
        <f t="shared" si="144"/>
        <v>43</v>
      </c>
      <c r="CYY51">
        <f t="shared" si="144"/>
        <v>43</v>
      </c>
      <c r="CYZ51">
        <f t="shared" si="144"/>
        <v>43</v>
      </c>
      <c r="CZA51">
        <f t="shared" si="144"/>
        <v>43</v>
      </c>
      <c r="CZB51">
        <f t="shared" si="144"/>
        <v>43</v>
      </c>
      <c r="CZC51">
        <f t="shared" si="144"/>
        <v>43</v>
      </c>
      <c r="CZD51">
        <f t="shared" si="144"/>
        <v>43</v>
      </c>
      <c r="CZE51">
        <f t="shared" si="144"/>
        <v>43</v>
      </c>
      <c r="CZF51">
        <f t="shared" si="144"/>
        <v>43</v>
      </c>
      <c r="CZG51">
        <f t="shared" si="144"/>
        <v>43</v>
      </c>
      <c r="CZH51">
        <f t="shared" si="144"/>
        <v>43</v>
      </c>
      <c r="CZI51">
        <f t="shared" si="144"/>
        <v>43</v>
      </c>
      <c r="CZJ51">
        <f t="shared" si="144"/>
        <v>43</v>
      </c>
      <c r="CZK51">
        <f t="shared" si="144"/>
        <v>43</v>
      </c>
      <c r="CZL51">
        <f t="shared" si="144"/>
        <v>43</v>
      </c>
      <c r="CZM51">
        <f t="shared" si="144"/>
        <v>43</v>
      </c>
      <c r="CZN51">
        <f t="shared" si="144"/>
        <v>43</v>
      </c>
      <c r="CZO51">
        <f t="shared" si="144"/>
        <v>43</v>
      </c>
      <c r="CZP51">
        <f t="shared" si="144"/>
        <v>43</v>
      </c>
      <c r="CZQ51">
        <f t="shared" si="144"/>
        <v>43</v>
      </c>
      <c r="CZR51">
        <f t="shared" si="144"/>
        <v>43</v>
      </c>
      <c r="CZS51">
        <f t="shared" si="144"/>
        <v>43</v>
      </c>
      <c r="CZT51">
        <f t="shared" si="144"/>
        <v>43</v>
      </c>
      <c r="CZU51">
        <f t="shared" si="144"/>
        <v>43</v>
      </c>
      <c r="CZV51">
        <f t="shared" si="144"/>
        <v>43</v>
      </c>
      <c r="CZW51">
        <f t="shared" ref="CZW51:DCH51" si="145">COUNTBLANK(CZW6:CZW49)</f>
        <v>43</v>
      </c>
      <c r="CZX51">
        <f t="shared" si="145"/>
        <v>43</v>
      </c>
      <c r="CZY51">
        <f t="shared" si="145"/>
        <v>43</v>
      </c>
      <c r="CZZ51">
        <f t="shared" si="145"/>
        <v>43</v>
      </c>
      <c r="DAA51">
        <f t="shared" si="145"/>
        <v>43</v>
      </c>
      <c r="DAB51">
        <f t="shared" si="145"/>
        <v>43</v>
      </c>
      <c r="DAC51">
        <f t="shared" si="145"/>
        <v>43</v>
      </c>
      <c r="DAD51">
        <f t="shared" si="145"/>
        <v>43</v>
      </c>
      <c r="DAE51">
        <f t="shared" si="145"/>
        <v>43</v>
      </c>
      <c r="DAF51">
        <f t="shared" si="145"/>
        <v>43</v>
      </c>
      <c r="DAG51">
        <f t="shared" si="145"/>
        <v>43</v>
      </c>
      <c r="DAH51">
        <f t="shared" si="145"/>
        <v>43</v>
      </c>
      <c r="DAI51">
        <f t="shared" si="145"/>
        <v>43</v>
      </c>
      <c r="DAJ51">
        <f t="shared" si="145"/>
        <v>43</v>
      </c>
      <c r="DAK51">
        <f t="shared" si="145"/>
        <v>43</v>
      </c>
      <c r="DAL51">
        <f t="shared" si="145"/>
        <v>43</v>
      </c>
      <c r="DAM51">
        <f t="shared" si="145"/>
        <v>43</v>
      </c>
      <c r="DAN51">
        <f t="shared" si="145"/>
        <v>43</v>
      </c>
      <c r="DAO51">
        <f t="shared" si="145"/>
        <v>43</v>
      </c>
      <c r="DAP51">
        <f t="shared" si="145"/>
        <v>43</v>
      </c>
      <c r="DAQ51">
        <f t="shared" si="145"/>
        <v>43</v>
      </c>
      <c r="DAR51">
        <f t="shared" si="145"/>
        <v>43</v>
      </c>
      <c r="DAS51">
        <f t="shared" si="145"/>
        <v>43</v>
      </c>
      <c r="DAT51">
        <f t="shared" si="145"/>
        <v>43</v>
      </c>
      <c r="DAU51">
        <f t="shared" si="145"/>
        <v>43</v>
      </c>
      <c r="DAV51">
        <f t="shared" si="145"/>
        <v>43</v>
      </c>
      <c r="DAW51">
        <f t="shared" si="145"/>
        <v>43</v>
      </c>
      <c r="DAX51">
        <f t="shared" si="145"/>
        <v>43</v>
      </c>
      <c r="DAY51">
        <f t="shared" si="145"/>
        <v>43</v>
      </c>
      <c r="DAZ51">
        <f t="shared" si="145"/>
        <v>43</v>
      </c>
      <c r="DBA51">
        <f t="shared" si="145"/>
        <v>43</v>
      </c>
      <c r="DBB51">
        <f t="shared" si="145"/>
        <v>43</v>
      </c>
      <c r="DBC51">
        <f t="shared" si="145"/>
        <v>43</v>
      </c>
      <c r="DBD51">
        <f t="shared" si="145"/>
        <v>43</v>
      </c>
      <c r="DBE51">
        <f t="shared" si="145"/>
        <v>43</v>
      </c>
      <c r="DBF51">
        <f t="shared" si="145"/>
        <v>43</v>
      </c>
      <c r="DBG51">
        <f t="shared" si="145"/>
        <v>43</v>
      </c>
      <c r="DBH51">
        <f t="shared" si="145"/>
        <v>43</v>
      </c>
      <c r="DBI51">
        <f t="shared" si="145"/>
        <v>43</v>
      </c>
      <c r="DBJ51">
        <f t="shared" si="145"/>
        <v>43</v>
      </c>
      <c r="DBK51">
        <f t="shared" si="145"/>
        <v>43</v>
      </c>
      <c r="DBL51">
        <f t="shared" si="145"/>
        <v>43</v>
      </c>
      <c r="DBM51">
        <f t="shared" si="145"/>
        <v>43</v>
      </c>
      <c r="DBN51">
        <f t="shared" si="145"/>
        <v>43</v>
      </c>
      <c r="DBO51">
        <f t="shared" si="145"/>
        <v>43</v>
      </c>
      <c r="DBP51">
        <f t="shared" si="145"/>
        <v>43</v>
      </c>
      <c r="DBQ51">
        <f t="shared" si="145"/>
        <v>43</v>
      </c>
      <c r="DBR51">
        <f t="shared" si="145"/>
        <v>43</v>
      </c>
      <c r="DBS51">
        <f t="shared" si="145"/>
        <v>43</v>
      </c>
      <c r="DBT51">
        <f t="shared" si="145"/>
        <v>43</v>
      </c>
      <c r="DBU51">
        <f t="shared" si="145"/>
        <v>43</v>
      </c>
      <c r="DBV51">
        <f t="shared" si="145"/>
        <v>43</v>
      </c>
      <c r="DBW51">
        <f t="shared" si="145"/>
        <v>43</v>
      </c>
      <c r="DBX51">
        <f t="shared" si="145"/>
        <v>43</v>
      </c>
      <c r="DBY51">
        <f t="shared" si="145"/>
        <v>43</v>
      </c>
      <c r="DBZ51">
        <f t="shared" si="145"/>
        <v>43</v>
      </c>
      <c r="DCA51">
        <f t="shared" si="145"/>
        <v>43</v>
      </c>
      <c r="DCB51">
        <f t="shared" si="145"/>
        <v>43</v>
      </c>
      <c r="DCC51">
        <f t="shared" si="145"/>
        <v>43</v>
      </c>
      <c r="DCD51">
        <f t="shared" si="145"/>
        <v>43</v>
      </c>
      <c r="DCE51">
        <f t="shared" si="145"/>
        <v>43</v>
      </c>
      <c r="DCF51">
        <f t="shared" si="145"/>
        <v>43</v>
      </c>
      <c r="DCG51">
        <f t="shared" si="145"/>
        <v>43</v>
      </c>
      <c r="DCH51">
        <f t="shared" si="145"/>
        <v>43</v>
      </c>
      <c r="DCI51">
        <f t="shared" ref="DCI51:DET51" si="146">COUNTBLANK(DCI6:DCI49)</f>
        <v>43</v>
      </c>
      <c r="DCJ51">
        <f t="shared" si="146"/>
        <v>43</v>
      </c>
      <c r="DCK51">
        <f t="shared" si="146"/>
        <v>43</v>
      </c>
      <c r="DCL51">
        <f t="shared" si="146"/>
        <v>43</v>
      </c>
      <c r="DCM51">
        <f t="shared" si="146"/>
        <v>43</v>
      </c>
      <c r="DCN51">
        <f t="shared" si="146"/>
        <v>43</v>
      </c>
      <c r="DCO51">
        <f t="shared" si="146"/>
        <v>43</v>
      </c>
      <c r="DCP51">
        <f t="shared" si="146"/>
        <v>43</v>
      </c>
      <c r="DCQ51">
        <f t="shared" si="146"/>
        <v>43</v>
      </c>
      <c r="DCR51">
        <f t="shared" si="146"/>
        <v>43</v>
      </c>
      <c r="DCS51">
        <f t="shared" si="146"/>
        <v>43</v>
      </c>
      <c r="DCT51">
        <f t="shared" si="146"/>
        <v>43</v>
      </c>
      <c r="DCU51">
        <f t="shared" si="146"/>
        <v>43</v>
      </c>
      <c r="DCV51">
        <f t="shared" si="146"/>
        <v>43</v>
      </c>
      <c r="DCW51">
        <f t="shared" si="146"/>
        <v>43</v>
      </c>
      <c r="DCX51">
        <f t="shared" si="146"/>
        <v>43</v>
      </c>
      <c r="DCY51">
        <f t="shared" si="146"/>
        <v>43</v>
      </c>
      <c r="DCZ51">
        <f t="shared" si="146"/>
        <v>43</v>
      </c>
      <c r="DDA51">
        <f t="shared" si="146"/>
        <v>43</v>
      </c>
      <c r="DDB51">
        <f t="shared" si="146"/>
        <v>43</v>
      </c>
      <c r="DDC51">
        <f t="shared" si="146"/>
        <v>43</v>
      </c>
      <c r="DDD51">
        <f t="shared" si="146"/>
        <v>43</v>
      </c>
      <c r="DDE51">
        <f t="shared" si="146"/>
        <v>43</v>
      </c>
      <c r="DDF51">
        <f t="shared" si="146"/>
        <v>43</v>
      </c>
      <c r="DDG51">
        <f t="shared" si="146"/>
        <v>43</v>
      </c>
      <c r="DDH51">
        <f t="shared" si="146"/>
        <v>43</v>
      </c>
      <c r="DDI51">
        <f t="shared" si="146"/>
        <v>43</v>
      </c>
      <c r="DDJ51">
        <f t="shared" si="146"/>
        <v>43</v>
      </c>
      <c r="DDK51">
        <f t="shared" si="146"/>
        <v>43</v>
      </c>
      <c r="DDL51">
        <f t="shared" si="146"/>
        <v>43</v>
      </c>
      <c r="DDM51">
        <f t="shared" si="146"/>
        <v>43</v>
      </c>
      <c r="DDN51">
        <f t="shared" si="146"/>
        <v>43</v>
      </c>
      <c r="DDO51">
        <f t="shared" si="146"/>
        <v>43</v>
      </c>
      <c r="DDP51">
        <f t="shared" si="146"/>
        <v>43</v>
      </c>
      <c r="DDQ51">
        <f t="shared" si="146"/>
        <v>43</v>
      </c>
      <c r="DDR51">
        <f t="shared" si="146"/>
        <v>43</v>
      </c>
      <c r="DDS51">
        <f t="shared" si="146"/>
        <v>43</v>
      </c>
      <c r="DDT51">
        <f t="shared" si="146"/>
        <v>43</v>
      </c>
      <c r="DDU51">
        <f t="shared" si="146"/>
        <v>43</v>
      </c>
      <c r="DDV51">
        <f t="shared" si="146"/>
        <v>43</v>
      </c>
      <c r="DDW51">
        <f t="shared" si="146"/>
        <v>43</v>
      </c>
      <c r="DDX51">
        <f t="shared" si="146"/>
        <v>43</v>
      </c>
      <c r="DDY51">
        <f t="shared" si="146"/>
        <v>43</v>
      </c>
      <c r="DDZ51">
        <f t="shared" si="146"/>
        <v>43</v>
      </c>
      <c r="DEA51">
        <f t="shared" si="146"/>
        <v>43</v>
      </c>
      <c r="DEB51">
        <f t="shared" si="146"/>
        <v>43</v>
      </c>
      <c r="DEC51">
        <f t="shared" si="146"/>
        <v>43</v>
      </c>
      <c r="DED51">
        <f t="shared" si="146"/>
        <v>43</v>
      </c>
      <c r="DEE51">
        <f t="shared" si="146"/>
        <v>43</v>
      </c>
      <c r="DEF51">
        <f t="shared" si="146"/>
        <v>43</v>
      </c>
      <c r="DEG51">
        <f t="shared" si="146"/>
        <v>43</v>
      </c>
      <c r="DEH51">
        <f t="shared" si="146"/>
        <v>43</v>
      </c>
      <c r="DEI51">
        <f t="shared" si="146"/>
        <v>43</v>
      </c>
      <c r="DEJ51">
        <f t="shared" si="146"/>
        <v>43</v>
      </c>
      <c r="DEK51">
        <f t="shared" si="146"/>
        <v>43</v>
      </c>
      <c r="DEL51">
        <f t="shared" si="146"/>
        <v>43</v>
      </c>
      <c r="DEM51">
        <f t="shared" si="146"/>
        <v>43</v>
      </c>
      <c r="DEN51">
        <f t="shared" si="146"/>
        <v>43</v>
      </c>
      <c r="DEO51">
        <f t="shared" si="146"/>
        <v>43</v>
      </c>
      <c r="DEP51">
        <f t="shared" si="146"/>
        <v>43</v>
      </c>
      <c r="DEQ51">
        <f t="shared" si="146"/>
        <v>43</v>
      </c>
      <c r="DER51">
        <f t="shared" si="146"/>
        <v>43</v>
      </c>
      <c r="DES51">
        <f t="shared" si="146"/>
        <v>43</v>
      </c>
      <c r="DET51">
        <f t="shared" si="146"/>
        <v>43</v>
      </c>
      <c r="DEU51">
        <f t="shared" ref="DEU51:DHF51" si="147">COUNTBLANK(DEU6:DEU49)</f>
        <v>43</v>
      </c>
      <c r="DEV51">
        <f t="shared" si="147"/>
        <v>43</v>
      </c>
      <c r="DEW51">
        <f t="shared" si="147"/>
        <v>43</v>
      </c>
      <c r="DEX51">
        <f t="shared" si="147"/>
        <v>43</v>
      </c>
      <c r="DEY51">
        <f t="shared" si="147"/>
        <v>43</v>
      </c>
      <c r="DEZ51">
        <f t="shared" si="147"/>
        <v>43</v>
      </c>
      <c r="DFA51">
        <f t="shared" si="147"/>
        <v>43</v>
      </c>
      <c r="DFB51">
        <f t="shared" si="147"/>
        <v>43</v>
      </c>
      <c r="DFC51">
        <f t="shared" si="147"/>
        <v>43</v>
      </c>
      <c r="DFD51">
        <f t="shared" si="147"/>
        <v>43</v>
      </c>
      <c r="DFE51">
        <f t="shared" si="147"/>
        <v>43</v>
      </c>
      <c r="DFF51">
        <f t="shared" si="147"/>
        <v>43</v>
      </c>
      <c r="DFG51">
        <f t="shared" si="147"/>
        <v>43</v>
      </c>
      <c r="DFH51">
        <f t="shared" si="147"/>
        <v>43</v>
      </c>
      <c r="DFI51">
        <f t="shared" si="147"/>
        <v>43</v>
      </c>
      <c r="DFJ51">
        <f t="shared" si="147"/>
        <v>43</v>
      </c>
      <c r="DFK51">
        <f t="shared" si="147"/>
        <v>43</v>
      </c>
      <c r="DFL51">
        <f t="shared" si="147"/>
        <v>43</v>
      </c>
      <c r="DFM51">
        <f t="shared" si="147"/>
        <v>43</v>
      </c>
      <c r="DFN51">
        <f t="shared" si="147"/>
        <v>43</v>
      </c>
      <c r="DFO51">
        <f t="shared" si="147"/>
        <v>43</v>
      </c>
      <c r="DFP51">
        <f t="shared" si="147"/>
        <v>43</v>
      </c>
      <c r="DFQ51">
        <f t="shared" si="147"/>
        <v>43</v>
      </c>
      <c r="DFR51">
        <f t="shared" si="147"/>
        <v>43</v>
      </c>
      <c r="DFS51">
        <f t="shared" si="147"/>
        <v>43</v>
      </c>
      <c r="DFT51">
        <f t="shared" si="147"/>
        <v>43</v>
      </c>
      <c r="DFU51">
        <f t="shared" si="147"/>
        <v>43</v>
      </c>
      <c r="DFV51">
        <f t="shared" si="147"/>
        <v>43</v>
      </c>
      <c r="DFW51">
        <f t="shared" si="147"/>
        <v>43</v>
      </c>
      <c r="DFX51">
        <f t="shared" si="147"/>
        <v>43</v>
      </c>
      <c r="DFY51">
        <f t="shared" si="147"/>
        <v>43</v>
      </c>
      <c r="DFZ51">
        <f t="shared" si="147"/>
        <v>43</v>
      </c>
      <c r="DGA51">
        <f t="shared" si="147"/>
        <v>43</v>
      </c>
      <c r="DGB51">
        <f t="shared" si="147"/>
        <v>43</v>
      </c>
      <c r="DGC51">
        <f t="shared" si="147"/>
        <v>43</v>
      </c>
      <c r="DGD51">
        <f t="shared" si="147"/>
        <v>43</v>
      </c>
      <c r="DGE51">
        <f t="shared" si="147"/>
        <v>43</v>
      </c>
      <c r="DGF51">
        <f t="shared" si="147"/>
        <v>43</v>
      </c>
      <c r="DGG51">
        <f t="shared" si="147"/>
        <v>43</v>
      </c>
      <c r="DGH51">
        <f t="shared" si="147"/>
        <v>43</v>
      </c>
      <c r="DGI51">
        <f t="shared" si="147"/>
        <v>43</v>
      </c>
      <c r="DGJ51">
        <f t="shared" si="147"/>
        <v>43</v>
      </c>
      <c r="DGK51">
        <f t="shared" si="147"/>
        <v>43</v>
      </c>
      <c r="DGL51">
        <f t="shared" si="147"/>
        <v>43</v>
      </c>
      <c r="DGM51">
        <f t="shared" si="147"/>
        <v>43</v>
      </c>
      <c r="DGN51">
        <f t="shared" si="147"/>
        <v>43</v>
      </c>
      <c r="DGO51">
        <f t="shared" si="147"/>
        <v>43</v>
      </c>
      <c r="DGP51">
        <f t="shared" si="147"/>
        <v>43</v>
      </c>
      <c r="DGQ51">
        <f t="shared" si="147"/>
        <v>43</v>
      </c>
      <c r="DGR51">
        <f t="shared" si="147"/>
        <v>43</v>
      </c>
      <c r="DGS51">
        <f t="shared" si="147"/>
        <v>43</v>
      </c>
      <c r="DGT51">
        <f t="shared" si="147"/>
        <v>43</v>
      </c>
      <c r="DGU51">
        <f t="shared" si="147"/>
        <v>43</v>
      </c>
      <c r="DGV51">
        <f t="shared" si="147"/>
        <v>43</v>
      </c>
      <c r="DGW51">
        <f t="shared" si="147"/>
        <v>43</v>
      </c>
      <c r="DGX51">
        <f t="shared" si="147"/>
        <v>43</v>
      </c>
      <c r="DGY51">
        <f t="shared" si="147"/>
        <v>43</v>
      </c>
      <c r="DGZ51">
        <f t="shared" si="147"/>
        <v>43</v>
      </c>
      <c r="DHA51">
        <f t="shared" si="147"/>
        <v>43</v>
      </c>
      <c r="DHB51">
        <f t="shared" si="147"/>
        <v>43</v>
      </c>
      <c r="DHC51">
        <f t="shared" si="147"/>
        <v>43</v>
      </c>
      <c r="DHD51">
        <f t="shared" si="147"/>
        <v>43</v>
      </c>
      <c r="DHE51">
        <f t="shared" si="147"/>
        <v>43</v>
      </c>
      <c r="DHF51">
        <f t="shared" si="147"/>
        <v>43</v>
      </c>
      <c r="DHG51">
        <f t="shared" ref="DHG51:DJR51" si="148">COUNTBLANK(DHG6:DHG49)</f>
        <v>43</v>
      </c>
      <c r="DHH51">
        <f t="shared" si="148"/>
        <v>43</v>
      </c>
      <c r="DHI51">
        <f t="shared" si="148"/>
        <v>43</v>
      </c>
      <c r="DHJ51">
        <f t="shared" si="148"/>
        <v>43</v>
      </c>
      <c r="DHK51">
        <f t="shared" si="148"/>
        <v>43</v>
      </c>
      <c r="DHL51">
        <f t="shared" si="148"/>
        <v>43</v>
      </c>
      <c r="DHM51">
        <f t="shared" si="148"/>
        <v>43</v>
      </c>
      <c r="DHN51">
        <f t="shared" si="148"/>
        <v>43</v>
      </c>
      <c r="DHO51">
        <f t="shared" si="148"/>
        <v>43</v>
      </c>
      <c r="DHP51">
        <f t="shared" si="148"/>
        <v>43</v>
      </c>
      <c r="DHQ51">
        <f t="shared" si="148"/>
        <v>43</v>
      </c>
      <c r="DHR51">
        <f t="shared" si="148"/>
        <v>43</v>
      </c>
      <c r="DHS51">
        <f t="shared" si="148"/>
        <v>43</v>
      </c>
      <c r="DHT51">
        <f t="shared" si="148"/>
        <v>43</v>
      </c>
      <c r="DHU51">
        <f t="shared" si="148"/>
        <v>43</v>
      </c>
      <c r="DHV51">
        <f t="shared" si="148"/>
        <v>43</v>
      </c>
      <c r="DHW51">
        <f t="shared" si="148"/>
        <v>43</v>
      </c>
      <c r="DHX51">
        <f t="shared" si="148"/>
        <v>43</v>
      </c>
      <c r="DHY51">
        <f t="shared" si="148"/>
        <v>43</v>
      </c>
      <c r="DHZ51">
        <f t="shared" si="148"/>
        <v>43</v>
      </c>
      <c r="DIA51">
        <f t="shared" si="148"/>
        <v>43</v>
      </c>
      <c r="DIB51">
        <f t="shared" si="148"/>
        <v>43</v>
      </c>
      <c r="DIC51">
        <f t="shared" si="148"/>
        <v>43</v>
      </c>
      <c r="DID51">
        <f t="shared" si="148"/>
        <v>43</v>
      </c>
      <c r="DIE51">
        <f t="shared" si="148"/>
        <v>43</v>
      </c>
      <c r="DIF51">
        <f t="shared" si="148"/>
        <v>43</v>
      </c>
      <c r="DIG51">
        <f t="shared" si="148"/>
        <v>43</v>
      </c>
      <c r="DIH51">
        <f t="shared" si="148"/>
        <v>43</v>
      </c>
      <c r="DII51">
        <f t="shared" si="148"/>
        <v>43</v>
      </c>
      <c r="DIJ51">
        <f t="shared" si="148"/>
        <v>43</v>
      </c>
      <c r="DIK51">
        <f t="shared" si="148"/>
        <v>43</v>
      </c>
      <c r="DIL51">
        <f t="shared" si="148"/>
        <v>43</v>
      </c>
      <c r="DIM51">
        <f t="shared" si="148"/>
        <v>43</v>
      </c>
      <c r="DIN51">
        <f t="shared" si="148"/>
        <v>43</v>
      </c>
      <c r="DIO51">
        <f t="shared" si="148"/>
        <v>43</v>
      </c>
      <c r="DIP51">
        <f t="shared" si="148"/>
        <v>43</v>
      </c>
      <c r="DIQ51">
        <f t="shared" si="148"/>
        <v>43</v>
      </c>
      <c r="DIR51">
        <f t="shared" si="148"/>
        <v>43</v>
      </c>
      <c r="DIS51">
        <f t="shared" si="148"/>
        <v>43</v>
      </c>
      <c r="DIT51">
        <f t="shared" si="148"/>
        <v>43</v>
      </c>
      <c r="DIU51">
        <f t="shared" si="148"/>
        <v>43</v>
      </c>
      <c r="DIV51">
        <f t="shared" si="148"/>
        <v>43</v>
      </c>
      <c r="DIW51">
        <f t="shared" si="148"/>
        <v>43</v>
      </c>
      <c r="DIX51">
        <f t="shared" si="148"/>
        <v>43</v>
      </c>
      <c r="DIY51">
        <f t="shared" si="148"/>
        <v>43</v>
      </c>
      <c r="DIZ51">
        <f t="shared" si="148"/>
        <v>43</v>
      </c>
      <c r="DJA51">
        <f t="shared" si="148"/>
        <v>43</v>
      </c>
      <c r="DJB51">
        <f t="shared" si="148"/>
        <v>43</v>
      </c>
      <c r="DJC51">
        <f t="shared" si="148"/>
        <v>43</v>
      </c>
      <c r="DJD51">
        <f t="shared" si="148"/>
        <v>43</v>
      </c>
      <c r="DJE51">
        <f t="shared" si="148"/>
        <v>43</v>
      </c>
      <c r="DJF51">
        <f t="shared" si="148"/>
        <v>43</v>
      </c>
      <c r="DJG51">
        <f t="shared" si="148"/>
        <v>43</v>
      </c>
      <c r="DJH51">
        <f t="shared" si="148"/>
        <v>43</v>
      </c>
      <c r="DJI51">
        <f t="shared" si="148"/>
        <v>43</v>
      </c>
      <c r="DJJ51">
        <f t="shared" si="148"/>
        <v>43</v>
      </c>
      <c r="DJK51">
        <f t="shared" si="148"/>
        <v>43</v>
      </c>
      <c r="DJL51">
        <f t="shared" si="148"/>
        <v>43</v>
      </c>
      <c r="DJM51">
        <f t="shared" si="148"/>
        <v>43</v>
      </c>
      <c r="DJN51">
        <f t="shared" si="148"/>
        <v>43</v>
      </c>
      <c r="DJO51">
        <f t="shared" si="148"/>
        <v>43</v>
      </c>
      <c r="DJP51">
        <f t="shared" si="148"/>
        <v>43</v>
      </c>
      <c r="DJQ51">
        <f t="shared" si="148"/>
        <v>43</v>
      </c>
      <c r="DJR51">
        <f t="shared" si="148"/>
        <v>43</v>
      </c>
      <c r="DJS51">
        <f t="shared" ref="DJS51:DMD51" si="149">COUNTBLANK(DJS6:DJS49)</f>
        <v>43</v>
      </c>
      <c r="DJT51">
        <f t="shared" si="149"/>
        <v>43</v>
      </c>
      <c r="DJU51">
        <f t="shared" si="149"/>
        <v>43</v>
      </c>
      <c r="DJV51">
        <f t="shared" si="149"/>
        <v>43</v>
      </c>
      <c r="DJW51">
        <f t="shared" si="149"/>
        <v>43</v>
      </c>
      <c r="DJX51">
        <f t="shared" si="149"/>
        <v>43</v>
      </c>
      <c r="DJY51">
        <f t="shared" si="149"/>
        <v>43</v>
      </c>
      <c r="DJZ51">
        <f t="shared" si="149"/>
        <v>43</v>
      </c>
      <c r="DKA51">
        <f t="shared" si="149"/>
        <v>43</v>
      </c>
      <c r="DKB51">
        <f t="shared" si="149"/>
        <v>43</v>
      </c>
      <c r="DKC51">
        <f t="shared" si="149"/>
        <v>43</v>
      </c>
      <c r="DKD51">
        <f t="shared" si="149"/>
        <v>43</v>
      </c>
      <c r="DKE51">
        <f t="shared" si="149"/>
        <v>43</v>
      </c>
      <c r="DKF51">
        <f t="shared" si="149"/>
        <v>43</v>
      </c>
      <c r="DKG51">
        <f t="shared" si="149"/>
        <v>43</v>
      </c>
      <c r="DKH51">
        <f t="shared" si="149"/>
        <v>43</v>
      </c>
      <c r="DKI51">
        <f t="shared" si="149"/>
        <v>43</v>
      </c>
      <c r="DKJ51">
        <f t="shared" si="149"/>
        <v>43</v>
      </c>
      <c r="DKK51">
        <f t="shared" si="149"/>
        <v>43</v>
      </c>
      <c r="DKL51">
        <f t="shared" si="149"/>
        <v>43</v>
      </c>
      <c r="DKM51">
        <f t="shared" si="149"/>
        <v>43</v>
      </c>
      <c r="DKN51">
        <f t="shared" si="149"/>
        <v>43</v>
      </c>
      <c r="DKO51">
        <f t="shared" si="149"/>
        <v>43</v>
      </c>
      <c r="DKP51">
        <f t="shared" si="149"/>
        <v>43</v>
      </c>
      <c r="DKQ51">
        <f t="shared" si="149"/>
        <v>43</v>
      </c>
      <c r="DKR51">
        <f t="shared" si="149"/>
        <v>43</v>
      </c>
      <c r="DKS51">
        <f t="shared" si="149"/>
        <v>43</v>
      </c>
      <c r="DKT51">
        <f t="shared" si="149"/>
        <v>43</v>
      </c>
      <c r="DKU51">
        <f t="shared" si="149"/>
        <v>43</v>
      </c>
      <c r="DKV51">
        <f t="shared" si="149"/>
        <v>43</v>
      </c>
      <c r="DKW51">
        <f t="shared" si="149"/>
        <v>43</v>
      </c>
      <c r="DKX51">
        <f t="shared" si="149"/>
        <v>43</v>
      </c>
      <c r="DKY51">
        <f t="shared" si="149"/>
        <v>43</v>
      </c>
      <c r="DKZ51">
        <f t="shared" si="149"/>
        <v>43</v>
      </c>
      <c r="DLA51">
        <f t="shared" si="149"/>
        <v>43</v>
      </c>
      <c r="DLB51">
        <f t="shared" si="149"/>
        <v>43</v>
      </c>
      <c r="DLC51">
        <f t="shared" si="149"/>
        <v>43</v>
      </c>
      <c r="DLD51">
        <f t="shared" si="149"/>
        <v>43</v>
      </c>
      <c r="DLE51">
        <f t="shared" si="149"/>
        <v>43</v>
      </c>
      <c r="DLF51">
        <f t="shared" si="149"/>
        <v>43</v>
      </c>
      <c r="DLG51">
        <f t="shared" si="149"/>
        <v>43</v>
      </c>
      <c r="DLH51">
        <f t="shared" si="149"/>
        <v>43</v>
      </c>
      <c r="DLI51">
        <f t="shared" si="149"/>
        <v>43</v>
      </c>
      <c r="DLJ51">
        <f t="shared" si="149"/>
        <v>43</v>
      </c>
      <c r="DLK51">
        <f t="shared" si="149"/>
        <v>43</v>
      </c>
      <c r="DLL51">
        <f t="shared" si="149"/>
        <v>43</v>
      </c>
      <c r="DLM51">
        <f t="shared" si="149"/>
        <v>43</v>
      </c>
      <c r="DLN51">
        <f t="shared" si="149"/>
        <v>43</v>
      </c>
      <c r="DLO51">
        <f t="shared" si="149"/>
        <v>43</v>
      </c>
      <c r="DLP51">
        <f t="shared" si="149"/>
        <v>43</v>
      </c>
      <c r="DLQ51">
        <f t="shared" si="149"/>
        <v>43</v>
      </c>
      <c r="DLR51">
        <f t="shared" si="149"/>
        <v>43</v>
      </c>
      <c r="DLS51">
        <f t="shared" si="149"/>
        <v>43</v>
      </c>
      <c r="DLT51">
        <f t="shared" si="149"/>
        <v>43</v>
      </c>
      <c r="DLU51">
        <f t="shared" si="149"/>
        <v>43</v>
      </c>
      <c r="DLV51">
        <f t="shared" si="149"/>
        <v>43</v>
      </c>
      <c r="DLW51">
        <f t="shared" si="149"/>
        <v>43</v>
      </c>
      <c r="DLX51">
        <f t="shared" si="149"/>
        <v>43</v>
      </c>
      <c r="DLY51">
        <f t="shared" si="149"/>
        <v>43</v>
      </c>
      <c r="DLZ51">
        <f t="shared" si="149"/>
        <v>43</v>
      </c>
      <c r="DMA51">
        <f t="shared" si="149"/>
        <v>43</v>
      </c>
      <c r="DMB51">
        <f t="shared" si="149"/>
        <v>43</v>
      </c>
      <c r="DMC51">
        <f t="shared" si="149"/>
        <v>43</v>
      </c>
      <c r="DMD51">
        <f t="shared" si="149"/>
        <v>43</v>
      </c>
      <c r="DME51">
        <f t="shared" ref="DME51:DOP51" si="150">COUNTBLANK(DME6:DME49)</f>
        <v>43</v>
      </c>
      <c r="DMF51">
        <f t="shared" si="150"/>
        <v>43</v>
      </c>
      <c r="DMG51">
        <f t="shared" si="150"/>
        <v>43</v>
      </c>
      <c r="DMH51">
        <f t="shared" si="150"/>
        <v>43</v>
      </c>
      <c r="DMI51">
        <f t="shared" si="150"/>
        <v>43</v>
      </c>
      <c r="DMJ51">
        <f t="shared" si="150"/>
        <v>43</v>
      </c>
      <c r="DMK51">
        <f t="shared" si="150"/>
        <v>43</v>
      </c>
      <c r="DML51">
        <f t="shared" si="150"/>
        <v>43</v>
      </c>
      <c r="DMM51">
        <f t="shared" si="150"/>
        <v>43</v>
      </c>
      <c r="DMN51">
        <f t="shared" si="150"/>
        <v>43</v>
      </c>
      <c r="DMO51">
        <f t="shared" si="150"/>
        <v>43</v>
      </c>
      <c r="DMP51">
        <f t="shared" si="150"/>
        <v>43</v>
      </c>
      <c r="DMQ51">
        <f t="shared" si="150"/>
        <v>43</v>
      </c>
      <c r="DMR51">
        <f t="shared" si="150"/>
        <v>43</v>
      </c>
      <c r="DMS51">
        <f t="shared" si="150"/>
        <v>43</v>
      </c>
      <c r="DMT51">
        <f t="shared" si="150"/>
        <v>43</v>
      </c>
      <c r="DMU51">
        <f t="shared" si="150"/>
        <v>43</v>
      </c>
      <c r="DMV51">
        <f t="shared" si="150"/>
        <v>43</v>
      </c>
      <c r="DMW51">
        <f t="shared" si="150"/>
        <v>43</v>
      </c>
      <c r="DMX51">
        <f t="shared" si="150"/>
        <v>43</v>
      </c>
      <c r="DMY51">
        <f t="shared" si="150"/>
        <v>43</v>
      </c>
      <c r="DMZ51">
        <f t="shared" si="150"/>
        <v>43</v>
      </c>
      <c r="DNA51">
        <f t="shared" si="150"/>
        <v>43</v>
      </c>
      <c r="DNB51">
        <f t="shared" si="150"/>
        <v>43</v>
      </c>
      <c r="DNC51">
        <f t="shared" si="150"/>
        <v>43</v>
      </c>
      <c r="DND51">
        <f t="shared" si="150"/>
        <v>43</v>
      </c>
      <c r="DNE51">
        <f t="shared" si="150"/>
        <v>43</v>
      </c>
      <c r="DNF51">
        <f t="shared" si="150"/>
        <v>43</v>
      </c>
      <c r="DNG51">
        <f t="shared" si="150"/>
        <v>43</v>
      </c>
      <c r="DNH51">
        <f t="shared" si="150"/>
        <v>43</v>
      </c>
      <c r="DNI51">
        <f t="shared" si="150"/>
        <v>43</v>
      </c>
      <c r="DNJ51">
        <f t="shared" si="150"/>
        <v>43</v>
      </c>
      <c r="DNK51">
        <f t="shared" si="150"/>
        <v>43</v>
      </c>
      <c r="DNL51">
        <f t="shared" si="150"/>
        <v>43</v>
      </c>
      <c r="DNM51">
        <f t="shared" si="150"/>
        <v>43</v>
      </c>
      <c r="DNN51">
        <f t="shared" si="150"/>
        <v>43</v>
      </c>
      <c r="DNO51">
        <f t="shared" si="150"/>
        <v>43</v>
      </c>
      <c r="DNP51">
        <f t="shared" si="150"/>
        <v>43</v>
      </c>
      <c r="DNQ51">
        <f t="shared" si="150"/>
        <v>43</v>
      </c>
      <c r="DNR51">
        <f t="shared" si="150"/>
        <v>43</v>
      </c>
      <c r="DNS51">
        <f t="shared" si="150"/>
        <v>43</v>
      </c>
      <c r="DNT51">
        <f t="shared" si="150"/>
        <v>43</v>
      </c>
      <c r="DNU51">
        <f t="shared" si="150"/>
        <v>43</v>
      </c>
      <c r="DNV51">
        <f t="shared" si="150"/>
        <v>43</v>
      </c>
      <c r="DNW51">
        <f t="shared" si="150"/>
        <v>43</v>
      </c>
      <c r="DNX51">
        <f t="shared" si="150"/>
        <v>43</v>
      </c>
      <c r="DNY51">
        <f t="shared" si="150"/>
        <v>43</v>
      </c>
      <c r="DNZ51">
        <f t="shared" si="150"/>
        <v>43</v>
      </c>
      <c r="DOA51">
        <f t="shared" si="150"/>
        <v>43</v>
      </c>
      <c r="DOB51">
        <f t="shared" si="150"/>
        <v>43</v>
      </c>
      <c r="DOC51">
        <f t="shared" si="150"/>
        <v>43</v>
      </c>
      <c r="DOD51">
        <f t="shared" si="150"/>
        <v>43</v>
      </c>
      <c r="DOE51">
        <f t="shared" si="150"/>
        <v>43</v>
      </c>
      <c r="DOF51">
        <f t="shared" si="150"/>
        <v>43</v>
      </c>
      <c r="DOG51">
        <f t="shared" si="150"/>
        <v>43</v>
      </c>
      <c r="DOH51">
        <f t="shared" si="150"/>
        <v>43</v>
      </c>
      <c r="DOI51">
        <f t="shared" si="150"/>
        <v>43</v>
      </c>
      <c r="DOJ51">
        <f t="shared" si="150"/>
        <v>43</v>
      </c>
      <c r="DOK51">
        <f t="shared" si="150"/>
        <v>43</v>
      </c>
      <c r="DOL51">
        <f t="shared" si="150"/>
        <v>43</v>
      </c>
      <c r="DOM51">
        <f t="shared" si="150"/>
        <v>43</v>
      </c>
      <c r="DON51">
        <f t="shared" si="150"/>
        <v>43</v>
      </c>
      <c r="DOO51">
        <f t="shared" si="150"/>
        <v>43</v>
      </c>
      <c r="DOP51">
        <f t="shared" si="150"/>
        <v>43</v>
      </c>
      <c r="DOQ51">
        <f t="shared" ref="DOQ51:DRB51" si="151">COUNTBLANK(DOQ6:DOQ49)</f>
        <v>43</v>
      </c>
      <c r="DOR51">
        <f t="shared" si="151"/>
        <v>43</v>
      </c>
      <c r="DOS51">
        <f t="shared" si="151"/>
        <v>43</v>
      </c>
      <c r="DOT51">
        <f t="shared" si="151"/>
        <v>43</v>
      </c>
      <c r="DOU51">
        <f t="shared" si="151"/>
        <v>43</v>
      </c>
      <c r="DOV51">
        <f t="shared" si="151"/>
        <v>43</v>
      </c>
      <c r="DOW51">
        <f t="shared" si="151"/>
        <v>43</v>
      </c>
      <c r="DOX51">
        <f t="shared" si="151"/>
        <v>43</v>
      </c>
      <c r="DOY51">
        <f t="shared" si="151"/>
        <v>43</v>
      </c>
      <c r="DOZ51">
        <f t="shared" si="151"/>
        <v>43</v>
      </c>
      <c r="DPA51">
        <f t="shared" si="151"/>
        <v>43</v>
      </c>
      <c r="DPB51">
        <f t="shared" si="151"/>
        <v>43</v>
      </c>
      <c r="DPC51">
        <f t="shared" si="151"/>
        <v>43</v>
      </c>
      <c r="DPD51">
        <f t="shared" si="151"/>
        <v>43</v>
      </c>
      <c r="DPE51">
        <f t="shared" si="151"/>
        <v>43</v>
      </c>
      <c r="DPF51">
        <f t="shared" si="151"/>
        <v>43</v>
      </c>
      <c r="DPG51">
        <f t="shared" si="151"/>
        <v>43</v>
      </c>
      <c r="DPH51">
        <f t="shared" si="151"/>
        <v>43</v>
      </c>
      <c r="DPI51">
        <f t="shared" si="151"/>
        <v>43</v>
      </c>
      <c r="DPJ51">
        <f t="shared" si="151"/>
        <v>43</v>
      </c>
      <c r="DPK51">
        <f t="shared" si="151"/>
        <v>43</v>
      </c>
      <c r="DPL51">
        <f t="shared" si="151"/>
        <v>43</v>
      </c>
      <c r="DPM51">
        <f t="shared" si="151"/>
        <v>43</v>
      </c>
      <c r="DPN51">
        <f t="shared" si="151"/>
        <v>43</v>
      </c>
      <c r="DPO51">
        <f t="shared" si="151"/>
        <v>43</v>
      </c>
      <c r="DPP51">
        <f t="shared" si="151"/>
        <v>43</v>
      </c>
      <c r="DPQ51">
        <f t="shared" si="151"/>
        <v>43</v>
      </c>
      <c r="DPR51">
        <f t="shared" si="151"/>
        <v>43</v>
      </c>
      <c r="DPS51">
        <f t="shared" si="151"/>
        <v>43</v>
      </c>
      <c r="DPT51">
        <f t="shared" si="151"/>
        <v>43</v>
      </c>
      <c r="DPU51">
        <f t="shared" si="151"/>
        <v>43</v>
      </c>
      <c r="DPV51">
        <f t="shared" si="151"/>
        <v>43</v>
      </c>
      <c r="DPW51">
        <f t="shared" si="151"/>
        <v>43</v>
      </c>
      <c r="DPX51">
        <f t="shared" si="151"/>
        <v>43</v>
      </c>
      <c r="DPY51">
        <f t="shared" si="151"/>
        <v>43</v>
      </c>
      <c r="DPZ51">
        <f t="shared" si="151"/>
        <v>43</v>
      </c>
      <c r="DQA51">
        <f t="shared" si="151"/>
        <v>43</v>
      </c>
      <c r="DQB51">
        <f t="shared" si="151"/>
        <v>43</v>
      </c>
      <c r="DQC51">
        <f t="shared" si="151"/>
        <v>43</v>
      </c>
      <c r="DQD51">
        <f t="shared" si="151"/>
        <v>43</v>
      </c>
      <c r="DQE51">
        <f t="shared" si="151"/>
        <v>43</v>
      </c>
      <c r="DQF51">
        <f t="shared" si="151"/>
        <v>43</v>
      </c>
      <c r="DQG51">
        <f t="shared" si="151"/>
        <v>43</v>
      </c>
      <c r="DQH51">
        <f t="shared" si="151"/>
        <v>43</v>
      </c>
      <c r="DQI51">
        <f t="shared" si="151"/>
        <v>43</v>
      </c>
      <c r="DQJ51">
        <f t="shared" si="151"/>
        <v>43</v>
      </c>
      <c r="DQK51">
        <f t="shared" si="151"/>
        <v>43</v>
      </c>
      <c r="DQL51">
        <f t="shared" si="151"/>
        <v>43</v>
      </c>
      <c r="DQM51">
        <f t="shared" si="151"/>
        <v>43</v>
      </c>
      <c r="DQN51">
        <f t="shared" si="151"/>
        <v>43</v>
      </c>
      <c r="DQO51">
        <f t="shared" si="151"/>
        <v>43</v>
      </c>
      <c r="DQP51">
        <f t="shared" si="151"/>
        <v>43</v>
      </c>
      <c r="DQQ51">
        <f t="shared" si="151"/>
        <v>43</v>
      </c>
      <c r="DQR51">
        <f t="shared" si="151"/>
        <v>43</v>
      </c>
      <c r="DQS51">
        <f t="shared" si="151"/>
        <v>43</v>
      </c>
      <c r="DQT51">
        <f t="shared" si="151"/>
        <v>43</v>
      </c>
      <c r="DQU51">
        <f t="shared" si="151"/>
        <v>43</v>
      </c>
      <c r="DQV51">
        <f t="shared" si="151"/>
        <v>43</v>
      </c>
      <c r="DQW51">
        <f t="shared" si="151"/>
        <v>43</v>
      </c>
      <c r="DQX51">
        <f t="shared" si="151"/>
        <v>43</v>
      </c>
      <c r="DQY51">
        <f t="shared" si="151"/>
        <v>43</v>
      </c>
      <c r="DQZ51">
        <f t="shared" si="151"/>
        <v>43</v>
      </c>
      <c r="DRA51">
        <f t="shared" si="151"/>
        <v>43</v>
      </c>
      <c r="DRB51">
        <f t="shared" si="151"/>
        <v>43</v>
      </c>
      <c r="DRC51">
        <f t="shared" ref="DRC51:DTN51" si="152">COUNTBLANK(DRC6:DRC49)</f>
        <v>43</v>
      </c>
      <c r="DRD51">
        <f t="shared" si="152"/>
        <v>43</v>
      </c>
      <c r="DRE51">
        <f t="shared" si="152"/>
        <v>43</v>
      </c>
      <c r="DRF51">
        <f t="shared" si="152"/>
        <v>43</v>
      </c>
      <c r="DRG51">
        <f t="shared" si="152"/>
        <v>43</v>
      </c>
      <c r="DRH51">
        <f t="shared" si="152"/>
        <v>43</v>
      </c>
      <c r="DRI51">
        <f t="shared" si="152"/>
        <v>43</v>
      </c>
      <c r="DRJ51">
        <f t="shared" si="152"/>
        <v>43</v>
      </c>
      <c r="DRK51">
        <f t="shared" si="152"/>
        <v>43</v>
      </c>
      <c r="DRL51">
        <f t="shared" si="152"/>
        <v>43</v>
      </c>
      <c r="DRM51">
        <f t="shared" si="152"/>
        <v>43</v>
      </c>
      <c r="DRN51">
        <f t="shared" si="152"/>
        <v>43</v>
      </c>
      <c r="DRO51">
        <f t="shared" si="152"/>
        <v>43</v>
      </c>
      <c r="DRP51">
        <f t="shared" si="152"/>
        <v>43</v>
      </c>
      <c r="DRQ51">
        <f t="shared" si="152"/>
        <v>43</v>
      </c>
      <c r="DRR51">
        <f t="shared" si="152"/>
        <v>43</v>
      </c>
      <c r="DRS51">
        <f t="shared" si="152"/>
        <v>43</v>
      </c>
      <c r="DRT51">
        <f t="shared" si="152"/>
        <v>43</v>
      </c>
      <c r="DRU51">
        <f t="shared" si="152"/>
        <v>43</v>
      </c>
      <c r="DRV51">
        <f t="shared" si="152"/>
        <v>43</v>
      </c>
      <c r="DRW51">
        <f t="shared" si="152"/>
        <v>43</v>
      </c>
      <c r="DRX51">
        <f t="shared" si="152"/>
        <v>43</v>
      </c>
      <c r="DRY51">
        <f t="shared" si="152"/>
        <v>43</v>
      </c>
      <c r="DRZ51">
        <f t="shared" si="152"/>
        <v>43</v>
      </c>
      <c r="DSA51">
        <f t="shared" si="152"/>
        <v>43</v>
      </c>
      <c r="DSB51">
        <f t="shared" si="152"/>
        <v>43</v>
      </c>
      <c r="DSC51">
        <f t="shared" si="152"/>
        <v>43</v>
      </c>
      <c r="DSD51">
        <f t="shared" si="152"/>
        <v>43</v>
      </c>
      <c r="DSE51">
        <f t="shared" si="152"/>
        <v>43</v>
      </c>
      <c r="DSF51">
        <f t="shared" si="152"/>
        <v>43</v>
      </c>
      <c r="DSG51">
        <f t="shared" si="152"/>
        <v>43</v>
      </c>
      <c r="DSH51">
        <f t="shared" si="152"/>
        <v>43</v>
      </c>
      <c r="DSI51">
        <f t="shared" si="152"/>
        <v>43</v>
      </c>
      <c r="DSJ51">
        <f t="shared" si="152"/>
        <v>43</v>
      </c>
      <c r="DSK51">
        <f t="shared" si="152"/>
        <v>43</v>
      </c>
      <c r="DSL51">
        <f t="shared" si="152"/>
        <v>43</v>
      </c>
      <c r="DSM51">
        <f t="shared" si="152"/>
        <v>43</v>
      </c>
      <c r="DSN51">
        <f t="shared" si="152"/>
        <v>43</v>
      </c>
      <c r="DSO51">
        <f t="shared" si="152"/>
        <v>43</v>
      </c>
      <c r="DSP51">
        <f t="shared" si="152"/>
        <v>43</v>
      </c>
      <c r="DSQ51">
        <f t="shared" si="152"/>
        <v>43</v>
      </c>
      <c r="DSR51">
        <f t="shared" si="152"/>
        <v>43</v>
      </c>
      <c r="DSS51">
        <f t="shared" si="152"/>
        <v>43</v>
      </c>
      <c r="DST51">
        <f t="shared" si="152"/>
        <v>43</v>
      </c>
      <c r="DSU51">
        <f t="shared" si="152"/>
        <v>43</v>
      </c>
      <c r="DSV51">
        <f t="shared" si="152"/>
        <v>43</v>
      </c>
      <c r="DSW51">
        <f t="shared" si="152"/>
        <v>43</v>
      </c>
      <c r="DSX51">
        <f t="shared" si="152"/>
        <v>43</v>
      </c>
      <c r="DSY51">
        <f t="shared" si="152"/>
        <v>43</v>
      </c>
      <c r="DSZ51">
        <f t="shared" si="152"/>
        <v>43</v>
      </c>
      <c r="DTA51">
        <f t="shared" si="152"/>
        <v>43</v>
      </c>
      <c r="DTB51">
        <f t="shared" si="152"/>
        <v>43</v>
      </c>
      <c r="DTC51">
        <f t="shared" si="152"/>
        <v>43</v>
      </c>
      <c r="DTD51">
        <f t="shared" si="152"/>
        <v>43</v>
      </c>
      <c r="DTE51">
        <f t="shared" si="152"/>
        <v>43</v>
      </c>
      <c r="DTF51">
        <f t="shared" si="152"/>
        <v>43</v>
      </c>
      <c r="DTG51">
        <f t="shared" si="152"/>
        <v>43</v>
      </c>
      <c r="DTH51">
        <f t="shared" si="152"/>
        <v>43</v>
      </c>
      <c r="DTI51">
        <f t="shared" si="152"/>
        <v>43</v>
      </c>
      <c r="DTJ51">
        <f t="shared" si="152"/>
        <v>43</v>
      </c>
      <c r="DTK51">
        <f t="shared" si="152"/>
        <v>43</v>
      </c>
      <c r="DTL51">
        <f t="shared" si="152"/>
        <v>43</v>
      </c>
      <c r="DTM51">
        <f t="shared" si="152"/>
        <v>43</v>
      </c>
      <c r="DTN51">
        <f t="shared" si="152"/>
        <v>43</v>
      </c>
      <c r="DTO51">
        <f t="shared" ref="DTO51:DVZ51" si="153">COUNTBLANK(DTO6:DTO49)</f>
        <v>43</v>
      </c>
      <c r="DTP51">
        <f t="shared" si="153"/>
        <v>43</v>
      </c>
      <c r="DTQ51">
        <f t="shared" si="153"/>
        <v>43</v>
      </c>
      <c r="DTR51">
        <f t="shared" si="153"/>
        <v>43</v>
      </c>
      <c r="DTS51">
        <f t="shared" si="153"/>
        <v>43</v>
      </c>
      <c r="DTT51">
        <f t="shared" si="153"/>
        <v>43</v>
      </c>
      <c r="DTU51">
        <f t="shared" si="153"/>
        <v>43</v>
      </c>
      <c r="DTV51">
        <f t="shared" si="153"/>
        <v>43</v>
      </c>
      <c r="DTW51">
        <f t="shared" si="153"/>
        <v>43</v>
      </c>
      <c r="DTX51">
        <f t="shared" si="153"/>
        <v>43</v>
      </c>
      <c r="DTY51">
        <f t="shared" si="153"/>
        <v>43</v>
      </c>
      <c r="DTZ51">
        <f t="shared" si="153"/>
        <v>43</v>
      </c>
      <c r="DUA51">
        <f t="shared" si="153"/>
        <v>43</v>
      </c>
      <c r="DUB51">
        <f t="shared" si="153"/>
        <v>43</v>
      </c>
      <c r="DUC51">
        <f t="shared" si="153"/>
        <v>43</v>
      </c>
      <c r="DUD51">
        <f t="shared" si="153"/>
        <v>43</v>
      </c>
      <c r="DUE51">
        <f t="shared" si="153"/>
        <v>43</v>
      </c>
      <c r="DUF51">
        <f t="shared" si="153"/>
        <v>43</v>
      </c>
      <c r="DUG51">
        <f t="shared" si="153"/>
        <v>43</v>
      </c>
      <c r="DUH51">
        <f t="shared" si="153"/>
        <v>43</v>
      </c>
      <c r="DUI51">
        <f t="shared" si="153"/>
        <v>43</v>
      </c>
      <c r="DUJ51">
        <f t="shared" si="153"/>
        <v>43</v>
      </c>
      <c r="DUK51">
        <f t="shared" si="153"/>
        <v>43</v>
      </c>
      <c r="DUL51">
        <f t="shared" si="153"/>
        <v>43</v>
      </c>
      <c r="DUM51">
        <f t="shared" si="153"/>
        <v>43</v>
      </c>
      <c r="DUN51">
        <f t="shared" si="153"/>
        <v>43</v>
      </c>
      <c r="DUO51">
        <f t="shared" si="153"/>
        <v>43</v>
      </c>
      <c r="DUP51">
        <f t="shared" si="153"/>
        <v>43</v>
      </c>
      <c r="DUQ51">
        <f t="shared" si="153"/>
        <v>43</v>
      </c>
      <c r="DUR51">
        <f t="shared" si="153"/>
        <v>43</v>
      </c>
      <c r="DUS51">
        <f t="shared" si="153"/>
        <v>43</v>
      </c>
      <c r="DUT51">
        <f t="shared" si="153"/>
        <v>43</v>
      </c>
      <c r="DUU51">
        <f t="shared" si="153"/>
        <v>43</v>
      </c>
      <c r="DUV51">
        <f t="shared" si="153"/>
        <v>43</v>
      </c>
      <c r="DUW51">
        <f t="shared" si="153"/>
        <v>43</v>
      </c>
      <c r="DUX51">
        <f t="shared" si="153"/>
        <v>43</v>
      </c>
      <c r="DUY51">
        <f t="shared" si="153"/>
        <v>43</v>
      </c>
      <c r="DUZ51">
        <f t="shared" si="153"/>
        <v>43</v>
      </c>
      <c r="DVA51">
        <f t="shared" si="153"/>
        <v>43</v>
      </c>
      <c r="DVB51">
        <f t="shared" si="153"/>
        <v>43</v>
      </c>
      <c r="DVC51">
        <f t="shared" si="153"/>
        <v>43</v>
      </c>
      <c r="DVD51">
        <f t="shared" si="153"/>
        <v>43</v>
      </c>
      <c r="DVE51">
        <f t="shared" si="153"/>
        <v>43</v>
      </c>
      <c r="DVF51">
        <f t="shared" si="153"/>
        <v>43</v>
      </c>
      <c r="DVG51">
        <f t="shared" si="153"/>
        <v>43</v>
      </c>
      <c r="DVH51">
        <f t="shared" si="153"/>
        <v>43</v>
      </c>
      <c r="DVI51">
        <f t="shared" si="153"/>
        <v>43</v>
      </c>
      <c r="DVJ51">
        <f t="shared" si="153"/>
        <v>43</v>
      </c>
      <c r="DVK51">
        <f t="shared" si="153"/>
        <v>43</v>
      </c>
      <c r="DVL51">
        <f t="shared" si="153"/>
        <v>43</v>
      </c>
      <c r="DVM51">
        <f t="shared" si="153"/>
        <v>43</v>
      </c>
      <c r="DVN51">
        <f t="shared" si="153"/>
        <v>43</v>
      </c>
      <c r="DVO51">
        <f t="shared" si="153"/>
        <v>43</v>
      </c>
      <c r="DVP51">
        <f t="shared" si="153"/>
        <v>43</v>
      </c>
      <c r="DVQ51">
        <f t="shared" si="153"/>
        <v>43</v>
      </c>
      <c r="DVR51">
        <f t="shared" si="153"/>
        <v>43</v>
      </c>
      <c r="DVS51">
        <f t="shared" si="153"/>
        <v>43</v>
      </c>
      <c r="DVT51">
        <f t="shared" si="153"/>
        <v>43</v>
      </c>
      <c r="DVU51">
        <f t="shared" si="153"/>
        <v>43</v>
      </c>
      <c r="DVV51">
        <f t="shared" si="153"/>
        <v>43</v>
      </c>
      <c r="DVW51">
        <f t="shared" si="153"/>
        <v>43</v>
      </c>
      <c r="DVX51">
        <f t="shared" si="153"/>
        <v>43</v>
      </c>
      <c r="DVY51">
        <f t="shared" si="153"/>
        <v>43</v>
      </c>
      <c r="DVZ51">
        <f t="shared" si="153"/>
        <v>43</v>
      </c>
      <c r="DWA51">
        <f t="shared" ref="DWA51:DYL51" si="154">COUNTBLANK(DWA6:DWA49)</f>
        <v>43</v>
      </c>
      <c r="DWB51">
        <f t="shared" si="154"/>
        <v>43</v>
      </c>
      <c r="DWC51">
        <f t="shared" si="154"/>
        <v>43</v>
      </c>
      <c r="DWD51">
        <f t="shared" si="154"/>
        <v>43</v>
      </c>
      <c r="DWE51">
        <f t="shared" si="154"/>
        <v>43</v>
      </c>
      <c r="DWF51">
        <f t="shared" si="154"/>
        <v>43</v>
      </c>
      <c r="DWG51">
        <f t="shared" si="154"/>
        <v>43</v>
      </c>
      <c r="DWH51">
        <f t="shared" si="154"/>
        <v>43</v>
      </c>
      <c r="DWI51">
        <f t="shared" si="154"/>
        <v>43</v>
      </c>
      <c r="DWJ51">
        <f t="shared" si="154"/>
        <v>43</v>
      </c>
      <c r="DWK51">
        <f t="shared" si="154"/>
        <v>43</v>
      </c>
      <c r="DWL51">
        <f t="shared" si="154"/>
        <v>43</v>
      </c>
      <c r="DWM51">
        <f t="shared" si="154"/>
        <v>43</v>
      </c>
      <c r="DWN51">
        <f t="shared" si="154"/>
        <v>43</v>
      </c>
      <c r="DWO51">
        <f t="shared" si="154"/>
        <v>43</v>
      </c>
      <c r="DWP51">
        <f t="shared" si="154"/>
        <v>43</v>
      </c>
      <c r="DWQ51">
        <f t="shared" si="154"/>
        <v>43</v>
      </c>
      <c r="DWR51">
        <f t="shared" si="154"/>
        <v>43</v>
      </c>
      <c r="DWS51">
        <f t="shared" si="154"/>
        <v>43</v>
      </c>
      <c r="DWT51">
        <f t="shared" si="154"/>
        <v>43</v>
      </c>
      <c r="DWU51">
        <f t="shared" si="154"/>
        <v>43</v>
      </c>
      <c r="DWV51">
        <f t="shared" si="154"/>
        <v>43</v>
      </c>
      <c r="DWW51">
        <f t="shared" si="154"/>
        <v>43</v>
      </c>
      <c r="DWX51">
        <f t="shared" si="154"/>
        <v>43</v>
      </c>
      <c r="DWY51">
        <f t="shared" si="154"/>
        <v>43</v>
      </c>
      <c r="DWZ51">
        <f t="shared" si="154"/>
        <v>43</v>
      </c>
      <c r="DXA51">
        <f t="shared" si="154"/>
        <v>43</v>
      </c>
      <c r="DXB51">
        <f t="shared" si="154"/>
        <v>43</v>
      </c>
      <c r="DXC51">
        <f t="shared" si="154"/>
        <v>43</v>
      </c>
      <c r="DXD51">
        <f t="shared" si="154"/>
        <v>43</v>
      </c>
      <c r="DXE51">
        <f t="shared" si="154"/>
        <v>43</v>
      </c>
      <c r="DXF51">
        <f t="shared" si="154"/>
        <v>43</v>
      </c>
      <c r="DXG51">
        <f t="shared" si="154"/>
        <v>43</v>
      </c>
      <c r="DXH51">
        <f t="shared" si="154"/>
        <v>43</v>
      </c>
      <c r="DXI51">
        <f t="shared" si="154"/>
        <v>43</v>
      </c>
      <c r="DXJ51">
        <f t="shared" si="154"/>
        <v>43</v>
      </c>
      <c r="DXK51">
        <f t="shared" si="154"/>
        <v>43</v>
      </c>
      <c r="DXL51">
        <f t="shared" si="154"/>
        <v>43</v>
      </c>
      <c r="DXM51">
        <f t="shared" si="154"/>
        <v>43</v>
      </c>
      <c r="DXN51">
        <f t="shared" si="154"/>
        <v>43</v>
      </c>
      <c r="DXO51">
        <f t="shared" si="154"/>
        <v>43</v>
      </c>
      <c r="DXP51">
        <f t="shared" si="154"/>
        <v>43</v>
      </c>
      <c r="DXQ51">
        <f t="shared" si="154"/>
        <v>43</v>
      </c>
      <c r="DXR51">
        <f t="shared" si="154"/>
        <v>43</v>
      </c>
      <c r="DXS51">
        <f t="shared" si="154"/>
        <v>43</v>
      </c>
      <c r="DXT51">
        <f t="shared" si="154"/>
        <v>43</v>
      </c>
      <c r="DXU51">
        <f t="shared" si="154"/>
        <v>43</v>
      </c>
      <c r="DXV51">
        <f t="shared" si="154"/>
        <v>43</v>
      </c>
      <c r="DXW51">
        <f t="shared" si="154"/>
        <v>43</v>
      </c>
      <c r="DXX51">
        <f t="shared" si="154"/>
        <v>43</v>
      </c>
      <c r="DXY51">
        <f t="shared" si="154"/>
        <v>43</v>
      </c>
      <c r="DXZ51">
        <f t="shared" si="154"/>
        <v>43</v>
      </c>
      <c r="DYA51">
        <f t="shared" si="154"/>
        <v>43</v>
      </c>
      <c r="DYB51">
        <f t="shared" si="154"/>
        <v>43</v>
      </c>
      <c r="DYC51">
        <f t="shared" si="154"/>
        <v>43</v>
      </c>
      <c r="DYD51">
        <f t="shared" si="154"/>
        <v>43</v>
      </c>
      <c r="DYE51">
        <f t="shared" si="154"/>
        <v>43</v>
      </c>
      <c r="DYF51">
        <f t="shared" si="154"/>
        <v>43</v>
      </c>
      <c r="DYG51">
        <f t="shared" si="154"/>
        <v>43</v>
      </c>
      <c r="DYH51">
        <f t="shared" si="154"/>
        <v>43</v>
      </c>
      <c r="DYI51">
        <f t="shared" si="154"/>
        <v>43</v>
      </c>
      <c r="DYJ51">
        <f t="shared" si="154"/>
        <v>43</v>
      </c>
      <c r="DYK51">
        <f t="shared" si="154"/>
        <v>43</v>
      </c>
      <c r="DYL51">
        <f t="shared" si="154"/>
        <v>43</v>
      </c>
      <c r="DYM51">
        <f t="shared" ref="DYM51:EAX51" si="155">COUNTBLANK(DYM6:DYM49)</f>
        <v>43</v>
      </c>
      <c r="DYN51">
        <f t="shared" si="155"/>
        <v>43</v>
      </c>
      <c r="DYO51">
        <f t="shared" si="155"/>
        <v>43</v>
      </c>
      <c r="DYP51">
        <f t="shared" si="155"/>
        <v>43</v>
      </c>
      <c r="DYQ51">
        <f t="shared" si="155"/>
        <v>43</v>
      </c>
      <c r="DYR51">
        <f t="shared" si="155"/>
        <v>43</v>
      </c>
      <c r="DYS51">
        <f t="shared" si="155"/>
        <v>43</v>
      </c>
      <c r="DYT51">
        <f t="shared" si="155"/>
        <v>43</v>
      </c>
      <c r="DYU51">
        <f t="shared" si="155"/>
        <v>43</v>
      </c>
      <c r="DYV51">
        <f t="shared" si="155"/>
        <v>43</v>
      </c>
      <c r="DYW51">
        <f t="shared" si="155"/>
        <v>43</v>
      </c>
      <c r="DYX51">
        <f t="shared" si="155"/>
        <v>43</v>
      </c>
      <c r="DYY51">
        <f t="shared" si="155"/>
        <v>43</v>
      </c>
      <c r="DYZ51">
        <f t="shared" si="155"/>
        <v>43</v>
      </c>
      <c r="DZA51">
        <f t="shared" si="155"/>
        <v>43</v>
      </c>
      <c r="DZB51">
        <f t="shared" si="155"/>
        <v>43</v>
      </c>
      <c r="DZC51">
        <f t="shared" si="155"/>
        <v>43</v>
      </c>
      <c r="DZD51">
        <f t="shared" si="155"/>
        <v>43</v>
      </c>
      <c r="DZE51">
        <f t="shared" si="155"/>
        <v>43</v>
      </c>
      <c r="DZF51">
        <f t="shared" si="155"/>
        <v>43</v>
      </c>
      <c r="DZG51">
        <f t="shared" si="155"/>
        <v>43</v>
      </c>
      <c r="DZH51">
        <f t="shared" si="155"/>
        <v>43</v>
      </c>
      <c r="DZI51">
        <f t="shared" si="155"/>
        <v>43</v>
      </c>
      <c r="DZJ51">
        <f t="shared" si="155"/>
        <v>43</v>
      </c>
      <c r="DZK51">
        <f t="shared" si="155"/>
        <v>43</v>
      </c>
      <c r="DZL51">
        <f t="shared" si="155"/>
        <v>43</v>
      </c>
      <c r="DZM51">
        <f t="shared" si="155"/>
        <v>43</v>
      </c>
      <c r="DZN51">
        <f t="shared" si="155"/>
        <v>43</v>
      </c>
      <c r="DZO51">
        <f t="shared" si="155"/>
        <v>43</v>
      </c>
      <c r="DZP51">
        <f t="shared" si="155"/>
        <v>43</v>
      </c>
      <c r="DZQ51">
        <f t="shared" si="155"/>
        <v>43</v>
      </c>
      <c r="DZR51">
        <f t="shared" si="155"/>
        <v>43</v>
      </c>
      <c r="DZS51">
        <f t="shared" si="155"/>
        <v>43</v>
      </c>
      <c r="DZT51">
        <f t="shared" si="155"/>
        <v>43</v>
      </c>
      <c r="DZU51">
        <f t="shared" si="155"/>
        <v>43</v>
      </c>
      <c r="DZV51">
        <f t="shared" si="155"/>
        <v>43</v>
      </c>
      <c r="DZW51">
        <f t="shared" si="155"/>
        <v>43</v>
      </c>
      <c r="DZX51">
        <f t="shared" si="155"/>
        <v>43</v>
      </c>
      <c r="DZY51">
        <f t="shared" si="155"/>
        <v>43</v>
      </c>
      <c r="DZZ51">
        <f t="shared" si="155"/>
        <v>43</v>
      </c>
      <c r="EAA51">
        <f t="shared" si="155"/>
        <v>43</v>
      </c>
      <c r="EAB51">
        <f t="shared" si="155"/>
        <v>43</v>
      </c>
      <c r="EAC51">
        <f t="shared" si="155"/>
        <v>43</v>
      </c>
      <c r="EAD51">
        <f t="shared" si="155"/>
        <v>43</v>
      </c>
      <c r="EAE51">
        <f t="shared" si="155"/>
        <v>43</v>
      </c>
      <c r="EAF51">
        <f t="shared" si="155"/>
        <v>43</v>
      </c>
      <c r="EAG51">
        <f t="shared" si="155"/>
        <v>43</v>
      </c>
      <c r="EAH51">
        <f t="shared" si="155"/>
        <v>43</v>
      </c>
      <c r="EAI51">
        <f t="shared" si="155"/>
        <v>43</v>
      </c>
      <c r="EAJ51">
        <f t="shared" si="155"/>
        <v>43</v>
      </c>
      <c r="EAK51">
        <f t="shared" si="155"/>
        <v>43</v>
      </c>
      <c r="EAL51">
        <f t="shared" si="155"/>
        <v>43</v>
      </c>
      <c r="EAM51">
        <f t="shared" si="155"/>
        <v>43</v>
      </c>
      <c r="EAN51">
        <f t="shared" si="155"/>
        <v>43</v>
      </c>
      <c r="EAO51">
        <f t="shared" si="155"/>
        <v>43</v>
      </c>
      <c r="EAP51">
        <f t="shared" si="155"/>
        <v>43</v>
      </c>
      <c r="EAQ51">
        <f t="shared" si="155"/>
        <v>43</v>
      </c>
      <c r="EAR51">
        <f t="shared" si="155"/>
        <v>43</v>
      </c>
      <c r="EAS51">
        <f t="shared" si="155"/>
        <v>43</v>
      </c>
      <c r="EAT51">
        <f t="shared" si="155"/>
        <v>43</v>
      </c>
      <c r="EAU51">
        <f t="shared" si="155"/>
        <v>43</v>
      </c>
      <c r="EAV51">
        <f t="shared" si="155"/>
        <v>43</v>
      </c>
      <c r="EAW51">
        <f t="shared" si="155"/>
        <v>43</v>
      </c>
      <c r="EAX51">
        <f t="shared" si="155"/>
        <v>43</v>
      </c>
      <c r="EAY51">
        <f t="shared" ref="EAY51:EDJ51" si="156">COUNTBLANK(EAY6:EAY49)</f>
        <v>43</v>
      </c>
      <c r="EAZ51">
        <f t="shared" si="156"/>
        <v>43</v>
      </c>
      <c r="EBA51">
        <f t="shared" si="156"/>
        <v>43</v>
      </c>
      <c r="EBB51">
        <f t="shared" si="156"/>
        <v>43</v>
      </c>
      <c r="EBC51">
        <f t="shared" si="156"/>
        <v>43</v>
      </c>
      <c r="EBD51">
        <f t="shared" si="156"/>
        <v>43</v>
      </c>
      <c r="EBE51">
        <f t="shared" si="156"/>
        <v>43</v>
      </c>
      <c r="EBF51">
        <f t="shared" si="156"/>
        <v>43</v>
      </c>
      <c r="EBG51">
        <f t="shared" si="156"/>
        <v>43</v>
      </c>
      <c r="EBH51">
        <f t="shared" si="156"/>
        <v>43</v>
      </c>
      <c r="EBI51">
        <f t="shared" si="156"/>
        <v>43</v>
      </c>
      <c r="EBJ51">
        <f t="shared" si="156"/>
        <v>43</v>
      </c>
      <c r="EBK51">
        <f t="shared" si="156"/>
        <v>43</v>
      </c>
      <c r="EBL51">
        <f t="shared" si="156"/>
        <v>43</v>
      </c>
      <c r="EBM51">
        <f t="shared" si="156"/>
        <v>43</v>
      </c>
      <c r="EBN51">
        <f t="shared" si="156"/>
        <v>43</v>
      </c>
      <c r="EBO51">
        <f t="shared" si="156"/>
        <v>43</v>
      </c>
      <c r="EBP51">
        <f t="shared" si="156"/>
        <v>43</v>
      </c>
      <c r="EBQ51">
        <f t="shared" si="156"/>
        <v>43</v>
      </c>
      <c r="EBR51">
        <f t="shared" si="156"/>
        <v>43</v>
      </c>
      <c r="EBS51">
        <f t="shared" si="156"/>
        <v>43</v>
      </c>
      <c r="EBT51">
        <f t="shared" si="156"/>
        <v>43</v>
      </c>
      <c r="EBU51">
        <f t="shared" si="156"/>
        <v>43</v>
      </c>
      <c r="EBV51">
        <f t="shared" si="156"/>
        <v>43</v>
      </c>
      <c r="EBW51">
        <f t="shared" si="156"/>
        <v>43</v>
      </c>
      <c r="EBX51">
        <f t="shared" si="156"/>
        <v>43</v>
      </c>
      <c r="EBY51">
        <f t="shared" si="156"/>
        <v>43</v>
      </c>
      <c r="EBZ51">
        <f t="shared" si="156"/>
        <v>43</v>
      </c>
      <c r="ECA51">
        <f t="shared" si="156"/>
        <v>43</v>
      </c>
      <c r="ECB51">
        <f t="shared" si="156"/>
        <v>43</v>
      </c>
      <c r="ECC51">
        <f t="shared" si="156"/>
        <v>43</v>
      </c>
      <c r="ECD51">
        <f t="shared" si="156"/>
        <v>43</v>
      </c>
      <c r="ECE51">
        <f t="shared" si="156"/>
        <v>43</v>
      </c>
      <c r="ECF51">
        <f t="shared" si="156"/>
        <v>43</v>
      </c>
      <c r="ECG51">
        <f t="shared" si="156"/>
        <v>43</v>
      </c>
      <c r="ECH51">
        <f t="shared" si="156"/>
        <v>43</v>
      </c>
      <c r="ECI51">
        <f t="shared" si="156"/>
        <v>43</v>
      </c>
      <c r="ECJ51">
        <f t="shared" si="156"/>
        <v>43</v>
      </c>
      <c r="ECK51">
        <f t="shared" si="156"/>
        <v>43</v>
      </c>
      <c r="ECL51">
        <f t="shared" si="156"/>
        <v>43</v>
      </c>
      <c r="ECM51">
        <f t="shared" si="156"/>
        <v>43</v>
      </c>
      <c r="ECN51">
        <f t="shared" si="156"/>
        <v>43</v>
      </c>
      <c r="ECO51">
        <f t="shared" si="156"/>
        <v>43</v>
      </c>
      <c r="ECP51">
        <f t="shared" si="156"/>
        <v>43</v>
      </c>
      <c r="ECQ51">
        <f t="shared" si="156"/>
        <v>43</v>
      </c>
      <c r="ECR51">
        <f t="shared" si="156"/>
        <v>43</v>
      </c>
      <c r="ECS51">
        <f t="shared" si="156"/>
        <v>43</v>
      </c>
      <c r="ECT51">
        <f t="shared" si="156"/>
        <v>43</v>
      </c>
      <c r="ECU51">
        <f t="shared" si="156"/>
        <v>43</v>
      </c>
      <c r="ECV51">
        <f t="shared" si="156"/>
        <v>43</v>
      </c>
      <c r="ECW51">
        <f t="shared" si="156"/>
        <v>43</v>
      </c>
      <c r="ECX51">
        <f t="shared" si="156"/>
        <v>43</v>
      </c>
      <c r="ECY51">
        <f t="shared" si="156"/>
        <v>43</v>
      </c>
      <c r="ECZ51">
        <f t="shared" si="156"/>
        <v>43</v>
      </c>
      <c r="EDA51">
        <f t="shared" si="156"/>
        <v>43</v>
      </c>
      <c r="EDB51">
        <f t="shared" si="156"/>
        <v>43</v>
      </c>
      <c r="EDC51">
        <f t="shared" si="156"/>
        <v>43</v>
      </c>
      <c r="EDD51">
        <f t="shared" si="156"/>
        <v>43</v>
      </c>
      <c r="EDE51">
        <f t="shared" si="156"/>
        <v>43</v>
      </c>
      <c r="EDF51">
        <f t="shared" si="156"/>
        <v>43</v>
      </c>
      <c r="EDG51">
        <f t="shared" si="156"/>
        <v>43</v>
      </c>
      <c r="EDH51">
        <f t="shared" si="156"/>
        <v>43</v>
      </c>
      <c r="EDI51">
        <f t="shared" si="156"/>
        <v>43</v>
      </c>
      <c r="EDJ51">
        <f t="shared" si="156"/>
        <v>43</v>
      </c>
      <c r="EDK51">
        <f t="shared" ref="EDK51:EFV51" si="157">COUNTBLANK(EDK6:EDK49)</f>
        <v>43</v>
      </c>
      <c r="EDL51">
        <f t="shared" si="157"/>
        <v>43</v>
      </c>
      <c r="EDM51">
        <f t="shared" si="157"/>
        <v>43</v>
      </c>
      <c r="EDN51">
        <f t="shared" si="157"/>
        <v>43</v>
      </c>
      <c r="EDO51">
        <f t="shared" si="157"/>
        <v>43</v>
      </c>
      <c r="EDP51">
        <f t="shared" si="157"/>
        <v>43</v>
      </c>
      <c r="EDQ51">
        <f t="shared" si="157"/>
        <v>43</v>
      </c>
      <c r="EDR51">
        <f t="shared" si="157"/>
        <v>43</v>
      </c>
      <c r="EDS51">
        <f t="shared" si="157"/>
        <v>43</v>
      </c>
      <c r="EDT51">
        <f t="shared" si="157"/>
        <v>43</v>
      </c>
      <c r="EDU51">
        <f t="shared" si="157"/>
        <v>43</v>
      </c>
      <c r="EDV51">
        <f t="shared" si="157"/>
        <v>43</v>
      </c>
      <c r="EDW51">
        <f t="shared" si="157"/>
        <v>43</v>
      </c>
      <c r="EDX51">
        <f t="shared" si="157"/>
        <v>43</v>
      </c>
      <c r="EDY51">
        <f t="shared" si="157"/>
        <v>43</v>
      </c>
      <c r="EDZ51">
        <f t="shared" si="157"/>
        <v>43</v>
      </c>
      <c r="EEA51">
        <f t="shared" si="157"/>
        <v>43</v>
      </c>
      <c r="EEB51">
        <f t="shared" si="157"/>
        <v>43</v>
      </c>
      <c r="EEC51">
        <f t="shared" si="157"/>
        <v>43</v>
      </c>
      <c r="EED51">
        <f t="shared" si="157"/>
        <v>43</v>
      </c>
      <c r="EEE51">
        <f t="shared" si="157"/>
        <v>43</v>
      </c>
      <c r="EEF51">
        <f t="shared" si="157"/>
        <v>43</v>
      </c>
      <c r="EEG51">
        <f t="shared" si="157"/>
        <v>43</v>
      </c>
      <c r="EEH51">
        <f t="shared" si="157"/>
        <v>43</v>
      </c>
      <c r="EEI51">
        <f t="shared" si="157"/>
        <v>43</v>
      </c>
      <c r="EEJ51">
        <f t="shared" si="157"/>
        <v>43</v>
      </c>
      <c r="EEK51">
        <f t="shared" si="157"/>
        <v>43</v>
      </c>
      <c r="EEL51">
        <f t="shared" si="157"/>
        <v>43</v>
      </c>
      <c r="EEM51">
        <f t="shared" si="157"/>
        <v>43</v>
      </c>
      <c r="EEN51">
        <f t="shared" si="157"/>
        <v>43</v>
      </c>
      <c r="EEO51">
        <f t="shared" si="157"/>
        <v>43</v>
      </c>
      <c r="EEP51">
        <f t="shared" si="157"/>
        <v>43</v>
      </c>
      <c r="EEQ51">
        <f t="shared" si="157"/>
        <v>43</v>
      </c>
      <c r="EER51">
        <f t="shared" si="157"/>
        <v>43</v>
      </c>
      <c r="EES51">
        <f t="shared" si="157"/>
        <v>43</v>
      </c>
      <c r="EET51">
        <f t="shared" si="157"/>
        <v>43</v>
      </c>
      <c r="EEU51">
        <f t="shared" si="157"/>
        <v>43</v>
      </c>
      <c r="EEV51">
        <f t="shared" si="157"/>
        <v>43</v>
      </c>
      <c r="EEW51">
        <f t="shared" si="157"/>
        <v>43</v>
      </c>
      <c r="EEX51">
        <f t="shared" si="157"/>
        <v>43</v>
      </c>
      <c r="EEY51">
        <f t="shared" si="157"/>
        <v>43</v>
      </c>
      <c r="EEZ51">
        <f t="shared" si="157"/>
        <v>43</v>
      </c>
      <c r="EFA51">
        <f t="shared" si="157"/>
        <v>43</v>
      </c>
      <c r="EFB51">
        <f t="shared" si="157"/>
        <v>43</v>
      </c>
      <c r="EFC51">
        <f t="shared" si="157"/>
        <v>43</v>
      </c>
      <c r="EFD51">
        <f t="shared" si="157"/>
        <v>43</v>
      </c>
      <c r="EFE51">
        <f t="shared" si="157"/>
        <v>43</v>
      </c>
      <c r="EFF51">
        <f t="shared" si="157"/>
        <v>43</v>
      </c>
      <c r="EFG51">
        <f t="shared" si="157"/>
        <v>43</v>
      </c>
      <c r="EFH51">
        <f t="shared" si="157"/>
        <v>43</v>
      </c>
      <c r="EFI51">
        <f t="shared" si="157"/>
        <v>43</v>
      </c>
      <c r="EFJ51">
        <f t="shared" si="157"/>
        <v>43</v>
      </c>
      <c r="EFK51">
        <f t="shared" si="157"/>
        <v>43</v>
      </c>
      <c r="EFL51">
        <f t="shared" si="157"/>
        <v>43</v>
      </c>
      <c r="EFM51">
        <f t="shared" si="157"/>
        <v>43</v>
      </c>
      <c r="EFN51">
        <f t="shared" si="157"/>
        <v>43</v>
      </c>
      <c r="EFO51">
        <f t="shared" si="157"/>
        <v>43</v>
      </c>
      <c r="EFP51">
        <f t="shared" si="157"/>
        <v>43</v>
      </c>
      <c r="EFQ51">
        <f t="shared" si="157"/>
        <v>43</v>
      </c>
      <c r="EFR51">
        <f t="shared" si="157"/>
        <v>43</v>
      </c>
      <c r="EFS51">
        <f t="shared" si="157"/>
        <v>43</v>
      </c>
      <c r="EFT51">
        <f t="shared" si="157"/>
        <v>43</v>
      </c>
      <c r="EFU51">
        <f t="shared" si="157"/>
        <v>43</v>
      </c>
      <c r="EFV51">
        <f t="shared" si="157"/>
        <v>43</v>
      </c>
      <c r="EFW51">
        <f t="shared" ref="EFW51:EIH51" si="158">COUNTBLANK(EFW6:EFW49)</f>
        <v>43</v>
      </c>
      <c r="EFX51">
        <f t="shared" si="158"/>
        <v>43</v>
      </c>
      <c r="EFY51">
        <f t="shared" si="158"/>
        <v>43</v>
      </c>
      <c r="EFZ51">
        <f t="shared" si="158"/>
        <v>43</v>
      </c>
      <c r="EGA51">
        <f t="shared" si="158"/>
        <v>43</v>
      </c>
      <c r="EGB51">
        <f t="shared" si="158"/>
        <v>43</v>
      </c>
      <c r="EGC51">
        <f t="shared" si="158"/>
        <v>43</v>
      </c>
      <c r="EGD51">
        <f t="shared" si="158"/>
        <v>43</v>
      </c>
      <c r="EGE51">
        <f t="shared" si="158"/>
        <v>43</v>
      </c>
      <c r="EGF51">
        <f t="shared" si="158"/>
        <v>43</v>
      </c>
      <c r="EGG51">
        <f t="shared" si="158"/>
        <v>43</v>
      </c>
      <c r="EGH51">
        <f t="shared" si="158"/>
        <v>43</v>
      </c>
      <c r="EGI51">
        <f t="shared" si="158"/>
        <v>43</v>
      </c>
      <c r="EGJ51">
        <f t="shared" si="158"/>
        <v>43</v>
      </c>
      <c r="EGK51">
        <f t="shared" si="158"/>
        <v>43</v>
      </c>
      <c r="EGL51">
        <f t="shared" si="158"/>
        <v>43</v>
      </c>
      <c r="EGM51">
        <f t="shared" si="158"/>
        <v>43</v>
      </c>
      <c r="EGN51">
        <f t="shared" si="158"/>
        <v>43</v>
      </c>
      <c r="EGO51">
        <f t="shared" si="158"/>
        <v>43</v>
      </c>
      <c r="EGP51">
        <f t="shared" si="158"/>
        <v>43</v>
      </c>
      <c r="EGQ51">
        <f t="shared" si="158"/>
        <v>43</v>
      </c>
      <c r="EGR51">
        <f t="shared" si="158"/>
        <v>43</v>
      </c>
      <c r="EGS51">
        <f t="shared" si="158"/>
        <v>43</v>
      </c>
      <c r="EGT51">
        <f t="shared" si="158"/>
        <v>43</v>
      </c>
      <c r="EGU51">
        <f t="shared" si="158"/>
        <v>43</v>
      </c>
      <c r="EGV51">
        <f t="shared" si="158"/>
        <v>43</v>
      </c>
      <c r="EGW51">
        <f t="shared" si="158"/>
        <v>43</v>
      </c>
      <c r="EGX51">
        <f t="shared" si="158"/>
        <v>43</v>
      </c>
      <c r="EGY51">
        <f t="shared" si="158"/>
        <v>43</v>
      </c>
      <c r="EGZ51">
        <f t="shared" si="158"/>
        <v>43</v>
      </c>
      <c r="EHA51">
        <f t="shared" si="158"/>
        <v>43</v>
      </c>
      <c r="EHB51">
        <f t="shared" si="158"/>
        <v>43</v>
      </c>
      <c r="EHC51">
        <f t="shared" si="158"/>
        <v>43</v>
      </c>
      <c r="EHD51">
        <f t="shared" si="158"/>
        <v>43</v>
      </c>
      <c r="EHE51">
        <f t="shared" si="158"/>
        <v>43</v>
      </c>
      <c r="EHF51">
        <f t="shared" si="158"/>
        <v>43</v>
      </c>
      <c r="EHG51">
        <f t="shared" si="158"/>
        <v>43</v>
      </c>
      <c r="EHH51">
        <f t="shared" si="158"/>
        <v>43</v>
      </c>
      <c r="EHI51">
        <f t="shared" si="158"/>
        <v>43</v>
      </c>
      <c r="EHJ51">
        <f t="shared" si="158"/>
        <v>43</v>
      </c>
      <c r="EHK51">
        <f t="shared" si="158"/>
        <v>43</v>
      </c>
      <c r="EHL51">
        <f t="shared" si="158"/>
        <v>43</v>
      </c>
      <c r="EHM51">
        <f t="shared" si="158"/>
        <v>43</v>
      </c>
      <c r="EHN51">
        <f t="shared" si="158"/>
        <v>43</v>
      </c>
      <c r="EHO51">
        <f t="shared" si="158"/>
        <v>43</v>
      </c>
      <c r="EHP51">
        <f t="shared" si="158"/>
        <v>43</v>
      </c>
      <c r="EHQ51">
        <f t="shared" si="158"/>
        <v>43</v>
      </c>
      <c r="EHR51">
        <f t="shared" si="158"/>
        <v>43</v>
      </c>
      <c r="EHS51">
        <f t="shared" si="158"/>
        <v>43</v>
      </c>
      <c r="EHT51">
        <f t="shared" si="158"/>
        <v>43</v>
      </c>
      <c r="EHU51">
        <f t="shared" si="158"/>
        <v>43</v>
      </c>
      <c r="EHV51">
        <f t="shared" si="158"/>
        <v>43</v>
      </c>
      <c r="EHW51">
        <f t="shared" si="158"/>
        <v>43</v>
      </c>
      <c r="EHX51">
        <f t="shared" si="158"/>
        <v>43</v>
      </c>
      <c r="EHY51">
        <f t="shared" si="158"/>
        <v>43</v>
      </c>
      <c r="EHZ51">
        <f t="shared" si="158"/>
        <v>43</v>
      </c>
      <c r="EIA51">
        <f t="shared" si="158"/>
        <v>43</v>
      </c>
      <c r="EIB51">
        <f t="shared" si="158"/>
        <v>43</v>
      </c>
      <c r="EIC51">
        <f t="shared" si="158"/>
        <v>43</v>
      </c>
      <c r="EID51">
        <f t="shared" si="158"/>
        <v>43</v>
      </c>
      <c r="EIE51">
        <f t="shared" si="158"/>
        <v>43</v>
      </c>
      <c r="EIF51">
        <f t="shared" si="158"/>
        <v>43</v>
      </c>
      <c r="EIG51">
        <f t="shared" si="158"/>
        <v>43</v>
      </c>
      <c r="EIH51">
        <f t="shared" si="158"/>
        <v>43</v>
      </c>
      <c r="EII51">
        <f t="shared" ref="EII51:EKT51" si="159">COUNTBLANK(EII6:EII49)</f>
        <v>43</v>
      </c>
      <c r="EIJ51">
        <f t="shared" si="159"/>
        <v>43</v>
      </c>
      <c r="EIK51">
        <f t="shared" si="159"/>
        <v>43</v>
      </c>
      <c r="EIL51">
        <f t="shared" si="159"/>
        <v>43</v>
      </c>
      <c r="EIM51">
        <f t="shared" si="159"/>
        <v>43</v>
      </c>
      <c r="EIN51">
        <f t="shared" si="159"/>
        <v>43</v>
      </c>
      <c r="EIO51">
        <f t="shared" si="159"/>
        <v>43</v>
      </c>
      <c r="EIP51">
        <f t="shared" si="159"/>
        <v>43</v>
      </c>
      <c r="EIQ51">
        <f t="shared" si="159"/>
        <v>43</v>
      </c>
      <c r="EIR51">
        <f t="shared" si="159"/>
        <v>43</v>
      </c>
      <c r="EIS51">
        <f t="shared" si="159"/>
        <v>43</v>
      </c>
      <c r="EIT51">
        <f t="shared" si="159"/>
        <v>43</v>
      </c>
      <c r="EIU51">
        <f t="shared" si="159"/>
        <v>43</v>
      </c>
      <c r="EIV51">
        <f t="shared" si="159"/>
        <v>43</v>
      </c>
      <c r="EIW51">
        <f t="shared" si="159"/>
        <v>43</v>
      </c>
      <c r="EIX51">
        <f t="shared" si="159"/>
        <v>43</v>
      </c>
      <c r="EIY51">
        <f t="shared" si="159"/>
        <v>43</v>
      </c>
      <c r="EIZ51">
        <f t="shared" si="159"/>
        <v>43</v>
      </c>
      <c r="EJA51">
        <f t="shared" si="159"/>
        <v>43</v>
      </c>
      <c r="EJB51">
        <f t="shared" si="159"/>
        <v>43</v>
      </c>
      <c r="EJC51">
        <f t="shared" si="159"/>
        <v>43</v>
      </c>
      <c r="EJD51">
        <f t="shared" si="159"/>
        <v>43</v>
      </c>
      <c r="EJE51">
        <f t="shared" si="159"/>
        <v>43</v>
      </c>
      <c r="EJF51">
        <f t="shared" si="159"/>
        <v>43</v>
      </c>
      <c r="EJG51">
        <f t="shared" si="159"/>
        <v>43</v>
      </c>
      <c r="EJH51">
        <f t="shared" si="159"/>
        <v>43</v>
      </c>
      <c r="EJI51">
        <f t="shared" si="159"/>
        <v>43</v>
      </c>
      <c r="EJJ51">
        <f t="shared" si="159"/>
        <v>43</v>
      </c>
      <c r="EJK51">
        <f t="shared" si="159"/>
        <v>43</v>
      </c>
      <c r="EJL51">
        <f t="shared" si="159"/>
        <v>43</v>
      </c>
      <c r="EJM51">
        <f t="shared" si="159"/>
        <v>43</v>
      </c>
      <c r="EJN51">
        <f t="shared" si="159"/>
        <v>43</v>
      </c>
      <c r="EJO51">
        <f t="shared" si="159"/>
        <v>43</v>
      </c>
      <c r="EJP51">
        <f t="shared" si="159"/>
        <v>43</v>
      </c>
      <c r="EJQ51">
        <f t="shared" si="159"/>
        <v>43</v>
      </c>
      <c r="EJR51">
        <f t="shared" si="159"/>
        <v>43</v>
      </c>
      <c r="EJS51">
        <f t="shared" si="159"/>
        <v>43</v>
      </c>
      <c r="EJT51">
        <f t="shared" si="159"/>
        <v>43</v>
      </c>
      <c r="EJU51">
        <f t="shared" si="159"/>
        <v>43</v>
      </c>
      <c r="EJV51">
        <f t="shared" si="159"/>
        <v>43</v>
      </c>
      <c r="EJW51">
        <f t="shared" si="159"/>
        <v>43</v>
      </c>
      <c r="EJX51">
        <f t="shared" si="159"/>
        <v>43</v>
      </c>
      <c r="EJY51">
        <f t="shared" si="159"/>
        <v>43</v>
      </c>
      <c r="EJZ51">
        <f t="shared" si="159"/>
        <v>43</v>
      </c>
      <c r="EKA51">
        <f t="shared" si="159"/>
        <v>43</v>
      </c>
      <c r="EKB51">
        <f t="shared" si="159"/>
        <v>43</v>
      </c>
      <c r="EKC51">
        <f t="shared" si="159"/>
        <v>43</v>
      </c>
      <c r="EKD51">
        <f t="shared" si="159"/>
        <v>43</v>
      </c>
      <c r="EKE51">
        <f t="shared" si="159"/>
        <v>43</v>
      </c>
      <c r="EKF51">
        <f t="shared" si="159"/>
        <v>43</v>
      </c>
      <c r="EKG51">
        <f t="shared" si="159"/>
        <v>43</v>
      </c>
      <c r="EKH51">
        <f t="shared" si="159"/>
        <v>43</v>
      </c>
      <c r="EKI51">
        <f t="shared" si="159"/>
        <v>43</v>
      </c>
      <c r="EKJ51">
        <f t="shared" si="159"/>
        <v>43</v>
      </c>
      <c r="EKK51">
        <f t="shared" si="159"/>
        <v>43</v>
      </c>
      <c r="EKL51">
        <f t="shared" si="159"/>
        <v>43</v>
      </c>
      <c r="EKM51">
        <f t="shared" si="159"/>
        <v>43</v>
      </c>
      <c r="EKN51">
        <f t="shared" si="159"/>
        <v>43</v>
      </c>
      <c r="EKO51">
        <f t="shared" si="159"/>
        <v>43</v>
      </c>
      <c r="EKP51">
        <f t="shared" si="159"/>
        <v>43</v>
      </c>
      <c r="EKQ51">
        <f t="shared" si="159"/>
        <v>43</v>
      </c>
      <c r="EKR51">
        <f t="shared" si="159"/>
        <v>43</v>
      </c>
      <c r="EKS51">
        <f t="shared" si="159"/>
        <v>43</v>
      </c>
      <c r="EKT51">
        <f t="shared" si="159"/>
        <v>43</v>
      </c>
      <c r="EKU51">
        <f t="shared" ref="EKU51:ENF51" si="160">COUNTBLANK(EKU6:EKU49)</f>
        <v>43</v>
      </c>
      <c r="EKV51">
        <f t="shared" si="160"/>
        <v>43</v>
      </c>
      <c r="EKW51">
        <f t="shared" si="160"/>
        <v>43</v>
      </c>
      <c r="EKX51">
        <f t="shared" si="160"/>
        <v>43</v>
      </c>
      <c r="EKY51">
        <f t="shared" si="160"/>
        <v>43</v>
      </c>
      <c r="EKZ51">
        <f t="shared" si="160"/>
        <v>43</v>
      </c>
      <c r="ELA51">
        <f t="shared" si="160"/>
        <v>43</v>
      </c>
      <c r="ELB51">
        <f t="shared" si="160"/>
        <v>43</v>
      </c>
      <c r="ELC51">
        <f t="shared" si="160"/>
        <v>43</v>
      </c>
      <c r="ELD51">
        <f t="shared" si="160"/>
        <v>43</v>
      </c>
      <c r="ELE51">
        <f t="shared" si="160"/>
        <v>43</v>
      </c>
      <c r="ELF51">
        <f t="shared" si="160"/>
        <v>43</v>
      </c>
      <c r="ELG51">
        <f t="shared" si="160"/>
        <v>43</v>
      </c>
      <c r="ELH51">
        <f t="shared" si="160"/>
        <v>43</v>
      </c>
      <c r="ELI51">
        <f t="shared" si="160"/>
        <v>43</v>
      </c>
      <c r="ELJ51">
        <f t="shared" si="160"/>
        <v>43</v>
      </c>
      <c r="ELK51">
        <f t="shared" si="160"/>
        <v>43</v>
      </c>
      <c r="ELL51">
        <f t="shared" si="160"/>
        <v>43</v>
      </c>
      <c r="ELM51">
        <f t="shared" si="160"/>
        <v>43</v>
      </c>
      <c r="ELN51">
        <f t="shared" si="160"/>
        <v>43</v>
      </c>
      <c r="ELO51">
        <f t="shared" si="160"/>
        <v>43</v>
      </c>
      <c r="ELP51">
        <f t="shared" si="160"/>
        <v>43</v>
      </c>
      <c r="ELQ51">
        <f t="shared" si="160"/>
        <v>43</v>
      </c>
      <c r="ELR51">
        <f t="shared" si="160"/>
        <v>43</v>
      </c>
      <c r="ELS51">
        <f t="shared" si="160"/>
        <v>43</v>
      </c>
      <c r="ELT51">
        <f t="shared" si="160"/>
        <v>43</v>
      </c>
      <c r="ELU51">
        <f t="shared" si="160"/>
        <v>43</v>
      </c>
      <c r="ELV51">
        <f t="shared" si="160"/>
        <v>43</v>
      </c>
      <c r="ELW51">
        <f t="shared" si="160"/>
        <v>43</v>
      </c>
      <c r="ELX51">
        <f t="shared" si="160"/>
        <v>43</v>
      </c>
      <c r="ELY51">
        <f t="shared" si="160"/>
        <v>43</v>
      </c>
      <c r="ELZ51">
        <f t="shared" si="160"/>
        <v>43</v>
      </c>
      <c r="EMA51">
        <f t="shared" si="160"/>
        <v>43</v>
      </c>
      <c r="EMB51">
        <f t="shared" si="160"/>
        <v>43</v>
      </c>
      <c r="EMC51">
        <f t="shared" si="160"/>
        <v>43</v>
      </c>
      <c r="EMD51">
        <f t="shared" si="160"/>
        <v>43</v>
      </c>
      <c r="EME51">
        <f t="shared" si="160"/>
        <v>43</v>
      </c>
      <c r="EMF51">
        <f t="shared" si="160"/>
        <v>43</v>
      </c>
      <c r="EMG51">
        <f t="shared" si="160"/>
        <v>43</v>
      </c>
      <c r="EMH51">
        <f t="shared" si="160"/>
        <v>43</v>
      </c>
      <c r="EMI51">
        <f t="shared" si="160"/>
        <v>43</v>
      </c>
      <c r="EMJ51">
        <f t="shared" si="160"/>
        <v>43</v>
      </c>
      <c r="EMK51">
        <f t="shared" si="160"/>
        <v>43</v>
      </c>
      <c r="EML51">
        <f t="shared" si="160"/>
        <v>43</v>
      </c>
      <c r="EMM51">
        <f t="shared" si="160"/>
        <v>43</v>
      </c>
      <c r="EMN51">
        <f t="shared" si="160"/>
        <v>43</v>
      </c>
      <c r="EMO51">
        <f t="shared" si="160"/>
        <v>43</v>
      </c>
      <c r="EMP51">
        <f t="shared" si="160"/>
        <v>43</v>
      </c>
      <c r="EMQ51">
        <f t="shared" si="160"/>
        <v>43</v>
      </c>
      <c r="EMR51">
        <f t="shared" si="160"/>
        <v>43</v>
      </c>
      <c r="EMS51">
        <f t="shared" si="160"/>
        <v>43</v>
      </c>
      <c r="EMT51">
        <f t="shared" si="160"/>
        <v>43</v>
      </c>
      <c r="EMU51">
        <f t="shared" si="160"/>
        <v>43</v>
      </c>
      <c r="EMV51">
        <f t="shared" si="160"/>
        <v>43</v>
      </c>
      <c r="EMW51">
        <f t="shared" si="160"/>
        <v>43</v>
      </c>
      <c r="EMX51">
        <f t="shared" si="160"/>
        <v>43</v>
      </c>
      <c r="EMY51">
        <f t="shared" si="160"/>
        <v>43</v>
      </c>
      <c r="EMZ51">
        <f t="shared" si="160"/>
        <v>43</v>
      </c>
      <c r="ENA51">
        <f t="shared" si="160"/>
        <v>43</v>
      </c>
      <c r="ENB51">
        <f t="shared" si="160"/>
        <v>43</v>
      </c>
      <c r="ENC51">
        <f t="shared" si="160"/>
        <v>43</v>
      </c>
      <c r="END51">
        <f t="shared" si="160"/>
        <v>43</v>
      </c>
      <c r="ENE51">
        <f t="shared" si="160"/>
        <v>43</v>
      </c>
      <c r="ENF51">
        <f t="shared" si="160"/>
        <v>43</v>
      </c>
      <c r="ENG51">
        <f t="shared" ref="ENG51:EPR51" si="161">COUNTBLANK(ENG6:ENG49)</f>
        <v>43</v>
      </c>
      <c r="ENH51">
        <f t="shared" si="161"/>
        <v>43</v>
      </c>
      <c r="ENI51">
        <f t="shared" si="161"/>
        <v>43</v>
      </c>
      <c r="ENJ51">
        <f t="shared" si="161"/>
        <v>43</v>
      </c>
      <c r="ENK51">
        <f t="shared" si="161"/>
        <v>43</v>
      </c>
      <c r="ENL51">
        <f t="shared" si="161"/>
        <v>43</v>
      </c>
      <c r="ENM51">
        <f t="shared" si="161"/>
        <v>43</v>
      </c>
      <c r="ENN51">
        <f t="shared" si="161"/>
        <v>43</v>
      </c>
      <c r="ENO51">
        <f t="shared" si="161"/>
        <v>43</v>
      </c>
      <c r="ENP51">
        <f t="shared" si="161"/>
        <v>43</v>
      </c>
      <c r="ENQ51">
        <f t="shared" si="161"/>
        <v>43</v>
      </c>
      <c r="ENR51">
        <f t="shared" si="161"/>
        <v>43</v>
      </c>
      <c r="ENS51">
        <f t="shared" si="161"/>
        <v>43</v>
      </c>
      <c r="ENT51">
        <f t="shared" si="161"/>
        <v>43</v>
      </c>
      <c r="ENU51">
        <f t="shared" si="161"/>
        <v>43</v>
      </c>
      <c r="ENV51">
        <f t="shared" si="161"/>
        <v>43</v>
      </c>
      <c r="ENW51">
        <f t="shared" si="161"/>
        <v>43</v>
      </c>
      <c r="ENX51">
        <f t="shared" si="161"/>
        <v>43</v>
      </c>
      <c r="ENY51">
        <f t="shared" si="161"/>
        <v>43</v>
      </c>
      <c r="ENZ51">
        <f t="shared" si="161"/>
        <v>43</v>
      </c>
      <c r="EOA51">
        <f t="shared" si="161"/>
        <v>43</v>
      </c>
      <c r="EOB51">
        <f t="shared" si="161"/>
        <v>43</v>
      </c>
      <c r="EOC51">
        <f t="shared" si="161"/>
        <v>43</v>
      </c>
      <c r="EOD51">
        <f t="shared" si="161"/>
        <v>43</v>
      </c>
      <c r="EOE51">
        <f t="shared" si="161"/>
        <v>43</v>
      </c>
      <c r="EOF51">
        <f t="shared" si="161"/>
        <v>43</v>
      </c>
      <c r="EOG51">
        <f t="shared" si="161"/>
        <v>43</v>
      </c>
      <c r="EOH51">
        <f t="shared" si="161"/>
        <v>43</v>
      </c>
      <c r="EOI51">
        <f t="shared" si="161"/>
        <v>43</v>
      </c>
      <c r="EOJ51">
        <f t="shared" si="161"/>
        <v>43</v>
      </c>
      <c r="EOK51">
        <f t="shared" si="161"/>
        <v>43</v>
      </c>
      <c r="EOL51">
        <f t="shared" si="161"/>
        <v>43</v>
      </c>
      <c r="EOM51">
        <f t="shared" si="161"/>
        <v>43</v>
      </c>
      <c r="EON51">
        <f t="shared" si="161"/>
        <v>43</v>
      </c>
      <c r="EOO51">
        <f t="shared" si="161"/>
        <v>43</v>
      </c>
      <c r="EOP51">
        <f t="shared" si="161"/>
        <v>43</v>
      </c>
      <c r="EOQ51">
        <f t="shared" si="161"/>
        <v>43</v>
      </c>
      <c r="EOR51">
        <f t="shared" si="161"/>
        <v>43</v>
      </c>
      <c r="EOS51">
        <f t="shared" si="161"/>
        <v>43</v>
      </c>
      <c r="EOT51">
        <f t="shared" si="161"/>
        <v>43</v>
      </c>
      <c r="EOU51">
        <f t="shared" si="161"/>
        <v>43</v>
      </c>
      <c r="EOV51">
        <f t="shared" si="161"/>
        <v>43</v>
      </c>
      <c r="EOW51">
        <f t="shared" si="161"/>
        <v>43</v>
      </c>
      <c r="EOX51">
        <f t="shared" si="161"/>
        <v>43</v>
      </c>
      <c r="EOY51">
        <f t="shared" si="161"/>
        <v>43</v>
      </c>
      <c r="EOZ51">
        <f t="shared" si="161"/>
        <v>43</v>
      </c>
      <c r="EPA51">
        <f t="shared" si="161"/>
        <v>43</v>
      </c>
      <c r="EPB51">
        <f t="shared" si="161"/>
        <v>43</v>
      </c>
      <c r="EPC51">
        <f t="shared" si="161"/>
        <v>43</v>
      </c>
      <c r="EPD51">
        <f t="shared" si="161"/>
        <v>43</v>
      </c>
      <c r="EPE51">
        <f t="shared" si="161"/>
        <v>43</v>
      </c>
      <c r="EPF51">
        <f t="shared" si="161"/>
        <v>43</v>
      </c>
      <c r="EPG51">
        <f t="shared" si="161"/>
        <v>43</v>
      </c>
      <c r="EPH51">
        <f t="shared" si="161"/>
        <v>43</v>
      </c>
      <c r="EPI51">
        <f t="shared" si="161"/>
        <v>43</v>
      </c>
      <c r="EPJ51">
        <f t="shared" si="161"/>
        <v>43</v>
      </c>
      <c r="EPK51">
        <f t="shared" si="161"/>
        <v>43</v>
      </c>
      <c r="EPL51">
        <f t="shared" si="161"/>
        <v>43</v>
      </c>
      <c r="EPM51">
        <f t="shared" si="161"/>
        <v>43</v>
      </c>
      <c r="EPN51">
        <f t="shared" si="161"/>
        <v>43</v>
      </c>
      <c r="EPO51">
        <f t="shared" si="161"/>
        <v>43</v>
      </c>
      <c r="EPP51">
        <f t="shared" si="161"/>
        <v>43</v>
      </c>
      <c r="EPQ51">
        <f t="shared" si="161"/>
        <v>43</v>
      </c>
      <c r="EPR51">
        <f t="shared" si="161"/>
        <v>43</v>
      </c>
      <c r="EPS51">
        <f t="shared" ref="EPS51:ESD51" si="162">COUNTBLANK(EPS6:EPS49)</f>
        <v>43</v>
      </c>
      <c r="EPT51">
        <f t="shared" si="162"/>
        <v>43</v>
      </c>
      <c r="EPU51">
        <f t="shared" si="162"/>
        <v>43</v>
      </c>
      <c r="EPV51">
        <f t="shared" si="162"/>
        <v>43</v>
      </c>
      <c r="EPW51">
        <f t="shared" si="162"/>
        <v>43</v>
      </c>
      <c r="EPX51">
        <f t="shared" si="162"/>
        <v>43</v>
      </c>
      <c r="EPY51">
        <f t="shared" si="162"/>
        <v>43</v>
      </c>
      <c r="EPZ51">
        <f t="shared" si="162"/>
        <v>43</v>
      </c>
      <c r="EQA51">
        <f t="shared" si="162"/>
        <v>43</v>
      </c>
      <c r="EQB51">
        <f t="shared" si="162"/>
        <v>43</v>
      </c>
      <c r="EQC51">
        <f t="shared" si="162"/>
        <v>43</v>
      </c>
      <c r="EQD51">
        <f t="shared" si="162"/>
        <v>43</v>
      </c>
      <c r="EQE51">
        <f t="shared" si="162"/>
        <v>43</v>
      </c>
      <c r="EQF51">
        <f t="shared" si="162"/>
        <v>43</v>
      </c>
      <c r="EQG51">
        <f t="shared" si="162"/>
        <v>43</v>
      </c>
      <c r="EQH51">
        <f t="shared" si="162"/>
        <v>43</v>
      </c>
      <c r="EQI51">
        <f t="shared" si="162"/>
        <v>43</v>
      </c>
      <c r="EQJ51">
        <f t="shared" si="162"/>
        <v>43</v>
      </c>
      <c r="EQK51">
        <f t="shared" si="162"/>
        <v>43</v>
      </c>
      <c r="EQL51">
        <f t="shared" si="162"/>
        <v>43</v>
      </c>
      <c r="EQM51">
        <f t="shared" si="162"/>
        <v>43</v>
      </c>
      <c r="EQN51">
        <f t="shared" si="162"/>
        <v>43</v>
      </c>
      <c r="EQO51">
        <f t="shared" si="162"/>
        <v>43</v>
      </c>
      <c r="EQP51">
        <f t="shared" si="162"/>
        <v>43</v>
      </c>
      <c r="EQQ51">
        <f t="shared" si="162"/>
        <v>43</v>
      </c>
      <c r="EQR51">
        <f t="shared" si="162"/>
        <v>43</v>
      </c>
      <c r="EQS51">
        <f t="shared" si="162"/>
        <v>43</v>
      </c>
      <c r="EQT51">
        <f t="shared" si="162"/>
        <v>43</v>
      </c>
      <c r="EQU51">
        <f t="shared" si="162"/>
        <v>43</v>
      </c>
      <c r="EQV51">
        <f t="shared" si="162"/>
        <v>43</v>
      </c>
      <c r="EQW51">
        <f t="shared" si="162"/>
        <v>43</v>
      </c>
      <c r="EQX51">
        <f t="shared" si="162"/>
        <v>43</v>
      </c>
      <c r="EQY51">
        <f t="shared" si="162"/>
        <v>43</v>
      </c>
      <c r="EQZ51">
        <f t="shared" si="162"/>
        <v>43</v>
      </c>
      <c r="ERA51">
        <f t="shared" si="162"/>
        <v>43</v>
      </c>
      <c r="ERB51">
        <f t="shared" si="162"/>
        <v>43</v>
      </c>
      <c r="ERC51">
        <f t="shared" si="162"/>
        <v>43</v>
      </c>
      <c r="ERD51">
        <f t="shared" si="162"/>
        <v>43</v>
      </c>
      <c r="ERE51">
        <f t="shared" si="162"/>
        <v>43</v>
      </c>
      <c r="ERF51">
        <f t="shared" si="162"/>
        <v>43</v>
      </c>
      <c r="ERG51">
        <f t="shared" si="162"/>
        <v>43</v>
      </c>
      <c r="ERH51">
        <f t="shared" si="162"/>
        <v>43</v>
      </c>
      <c r="ERI51">
        <f t="shared" si="162"/>
        <v>43</v>
      </c>
      <c r="ERJ51">
        <f t="shared" si="162"/>
        <v>43</v>
      </c>
      <c r="ERK51">
        <f t="shared" si="162"/>
        <v>43</v>
      </c>
      <c r="ERL51">
        <f t="shared" si="162"/>
        <v>43</v>
      </c>
      <c r="ERM51">
        <f t="shared" si="162"/>
        <v>43</v>
      </c>
      <c r="ERN51">
        <f t="shared" si="162"/>
        <v>43</v>
      </c>
      <c r="ERO51">
        <f t="shared" si="162"/>
        <v>43</v>
      </c>
      <c r="ERP51">
        <f t="shared" si="162"/>
        <v>43</v>
      </c>
      <c r="ERQ51">
        <f t="shared" si="162"/>
        <v>43</v>
      </c>
      <c r="ERR51">
        <f t="shared" si="162"/>
        <v>43</v>
      </c>
      <c r="ERS51">
        <f t="shared" si="162"/>
        <v>43</v>
      </c>
      <c r="ERT51">
        <f t="shared" si="162"/>
        <v>43</v>
      </c>
      <c r="ERU51">
        <f t="shared" si="162"/>
        <v>43</v>
      </c>
      <c r="ERV51">
        <f t="shared" si="162"/>
        <v>43</v>
      </c>
      <c r="ERW51">
        <f t="shared" si="162"/>
        <v>43</v>
      </c>
      <c r="ERX51">
        <f t="shared" si="162"/>
        <v>43</v>
      </c>
      <c r="ERY51">
        <f t="shared" si="162"/>
        <v>43</v>
      </c>
      <c r="ERZ51">
        <f t="shared" si="162"/>
        <v>43</v>
      </c>
      <c r="ESA51">
        <f t="shared" si="162"/>
        <v>43</v>
      </c>
      <c r="ESB51">
        <f t="shared" si="162"/>
        <v>43</v>
      </c>
      <c r="ESC51">
        <f t="shared" si="162"/>
        <v>43</v>
      </c>
      <c r="ESD51">
        <f t="shared" si="162"/>
        <v>43</v>
      </c>
      <c r="ESE51">
        <f t="shared" ref="ESE51:EUP51" si="163">COUNTBLANK(ESE6:ESE49)</f>
        <v>43</v>
      </c>
      <c r="ESF51">
        <f t="shared" si="163"/>
        <v>43</v>
      </c>
      <c r="ESG51">
        <f t="shared" si="163"/>
        <v>43</v>
      </c>
      <c r="ESH51">
        <f t="shared" si="163"/>
        <v>43</v>
      </c>
      <c r="ESI51">
        <f t="shared" si="163"/>
        <v>43</v>
      </c>
      <c r="ESJ51">
        <f t="shared" si="163"/>
        <v>43</v>
      </c>
      <c r="ESK51">
        <f t="shared" si="163"/>
        <v>43</v>
      </c>
      <c r="ESL51">
        <f t="shared" si="163"/>
        <v>43</v>
      </c>
      <c r="ESM51">
        <f t="shared" si="163"/>
        <v>43</v>
      </c>
      <c r="ESN51">
        <f t="shared" si="163"/>
        <v>43</v>
      </c>
      <c r="ESO51">
        <f t="shared" si="163"/>
        <v>43</v>
      </c>
      <c r="ESP51">
        <f t="shared" si="163"/>
        <v>43</v>
      </c>
      <c r="ESQ51">
        <f t="shared" si="163"/>
        <v>43</v>
      </c>
      <c r="ESR51">
        <f t="shared" si="163"/>
        <v>43</v>
      </c>
      <c r="ESS51">
        <f t="shared" si="163"/>
        <v>43</v>
      </c>
      <c r="EST51">
        <f t="shared" si="163"/>
        <v>43</v>
      </c>
      <c r="ESU51">
        <f t="shared" si="163"/>
        <v>43</v>
      </c>
      <c r="ESV51">
        <f t="shared" si="163"/>
        <v>43</v>
      </c>
      <c r="ESW51">
        <f t="shared" si="163"/>
        <v>43</v>
      </c>
      <c r="ESX51">
        <f t="shared" si="163"/>
        <v>43</v>
      </c>
      <c r="ESY51">
        <f t="shared" si="163"/>
        <v>43</v>
      </c>
      <c r="ESZ51">
        <f t="shared" si="163"/>
        <v>43</v>
      </c>
      <c r="ETA51">
        <f t="shared" si="163"/>
        <v>43</v>
      </c>
      <c r="ETB51">
        <f t="shared" si="163"/>
        <v>43</v>
      </c>
      <c r="ETC51">
        <f t="shared" si="163"/>
        <v>43</v>
      </c>
      <c r="ETD51">
        <f t="shared" si="163"/>
        <v>43</v>
      </c>
      <c r="ETE51">
        <f t="shared" si="163"/>
        <v>43</v>
      </c>
      <c r="ETF51">
        <f t="shared" si="163"/>
        <v>43</v>
      </c>
      <c r="ETG51">
        <f t="shared" si="163"/>
        <v>43</v>
      </c>
      <c r="ETH51">
        <f t="shared" si="163"/>
        <v>43</v>
      </c>
      <c r="ETI51">
        <f t="shared" si="163"/>
        <v>43</v>
      </c>
      <c r="ETJ51">
        <f t="shared" si="163"/>
        <v>43</v>
      </c>
      <c r="ETK51">
        <f t="shared" si="163"/>
        <v>43</v>
      </c>
      <c r="ETL51">
        <f t="shared" si="163"/>
        <v>43</v>
      </c>
      <c r="ETM51">
        <f t="shared" si="163"/>
        <v>43</v>
      </c>
      <c r="ETN51">
        <f t="shared" si="163"/>
        <v>43</v>
      </c>
      <c r="ETO51">
        <f t="shared" si="163"/>
        <v>43</v>
      </c>
      <c r="ETP51">
        <f t="shared" si="163"/>
        <v>43</v>
      </c>
      <c r="ETQ51">
        <f t="shared" si="163"/>
        <v>43</v>
      </c>
      <c r="ETR51">
        <f t="shared" si="163"/>
        <v>43</v>
      </c>
      <c r="ETS51">
        <f t="shared" si="163"/>
        <v>43</v>
      </c>
      <c r="ETT51">
        <f t="shared" si="163"/>
        <v>43</v>
      </c>
      <c r="ETU51">
        <f t="shared" si="163"/>
        <v>43</v>
      </c>
      <c r="ETV51">
        <f t="shared" si="163"/>
        <v>43</v>
      </c>
      <c r="ETW51">
        <f t="shared" si="163"/>
        <v>43</v>
      </c>
      <c r="ETX51">
        <f t="shared" si="163"/>
        <v>43</v>
      </c>
      <c r="ETY51">
        <f t="shared" si="163"/>
        <v>43</v>
      </c>
      <c r="ETZ51">
        <f t="shared" si="163"/>
        <v>43</v>
      </c>
      <c r="EUA51">
        <f t="shared" si="163"/>
        <v>43</v>
      </c>
      <c r="EUB51">
        <f t="shared" si="163"/>
        <v>43</v>
      </c>
      <c r="EUC51">
        <f t="shared" si="163"/>
        <v>43</v>
      </c>
      <c r="EUD51">
        <f t="shared" si="163"/>
        <v>43</v>
      </c>
      <c r="EUE51">
        <f t="shared" si="163"/>
        <v>43</v>
      </c>
      <c r="EUF51">
        <f t="shared" si="163"/>
        <v>43</v>
      </c>
      <c r="EUG51">
        <f t="shared" si="163"/>
        <v>43</v>
      </c>
      <c r="EUH51">
        <f t="shared" si="163"/>
        <v>43</v>
      </c>
      <c r="EUI51">
        <f t="shared" si="163"/>
        <v>43</v>
      </c>
      <c r="EUJ51">
        <f t="shared" si="163"/>
        <v>43</v>
      </c>
      <c r="EUK51">
        <f t="shared" si="163"/>
        <v>43</v>
      </c>
      <c r="EUL51">
        <f t="shared" si="163"/>
        <v>43</v>
      </c>
      <c r="EUM51">
        <f t="shared" si="163"/>
        <v>43</v>
      </c>
      <c r="EUN51">
        <f t="shared" si="163"/>
        <v>43</v>
      </c>
      <c r="EUO51">
        <f t="shared" si="163"/>
        <v>43</v>
      </c>
      <c r="EUP51">
        <f t="shared" si="163"/>
        <v>43</v>
      </c>
      <c r="EUQ51">
        <f t="shared" ref="EUQ51:EXB51" si="164">COUNTBLANK(EUQ6:EUQ49)</f>
        <v>43</v>
      </c>
      <c r="EUR51">
        <f t="shared" si="164"/>
        <v>43</v>
      </c>
      <c r="EUS51">
        <f t="shared" si="164"/>
        <v>43</v>
      </c>
      <c r="EUT51">
        <f t="shared" si="164"/>
        <v>43</v>
      </c>
      <c r="EUU51">
        <f t="shared" si="164"/>
        <v>43</v>
      </c>
      <c r="EUV51">
        <f t="shared" si="164"/>
        <v>43</v>
      </c>
      <c r="EUW51">
        <f t="shared" si="164"/>
        <v>43</v>
      </c>
      <c r="EUX51">
        <f t="shared" si="164"/>
        <v>43</v>
      </c>
      <c r="EUY51">
        <f t="shared" si="164"/>
        <v>43</v>
      </c>
      <c r="EUZ51">
        <f t="shared" si="164"/>
        <v>43</v>
      </c>
      <c r="EVA51">
        <f t="shared" si="164"/>
        <v>43</v>
      </c>
      <c r="EVB51">
        <f t="shared" si="164"/>
        <v>43</v>
      </c>
      <c r="EVC51">
        <f t="shared" si="164"/>
        <v>43</v>
      </c>
      <c r="EVD51">
        <f t="shared" si="164"/>
        <v>43</v>
      </c>
      <c r="EVE51">
        <f t="shared" si="164"/>
        <v>43</v>
      </c>
      <c r="EVF51">
        <f t="shared" si="164"/>
        <v>43</v>
      </c>
      <c r="EVG51">
        <f t="shared" si="164"/>
        <v>43</v>
      </c>
      <c r="EVH51">
        <f t="shared" si="164"/>
        <v>43</v>
      </c>
      <c r="EVI51">
        <f t="shared" si="164"/>
        <v>43</v>
      </c>
      <c r="EVJ51">
        <f t="shared" si="164"/>
        <v>43</v>
      </c>
      <c r="EVK51">
        <f t="shared" si="164"/>
        <v>43</v>
      </c>
      <c r="EVL51">
        <f t="shared" si="164"/>
        <v>43</v>
      </c>
      <c r="EVM51">
        <f t="shared" si="164"/>
        <v>43</v>
      </c>
      <c r="EVN51">
        <f t="shared" si="164"/>
        <v>43</v>
      </c>
      <c r="EVO51">
        <f t="shared" si="164"/>
        <v>43</v>
      </c>
      <c r="EVP51">
        <f t="shared" si="164"/>
        <v>43</v>
      </c>
      <c r="EVQ51">
        <f t="shared" si="164"/>
        <v>43</v>
      </c>
      <c r="EVR51">
        <f t="shared" si="164"/>
        <v>43</v>
      </c>
      <c r="EVS51">
        <f t="shared" si="164"/>
        <v>43</v>
      </c>
      <c r="EVT51">
        <f t="shared" si="164"/>
        <v>43</v>
      </c>
      <c r="EVU51">
        <f t="shared" si="164"/>
        <v>43</v>
      </c>
      <c r="EVV51">
        <f t="shared" si="164"/>
        <v>43</v>
      </c>
      <c r="EVW51">
        <f t="shared" si="164"/>
        <v>43</v>
      </c>
      <c r="EVX51">
        <f t="shared" si="164"/>
        <v>43</v>
      </c>
      <c r="EVY51">
        <f t="shared" si="164"/>
        <v>43</v>
      </c>
      <c r="EVZ51">
        <f t="shared" si="164"/>
        <v>43</v>
      </c>
      <c r="EWA51">
        <f t="shared" si="164"/>
        <v>43</v>
      </c>
      <c r="EWB51">
        <f t="shared" si="164"/>
        <v>43</v>
      </c>
      <c r="EWC51">
        <f t="shared" si="164"/>
        <v>43</v>
      </c>
      <c r="EWD51">
        <f t="shared" si="164"/>
        <v>43</v>
      </c>
      <c r="EWE51">
        <f t="shared" si="164"/>
        <v>43</v>
      </c>
      <c r="EWF51">
        <f t="shared" si="164"/>
        <v>43</v>
      </c>
      <c r="EWG51">
        <f t="shared" si="164"/>
        <v>43</v>
      </c>
      <c r="EWH51">
        <f t="shared" si="164"/>
        <v>43</v>
      </c>
      <c r="EWI51">
        <f t="shared" si="164"/>
        <v>43</v>
      </c>
      <c r="EWJ51">
        <f t="shared" si="164"/>
        <v>43</v>
      </c>
      <c r="EWK51">
        <f t="shared" si="164"/>
        <v>43</v>
      </c>
      <c r="EWL51">
        <f t="shared" si="164"/>
        <v>43</v>
      </c>
      <c r="EWM51">
        <f t="shared" si="164"/>
        <v>43</v>
      </c>
      <c r="EWN51">
        <f t="shared" si="164"/>
        <v>43</v>
      </c>
      <c r="EWO51">
        <f t="shared" si="164"/>
        <v>43</v>
      </c>
      <c r="EWP51">
        <f t="shared" si="164"/>
        <v>43</v>
      </c>
      <c r="EWQ51">
        <f t="shared" si="164"/>
        <v>43</v>
      </c>
      <c r="EWR51">
        <f t="shared" si="164"/>
        <v>43</v>
      </c>
      <c r="EWS51">
        <f t="shared" si="164"/>
        <v>43</v>
      </c>
      <c r="EWT51">
        <f t="shared" si="164"/>
        <v>43</v>
      </c>
      <c r="EWU51">
        <f t="shared" si="164"/>
        <v>43</v>
      </c>
      <c r="EWV51">
        <f t="shared" si="164"/>
        <v>43</v>
      </c>
      <c r="EWW51">
        <f t="shared" si="164"/>
        <v>43</v>
      </c>
      <c r="EWX51">
        <f t="shared" si="164"/>
        <v>43</v>
      </c>
      <c r="EWY51">
        <f t="shared" si="164"/>
        <v>43</v>
      </c>
      <c r="EWZ51">
        <f t="shared" si="164"/>
        <v>43</v>
      </c>
      <c r="EXA51">
        <f t="shared" si="164"/>
        <v>43</v>
      </c>
      <c r="EXB51">
        <f t="shared" si="164"/>
        <v>43</v>
      </c>
      <c r="EXC51">
        <f t="shared" ref="EXC51:EZN51" si="165">COUNTBLANK(EXC6:EXC49)</f>
        <v>43</v>
      </c>
      <c r="EXD51">
        <f t="shared" si="165"/>
        <v>43</v>
      </c>
      <c r="EXE51">
        <f t="shared" si="165"/>
        <v>43</v>
      </c>
      <c r="EXF51">
        <f t="shared" si="165"/>
        <v>43</v>
      </c>
      <c r="EXG51">
        <f t="shared" si="165"/>
        <v>43</v>
      </c>
      <c r="EXH51">
        <f t="shared" si="165"/>
        <v>43</v>
      </c>
      <c r="EXI51">
        <f t="shared" si="165"/>
        <v>43</v>
      </c>
      <c r="EXJ51">
        <f t="shared" si="165"/>
        <v>43</v>
      </c>
      <c r="EXK51">
        <f t="shared" si="165"/>
        <v>43</v>
      </c>
      <c r="EXL51">
        <f t="shared" si="165"/>
        <v>43</v>
      </c>
      <c r="EXM51">
        <f t="shared" si="165"/>
        <v>43</v>
      </c>
      <c r="EXN51">
        <f t="shared" si="165"/>
        <v>43</v>
      </c>
      <c r="EXO51">
        <f t="shared" si="165"/>
        <v>43</v>
      </c>
      <c r="EXP51">
        <f t="shared" si="165"/>
        <v>43</v>
      </c>
      <c r="EXQ51">
        <f t="shared" si="165"/>
        <v>43</v>
      </c>
      <c r="EXR51">
        <f t="shared" si="165"/>
        <v>43</v>
      </c>
      <c r="EXS51">
        <f t="shared" si="165"/>
        <v>43</v>
      </c>
      <c r="EXT51">
        <f t="shared" si="165"/>
        <v>43</v>
      </c>
      <c r="EXU51">
        <f t="shared" si="165"/>
        <v>43</v>
      </c>
      <c r="EXV51">
        <f t="shared" si="165"/>
        <v>43</v>
      </c>
      <c r="EXW51">
        <f t="shared" si="165"/>
        <v>43</v>
      </c>
      <c r="EXX51">
        <f t="shared" si="165"/>
        <v>43</v>
      </c>
      <c r="EXY51">
        <f t="shared" si="165"/>
        <v>43</v>
      </c>
      <c r="EXZ51">
        <f t="shared" si="165"/>
        <v>43</v>
      </c>
      <c r="EYA51">
        <f t="shared" si="165"/>
        <v>43</v>
      </c>
      <c r="EYB51">
        <f t="shared" si="165"/>
        <v>43</v>
      </c>
      <c r="EYC51">
        <f t="shared" si="165"/>
        <v>43</v>
      </c>
      <c r="EYD51">
        <f t="shared" si="165"/>
        <v>43</v>
      </c>
      <c r="EYE51">
        <f t="shared" si="165"/>
        <v>43</v>
      </c>
      <c r="EYF51">
        <f t="shared" si="165"/>
        <v>43</v>
      </c>
      <c r="EYG51">
        <f t="shared" si="165"/>
        <v>43</v>
      </c>
      <c r="EYH51">
        <f t="shared" si="165"/>
        <v>43</v>
      </c>
      <c r="EYI51">
        <f t="shared" si="165"/>
        <v>43</v>
      </c>
      <c r="EYJ51">
        <f t="shared" si="165"/>
        <v>43</v>
      </c>
      <c r="EYK51">
        <f t="shared" si="165"/>
        <v>43</v>
      </c>
      <c r="EYL51">
        <f t="shared" si="165"/>
        <v>43</v>
      </c>
      <c r="EYM51">
        <f t="shared" si="165"/>
        <v>43</v>
      </c>
      <c r="EYN51">
        <f t="shared" si="165"/>
        <v>43</v>
      </c>
      <c r="EYO51">
        <f t="shared" si="165"/>
        <v>43</v>
      </c>
      <c r="EYP51">
        <f t="shared" si="165"/>
        <v>43</v>
      </c>
      <c r="EYQ51">
        <f t="shared" si="165"/>
        <v>43</v>
      </c>
      <c r="EYR51">
        <f t="shared" si="165"/>
        <v>43</v>
      </c>
      <c r="EYS51">
        <f t="shared" si="165"/>
        <v>43</v>
      </c>
      <c r="EYT51">
        <f t="shared" si="165"/>
        <v>43</v>
      </c>
      <c r="EYU51">
        <f t="shared" si="165"/>
        <v>43</v>
      </c>
      <c r="EYV51">
        <f t="shared" si="165"/>
        <v>43</v>
      </c>
      <c r="EYW51">
        <f t="shared" si="165"/>
        <v>43</v>
      </c>
      <c r="EYX51">
        <f t="shared" si="165"/>
        <v>43</v>
      </c>
      <c r="EYY51">
        <f t="shared" si="165"/>
        <v>43</v>
      </c>
      <c r="EYZ51">
        <f t="shared" si="165"/>
        <v>43</v>
      </c>
      <c r="EZA51">
        <f t="shared" si="165"/>
        <v>43</v>
      </c>
      <c r="EZB51">
        <f t="shared" si="165"/>
        <v>43</v>
      </c>
      <c r="EZC51">
        <f t="shared" si="165"/>
        <v>43</v>
      </c>
      <c r="EZD51">
        <f t="shared" si="165"/>
        <v>43</v>
      </c>
      <c r="EZE51">
        <f t="shared" si="165"/>
        <v>43</v>
      </c>
      <c r="EZF51">
        <f t="shared" si="165"/>
        <v>43</v>
      </c>
      <c r="EZG51">
        <f t="shared" si="165"/>
        <v>43</v>
      </c>
      <c r="EZH51">
        <f t="shared" si="165"/>
        <v>43</v>
      </c>
      <c r="EZI51">
        <f t="shared" si="165"/>
        <v>43</v>
      </c>
      <c r="EZJ51">
        <f t="shared" si="165"/>
        <v>43</v>
      </c>
      <c r="EZK51">
        <f t="shared" si="165"/>
        <v>43</v>
      </c>
      <c r="EZL51">
        <f t="shared" si="165"/>
        <v>43</v>
      </c>
      <c r="EZM51">
        <f t="shared" si="165"/>
        <v>43</v>
      </c>
      <c r="EZN51">
        <f t="shared" si="165"/>
        <v>43</v>
      </c>
      <c r="EZO51">
        <f t="shared" ref="EZO51:FBZ51" si="166">COUNTBLANK(EZO6:EZO49)</f>
        <v>43</v>
      </c>
      <c r="EZP51">
        <f t="shared" si="166"/>
        <v>43</v>
      </c>
      <c r="EZQ51">
        <f t="shared" si="166"/>
        <v>43</v>
      </c>
      <c r="EZR51">
        <f t="shared" si="166"/>
        <v>43</v>
      </c>
      <c r="EZS51">
        <f t="shared" si="166"/>
        <v>43</v>
      </c>
      <c r="EZT51">
        <f t="shared" si="166"/>
        <v>43</v>
      </c>
      <c r="EZU51">
        <f t="shared" si="166"/>
        <v>43</v>
      </c>
      <c r="EZV51">
        <f t="shared" si="166"/>
        <v>43</v>
      </c>
      <c r="EZW51">
        <f t="shared" si="166"/>
        <v>43</v>
      </c>
      <c r="EZX51">
        <f t="shared" si="166"/>
        <v>43</v>
      </c>
      <c r="EZY51">
        <f t="shared" si="166"/>
        <v>43</v>
      </c>
      <c r="EZZ51">
        <f t="shared" si="166"/>
        <v>43</v>
      </c>
      <c r="FAA51">
        <f t="shared" si="166"/>
        <v>43</v>
      </c>
      <c r="FAB51">
        <f t="shared" si="166"/>
        <v>43</v>
      </c>
      <c r="FAC51">
        <f t="shared" si="166"/>
        <v>43</v>
      </c>
      <c r="FAD51">
        <f t="shared" si="166"/>
        <v>43</v>
      </c>
      <c r="FAE51">
        <f t="shared" si="166"/>
        <v>43</v>
      </c>
      <c r="FAF51">
        <f t="shared" si="166"/>
        <v>43</v>
      </c>
      <c r="FAG51">
        <f t="shared" si="166"/>
        <v>43</v>
      </c>
      <c r="FAH51">
        <f t="shared" si="166"/>
        <v>43</v>
      </c>
      <c r="FAI51">
        <f t="shared" si="166"/>
        <v>43</v>
      </c>
      <c r="FAJ51">
        <f t="shared" si="166"/>
        <v>43</v>
      </c>
      <c r="FAK51">
        <f t="shared" si="166"/>
        <v>43</v>
      </c>
      <c r="FAL51">
        <f t="shared" si="166"/>
        <v>43</v>
      </c>
      <c r="FAM51">
        <f t="shared" si="166"/>
        <v>43</v>
      </c>
      <c r="FAN51">
        <f t="shared" si="166"/>
        <v>43</v>
      </c>
      <c r="FAO51">
        <f t="shared" si="166"/>
        <v>43</v>
      </c>
      <c r="FAP51">
        <f t="shared" si="166"/>
        <v>43</v>
      </c>
      <c r="FAQ51">
        <f t="shared" si="166"/>
        <v>43</v>
      </c>
      <c r="FAR51">
        <f t="shared" si="166"/>
        <v>43</v>
      </c>
      <c r="FAS51">
        <f t="shared" si="166"/>
        <v>43</v>
      </c>
      <c r="FAT51">
        <f t="shared" si="166"/>
        <v>43</v>
      </c>
      <c r="FAU51">
        <f t="shared" si="166"/>
        <v>43</v>
      </c>
      <c r="FAV51">
        <f t="shared" si="166"/>
        <v>43</v>
      </c>
      <c r="FAW51">
        <f t="shared" si="166"/>
        <v>43</v>
      </c>
      <c r="FAX51">
        <f t="shared" si="166"/>
        <v>43</v>
      </c>
      <c r="FAY51">
        <f t="shared" si="166"/>
        <v>43</v>
      </c>
      <c r="FAZ51">
        <f t="shared" si="166"/>
        <v>43</v>
      </c>
      <c r="FBA51">
        <f t="shared" si="166"/>
        <v>43</v>
      </c>
      <c r="FBB51">
        <f t="shared" si="166"/>
        <v>43</v>
      </c>
      <c r="FBC51">
        <f t="shared" si="166"/>
        <v>43</v>
      </c>
      <c r="FBD51">
        <f t="shared" si="166"/>
        <v>43</v>
      </c>
      <c r="FBE51">
        <f t="shared" si="166"/>
        <v>43</v>
      </c>
      <c r="FBF51">
        <f t="shared" si="166"/>
        <v>43</v>
      </c>
      <c r="FBG51">
        <f t="shared" si="166"/>
        <v>43</v>
      </c>
      <c r="FBH51">
        <f t="shared" si="166"/>
        <v>43</v>
      </c>
      <c r="FBI51">
        <f t="shared" si="166"/>
        <v>43</v>
      </c>
      <c r="FBJ51">
        <f t="shared" si="166"/>
        <v>43</v>
      </c>
      <c r="FBK51">
        <f t="shared" si="166"/>
        <v>43</v>
      </c>
      <c r="FBL51">
        <f t="shared" si="166"/>
        <v>43</v>
      </c>
      <c r="FBM51">
        <f t="shared" si="166"/>
        <v>43</v>
      </c>
      <c r="FBN51">
        <f t="shared" si="166"/>
        <v>43</v>
      </c>
      <c r="FBO51">
        <f t="shared" si="166"/>
        <v>43</v>
      </c>
      <c r="FBP51">
        <f t="shared" si="166"/>
        <v>43</v>
      </c>
      <c r="FBQ51">
        <f t="shared" si="166"/>
        <v>43</v>
      </c>
      <c r="FBR51">
        <f t="shared" si="166"/>
        <v>43</v>
      </c>
      <c r="FBS51">
        <f t="shared" si="166"/>
        <v>43</v>
      </c>
      <c r="FBT51">
        <f t="shared" si="166"/>
        <v>43</v>
      </c>
      <c r="FBU51">
        <f t="shared" si="166"/>
        <v>43</v>
      </c>
      <c r="FBV51">
        <f t="shared" si="166"/>
        <v>43</v>
      </c>
      <c r="FBW51">
        <f t="shared" si="166"/>
        <v>43</v>
      </c>
      <c r="FBX51">
        <f t="shared" si="166"/>
        <v>43</v>
      </c>
      <c r="FBY51">
        <f t="shared" si="166"/>
        <v>43</v>
      </c>
      <c r="FBZ51">
        <f t="shared" si="166"/>
        <v>43</v>
      </c>
      <c r="FCA51">
        <f t="shared" ref="FCA51:FEL51" si="167">COUNTBLANK(FCA6:FCA49)</f>
        <v>43</v>
      </c>
      <c r="FCB51">
        <f t="shared" si="167"/>
        <v>43</v>
      </c>
      <c r="FCC51">
        <f t="shared" si="167"/>
        <v>43</v>
      </c>
      <c r="FCD51">
        <f t="shared" si="167"/>
        <v>43</v>
      </c>
      <c r="FCE51">
        <f t="shared" si="167"/>
        <v>43</v>
      </c>
      <c r="FCF51">
        <f t="shared" si="167"/>
        <v>43</v>
      </c>
      <c r="FCG51">
        <f t="shared" si="167"/>
        <v>43</v>
      </c>
      <c r="FCH51">
        <f t="shared" si="167"/>
        <v>43</v>
      </c>
      <c r="FCI51">
        <f t="shared" si="167"/>
        <v>43</v>
      </c>
      <c r="FCJ51">
        <f t="shared" si="167"/>
        <v>43</v>
      </c>
      <c r="FCK51">
        <f t="shared" si="167"/>
        <v>43</v>
      </c>
      <c r="FCL51">
        <f t="shared" si="167"/>
        <v>43</v>
      </c>
      <c r="FCM51">
        <f t="shared" si="167"/>
        <v>43</v>
      </c>
      <c r="FCN51">
        <f t="shared" si="167"/>
        <v>43</v>
      </c>
      <c r="FCO51">
        <f t="shared" si="167"/>
        <v>43</v>
      </c>
      <c r="FCP51">
        <f t="shared" si="167"/>
        <v>43</v>
      </c>
      <c r="FCQ51">
        <f t="shared" si="167"/>
        <v>43</v>
      </c>
      <c r="FCR51">
        <f t="shared" si="167"/>
        <v>43</v>
      </c>
      <c r="FCS51">
        <f t="shared" si="167"/>
        <v>43</v>
      </c>
      <c r="FCT51">
        <f t="shared" si="167"/>
        <v>43</v>
      </c>
      <c r="FCU51">
        <f t="shared" si="167"/>
        <v>43</v>
      </c>
      <c r="FCV51">
        <f t="shared" si="167"/>
        <v>43</v>
      </c>
      <c r="FCW51">
        <f t="shared" si="167"/>
        <v>43</v>
      </c>
      <c r="FCX51">
        <f t="shared" si="167"/>
        <v>43</v>
      </c>
      <c r="FCY51">
        <f t="shared" si="167"/>
        <v>43</v>
      </c>
      <c r="FCZ51">
        <f t="shared" si="167"/>
        <v>43</v>
      </c>
      <c r="FDA51">
        <f t="shared" si="167"/>
        <v>43</v>
      </c>
      <c r="FDB51">
        <f t="shared" si="167"/>
        <v>43</v>
      </c>
      <c r="FDC51">
        <f t="shared" si="167"/>
        <v>43</v>
      </c>
      <c r="FDD51">
        <f t="shared" si="167"/>
        <v>43</v>
      </c>
      <c r="FDE51">
        <f t="shared" si="167"/>
        <v>43</v>
      </c>
      <c r="FDF51">
        <f t="shared" si="167"/>
        <v>43</v>
      </c>
      <c r="FDG51">
        <f t="shared" si="167"/>
        <v>43</v>
      </c>
      <c r="FDH51">
        <f t="shared" si="167"/>
        <v>43</v>
      </c>
      <c r="FDI51">
        <f t="shared" si="167"/>
        <v>43</v>
      </c>
      <c r="FDJ51">
        <f t="shared" si="167"/>
        <v>43</v>
      </c>
      <c r="FDK51">
        <f t="shared" si="167"/>
        <v>43</v>
      </c>
      <c r="FDL51">
        <f t="shared" si="167"/>
        <v>43</v>
      </c>
      <c r="FDM51">
        <f t="shared" si="167"/>
        <v>43</v>
      </c>
      <c r="FDN51">
        <f t="shared" si="167"/>
        <v>43</v>
      </c>
      <c r="FDO51">
        <f t="shared" si="167"/>
        <v>43</v>
      </c>
      <c r="FDP51">
        <f t="shared" si="167"/>
        <v>43</v>
      </c>
      <c r="FDQ51">
        <f t="shared" si="167"/>
        <v>43</v>
      </c>
      <c r="FDR51">
        <f t="shared" si="167"/>
        <v>43</v>
      </c>
      <c r="FDS51">
        <f t="shared" si="167"/>
        <v>43</v>
      </c>
      <c r="FDT51">
        <f t="shared" si="167"/>
        <v>43</v>
      </c>
      <c r="FDU51">
        <f t="shared" si="167"/>
        <v>43</v>
      </c>
      <c r="FDV51">
        <f t="shared" si="167"/>
        <v>43</v>
      </c>
      <c r="FDW51">
        <f t="shared" si="167"/>
        <v>43</v>
      </c>
      <c r="FDX51">
        <f t="shared" si="167"/>
        <v>43</v>
      </c>
      <c r="FDY51">
        <f t="shared" si="167"/>
        <v>43</v>
      </c>
      <c r="FDZ51">
        <f t="shared" si="167"/>
        <v>43</v>
      </c>
      <c r="FEA51">
        <f t="shared" si="167"/>
        <v>43</v>
      </c>
      <c r="FEB51">
        <f t="shared" si="167"/>
        <v>43</v>
      </c>
      <c r="FEC51">
        <f t="shared" si="167"/>
        <v>43</v>
      </c>
      <c r="FED51">
        <f t="shared" si="167"/>
        <v>43</v>
      </c>
      <c r="FEE51">
        <f t="shared" si="167"/>
        <v>43</v>
      </c>
      <c r="FEF51">
        <f t="shared" si="167"/>
        <v>43</v>
      </c>
      <c r="FEG51">
        <f t="shared" si="167"/>
        <v>43</v>
      </c>
      <c r="FEH51">
        <f t="shared" si="167"/>
        <v>43</v>
      </c>
      <c r="FEI51">
        <f t="shared" si="167"/>
        <v>43</v>
      </c>
      <c r="FEJ51">
        <f t="shared" si="167"/>
        <v>43</v>
      </c>
      <c r="FEK51">
        <f t="shared" si="167"/>
        <v>43</v>
      </c>
      <c r="FEL51">
        <f t="shared" si="167"/>
        <v>43</v>
      </c>
      <c r="FEM51">
        <f t="shared" ref="FEM51:FGX51" si="168">COUNTBLANK(FEM6:FEM49)</f>
        <v>43</v>
      </c>
      <c r="FEN51">
        <f t="shared" si="168"/>
        <v>43</v>
      </c>
      <c r="FEO51">
        <f t="shared" si="168"/>
        <v>43</v>
      </c>
      <c r="FEP51">
        <f t="shared" si="168"/>
        <v>43</v>
      </c>
      <c r="FEQ51">
        <f t="shared" si="168"/>
        <v>43</v>
      </c>
      <c r="FER51">
        <f t="shared" si="168"/>
        <v>43</v>
      </c>
      <c r="FES51">
        <f t="shared" si="168"/>
        <v>43</v>
      </c>
      <c r="FET51">
        <f t="shared" si="168"/>
        <v>43</v>
      </c>
      <c r="FEU51">
        <f t="shared" si="168"/>
        <v>43</v>
      </c>
      <c r="FEV51">
        <f t="shared" si="168"/>
        <v>43</v>
      </c>
      <c r="FEW51">
        <f t="shared" si="168"/>
        <v>43</v>
      </c>
      <c r="FEX51">
        <f t="shared" si="168"/>
        <v>43</v>
      </c>
      <c r="FEY51">
        <f t="shared" si="168"/>
        <v>43</v>
      </c>
      <c r="FEZ51">
        <f t="shared" si="168"/>
        <v>43</v>
      </c>
      <c r="FFA51">
        <f t="shared" si="168"/>
        <v>43</v>
      </c>
      <c r="FFB51">
        <f t="shared" si="168"/>
        <v>43</v>
      </c>
      <c r="FFC51">
        <f t="shared" si="168"/>
        <v>43</v>
      </c>
      <c r="FFD51">
        <f t="shared" si="168"/>
        <v>43</v>
      </c>
      <c r="FFE51">
        <f t="shared" si="168"/>
        <v>43</v>
      </c>
      <c r="FFF51">
        <f t="shared" si="168"/>
        <v>43</v>
      </c>
      <c r="FFG51">
        <f t="shared" si="168"/>
        <v>43</v>
      </c>
      <c r="FFH51">
        <f t="shared" si="168"/>
        <v>43</v>
      </c>
      <c r="FFI51">
        <f t="shared" si="168"/>
        <v>43</v>
      </c>
      <c r="FFJ51">
        <f t="shared" si="168"/>
        <v>43</v>
      </c>
      <c r="FFK51">
        <f t="shared" si="168"/>
        <v>43</v>
      </c>
      <c r="FFL51">
        <f t="shared" si="168"/>
        <v>43</v>
      </c>
      <c r="FFM51">
        <f t="shared" si="168"/>
        <v>43</v>
      </c>
      <c r="FFN51">
        <f t="shared" si="168"/>
        <v>43</v>
      </c>
      <c r="FFO51">
        <f t="shared" si="168"/>
        <v>43</v>
      </c>
      <c r="FFP51">
        <f t="shared" si="168"/>
        <v>43</v>
      </c>
      <c r="FFQ51">
        <f t="shared" si="168"/>
        <v>43</v>
      </c>
      <c r="FFR51">
        <f t="shared" si="168"/>
        <v>43</v>
      </c>
      <c r="FFS51">
        <f t="shared" si="168"/>
        <v>43</v>
      </c>
      <c r="FFT51">
        <f t="shared" si="168"/>
        <v>43</v>
      </c>
      <c r="FFU51">
        <f t="shared" si="168"/>
        <v>43</v>
      </c>
      <c r="FFV51">
        <f t="shared" si="168"/>
        <v>43</v>
      </c>
      <c r="FFW51">
        <f t="shared" si="168"/>
        <v>43</v>
      </c>
      <c r="FFX51">
        <f t="shared" si="168"/>
        <v>43</v>
      </c>
      <c r="FFY51">
        <f t="shared" si="168"/>
        <v>43</v>
      </c>
      <c r="FFZ51">
        <f t="shared" si="168"/>
        <v>43</v>
      </c>
      <c r="FGA51">
        <f t="shared" si="168"/>
        <v>43</v>
      </c>
      <c r="FGB51">
        <f t="shared" si="168"/>
        <v>43</v>
      </c>
      <c r="FGC51">
        <f t="shared" si="168"/>
        <v>43</v>
      </c>
      <c r="FGD51">
        <f t="shared" si="168"/>
        <v>43</v>
      </c>
      <c r="FGE51">
        <f t="shared" si="168"/>
        <v>43</v>
      </c>
      <c r="FGF51">
        <f t="shared" si="168"/>
        <v>43</v>
      </c>
      <c r="FGG51">
        <f t="shared" si="168"/>
        <v>43</v>
      </c>
      <c r="FGH51">
        <f t="shared" si="168"/>
        <v>43</v>
      </c>
      <c r="FGI51">
        <f t="shared" si="168"/>
        <v>43</v>
      </c>
      <c r="FGJ51">
        <f t="shared" si="168"/>
        <v>43</v>
      </c>
      <c r="FGK51">
        <f t="shared" si="168"/>
        <v>43</v>
      </c>
      <c r="FGL51">
        <f t="shared" si="168"/>
        <v>43</v>
      </c>
      <c r="FGM51">
        <f t="shared" si="168"/>
        <v>43</v>
      </c>
      <c r="FGN51">
        <f t="shared" si="168"/>
        <v>43</v>
      </c>
      <c r="FGO51">
        <f t="shared" si="168"/>
        <v>43</v>
      </c>
      <c r="FGP51">
        <f t="shared" si="168"/>
        <v>43</v>
      </c>
      <c r="FGQ51">
        <f t="shared" si="168"/>
        <v>43</v>
      </c>
      <c r="FGR51">
        <f t="shared" si="168"/>
        <v>43</v>
      </c>
      <c r="FGS51">
        <f t="shared" si="168"/>
        <v>43</v>
      </c>
      <c r="FGT51">
        <f t="shared" si="168"/>
        <v>43</v>
      </c>
      <c r="FGU51">
        <f t="shared" si="168"/>
        <v>43</v>
      </c>
      <c r="FGV51">
        <f t="shared" si="168"/>
        <v>43</v>
      </c>
      <c r="FGW51">
        <f t="shared" si="168"/>
        <v>43</v>
      </c>
      <c r="FGX51">
        <f t="shared" si="168"/>
        <v>43</v>
      </c>
      <c r="FGY51">
        <f t="shared" ref="FGY51:FJJ51" si="169">COUNTBLANK(FGY6:FGY49)</f>
        <v>43</v>
      </c>
      <c r="FGZ51">
        <f t="shared" si="169"/>
        <v>43</v>
      </c>
      <c r="FHA51">
        <f t="shared" si="169"/>
        <v>43</v>
      </c>
      <c r="FHB51">
        <f t="shared" si="169"/>
        <v>43</v>
      </c>
      <c r="FHC51">
        <f t="shared" si="169"/>
        <v>43</v>
      </c>
      <c r="FHD51">
        <f t="shared" si="169"/>
        <v>43</v>
      </c>
      <c r="FHE51">
        <f t="shared" si="169"/>
        <v>43</v>
      </c>
      <c r="FHF51">
        <f t="shared" si="169"/>
        <v>43</v>
      </c>
      <c r="FHG51">
        <f t="shared" si="169"/>
        <v>43</v>
      </c>
      <c r="FHH51">
        <f t="shared" si="169"/>
        <v>43</v>
      </c>
      <c r="FHI51">
        <f t="shared" si="169"/>
        <v>43</v>
      </c>
      <c r="FHJ51">
        <f t="shared" si="169"/>
        <v>43</v>
      </c>
      <c r="FHK51">
        <f t="shared" si="169"/>
        <v>43</v>
      </c>
      <c r="FHL51">
        <f t="shared" si="169"/>
        <v>43</v>
      </c>
      <c r="FHM51">
        <f t="shared" si="169"/>
        <v>43</v>
      </c>
      <c r="FHN51">
        <f t="shared" si="169"/>
        <v>43</v>
      </c>
      <c r="FHO51">
        <f t="shared" si="169"/>
        <v>43</v>
      </c>
      <c r="FHP51">
        <f t="shared" si="169"/>
        <v>43</v>
      </c>
      <c r="FHQ51">
        <f t="shared" si="169"/>
        <v>43</v>
      </c>
      <c r="FHR51">
        <f t="shared" si="169"/>
        <v>43</v>
      </c>
      <c r="FHS51">
        <f t="shared" si="169"/>
        <v>43</v>
      </c>
      <c r="FHT51">
        <f t="shared" si="169"/>
        <v>43</v>
      </c>
      <c r="FHU51">
        <f t="shared" si="169"/>
        <v>43</v>
      </c>
      <c r="FHV51">
        <f t="shared" si="169"/>
        <v>43</v>
      </c>
      <c r="FHW51">
        <f t="shared" si="169"/>
        <v>43</v>
      </c>
      <c r="FHX51">
        <f t="shared" si="169"/>
        <v>43</v>
      </c>
      <c r="FHY51">
        <f t="shared" si="169"/>
        <v>43</v>
      </c>
      <c r="FHZ51">
        <f t="shared" si="169"/>
        <v>43</v>
      </c>
      <c r="FIA51">
        <f t="shared" si="169"/>
        <v>43</v>
      </c>
      <c r="FIB51">
        <f t="shared" si="169"/>
        <v>43</v>
      </c>
      <c r="FIC51">
        <f t="shared" si="169"/>
        <v>43</v>
      </c>
      <c r="FID51">
        <f t="shared" si="169"/>
        <v>43</v>
      </c>
      <c r="FIE51">
        <f t="shared" si="169"/>
        <v>43</v>
      </c>
      <c r="FIF51">
        <f t="shared" si="169"/>
        <v>43</v>
      </c>
      <c r="FIG51">
        <f t="shared" si="169"/>
        <v>43</v>
      </c>
      <c r="FIH51">
        <f t="shared" si="169"/>
        <v>43</v>
      </c>
      <c r="FII51">
        <f t="shared" si="169"/>
        <v>43</v>
      </c>
      <c r="FIJ51">
        <f t="shared" si="169"/>
        <v>43</v>
      </c>
      <c r="FIK51">
        <f t="shared" si="169"/>
        <v>43</v>
      </c>
      <c r="FIL51">
        <f t="shared" si="169"/>
        <v>43</v>
      </c>
      <c r="FIM51">
        <f t="shared" si="169"/>
        <v>43</v>
      </c>
      <c r="FIN51">
        <f t="shared" si="169"/>
        <v>43</v>
      </c>
      <c r="FIO51">
        <f t="shared" si="169"/>
        <v>43</v>
      </c>
      <c r="FIP51">
        <f t="shared" si="169"/>
        <v>43</v>
      </c>
      <c r="FIQ51">
        <f t="shared" si="169"/>
        <v>43</v>
      </c>
      <c r="FIR51">
        <f t="shared" si="169"/>
        <v>43</v>
      </c>
      <c r="FIS51">
        <f t="shared" si="169"/>
        <v>43</v>
      </c>
      <c r="FIT51">
        <f t="shared" si="169"/>
        <v>43</v>
      </c>
      <c r="FIU51">
        <f t="shared" si="169"/>
        <v>43</v>
      </c>
      <c r="FIV51">
        <f t="shared" si="169"/>
        <v>43</v>
      </c>
      <c r="FIW51">
        <f t="shared" si="169"/>
        <v>43</v>
      </c>
      <c r="FIX51">
        <f t="shared" si="169"/>
        <v>43</v>
      </c>
      <c r="FIY51">
        <f t="shared" si="169"/>
        <v>43</v>
      </c>
      <c r="FIZ51">
        <f t="shared" si="169"/>
        <v>43</v>
      </c>
      <c r="FJA51">
        <f t="shared" si="169"/>
        <v>43</v>
      </c>
      <c r="FJB51">
        <f t="shared" si="169"/>
        <v>43</v>
      </c>
      <c r="FJC51">
        <f t="shared" si="169"/>
        <v>43</v>
      </c>
      <c r="FJD51">
        <f t="shared" si="169"/>
        <v>43</v>
      </c>
      <c r="FJE51">
        <f t="shared" si="169"/>
        <v>43</v>
      </c>
      <c r="FJF51">
        <f t="shared" si="169"/>
        <v>43</v>
      </c>
      <c r="FJG51">
        <f t="shared" si="169"/>
        <v>43</v>
      </c>
      <c r="FJH51">
        <f t="shared" si="169"/>
        <v>43</v>
      </c>
      <c r="FJI51">
        <f t="shared" si="169"/>
        <v>43</v>
      </c>
      <c r="FJJ51">
        <f t="shared" si="169"/>
        <v>43</v>
      </c>
      <c r="FJK51">
        <f t="shared" ref="FJK51:FLV51" si="170">COUNTBLANK(FJK6:FJK49)</f>
        <v>43</v>
      </c>
      <c r="FJL51">
        <f t="shared" si="170"/>
        <v>43</v>
      </c>
      <c r="FJM51">
        <f t="shared" si="170"/>
        <v>43</v>
      </c>
      <c r="FJN51">
        <f t="shared" si="170"/>
        <v>43</v>
      </c>
      <c r="FJO51">
        <f t="shared" si="170"/>
        <v>43</v>
      </c>
      <c r="FJP51">
        <f t="shared" si="170"/>
        <v>43</v>
      </c>
      <c r="FJQ51">
        <f t="shared" si="170"/>
        <v>43</v>
      </c>
      <c r="FJR51">
        <f t="shared" si="170"/>
        <v>43</v>
      </c>
      <c r="FJS51">
        <f t="shared" si="170"/>
        <v>43</v>
      </c>
      <c r="FJT51">
        <f t="shared" si="170"/>
        <v>43</v>
      </c>
      <c r="FJU51">
        <f t="shared" si="170"/>
        <v>43</v>
      </c>
      <c r="FJV51">
        <f t="shared" si="170"/>
        <v>43</v>
      </c>
      <c r="FJW51">
        <f t="shared" si="170"/>
        <v>43</v>
      </c>
      <c r="FJX51">
        <f t="shared" si="170"/>
        <v>43</v>
      </c>
      <c r="FJY51">
        <f t="shared" si="170"/>
        <v>43</v>
      </c>
      <c r="FJZ51">
        <f t="shared" si="170"/>
        <v>43</v>
      </c>
      <c r="FKA51">
        <f t="shared" si="170"/>
        <v>43</v>
      </c>
      <c r="FKB51">
        <f t="shared" si="170"/>
        <v>43</v>
      </c>
      <c r="FKC51">
        <f t="shared" si="170"/>
        <v>43</v>
      </c>
      <c r="FKD51">
        <f t="shared" si="170"/>
        <v>43</v>
      </c>
      <c r="FKE51">
        <f t="shared" si="170"/>
        <v>43</v>
      </c>
      <c r="FKF51">
        <f t="shared" si="170"/>
        <v>43</v>
      </c>
      <c r="FKG51">
        <f t="shared" si="170"/>
        <v>43</v>
      </c>
      <c r="FKH51">
        <f t="shared" si="170"/>
        <v>43</v>
      </c>
      <c r="FKI51">
        <f t="shared" si="170"/>
        <v>43</v>
      </c>
      <c r="FKJ51">
        <f t="shared" si="170"/>
        <v>43</v>
      </c>
      <c r="FKK51">
        <f t="shared" si="170"/>
        <v>43</v>
      </c>
      <c r="FKL51">
        <f t="shared" si="170"/>
        <v>43</v>
      </c>
      <c r="FKM51">
        <f t="shared" si="170"/>
        <v>43</v>
      </c>
      <c r="FKN51">
        <f t="shared" si="170"/>
        <v>43</v>
      </c>
      <c r="FKO51">
        <f t="shared" si="170"/>
        <v>43</v>
      </c>
      <c r="FKP51">
        <f t="shared" si="170"/>
        <v>43</v>
      </c>
      <c r="FKQ51">
        <f t="shared" si="170"/>
        <v>43</v>
      </c>
      <c r="FKR51">
        <f t="shared" si="170"/>
        <v>43</v>
      </c>
      <c r="FKS51">
        <f t="shared" si="170"/>
        <v>43</v>
      </c>
      <c r="FKT51">
        <f t="shared" si="170"/>
        <v>43</v>
      </c>
      <c r="FKU51">
        <f t="shared" si="170"/>
        <v>43</v>
      </c>
      <c r="FKV51">
        <f t="shared" si="170"/>
        <v>43</v>
      </c>
      <c r="FKW51">
        <f t="shared" si="170"/>
        <v>43</v>
      </c>
      <c r="FKX51">
        <f t="shared" si="170"/>
        <v>43</v>
      </c>
      <c r="FKY51">
        <f t="shared" si="170"/>
        <v>43</v>
      </c>
      <c r="FKZ51">
        <f t="shared" si="170"/>
        <v>43</v>
      </c>
      <c r="FLA51">
        <f t="shared" si="170"/>
        <v>43</v>
      </c>
      <c r="FLB51">
        <f t="shared" si="170"/>
        <v>43</v>
      </c>
      <c r="FLC51">
        <f t="shared" si="170"/>
        <v>43</v>
      </c>
      <c r="FLD51">
        <f t="shared" si="170"/>
        <v>43</v>
      </c>
      <c r="FLE51">
        <f t="shared" si="170"/>
        <v>43</v>
      </c>
      <c r="FLF51">
        <f t="shared" si="170"/>
        <v>43</v>
      </c>
      <c r="FLG51">
        <f t="shared" si="170"/>
        <v>43</v>
      </c>
      <c r="FLH51">
        <f t="shared" si="170"/>
        <v>43</v>
      </c>
      <c r="FLI51">
        <f t="shared" si="170"/>
        <v>43</v>
      </c>
      <c r="FLJ51">
        <f t="shared" si="170"/>
        <v>43</v>
      </c>
      <c r="FLK51">
        <f t="shared" si="170"/>
        <v>43</v>
      </c>
      <c r="FLL51">
        <f t="shared" si="170"/>
        <v>43</v>
      </c>
      <c r="FLM51">
        <f t="shared" si="170"/>
        <v>43</v>
      </c>
      <c r="FLN51">
        <f t="shared" si="170"/>
        <v>43</v>
      </c>
      <c r="FLO51">
        <f t="shared" si="170"/>
        <v>43</v>
      </c>
      <c r="FLP51">
        <f t="shared" si="170"/>
        <v>43</v>
      </c>
      <c r="FLQ51">
        <f t="shared" si="170"/>
        <v>43</v>
      </c>
      <c r="FLR51">
        <f t="shared" si="170"/>
        <v>43</v>
      </c>
      <c r="FLS51">
        <f t="shared" si="170"/>
        <v>43</v>
      </c>
      <c r="FLT51">
        <f t="shared" si="170"/>
        <v>43</v>
      </c>
      <c r="FLU51">
        <f t="shared" si="170"/>
        <v>43</v>
      </c>
      <c r="FLV51">
        <f t="shared" si="170"/>
        <v>43</v>
      </c>
      <c r="FLW51">
        <f t="shared" ref="FLW51:FOH51" si="171">COUNTBLANK(FLW6:FLW49)</f>
        <v>43</v>
      </c>
      <c r="FLX51">
        <f t="shared" si="171"/>
        <v>43</v>
      </c>
      <c r="FLY51">
        <f t="shared" si="171"/>
        <v>43</v>
      </c>
      <c r="FLZ51">
        <f t="shared" si="171"/>
        <v>43</v>
      </c>
      <c r="FMA51">
        <f t="shared" si="171"/>
        <v>43</v>
      </c>
      <c r="FMB51">
        <f t="shared" si="171"/>
        <v>43</v>
      </c>
      <c r="FMC51">
        <f t="shared" si="171"/>
        <v>43</v>
      </c>
      <c r="FMD51">
        <f t="shared" si="171"/>
        <v>43</v>
      </c>
      <c r="FME51">
        <f t="shared" si="171"/>
        <v>43</v>
      </c>
      <c r="FMF51">
        <f t="shared" si="171"/>
        <v>43</v>
      </c>
      <c r="FMG51">
        <f t="shared" si="171"/>
        <v>43</v>
      </c>
      <c r="FMH51">
        <f t="shared" si="171"/>
        <v>43</v>
      </c>
      <c r="FMI51">
        <f t="shared" si="171"/>
        <v>43</v>
      </c>
      <c r="FMJ51">
        <f t="shared" si="171"/>
        <v>43</v>
      </c>
      <c r="FMK51">
        <f t="shared" si="171"/>
        <v>43</v>
      </c>
      <c r="FML51">
        <f t="shared" si="171"/>
        <v>43</v>
      </c>
      <c r="FMM51">
        <f t="shared" si="171"/>
        <v>43</v>
      </c>
      <c r="FMN51">
        <f t="shared" si="171"/>
        <v>43</v>
      </c>
      <c r="FMO51">
        <f t="shared" si="171"/>
        <v>43</v>
      </c>
      <c r="FMP51">
        <f t="shared" si="171"/>
        <v>43</v>
      </c>
      <c r="FMQ51">
        <f t="shared" si="171"/>
        <v>43</v>
      </c>
      <c r="FMR51">
        <f t="shared" si="171"/>
        <v>43</v>
      </c>
      <c r="FMS51">
        <f t="shared" si="171"/>
        <v>43</v>
      </c>
      <c r="FMT51">
        <f t="shared" si="171"/>
        <v>43</v>
      </c>
      <c r="FMU51">
        <f t="shared" si="171"/>
        <v>43</v>
      </c>
      <c r="FMV51">
        <f t="shared" si="171"/>
        <v>43</v>
      </c>
      <c r="FMW51">
        <f t="shared" si="171"/>
        <v>43</v>
      </c>
      <c r="FMX51">
        <f t="shared" si="171"/>
        <v>43</v>
      </c>
      <c r="FMY51">
        <f t="shared" si="171"/>
        <v>43</v>
      </c>
      <c r="FMZ51">
        <f t="shared" si="171"/>
        <v>43</v>
      </c>
      <c r="FNA51">
        <f t="shared" si="171"/>
        <v>43</v>
      </c>
      <c r="FNB51">
        <f t="shared" si="171"/>
        <v>43</v>
      </c>
      <c r="FNC51">
        <f t="shared" si="171"/>
        <v>43</v>
      </c>
      <c r="FND51">
        <f t="shared" si="171"/>
        <v>43</v>
      </c>
      <c r="FNE51">
        <f t="shared" si="171"/>
        <v>43</v>
      </c>
      <c r="FNF51">
        <f t="shared" si="171"/>
        <v>43</v>
      </c>
      <c r="FNG51">
        <f t="shared" si="171"/>
        <v>43</v>
      </c>
      <c r="FNH51">
        <f t="shared" si="171"/>
        <v>43</v>
      </c>
      <c r="FNI51">
        <f t="shared" si="171"/>
        <v>43</v>
      </c>
      <c r="FNJ51">
        <f t="shared" si="171"/>
        <v>43</v>
      </c>
      <c r="FNK51">
        <f t="shared" si="171"/>
        <v>43</v>
      </c>
      <c r="FNL51">
        <f t="shared" si="171"/>
        <v>43</v>
      </c>
      <c r="FNM51">
        <f t="shared" si="171"/>
        <v>43</v>
      </c>
      <c r="FNN51">
        <f t="shared" si="171"/>
        <v>43</v>
      </c>
      <c r="FNO51">
        <f t="shared" si="171"/>
        <v>43</v>
      </c>
      <c r="FNP51">
        <f t="shared" si="171"/>
        <v>43</v>
      </c>
      <c r="FNQ51">
        <f t="shared" si="171"/>
        <v>43</v>
      </c>
      <c r="FNR51">
        <f t="shared" si="171"/>
        <v>43</v>
      </c>
      <c r="FNS51">
        <f t="shared" si="171"/>
        <v>43</v>
      </c>
      <c r="FNT51">
        <f t="shared" si="171"/>
        <v>43</v>
      </c>
      <c r="FNU51">
        <f t="shared" si="171"/>
        <v>43</v>
      </c>
      <c r="FNV51">
        <f t="shared" si="171"/>
        <v>43</v>
      </c>
      <c r="FNW51">
        <f t="shared" si="171"/>
        <v>43</v>
      </c>
      <c r="FNX51">
        <f t="shared" si="171"/>
        <v>43</v>
      </c>
      <c r="FNY51">
        <f t="shared" si="171"/>
        <v>43</v>
      </c>
      <c r="FNZ51">
        <f t="shared" si="171"/>
        <v>43</v>
      </c>
      <c r="FOA51">
        <f t="shared" si="171"/>
        <v>43</v>
      </c>
      <c r="FOB51">
        <f t="shared" si="171"/>
        <v>43</v>
      </c>
      <c r="FOC51">
        <f t="shared" si="171"/>
        <v>43</v>
      </c>
      <c r="FOD51">
        <f t="shared" si="171"/>
        <v>43</v>
      </c>
      <c r="FOE51">
        <f t="shared" si="171"/>
        <v>43</v>
      </c>
      <c r="FOF51">
        <f t="shared" si="171"/>
        <v>43</v>
      </c>
      <c r="FOG51">
        <f t="shared" si="171"/>
        <v>43</v>
      </c>
      <c r="FOH51">
        <f t="shared" si="171"/>
        <v>43</v>
      </c>
      <c r="FOI51">
        <f t="shared" ref="FOI51:FQT51" si="172">COUNTBLANK(FOI6:FOI49)</f>
        <v>43</v>
      </c>
      <c r="FOJ51">
        <f t="shared" si="172"/>
        <v>43</v>
      </c>
      <c r="FOK51">
        <f t="shared" si="172"/>
        <v>43</v>
      </c>
      <c r="FOL51">
        <f t="shared" si="172"/>
        <v>43</v>
      </c>
      <c r="FOM51">
        <f t="shared" si="172"/>
        <v>43</v>
      </c>
      <c r="FON51">
        <f t="shared" si="172"/>
        <v>43</v>
      </c>
      <c r="FOO51">
        <f t="shared" si="172"/>
        <v>43</v>
      </c>
      <c r="FOP51">
        <f t="shared" si="172"/>
        <v>43</v>
      </c>
      <c r="FOQ51">
        <f t="shared" si="172"/>
        <v>43</v>
      </c>
      <c r="FOR51">
        <f t="shared" si="172"/>
        <v>43</v>
      </c>
      <c r="FOS51">
        <f t="shared" si="172"/>
        <v>43</v>
      </c>
      <c r="FOT51">
        <f t="shared" si="172"/>
        <v>43</v>
      </c>
      <c r="FOU51">
        <f t="shared" si="172"/>
        <v>43</v>
      </c>
      <c r="FOV51">
        <f t="shared" si="172"/>
        <v>43</v>
      </c>
      <c r="FOW51">
        <f t="shared" si="172"/>
        <v>43</v>
      </c>
      <c r="FOX51">
        <f t="shared" si="172"/>
        <v>43</v>
      </c>
      <c r="FOY51">
        <f t="shared" si="172"/>
        <v>43</v>
      </c>
      <c r="FOZ51">
        <f t="shared" si="172"/>
        <v>43</v>
      </c>
      <c r="FPA51">
        <f t="shared" si="172"/>
        <v>43</v>
      </c>
      <c r="FPB51">
        <f t="shared" si="172"/>
        <v>43</v>
      </c>
      <c r="FPC51">
        <f t="shared" si="172"/>
        <v>43</v>
      </c>
      <c r="FPD51">
        <f t="shared" si="172"/>
        <v>43</v>
      </c>
      <c r="FPE51">
        <f t="shared" si="172"/>
        <v>43</v>
      </c>
      <c r="FPF51">
        <f t="shared" si="172"/>
        <v>43</v>
      </c>
      <c r="FPG51">
        <f t="shared" si="172"/>
        <v>43</v>
      </c>
      <c r="FPH51">
        <f t="shared" si="172"/>
        <v>43</v>
      </c>
      <c r="FPI51">
        <f t="shared" si="172"/>
        <v>43</v>
      </c>
      <c r="FPJ51">
        <f t="shared" si="172"/>
        <v>43</v>
      </c>
      <c r="FPK51">
        <f t="shared" si="172"/>
        <v>43</v>
      </c>
      <c r="FPL51">
        <f t="shared" si="172"/>
        <v>43</v>
      </c>
      <c r="FPM51">
        <f t="shared" si="172"/>
        <v>43</v>
      </c>
      <c r="FPN51">
        <f t="shared" si="172"/>
        <v>43</v>
      </c>
      <c r="FPO51">
        <f t="shared" si="172"/>
        <v>43</v>
      </c>
      <c r="FPP51">
        <f t="shared" si="172"/>
        <v>43</v>
      </c>
      <c r="FPQ51">
        <f t="shared" si="172"/>
        <v>43</v>
      </c>
      <c r="FPR51">
        <f t="shared" si="172"/>
        <v>43</v>
      </c>
      <c r="FPS51">
        <f t="shared" si="172"/>
        <v>43</v>
      </c>
      <c r="FPT51">
        <f t="shared" si="172"/>
        <v>43</v>
      </c>
      <c r="FPU51">
        <f t="shared" si="172"/>
        <v>43</v>
      </c>
      <c r="FPV51">
        <f t="shared" si="172"/>
        <v>43</v>
      </c>
      <c r="FPW51">
        <f t="shared" si="172"/>
        <v>43</v>
      </c>
      <c r="FPX51">
        <f t="shared" si="172"/>
        <v>43</v>
      </c>
      <c r="FPY51">
        <f t="shared" si="172"/>
        <v>43</v>
      </c>
      <c r="FPZ51">
        <f t="shared" si="172"/>
        <v>43</v>
      </c>
      <c r="FQA51">
        <f t="shared" si="172"/>
        <v>43</v>
      </c>
      <c r="FQB51">
        <f t="shared" si="172"/>
        <v>43</v>
      </c>
      <c r="FQC51">
        <f t="shared" si="172"/>
        <v>43</v>
      </c>
      <c r="FQD51">
        <f t="shared" si="172"/>
        <v>43</v>
      </c>
      <c r="FQE51">
        <f t="shared" si="172"/>
        <v>43</v>
      </c>
      <c r="FQF51">
        <f t="shared" si="172"/>
        <v>43</v>
      </c>
      <c r="FQG51">
        <f t="shared" si="172"/>
        <v>43</v>
      </c>
      <c r="FQH51">
        <f t="shared" si="172"/>
        <v>43</v>
      </c>
      <c r="FQI51">
        <f t="shared" si="172"/>
        <v>43</v>
      </c>
      <c r="FQJ51">
        <f t="shared" si="172"/>
        <v>43</v>
      </c>
      <c r="FQK51">
        <f t="shared" si="172"/>
        <v>43</v>
      </c>
      <c r="FQL51">
        <f t="shared" si="172"/>
        <v>43</v>
      </c>
      <c r="FQM51">
        <f t="shared" si="172"/>
        <v>43</v>
      </c>
      <c r="FQN51">
        <f t="shared" si="172"/>
        <v>43</v>
      </c>
      <c r="FQO51">
        <f t="shared" si="172"/>
        <v>43</v>
      </c>
      <c r="FQP51">
        <f t="shared" si="172"/>
        <v>43</v>
      </c>
      <c r="FQQ51">
        <f t="shared" si="172"/>
        <v>43</v>
      </c>
      <c r="FQR51">
        <f t="shared" si="172"/>
        <v>43</v>
      </c>
      <c r="FQS51">
        <f t="shared" si="172"/>
        <v>43</v>
      </c>
      <c r="FQT51">
        <f t="shared" si="172"/>
        <v>43</v>
      </c>
      <c r="FQU51">
        <f t="shared" ref="FQU51:FTF51" si="173">COUNTBLANK(FQU6:FQU49)</f>
        <v>43</v>
      </c>
      <c r="FQV51">
        <f t="shared" si="173"/>
        <v>43</v>
      </c>
      <c r="FQW51">
        <f t="shared" si="173"/>
        <v>43</v>
      </c>
      <c r="FQX51">
        <f t="shared" si="173"/>
        <v>43</v>
      </c>
      <c r="FQY51">
        <f t="shared" si="173"/>
        <v>43</v>
      </c>
      <c r="FQZ51">
        <f t="shared" si="173"/>
        <v>43</v>
      </c>
      <c r="FRA51">
        <f t="shared" si="173"/>
        <v>43</v>
      </c>
      <c r="FRB51">
        <f t="shared" si="173"/>
        <v>43</v>
      </c>
      <c r="FRC51">
        <f t="shared" si="173"/>
        <v>43</v>
      </c>
      <c r="FRD51">
        <f t="shared" si="173"/>
        <v>43</v>
      </c>
      <c r="FRE51">
        <f t="shared" si="173"/>
        <v>43</v>
      </c>
      <c r="FRF51">
        <f t="shared" si="173"/>
        <v>43</v>
      </c>
      <c r="FRG51">
        <f t="shared" si="173"/>
        <v>43</v>
      </c>
      <c r="FRH51">
        <f t="shared" si="173"/>
        <v>43</v>
      </c>
      <c r="FRI51">
        <f t="shared" si="173"/>
        <v>43</v>
      </c>
      <c r="FRJ51">
        <f t="shared" si="173"/>
        <v>43</v>
      </c>
      <c r="FRK51">
        <f t="shared" si="173"/>
        <v>43</v>
      </c>
      <c r="FRL51">
        <f t="shared" si="173"/>
        <v>43</v>
      </c>
      <c r="FRM51">
        <f t="shared" si="173"/>
        <v>43</v>
      </c>
      <c r="FRN51">
        <f t="shared" si="173"/>
        <v>43</v>
      </c>
      <c r="FRO51">
        <f t="shared" si="173"/>
        <v>43</v>
      </c>
      <c r="FRP51">
        <f t="shared" si="173"/>
        <v>43</v>
      </c>
      <c r="FRQ51">
        <f t="shared" si="173"/>
        <v>43</v>
      </c>
      <c r="FRR51">
        <f t="shared" si="173"/>
        <v>43</v>
      </c>
      <c r="FRS51">
        <f t="shared" si="173"/>
        <v>43</v>
      </c>
      <c r="FRT51">
        <f t="shared" si="173"/>
        <v>43</v>
      </c>
      <c r="FRU51">
        <f t="shared" si="173"/>
        <v>43</v>
      </c>
      <c r="FRV51">
        <f t="shared" si="173"/>
        <v>43</v>
      </c>
      <c r="FRW51">
        <f t="shared" si="173"/>
        <v>43</v>
      </c>
      <c r="FRX51">
        <f t="shared" si="173"/>
        <v>43</v>
      </c>
      <c r="FRY51">
        <f t="shared" si="173"/>
        <v>43</v>
      </c>
      <c r="FRZ51">
        <f t="shared" si="173"/>
        <v>43</v>
      </c>
      <c r="FSA51">
        <f t="shared" si="173"/>
        <v>43</v>
      </c>
      <c r="FSB51">
        <f t="shared" si="173"/>
        <v>43</v>
      </c>
      <c r="FSC51">
        <f t="shared" si="173"/>
        <v>43</v>
      </c>
      <c r="FSD51">
        <f t="shared" si="173"/>
        <v>43</v>
      </c>
      <c r="FSE51">
        <f t="shared" si="173"/>
        <v>43</v>
      </c>
      <c r="FSF51">
        <f t="shared" si="173"/>
        <v>43</v>
      </c>
      <c r="FSG51">
        <f t="shared" si="173"/>
        <v>43</v>
      </c>
      <c r="FSH51">
        <f t="shared" si="173"/>
        <v>43</v>
      </c>
      <c r="FSI51">
        <f t="shared" si="173"/>
        <v>43</v>
      </c>
      <c r="FSJ51">
        <f t="shared" si="173"/>
        <v>43</v>
      </c>
      <c r="FSK51">
        <f t="shared" si="173"/>
        <v>43</v>
      </c>
      <c r="FSL51">
        <f t="shared" si="173"/>
        <v>43</v>
      </c>
      <c r="FSM51">
        <f t="shared" si="173"/>
        <v>43</v>
      </c>
      <c r="FSN51">
        <f t="shared" si="173"/>
        <v>43</v>
      </c>
      <c r="FSO51">
        <f t="shared" si="173"/>
        <v>43</v>
      </c>
      <c r="FSP51">
        <f t="shared" si="173"/>
        <v>43</v>
      </c>
      <c r="FSQ51">
        <f t="shared" si="173"/>
        <v>43</v>
      </c>
      <c r="FSR51">
        <f t="shared" si="173"/>
        <v>43</v>
      </c>
      <c r="FSS51">
        <f t="shared" si="173"/>
        <v>43</v>
      </c>
      <c r="FST51">
        <f t="shared" si="173"/>
        <v>43</v>
      </c>
      <c r="FSU51">
        <f t="shared" si="173"/>
        <v>43</v>
      </c>
      <c r="FSV51">
        <f t="shared" si="173"/>
        <v>43</v>
      </c>
      <c r="FSW51">
        <f t="shared" si="173"/>
        <v>43</v>
      </c>
      <c r="FSX51">
        <f t="shared" si="173"/>
        <v>43</v>
      </c>
      <c r="FSY51">
        <f t="shared" si="173"/>
        <v>43</v>
      </c>
      <c r="FSZ51">
        <f t="shared" si="173"/>
        <v>43</v>
      </c>
      <c r="FTA51">
        <f t="shared" si="173"/>
        <v>43</v>
      </c>
      <c r="FTB51">
        <f t="shared" si="173"/>
        <v>43</v>
      </c>
      <c r="FTC51">
        <f t="shared" si="173"/>
        <v>43</v>
      </c>
      <c r="FTD51">
        <f t="shared" si="173"/>
        <v>43</v>
      </c>
      <c r="FTE51">
        <f t="shared" si="173"/>
        <v>43</v>
      </c>
      <c r="FTF51">
        <f t="shared" si="173"/>
        <v>43</v>
      </c>
      <c r="FTG51">
        <f t="shared" ref="FTG51:FVR51" si="174">COUNTBLANK(FTG6:FTG49)</f>
        <v>43</v>
      </c>
      <c r="FTH51">
        <f t="shared" si="174"/>
        <v>43</v>
      </c>
      <c r="FTI51">
        <f t="shared" si="174"/>
        <v>43</v>
      </c>
      <c r="FTJ51">
        <f t="shared" si="174"/>
        <v>43</v>
      </c>
      <c r="FTK51">
        <f t="shared" si="174"/>
        <v>43</v>
      </c>
      <c r="FTL51">
        <f t="shared" si="174"/>
        <v>43</v>
      </c>
      <c r="FTM51">
        <f t="shared" si="174"/>
        <v>43</v>
      </c>
      <c r="FTN51">
        <f t="shared" si="174"/>
        <v>43</v>
      </c>
      <c r="FTO51">
        <f t="shared" si="174"/>
        <v>43</v>
      </c>
      <c r="FTP51">
        <f t="shared" si="174"/>
        <v>43</v>
      </c>
      <c r="FTQ51">
        <f t="shared" si="174"/>
        <v>43</v>
      </c>
      <c r="FTR51">
        <f t="shared" si="174"/>
        <v>43</v>
      </c>
      <c r="FTS51">
        <f t="shared" si="174"/>
        <v>43</v>
      </c>
      <c r="FTT51">
        <f t="shared" si="174"/>
        <v>43</v>
      </c>
      <c r="FTU51">
        <f t="shared" si="174"/>
        <v>43</v>
      </c>
      <c r="FTV51">
        <f t="shared" si="174"/>
        <v>43</v>
      </c>
      <c r="FTW51">
        <f t="shared" si="174"/>
        <v>43</v>
      </c>
      <c r="FTX51">
        <f t="shared" si="174"/>
        <v>43</v>
      </c>
      <c r="FTY51">
        <f t="shared" si="174"/>
        <v>43</v>
      </c>
      <c r="FTZ51">
        <f t="shared" si="174"/>
        <v>43</v>
      </c>
      <c r="FUA51">
        <f t="shared" si="174"/>
        <v>43</v>
      </c>
      <c r="FUB51">
        <f t="shared" si="174"/>
        <v>43</v>
      </c>
      <c r="FUC51">
        <f t="shared" si="174"/>
        <v>43</v>
      </c>
      <c r="FUD51">
        <f t="shared" si="174"/>
        <v>43</v>
      </c>
      <c r="FUE51">
        <f t="shared" si="174"/>
        <v>43</v>
      </c>
      <c r="FUF51">
        <f t="shared" si="174"/>
        <v>43</v>
      </c>
      <c r="FUG51">
        <f t="shared" si="174"/>
        <v>43</v>
      </c>
      <c r="FUH51">
        <f t="shared" si="174"/>
        <v>43</v>
      </c>
      <c r="FUI51">
        <f t="shared" si="174"/>
        <v>43</v>
      </c>
      <c r="FUJ51">
        <f t="shared" si="174"/>
        <v>43</v>
      </c>
      <c r="FUK51">
        <f t="shared" si="174"/>
        <v>43</v>
      </c>
      <c r="FUL51">
        <f t="shared" si="174"/>
        <v>43</v>
      </c>
      <c r="FUM51">
        <f t="shared" si="174"/>
        <v>43</v>
      </c>
      <c r="FUN51">
        <f t="shared" si="174"/>
        <v>43</v>
      </c>
      <c r="FUO51">
        <f t="shared" si="174"/>
        <v>43</v>
      </c>
      <c r="FUP51">
        <f t="shared" si="174"/>
        <v>43</v>
      </c>
      <c r="FUQ51">
        <f t="shared" si="174"/>
        <v>43</v>
      </c>
      <c r="FUR51">
        <f t="shared" si="174"/>
        <v>43</v>
      </c>
      <c r="FUS51">
        <f t="shared" si="174"/>
        <v>43</v>
      </c>
      <c r="FUT51">
        <f t="shared" si="174"/>
        <v>43</v>
      </c>
      <c r="FUU51">
        <f t="shared" si="174"/>
        <v>43</v>
      </c>
      <c r="FUV51">
        <f t="shared" si="174"/>
        <v>43</v>
      </c>
      <c r="FUW51">
        <f t="shared" si="174"/>
        <v>43</v>
      </c>
      <c r="FUX51">
        <f t="shared" si="174"/>
        <v>43</v>
      </c>
      <c r="FUY51">
        <f t="shared" si="174"/>
        <v>43</v>
      </c>
      <c r="FUZ51">
        <f t="shared" si="174"/>
        <v>43</v>
      </c>
      <c r="FVA51">
        <f t="shared" si="174"/>
        <v>43</v>
      </c>
      <c r="FVB51">
        <f t="shared" si="174"/>
        <v>43</v>
      </c>
      <c r="FVC51">
        <f t="shared" si="174"/>
        <v>43</v>
      </c>
      <c r="FVD51">
        <f t="shared" si="174"/>
        <v>43</v>
      </c>
      <c r="FVE51">
        <f t="shared" si="174"/>
        <v>43</v>
      </c>
      <c r="FVF51">
        <f t="shared" si="174"/>
        <v>43</v>
      </c>
      <c r="FVG51">
        <f t="shared" si="174"/>
        <v>43</v>
      </c>
      <c r="FVH51">
        <f t="shared" si="174"/>
        <v>43</v>
      </c>
      <c r="FVI51">
        <f t="shared" si="174"/>
        <v>43</v>
      </c>
      <c r="FVJ51">
        <f t="shared" si="174"/>
        <v>43</v>
      </c>
      <c r="FVK51">
        <f t="shared" si="174"/>
        <v>43</v>
      </c>
      <c r="FVL51">
        <f t="shared" si="174"/>
        <v>43</v>
      </c>
      <c r="FVM51">
        <f t="shared" si="174"/>
        <v>43</v>
      </c>
      <c r="FVN51">
        <f t="shared" si="174"/>
        <v>43</v>
      </c>
      <c r="FVO51">
        <f t="shared" si="174"/>
        <v>43</v>
      </c>
      <c r="FVP51">
        <f t="shared" si="174"/>
        <v>43</v>
      </c>
      <c r="FVQ51">
        <f t="shared" si="174"/>
        <v>43</v>
      </c>
      <c r="FVR51">
        <f t="shared" si="174"/>
        <v>43</v>
      </c>
      <c r="FVS51">
        <f t="shared" ref="FVS51:FYD51" si="175">COUNTBLANK(FVS6:FVS49)</f>
        <v>43</v>
      </c>
      <c r="FVT51">
        <f t="shared" si="175"/>
        <v>43</v>
      </c>
      <c r="FVU51">
        <f t="shared" si="175"/>
        <v>43</v>
      </c>
      <c r="FVV51">
        <f t="shared" si="175"/>
        <v>43</v>
      </c>
      <c r="FVW51">
        <f t="shared" si="175"/>
        <v>43</v>
      </c>
      <c r="FVX51">
        <f t="shared" si="175"/>
        <v>43</v>
      </c>
      <c r="FVY51">
        <f t="shared" si="175"/>
        <v>43</v>
      </c>
      <c r="FVZ51">
        <f t="shared" si="175"/>
        <v>43</v>
      </c>
      <c r="FWA51">
        <f t="shared" si="175"/>
        <v>43</v>
      </c>
      <c r="FWB51">
        <f t="shared" si="175"/>
        <v>43</v>
      </c>
      <c r="FWC51">
        <f t="shared" si="175"/>
        <v>43</v>
      </c>
      <c r="FWD51">
        <f t="shared" si="175"/>
        <v>43</v>
      </c>
      <c r="FWE51">
        <f t="shared" si="175"/>
        <v>43</v>
      </c>
      <c r="FWF51">
        <f t="shared" si="175"/>
        <v>43</v>
      </c>
      <c r="FWG51">
        <f t="shared" si="175"/>
        <v>43</v>
      </c>
      <c r="FWH51">
        <f t="shared" si="175"/>
        <v>43</v>
      </c>
      <c r="FWI51">
        <f t="shared" si="175"/>
        <v>43</v>
      </c>
      <c r="FWJ51">
        <f t="shared" si="175"/>
        <v>43</v>
      </c>
      <c r="FWK51">
        <f t="shared" si="175"/>
        <v>43</v>
      </c>
      <c r="FWL51">
        <f t="shared" si="175"/>
        <v>43</v>
      </c>
      <c r="FWM51">
        <f t="shared" si="175"/>
        <v>43</v>
      </c>
      <c r="FWN51">
        <f t="shared" si="175"/>
        <v>43</v>
      </c>
      <c r="FWO51">
        <f t="shared" si="175"/>
        <v>43</v>
      </c>
      <c r="FWP51">
        <f t="shared" si="175"/>
        <v>43</v>
      </c>
      <c r="FWQ51">
        <f t="shared" si="175"/>
        <v>43</v>
      </c>
      <c r="FWR51">
        <f t="shared" si="175"/>
        <v>43</v>
      </c>
      <c r="FWS51">
        <f t="shared" si="175"/>
        <v>43</v>
      </c>
      <c r="FWT51">
        <f t="shared" si="175"/>
        <v>43</v>
      </c>
      <c r="FWU51">
        <f t="shared" si="175"/>
        <v>43</v>
      </c>
      <c r="FWV51">
        <f t="shared" si="175"/>
        <v>43</v>
      </c>
      <c r="FWW51">
        <f t="shared" si="175"/>
        <v>43</v>
      </c>
      <c r="FWX51">
        <f t="shared" si="175"/>
        <v>43</v>
      </c>
      <c r="FWY51">
        <f t="shared" si="175"/>
        <v>43</v>
      </c>
      <c r="FWZ51">
        <f t="shared" si="175"/>
        <v>43</v>
      </c>
      <c r="FXA51">
        <f t="shared" si="175"/>
        <v>43</v>
      </c>
      <c r="FXB51">
        <f t="shared" si="175"/>
        <v>43</v>
      </c>
      <c r="FXC51">
        <f t="shared" si="175"/>
        <v>43</v>
      </c>
      <c r="FXD51">
        <f t="shared" si="175"/>
        <v>43</v>
      </c>
      <c r="FXE51">
        <f t="shared" si="175"/>
        <v>43</v>
      </c>
      <c r="FXF51">
        <f t="shared" si="175"/>
        <v>43</v>
      </c>
      <c r="FXG51">
        <f t="shared" si="175"/>
        <v>43</v>
      </c>
      <c r="FXH51">
        <f t="shared" si="175"/>
        <v>43</v>
      </c>
      <c r="FXI51">
        <f t="shared" si="175"/>
        <v>43</v>
      </c>
      <c r="FXJ51">
        <f t="shared" si="175"/>
        <v>43</v>
      </c>
      <c r="FXK51">
        <f t="shared" si="175"/>
        <v>43</v>
      </c>
      <c r="FXL51">
        <f t="shared" si="175"/>
        <v>43</v>
      </c>
      <c r="FXM51">
        <f t="shared" si="175"/>
        <v>43</v>
      </c>
      <c r="FXN51">
        <f t="shared" si="175"/>
        <v>43</v>
      </c>
      <c r="FXO51">
        <f t="shared" si="175"/>
        <v>43</v>
      </c>
      <c r="FXP51">
        <f t="shared" si="175"/>
        <v>43</v>
      </c>
      <c r="FXQ51">
        <f t="shared" si="175"/>
        <v>43</v>
      </c>
      <c r="FXR51">
        <f t="shared" si="175"/>
        <v>43</v>
      </c>
      <c r="FXS51">
        <f t="shared" si="175"/>
        <v>43</v>
      </c>
      <c r="FXT51">
        <f t="shared" si="175"/>
        <v>43</v>
      </c>
      <c r="FXU51">
        <f t="shared" si="175"/>
        <v>43</v>
      </c>
      <c r="FXV51">
        <f t="shared" si="175"/>
        <v>43</v>
      </c>
      <c r="FXW51">
        <f t="shared" si="175"/>
        <v>43</v>
      </c>
      <c r="FXX51">
        <f t="shared" si="175"/>
        <v>43</v>
      </c>
      <c r="FXY51">
        <f t="shared" si="175"/>
        <v>43</v>
      </c>
      <c r="FXZ51">
        <f t="shared" si="175"/>
        <v>43</v>
      </c>
      <c r="FYA51">
        <f t="shared" si="175"/>
        <v>43</v>
      </c>
      <c r="FYB51">
        <f t="shared" si="175"/>
        <v>43</v>
      </c>
      <c r="FYC51">
        <f t="shared" si="175"/>
        <v>43</v>
      </c>
      <c r="FYD51">
        <f t="shared" si="175"/>
        <v>43</v>
      </c>
      <c r="FYE51">
        <f t="shared" ref="FYE51:GAP51" si="176">COUNTBLANK(FYE6:FYE49)</f>
        <v>43</v>
      </c>
      <c r="FYF51">
        <f t="shared" si="176"/>
        <v>43</v>
      </c>
      <c r="FYG51">
        <f t="shared" si="176"/>
        <v>43</v>
      </c>
      <c r="FYH51">
        <f t="shared" si="176"/>
        <v>43</v>
      </c>
      <c r="FYI51">
        <f t="shared" si="176"/>
        <v>43</v>
      </c>
      <c r="FYJ51">
        <f t="shared" si="176"/>
        <v>43</v>
      </c>
      <c r="FYK51">
        <f t="shared" si="176"/>
        <v>43</v>
      </c>
      <c r="FYL51">
        <f t="shared" si="176"/>
        <v>43</v>
      </c>
      <c r="FYM51">
        <f t="shared" si="176"/>
        <v>43</v>
      </c>
      <c r="FYN51">
        <f t="shared" si="176"/>
        <v>43</v>
      </c>
      <c r="FYO51">
        <f t="shared" si="176"/>
        <v>43</v>
      </c>
      <c r="FYP51">
        <f t="shared" si="176"/>
        <v>43</v>
      </c>
      <c r="FYQ51">
        <f t="shared" si="176"/>
        <v>43</v>
      </c>
      <c r="FYR51">
        <f t="shared" si="176"/>
        <v>43</v>
      </c>
      <c r="FYS51">
        <f t="shared" si="176"/>
        <v>43</v>
      </c>
      <c r="FYT51">
        <f t="shared" si="176"/>
        <v>43</v>
      </c>
      <c r="FYU51">
        <f t="shared" si="176"/>
        <v>43</v>
      </c>
      <c r="FYV51">
        <f t="shared" si="176"/>
        <v>43</v>
      </c>
      <c r="FYW51">
        <f t="shared" si="176"/>
        <v>43</v>
      </c>
      <c r="FYX51">
        <f t="shared" si="176"/>
        <v>43</v>
      </c>
      <c r="FYY51">
        <f t="shared" si="176"/>
        <v>43</v>
      </c>
      <c r="FYZ51">
        <f t="shared" si="176"/>
        <v>43</v>
      </c>
      <c r="FZA51">
        <f t="shared" si="176"/>
        <v>43</v>
      </c>
      <c r="FZB51">
        <f t="shared" si="176"/>
        <v>43</v>
      </c>
      <c r="FZC51">
        <f t="shared" si="176"/>
        <v>43</v>
      </c>
      <c r="FZD51">
        <f t="shared" si="176"/>
        <v>43</v>
      </c>
      <c r="FZE51">
        <f t="shared" si="176"/>
        <v>43</v>
      </c>
      <c r="FZF51">
        <f t="shared" si="176"/>
        <v>43</v>
      </c>
      <c r="FZG51">
        <f t="shared" si="176"/>
        <v>43</v>
      </c>
      <c r="FZH51">
        <f t="shared" si="176"/>
        <v>43</v>
      </c>
      <c r="FZI51">
        <f t="shared" si="176"/>
        <v>43</v>
      </c>
      <c r="FZJ51">
        <f t="shared" si="176"/>
        <v>43</v>
      </c>
      <c r="FZK51">
        <f t="shared" si="176"/>
        <v>43</v>
      </c>
      <c r="FZL51">
        <f t="shared" si="176"/>
        <v>43</v>
      </c>
      <c r="FZM51">
        <f t="shared" si="176"/>
        <v>43</v>
      </c>
      <c r="FZN51">
        <f t="shared" si="176"/>
        <v>43</v>
      </c>
      <c r="FZO51">
        <f t="shared" si="176"/>
        <v>43</v>
      </c>
      <c r="FZP51">
        <f t="shared" si="176"/>
        <v>43</v>
      </c>
      <c r="FZQ51">
        <f t="shared" si="176"/>
        <v>43</v>
      </c>
      <c r="FZR51">
        <f t="shared" si="176"/>
        <v>43</v>
      </c>
      <c r="FZS51">
        <f t="shared" si="176"/>
        <v>43</v>
      </c>
      <c r="FZT51">
        <f t="shared" si="176"/>
        <v>43</v>
      </c>
      <c r="FZU51">
        <f t="shared" si="176"/>
        <v>43</v>
      </c>
      <c r="FZV51">
        <f t="shared" si="176"/>
        <v>43</v>
      </c>
      <c r="FZW51">
        <f t="shared" si="176"/>
        <v>43</v>
      </c>
      <c r="FZX51">
        <f t="shared" si="176"/>
        <v>43</v>
      </c>
      <c r="FZY51">
        <f t="shared" si="176"/>
        <v>43</v>
      </c>
      <c r="FZZ51">
        <f t="shared" si="176"/>
        <v>43</v>
      </c>
      <c r="GAA51">
        <f t="shared" si="176"/>
        <v>43</v>
      </c>
      <c r="GAB51">
        <f t="shared" si="176"/>
        <v>43</v>
      </c>
      <c r="GAC51">
        <f t="shared" si="176"/>
        <v>43</v>
      </c>
      <c r="GAD51">
        <f t="shared" si="176"/>
        <v>43</v>
      </c>
      <c r="GAE51">
        <f t="shared" si="176"/>
        <v>43</v>
      </c>
      <c r="GAF51">
        <f t="shared" si="176"/>
        <v>43</v>
      </c>
      <c r="GAG51">
        <f t="shared" si="176"/>
        <v>43</v>
      </c>
      <c r="GAH51">
        <f t="shared" si="176"/>
        <v>43</v>
      </c>
      <c r="GAI51">
        <f t="shared" si="176"/>
        <v>43</v>
      </c>
      <c r="GAJ51">
        <f t="shared" si="176"/>
        <v>43</v>
      </c>
      <c r="GAK51">
        <f t="shared" si="176"/>
        <v>43</v>
      </c>
      <c r="GAL51">
        <f t="shared" si="176"/>
        <v>43</v>
      </c>
      <c r="GAM51">
        <f t="shared" si="176"/>
        <v>43</v>
      </c>
      <c r="GAN51">
        <f t="shared" si="176"/>
        <v>43</v>
      </c>
      <c r="GAO51">
        <f t="shared" si="176"/>
        <v>43</v>
      </c>
      <c r="GAP51">
        <f t="shared" si="176"/>
        <v>43</v>
      </c>
      <c r="GAQ51">
        <f t="shared" ref="GAQ51:GDB51" si="177">COUNTBLANK(GAQ6:GAQ49)</f>
        <v>43</v>
      </c>
      <c r="GAR51">
        <f t="shared" si="177"/>
        <v>43</v>
      </c>
      <c r="GAS51">
        <f t="shared" si="177"/>
        <v>43</v>
      </c>
      <c r="GAT51">
        <f t="shared" si="177"/>
        <v>43</v>
      </c>
      <c r="GAU51">
        <f t="shared" si="177"/>
        <v>43</v>
      </c>
      <c r="GAV51">
        <f t="shared" si="177"/>
        <v>43</v>
      </c>
      <c r="GAW51">
        <f t="shared" si="177"/>
        <v>43</v>
      </c>
      <c r="GAX51">
        <f t="shared" si="177"/>
        <v>43</v>
      </c>
      <c r="GAY51">
        <f t="shared" si="177"/>
        <v>43</v>
      </c>
      <c r="GAZ51">
        <f t="shared" si="177"/>
        <v>43</v>
      </c>
      <c r="GBA51">
        <f t="shared" si="177"/>
        <v>43</v>
      </c>
      <c r="GBB51">
        <f t="shared" si="177"/>
        <v>43</v>
      </c>
      <c r="GBC51">
        <f t="shared" si="177"/>
        <v>43</v>
      </c>
      <c r="GBD51">
        <f t="shared" si="177"/>
        <v>43</v>
      </c>
      <c r="GBE51">
        <f t="shared" si="177"/>
        <v>43</v>
      </c>
      <c r="GBF51">
        <f t="shared" si="177"/>
        <v>43</v>
      </c>
      <c r="GBG51">
        <f t="shared" si="177"/>
        <v>43</v>
      </c>
      <c r="GBH51">
        <f t="shared" si="177"/>
        <v>43</v>
      </c>
      <c r="GBI51">
        <f t="shared" si="177"/>
        <v>43</v>
      </c>
      <c r="GBJ51">
        <f t="shared" si="177"/>
        <v>43</v>
      </c>
      <c r="GBK51">
        <f t="shared" si="177"/>
        <v>43</v>
      </c>
      <c r="GBL51">
        <f t="shared" si="177"/>
        <v>43</v>
      </c>
      <c r="GBM51">
        <f t="shared" si="177"/>
        <v>43</v>
      </c>
      <c r="GBN51">
        <f t="shared" si="177"/>
        <v>43</v>
      </c>
      <c r="GBO51">
        <f t="shared" si="177"/>
        <v>43</v>
      </c>
      <c r="GBP51">
        <f t="shared" si="177"/>
        <v>43</v>
      </c>
      <c r="GBQ51">
        <f t="shared" si="177"/>
        <v>43</v>
      </c>
      <c r="GBR51">
        <f t="shared" si="177"/>
        <v>43</v>
      </c>
      <c r="GBS51">
        <f t="shared" si="177"/>
        <v>43</v>
      </c>
      <c r="GBT51">
        <f t="shared" si="177"/>
        <v>43</v>
      </c>
      <c r="GBU51">
        <f t="shared" si="177"/>
        <v>43</v>
      </c>
      <c r="GBV51">
        <f t="shared" si="177"/>
        <v>43</v>
      </c>
      <c r="GBW51">
        <f t="shared" si="177"/>
        <v>43</v>
      </c>
      <c r="GBX51">
        <f t="shared" si="177"/>
        <v>43</v>
      </c>
      <c r="GBY51">
        <f t="shared" si="177"/>
        <v>43</v>
      </c>
      <c r="GBZ51">
        <f t="shared" si="177"/>
        <v>43</v>
      </c>
      <c r="GCA51">
        <f t="shared" si="177"/>
        <v>43</v>
      </c>
      <c r="GCB51">
        <f t="shared" si="177"/>
        <v>43</v>
      </c>
      <c r="GCC51">
        <f t="shared" si="177"/>
        <v>43</v>
      </c>
      <c r="GCD51">
        <f t="shared" si="177"/>
        <v>43</v>
      </c>
      <c r="GCE51">
        <f t="shared" si="177"/>
        <v>43</v>
      </c>
      <c r="GCF51">
        <f t="shared" si="177"/>
        <v>43</v>
      </c>
      <c r="GCG51">
        <f t="shared" si="177"/>
        <v>43</v>
      </c>
      <c r="GCH51">
        <f t="shared" si="177"/>
        <v>43</v>
      </c>
      <c r="GCI51">
        <f t="shared" si="177"/>
        <v>43</v>
      </c>
      <c r="GCJ51">
        <f t="shared" si="177"/>
        <v>43</v>
      </c>
      <c r="GCK51">
        <f t="shared" si="177"/>
        <v>43</v>
      </c>
      <c r="GCL51">
        <f t="shared" si="177"/>
        <v>43</v>
      </c>
      <c r="GCM51">
        <f t="shared" si="177"/>
        <v>43</v>
      </c>
      <c r="GCN51">
        <f t="shared" si="177"/>
        <v>43</v>
      </c>
      <c r="GCO51">
        <f t="shared" si="177"/>
        <v>43</v>
      </c>
      <c r="GCP51">
        <f t="shared" si="177"/>
        <v>43</v>
      </c>
      <c r="GCQ51">
        <f t="shared" si="177"/>
        <v>43</v>
      </c>
      <c r="GCR51">
        <f t="shared" si="177"/>
        <v>43</v>
      </c>
      <c r="GCS51">
        <f t="shared" si="177"/>
        <v>43</v>
      </c>
      <c r="GCT51">
        <f t="shared" si="177"/>
        <v>43</v>
      </c>
      <c r="GCU51">
        <f t="shared" si="177"/>
        <v>43</v>
      </c>
      <c r="GCV51">
        <f t="shared" si="177"/>
        <v>43</v>
      </c>
      <c r="GCW51">
        <f t="shared" si="177"/>
        <v>43</v>
      </c>
      <c r="GCX51">
        <f t="shared" si="177"/>
        <v>43</v>
      </c>
      <c r="GCY51">
        <f t="shared" si="177"/>
        <v>43</v>
      </c>
      <c r="GCZ51">
        <f t="shared" si="177"/>
        <v>43</v>
      </c>
      <c r="GDA51">
        <f t="shared" si="177"/>
        <v>43</v>
      </c>
      <c r="GDB51">
        <f t="shared" si="177"/>
        <v>43</v>
      </c>
      <c r="GDC51">
        <f t="shared" ref="GDC51:GFN51" si="178">COUNTBLANK(GDC6:GDC49)</f>
        <v>43</v>
      </c>
      <c r="GDD51">
        <f t="shared" si="178"/>
        <v>43</v>
      </c>
      <c r="GDE51">
        <f t="shared" si="178"/>
        <v>43</v>
      </c>
      <c r="GDF51">
        <f t="shared" si="178"/>
        <v>43</v>
      </c>
      <c r="GDG51">
        <f t="shared" si="178"/>
        <v>43</v>
      </c>
      <c r="GDH51">
        <f t="shared" si="178"/>
        <v>43</v>
      </c>
      <c r="GDI51">
        <f t="shared" si="178"/>
        <v>43</v>
      </c>
      <c r="GDJ51">
        <f t="shared" si="178"/>
        <v>43</v>
      </c>
      <c r="GDK51">
        <f t="shared" si="178"/>
        <v>43</v>
      </c>
      <c r="GDL51">
        <f t="shared" si="178"/>
        <v>43</v>
      </c>
      <c r="GDM51">
        <f t="shared" si="178"/>
        <v>43</v>
      </c>
      <c r="GDN51">
        <f t="shared" si="178"/>
        <v>43</v>
      </c>
      <c r="GDO51">
        <f t="shared" si="178"/>
        <v>43</v>
      </c>
      <c r="GDP51">
        <f t="shared" si="178"/>
        <v>43</v>
      </c>
      <c r="GDQ51">
        <f t="shared" si="178"/>
        <v>43</v>
      </c>
      <c r="GDR51">
        <f t="shared" si="178"/>
        <v>43</v>
      </c>
      <c r="GDS51">
        <f t="shared" si="178"/>
        <v>43</v>
      </c>
      <c r="GDT51">
        <f t="shared" si="178"/>
        <v>43</v>
      </c>
      <c r="GDU51">
        <f t="shared" si="178"/>
        <v>43</v>
      </c>
      <c r="GDV51">
        <f t="shared" si="178"/>
        <v>43</v>
      </c>
      <c r="GDW51">
        <f t="shared" si="178"/>
        <v>43</v>
      </c>
      <c r="GDX51">
        <f t="shared" si="178"/>
        <v>43</v>
      </c>
      <c r="GDY51">
        <f t="shared" si="178"/>
        <v>43</v>
      </c>
      <c r="GDZ51">
        <f t="shared" si="178"/>
        <v>43</v>
      </c>
      <c r="GEA51">
        <f t="shared" si="178"/>
        <v>43</v>
      </c>
      <c r="GEB51">
        <f t="shared" si="178"/>
        <v>43</v>
      </c>
      <c r="GEC51">
        <f t="shared" si="178"/>
        <v>43</v>
      </c>
      <c r="GED51">
        <f t="shared" si="178"/>
        <v>43</v>
      </c>
      <c r="GEE51">
        <f t="shared" si="178"/>
        <v>43</v>
      </c>
      <c r="GEF51">
        <f t="shared" si="178"/>
        <v>43</v>
      </c>
      <c r="GEG51">
        <f t="shared" si="178"/>
        <v>43</v>
      </c>
      <c r="GEH51">
        <f t="shared" si="178"/>
        <v>43</v>
      </c>
      <c r="GEI51">
        <f t="shared" si="178"/>
        <v>43</v>
      </c>
      <c r="GEJ51">
        <f t="shared" si="178"/>
        <v>43</v>
      </c>
      <c r="GEK51">
        <f t="shared" si="178"/>
        <v>43</v>
      </c>
      <c r="GEL51">
        <f t="shared" si="178"/>
        <v>43</v>
      </c>
      <c r="GEM51">
        <f t="shared" si="178"/>
        <v>43</v>
      </c>
      <c r="GEN51">
        <f t="shared" si="178"/>
        <v>43</v>
      </c>
      <c r="GEO51">
        <f t="shared" si="178"/>
        <v>43</v>
      </c>
      <c r="GEP51">
        <f t="shared" si="178"/>
        <v>43</v>
      </c>
      <c r="GEQ51">
        <f t="shared" si="178"/>
        <v>43</v>
      </c>
      <c r="GER51">
        <f t="shared" si="178"/>
        <v>43</v>
      </c>
      <c r="GES51">
        <f t="shared" si="178"/>
        <v>43</v>
      </c>
      <c r="GET51">
        <f t="shared" si="178"/>
        <v>43</v>
      </c>
      <c r="GEU51">
        <f t="shared" si="178"/>
        <v>43</v>
      </c>
      <c r="GEV51">
        <f t="shared" si="178"/>
        <v>43</v>
      </c>
      <c r="GEW51">
        <f t="shared" si="178"/>
        <v>43</v>
      </c>
      <c r="GEX51">
        <f t="shared" si="178"/>
        <v>43</v>
      </c>
      <c r="GEY51">
        <f t="shared" si="178"/>
        <v>43</v>
      </c>
      <c r="GEZ51">
        <f t="shared" si="178"/>
        <v>43</v>
      </c>
      <c r="GFA51">
        <f t="shared" si="178"/>
        <v>43</v>
      </c>
      <c r="GFB51">
        <f t="shared" si="178"/>
        <v>43</v>
      </c>
      <c r="GFC51">
        <f t="shared" si="178"/>
        <v>43</v>
      </c>
      <c r="GFD51">
        <f t="shared" si="178"/>
        <v>43</v>
      </c>
      <c r="GFE51">
        <f t="shared" si="178"/>
        <v>43</v>
      </c>
      <c r="GFF51">
        <f t="shared" si="178"/>
        <v>43</v>
      </c>
      <c r="GFG51">
        <f t="shared" si="178"/>
        <v>43</v>
      </c>
      <c r="GFH51">
        <f t="shared" si="178"/>
        <v>43</v>
      </c>
      <c r="GFI51">
        <f t="shared" si="178"/>
        <v>43</v>
      </c>
      <c r="GFJ51">
        <f t="shared" si="178"/>
        <v>43</v>
      </c>
      <c r="GFK51">
        <f t="shared" si="178"/>
        <v>43</v>
      </c>
      <c r="GFL51">
        <f t="shared" si="178"/>
        <v>43</v>
      </c>
      <c r="GFM51">
        <f t="shared" si="178"/>
        <v>43</v>
      </c>
      <c r="GFN51">
        <f t="shared" si="178"/>
        <v>43</v>
      </c>
      <c r="GFO51">
        <f t="shared" ref="GFO51:GHZ51" si="179">COUNTBLANK(GFO6:GFO49)</f>
        <v>43</v>
      </c>
      <c r="GFP51">
        <f t="shared" si="179"/>
        <v>43</v>
      </c>
      <c r="GFQ51">
        <f t="shared" si="179"/>
        <v>43</v>
      </c>
      <c r="GFR51">
        <f t="shared" si="179"/>
        <v>43</v>
      </c>
      <c r="GFS51">
        <f t="shared" si="179"/>
        <v>43</v>
      </c>
      <c r="GFT51">
        <f t="shared" si="179"/>
        <v>43</v>
      </c>
      <c r="GFU51">
        <f t="shared" si="179"/>
        <v>43</v>
      </c>
      <c r="GFV51">
        <f t="shared" si="179"/>
        <v>43</v>
      </c>
      <c r="GFW51">
        <f t="shared" si="179"/>
        <v>43</v>
      </c>
      <c r="GFX51">
        <f t="shared" si="179"/>
        <v>43</v>
      </c>
      <c r="GFY51">
        <f t="shared" si="179"/>
        <v>43</v>
      </c>
      <c r="GFZ51">
        <f t="shared" si="179"/>
        <v>43</v>
      </c>
      <c r="GGA51">
        <f t="shared" si="179"/>
        <v>43</v>
      </c>
      <c r="GGB51">
        <f t="shared" si="179"/>
        <v>43</v>
      </c>
      <c r="GGC51">
        <f t="shared" si="179"/>
        <v>43</v>
      </c>
      <c r="GGD51">
        <f t="shared" si="179"/>
        <v>43</v>
      </c>
      <c r="GGE51">
        <f t="shared" si="179"/>
        <v>43</v>
      </c>
      <c r="GGF51">
        <f t="shared" si="179"/>
        <v>43</v>
      </c>
      <c r="GGG51">
        <f t="shared" si="179"/>
        <v>43</v>
      </c>
      <c r="GGH51">
        <f t="shared" si="179"/>
        <v>43</v>
      </c>
      <c r="GGI51">
        <f t="shared" si="179"/>
        <v>43</v>
      </c>
      <c r="GGJ51">
        <f t="shared" si="179"/>
        <v>43</v>
      </c>
      <c r="GGK51">
        <f t="shared" si="179"/>
        <v>43</v>
      </c>
      <c r="GGL51">
        <f t="shared" si="179"/>
        <v>43</v>
      </c>
      <c r="GGM51">
        <f t="shared" si="179"/>
        <v>43</v>
      </c>
      <c r="GGN51">
        <f t="shared" si="179"/>
        <v>43</v>
      </c>
      <c r="GGO51">
        <f t="shared" si="179"/>
        <v>43</v>
      </c>
      <c r="GGP51">
        <f t="shared" si="179"/>
        <v>43</v>
      </c>
      <c r="GGQ51">
        <f t="shared" si="179"/>
        <v>43</v>
      </c>
      <c r="GGR51">
        <f t="shared" si="179"/>
        <v>43</v>
      </c>
      <c r="GGS51">
        <f t="shared" si="179"/>
        <v>43</v>
      </c>
      <c r="GGT51">
        <f t="shared" si="179"/>
        <v>43</v>
      </c>
      <c r="GGU51">
        <f t="shared" si="179"/>
        <v>43</v>
      </c>
      <c r="GGV51">
        <f t="shared" si="179"/>
        <v>43</v>
      </c>
      <c r="GGW51">
        <f t="shared" si="179"/>
        <v>43</v>
      </c>
      <c r="GGX51">
        <f t="shared" si="179"/>
        <v>43</v>
      </c>
      <c r="GGY51">
        <f t="shared" si="179"/>
        <v>43</v>
      </c>
      <c r="GGZ51">
        <f t="shared" si="179"/>
        <v>43</v>
      </c>
      <c r="GHA51">
        <f t="shared" si="179"/>
        <v>43</v>
      </c>
      <c r="GHB51">
        <f t="shared" si="179"/>
        <v>43</v>
      </c>
      <c r="GHC51">
        <f t="shared" si="179"/>
        <v>43</v>
      </c>
      <c r="GHD51">
        <f t="shared" si="179"/>
        <v>43</v>
      </c>
      <c r="GHE51">
        <f t="shared" si="179"/>
        <v>43</v>
      </c>
      <c r="GHF51">
        <f t="shared" si="179"/>
        <v>43</v>
      </c>
      <c r="GHG51">
        <f t="shared" si="179"/>
        <v>43</v>
      </c>
      <c r="GHH51">
        <f t="shared" si="179"/>
        <v>43</v>
      </c>
      <c r="GHI51">
        <f t="shared" si="179"/>
        <v>43</v>
      </c>
      <c r="GHJ51">
        <f t="shared" si="179"/>
        <v>43</v>
      </c>
      <c r="GHK51">
        <f t="shared" si="179"/>
        <v>43</v>
      </c>
      <c r="GHL51">
        <f t="shared" si="179"/>
        <v>43</v>
      </c>
      <c r="GHM51">
        <f t="shared" si="179"/>
        <v>43</v>
      </c>
      <c r="GHN51">
        <f t="shared" si="179"/>
        <v>43</v>
      </c>
      <c r="GHO51">
        <f t="shared" si="179"/>
        <v>43</v>
      </c>
      <c r="GHP51">
        <f t="shared" si="179"/>
        <v>43</v>
      </c>
      <c r="GHQ51">
        <f t="shared" si="179"/>
        <v>43</v>
      </c>
      <c r="GHR51">
        <f t="shared" si="179"/>
        <v>43</v>
      </c>
      <c r="GHS51">
        <f t="shared" si="179"/>
        <v>43</v>
      </c>
      <c r="GHT51">
        <f t="shared" si="179"/>
        <v>43</v>
      </c>
      <c r="GHU51">
        <f t="shared" si="179"/>
        <v>43</v>
      </c>
      <c r="GHV51">
        <f t="shared" si="179"/>
        <v>43</v>
      </c>
      <c r="GHW51">
        <f t="shared" si="179"/>
        <v>43</v>
      </c>
      <c r="GHX51">
        <f t="shared" si="179"/>
        <v>43</v>
      </c>
      <c r="GHY51">
        <f t="shared" si="179"/>
        <v>43</v>
      </c>
      <c r="GHZ51">
        <f t="shared" si="179"/>
        <v>43</v>
      </c>
      <c r="GIA51">
        <f t="shared" ref="GIA51:GKL51" si="180">COUNTBLANK(GIA6:GIA49)</f>
        <v>43</v>
      </c>
      <c r="GIB51">
        <f t="shared" si="180"/>
        <v>43</v>
      </c>
      <c r="GIC51">
        <f t="shared" si="180"/>
        <v>43</v>
      </c>
      <c r="GID51">
        <f t="shared" si="180"/>
        <v>43</v>
      </c>
      <c r="GIE51">
        <f t="shared" si="180"/>
        <v>43</v>
      </c>
      <c r="GIF51">
        <f t="shared" si="180"/>
        <v>43</v>
      </c>
      <c r="GIG51">
        <f t="shared" si="180"/>
        <v>43</v>
      </c>
      <c r="GIH51">
        <f t="shared" si="180"/>
        <v>43</v>
      </c>
      <c r="GII51">
        <f t="shared" si="180"/>
        <v>43</v>
      </c>
      <c r="GIJ51">
        <f t="shared" si="180"/>
        <v>43</v>
      </c>
      <c r="GIK51">
        <f t="shared" si="180"/>
        <v>43</v>
      </c>
      <c r="GIL51">
        <f t="shared" si="180"/>
        <v>43</v>
      </c>
      <c r="GIM51">
        <f t="shared" si="180"/>
        <v>43</v>
      </c>
      <c r="GIN51">
        <f t="shared" si="180"/>
        <v>43</v>
      </c>
      <c r="GIO51">
        <f t="shared" si="180"/>
        <v>43</v>
      </c>
      <c r="GIP51">
        <f t="shared" si="180"/>
        <v>43</v>
      </c>
      <c r="GIQ51">
        <f t="shared" si="180"/>
        <v>43</v>
      </c>
      <c r="GIR51">
        <f t="shared" si="180"/>
        <v>43</v>
      </c>
      <c r="GIS51">
        <f t="shared" si="180"/>
        <v>43</v>
      </c>
      <c r="GIT51">
        <f t="shared" si="180"/>
        <v>43</v>
      </c>
      <c r="GIU51">
        <f t="shared" si="180"/>
        <v>43</v>
      </c>
      <c r="GIV51">
        <f t="shared" si="180"/>
        <v>43</v>
      </c>
      <c r="GIW51">
        <f t="shared" si="180"/>
        <v>43</v>
      </c>
      <c r="GIX51">
        <f t="shared" si="180"/>
        <v>43</v>
      </c>
      <c r="GIY51">
        <f t="shared" si="180"/>
        <v>43</v>
      </c>
      <c r="GIZ51">
        <f t="shared" si="180"/>
        <v>43</v>
      </c>
      <c r="GJA51">
        <f t="shared" si="180"/>
        <v>43</v>
      </c>
      <c r="GJB51">
        <f t="shared" si="180"/>
        <v>43</v>
      </c>
      <c r="GJC51">
        <f t="shared" si="180"/>
        <v>43</v>
      </c>
      <c r="GJD51">
        <f t="shared" si="180"/>
        <v>43</v>
      </c>
      <c r="GJE51">
        <f t="shared" si="180"/>
        <v>43</v>
      </c>
      <c r="GJF51">
        <f t="shared" si="180"/>
        <v>43</v>
      </c>
      <c r="GJG51">
        <f t="shared" si="180"/>
        <v>43</v>
      </c>
      <c r="GJH51">
        <f t="shared" si="180"/>
        <v>43</v>
      </c>
      <c r="GJI51">
        <f t="shared" si="180"/>
        <v>43</v>
      </c>
      <c r="GJJ51">
        <f t="shared" si="180"/>
        <v>43</v>
      </c>
      <c r="GJK51">
        <f t="shared" si="180"/>
        <v>43</v>
      </c>
      <c r="GJL51">
        <f t="shared" si="180"/>
        <v>43</v>
      </c>
      <c r="GJM51">
        <f t="shared" si="180"/>
        <v>43</v>
      </c>
      <c r="GJN51">
        <f t="shared" si="180"/>
        <v>43</v>
      </c>
      <c r="GJO51">
        <f t="shared" si="180"/>
        <v>43</v>
      </c>
      <c r="GJP51">
        <f t="shared" si="180"/>
        <v>43</v>
      </c>
      <c r="GJQ51">
        <f t="shared" si="180"/>
        <v>43</v>
      </c>
      <c r="GJR51">
        <f t="shared" si="180"/>
        <v>43</v>
      </c>
      <c r="GJS51">
        <f t="shared" si="180"/>
        <v>43</v>
      </c>
      <c r="GJT51">
        <f t="shared" si="180"/>
        <v>43</v>
      </c>
      <c r="GJU51">
        <f t="shared" si="180"/>
        <v>43</v>
      </c>
      <c r="GJV51">
        <f t="shared" si="180"/>
        <v>43</v>
      </c>
      <c r="GJW51">
        <f t="shared" si="180"/>
        <v>43</v>
      </c>
      <c r="GJX51">
        <f t="shared" si="180"/>
        <v>43</v>
      </c>
      <c r="GJY51">
        <f t="shared" si="180"/>
        <v>43</v>
      </c>
      <c r="GJZ51">
        <f t="shared" si="180"/>
        <v>43</v>
      </c>
      <c r="GKA51">
        <f t="shared" si="180"/>
        <v>43</v>
      </c>
      <c r="GKB51">
        <f t="shared" si="180"/>
        <v>43</v>
      </c>
      <c r="GKC51">
        <f t="shared" si="180"/>
        <v>43</v>
      </c>
      <c r="GKD51">
        <f t="shared" si="180"/>
        <v>43</v>
      </c>
      <c r="GKE51">
        <f t="shared" si="180"/>
        <v>43</v>
      </c>
      <c r="GKF51">
        <f t="shared" si="180"/>
        <v>43</v>
      </c>
      <c r="GKG51">
        <f t="shared" si="180"/>
        <v>43</v>
      </c>
      <c r="GKH51">
        <f t="shared" si="180"/>
        <v>43</v>
      </c>
      <c r="GKI51">
        <f t="shared" si="180"/>
        <v>43</v>
      </c>
      <c r="GKJ51">
        <f t="shared" si="180"/>
        <v>43</v>
      </c>
      <c r="GKK51">
        <f t="shared" si="180"/>
        <v>43</v>
      </c>
      <c r="GKL51">
        <f t="shared" si="180"/>
        <v>43</v>
      </c>
      <c r="GKM51">
        <f t="shared" ref="GKM51:GMX51" si="181">COUNTBLANK(GKM6:GKM49)</f>
        <v>43</v>
      </c>
      <c r="GKN51">
        <f t="shared" si="181"/>
        <v>43</v>
      </c>
      <c r="GKO51">
        <f t="shared" si="181"/>
        <v>43</v>
      </c>
      <c r="GKP51">
        <f t="shared" si="181"/>
        <v>43</v>
      </c>
      <c r="GKQ51">
        <f t="shared" si="181"/>
        <v>43</v>
      </c>
      <c r="GKR51">
        <f t="shared" si="181"/>
        <v>43</v>
      </c>
      <c r="GKS51">
        <f t="shared" si="181"/>
        <v>43</v>
      </c>
      <c r="GKT51">
        <f t="shared" si="181"/>
        <v>43</v>
      </c>
      <c r="GKU51">
        <f t="shared" si="181"/>
        <v>43</v>
      </c>
      <c r="GKV51">
        <f t="shared" si="181"/>
        <v>43</v>
      </c>
      <c r="GKW51">
        <f t="shared" si="181"/>
        <v>43</v>
      </c>
      <c r="GKX51">
        <f t="shared" si="181"/>
        <v>43</v>
      </c>
      <c r="GKY51">
        <f t="shared" si="181"/>
        <v>43</v>
      </c>
      <c r="GKZ51">
        <f t="shared" si="181"/>
        <v>43</v>
      </c>
      <c r="GLA51">
        <f t="shared" si="181"/>
        <v>43</v>
      </c>
      <c r="GLB51">
        <f t="shared" si="181"/>
        <v>43</v>
      </c>
      <c r="GLC51">
        <f t="shared" si="181"/>
        <v>43</v>
      </c>
      <c r="GLD51">
        <f t="shared" si="181"/>
        <v>43</v>
      </c>
      <c r="GLE51">
        <f t="shared" si="181"/>
        <v>43</v>
      </c>
      <c r="GLF51">
        <f t="shared" si="181"/>
        <v>43</v>
      </c>
      <c r="GLG51">
        <f t="shared" si="181"/>
        <v>43</v>
      </c>
      <c r="GLH51">
        <f t="shared" si="181"/>
        <v>43</v>
      </c>
      <c r="GLI51">
        <f t="shared" si="181"/>
        <v>43</v>
      </c>
      <c r="GLJ51">
        <f t="shared" si="181"/>
        <v>43</v>
      </c>
      <c r="GLK51">
        <f t="shared" si="181"/>
        <v>43</v>
      </c>
      <c r="GLL51">
        <f t="shared" si="181"/>
        <v>43</v>
      </c>
      <c r="GLM51">
        <f t="shared" si="181"/>
        <v>43</v>
      </c>
      <c r="GLN51">
        <f t="shared" si="181"/>
        <v>43</v>
      </c>
      <c r="GLO51">
        <f t="shared" si="181"/>
        <v>43</v>
      </c>
      <c r="GLP51">
        <f t="shared" si="181"/>
        <v>43</v>
      </c>
      <c r="GLQ51">
        <f t="shared" si="181"/>
        <v>43</v>
      </c>
      <c r="GLR51">
        <f t="shared" si="181"/>
        <v>43</v>
      </c>
      <c r="GLS51">
        <f t="shared" si="181"/>
        <v>43</v>
      </c>
      <c r="GLT51">
        <f t="shared" si="181"/>
        <v>43</v>
      </c>
      <c r="GLU51">
        <f t="shared" si="181"/>
        <v>43</v>
      </c>
      <c r="GLV51">
        <f t="shared" si="181"/>
        <v>43</v>
      </c>
      <c r="GLW51">
        <f t="shared" si="181"/>
        <v>43</v>
      </c>
      <c r="GLX51">
        <f t="shared" si="181"/>
        <v>43</v>
      </c>
      <c r="GLY51">
        <f t="shared" si="181"/>
        <v>43</v>
      </c>
      <c r="GLZ51">
        <f t="shared" si="181"/>
        <v>43</v>
      </c>
      <c r="GMA51">
        <f t="shared" si="181"/>
        <v>43</v>
      </c>
      <c r="GMB51">
        <f t="shared" si="181"/>
        <v>43</v>
      </c>
      <c r="GMC51">
        <f t="shared" si="181"/>
        <v>43</v>
      </c>
      <c r="GMD51">
        <f t="shared" si="181"/>
        <v>43</v>
      </c>
      <c r="GME51">
        <f t="shared" si="181"/>
        <v>43</v>
      </c>
      <c r="GMF51">
        <f t="shared" si="181"/>
        <v>43</v>
      </c>
      <c r="GMG51">
        <f t="shared" si="181"/>
        <v>43</v>
      </c>
      <c r="GMH51">
        <f t="shared" si="181"/>
        <v>43</v>
      </c>
      <c r="GMI51">
        <f t="shared" si="181"/>
        <v>43</v>
      </c>
      <c r="GMJ51">
        <f t="shared" si="181"/>
        <v>43</v>
      </c>
      <c r="GMK51">
        <f t="shared" si="181"/>
        <v>43</v>
      </c>
      <c r="GML51">
        <f t="shared" si="181"/>
        <v>43</v>
      </c>
      <c r="GMM51">
        <f t="shared" si="181"/>
        <v>43</v>
      </c>
      <c r="GMN51">
        <f t="shared" si="181"/>
        <v>43</v>
      </c>
      <c r="GMO51">
        <f t="shared" si="181"/>
        <v>43</v>
      </c>
      <c r="GMP51">
        <f t="shared" si="181"/>
        <v>43</v>
      </c>
      <c r="GMQ51">
        <f t="shared" si="181"/>
        <v>43</v>
      </c>
      <c r="GMR51">
        <f t="shared" si="181"/>
        <v>43</v>
      </c>
      <c r="GMS51">
        <f t="shared" si="181"/>
        <v>43</v>
      </c>
      <c r="GMT51">
        <f t="shared" si="181"/>
        <v>43</v>
      </c>
      <c r="GMU51">
        <f t="shared" si="181"/>
        <v>43</v>
      </c>
      <c r="GMV51">
        <f t="shared" si="181"/>
        <v>43</v>
      </c>
      <c r="GMW51">
        <f t="shared" si="181"/>
        <v>43</v>
      </c>
      <c r="GMX51">
        <f t="shared" si="181"/>
        <v>43</v>
      </c>
      <c r="GMY51">
        <f t="shared" ref="GMY51:GPJ51" si="182">COUNTBLANK(GMY6:GMY49)</f>
        <v>43</v>
      </c>
      <c r="GMZ51">
        <f t="shared" si="182"/>
        <v>43</v>
      </c>
      <c r="GNA51">
        <f t="shared" si="182"/>
        <v>43</v>
      </c>
      <c r="GNB51">
        <f t="shared" si="182"/>
        <v>43</v>
      </c>
      <c r="GNC51">
        <f t="shared" si="182"/>
        <v>43</v>
      </c>
      <c r="GND51">
        <f t="shared" si="182"/>
        <v>43</v>
      </c>
      <c r="GNE51">
        <f t="shared" si="182"/>
        <v>43</v>
      </c>
      <c r="GNF51">
        <f t="shared" si="182"/>
        <v>43</v>
      </c>
      <c r="GNG51">
        <f t="shared" si="182"/>
        <v>43</v>
      </c>
      <c r="GNH51">
        <f t="shared" si="182"/>
        <v>43</v>
      </c>
      <c r="GNI51">
        <f t="shared" si="182"/>
        <v>43</v>
      </c>
      <c r="GNJ51">
        <f t="shared" si="182"/>
        <v>43</v>
      </c>
      <c r="GNK51">
        <f t="shared" si="182"/>
        <v>43</v>
      </c>
      <c r="GNL51">
        <f t="shared" si="182"/>
        <v>43</v>
      </c>
      <c r="GNM51">
        <f t="shared" si="182"/>
        <v>43</v>
      </c>
      <c r="GNN51">
        <f t="shared" si="182"/>
        <v>43</v>
      </c>
      <c r="GNO51">
        <f t="shared" si="182"/>
        <v>43</v>
      </c>
      <c r="GNP51">
        <f t="shared" si="182"/>
        <v>43</v>
      </c>
      <c r="GNQ51">
        <f t="shared" si="182"/>
        <v>43</v>
      </c>
      <c r="GNR51">
        <f t="shared" si="182"/>
        <v>43</v>
      </c>
      <c r="GNS51">
        <f t="shared" si="182"/>
        <v>43</v>
      </c>
      <c r="GNT51">
        <f t="shared" si="182"/>
        <v>43</v>
      </c>
      <c r="GNU51">
        <f t="shared" si="182"/>
        <v>43</v>
      </c>
      <c r="GNV51">
        <f t="shared" si="182"/>
        <v>43</v>
      </c>
      <c r="GNW51">
        <f t="shared" si="182"/>
        <v>43</v>
      </c>
      <c r="GNX51">
        <f t="shared" si="182"/>
        <v>43</v>
      </c>
      <c r="GNY51">
        <f t="shared" si="182"/>
        <v>43</v>
      </c>
      <c r="GNZ51">
        <f t="shared" si="182"/>
        <v>43</v>
      </c>
      <c r="GOA51">
        <f t="shared" si="182"/>
        <v>43</v>
      </c>
      <c r="GOB51">
        <f t="shared" si="182"/>
        <v>43</v>
      </c>
      <c r="GOC51">
        <f t="shared" si="182"/>
        <v>43</v>
      </c>
      <c r="GOD51">
        <f t="shared" si="182"/>
        <v>43</v>
      </c>
      <c r="GOE51">
        <f t="shared" si="182"/>
        <v>43</v>
      </c>
      <c r="GOF51">
        <f t="shared" si="182"/>
        <v>43</v>
      </c>
      <c r="GOG51">
        <f t="shared" si="182"/>
        <v>43</v>
      </c>
      <c r="GOH51">
        <f t="shared" si="182"/>
        <v>43</v>
      </c>
      <c r="GOI51">
        <f t="shared" si="182"/>
        <v>43</v>
      </c>
      <c r="GOJ51">
        <f t="shared" si="182"/>
        <v>43</v>
      </c>
      <c r="GOK51">
        <f t="shared" si="182"/>
        <v>43</v>
      </c>
      <c r="GOL51">
        <f t="shared" si="182"/>
        <v>43</v>
      </c>
      <c r="GOM51">
        <f t="shared" si="182"/>
        <v>43</v>
      </c>
      <c r="GON51">
        <f t="shared" si="182"/>
        <v>43</v>
      </c>
      <c r="GOO51">
        <f t="shared" si="182"/>
        <v>43</v>
      </c>
      <c r="GOP51">
        <f t="shared" si="182"/>
        <v>43</v>
      </c>
      <c r="GOQ51">
        <f t="shared" si="182"/>
        <v>43</v>
      </c>
      <c r="GOR51">
        <f t="shared" si="182"/>
        <v>43</v>
      </c>
      <c r="GOS51">
        <f t="shared" si="182"/>
        <v>43</v>
      </c>
      <c r="GOT51">
        <f t="shared" si="182"/>
        <v>43</v>
      </c>
      <c r="GOU51">
        <f t="shared" si="182"/>
        <v>43</v>
      </c>
      <c r="GOV51">
        <f t="shared" si="182"/>
        <v>43</v>
      </c>
      <c r="GOW51">
        <f t="shared" si="182"/>
        <v>43</v>
      </c>
      <c r="GOX51">
        <f t="shared" si="182"/>
        <v>43</v>
      </c>
      <c r="GOY51">
        <f t="shared" si="182"/>
        <v>43</v>
      </c>
      <c r="GOZ51">
        <f t="shared" si="182"/>
        <v>43</v>
      </c>
      <c r="GPA51">
        <f t="shared" si="182"/>
        <v>43</v>
      </c>
      <c r="GPB51">
        <f t="shared" si="182"/>
        <v>43</v>
      </c>
      <c r="GPC51">
        <f t="shared" si="182"/>
        <v>43</v>
      </c>
      <c r="GPD51">
        <f t="shared" si="182"/>
        <v>43</v>
      </c>
      <c r="GPE51">
        <f t="shared" si="182"/>
        <v>43</v>
      </c>
      <c r="GPF51">
        <f t="shared" si="182"/>
        <v>43</v>
      </c>
      <c r="GPG51">
        <f t="shared" si="182"/>
        <v>43</v>
      </c>
      <c r="GPH51">
        <f t="shared" si="182"/>
        <v>43</v>
      </c>
      <c r="GPI51">
        <f t="shared" si="182"/>
        <v>43</v>
      </c>
      <c r="GPJ51">
        <f t="shared" si="182"/>
        <v>43</v>
      </c>
      <c r="GPK51">
        <f t="shared" ref="GPK51:GRV51" si="183">COUNTBLANK(GPK6:GPK49)</f>
        <v>43</v>
      </c>
      <c r="GPL51">
        <f t="shared" si="183"/>
        <v>43</v>
      </c>
      <c r="GPM51">
        <f t="shared" si="183"/>
        <v>43</v>
      </c>
      <c r="GPN51">
        <f t="shared" si="183"/>
        <v>43</v>
      </c>
      <c r="GPO51">
        <f t="shared" si="183"/>
        <v>43</v>
      </c>
      <c r="GPP51">
        <f t="shared" si="183"/>
        <v>43</v>
      </c>
      <c r="GPQ51">
        <f t="shared" si="183"/>
        <v>43</v>
      </c>
      <c r="GPR51">
        <f t="shared" si="183"/>
        <v>43</v>
      </c>
      <c r="GPS51">
        <f t="shared" si="183"/>
        <v>43</v>
      </c>
      <c r="GPT51">
        <f t="shared" si="183"/>
        <v>43</v>
      </c>
      <c r="GPU51">
        <f t="shared" si="183"/>
        <v>43</v>
      </c>
      <c r="GPV51">
        <f t="shared" si="183"/>
        <v>43</v>
      </c>
      <c r="GPW51">
        <f t="shared" si="183"/>
        <v>43</v>
      </c>
      <c r="GPX51">
        <f t="shared" si="183"/>
        <v>43</v>
      </c>
      <c r="GPY51">
        <f t="shared" si="183"/>
        <v>43</v>
      </c>
      <c r="GPZ51">
        <f t="shared" si="183"/>
        <v>43</v>
      </c>
      <c r="GQA51">
        <f t="shared" si="183"/>
        <v>43</v>
      </c>
      <c r="GQB51">
        <f t="shared" si="183"/>
        <v>43</v>
      </c>
      <c r="GQC51">
        <f t="shared" si="183"/>
        <v>43</v>
      </c>
      <c r="GQD51">
        <f t="shared" si="183"/>
        <v>43</v>
      </c>
      <c r="GQE51">
        <f t="shared" si="183"/>
        <v>43</v>
      </c>
      <c r="GQF51">
        <f t="shared" si="183"/>
        <v>43</v>
      </c>
      <c r="GQG51">
        <f t="shared" si="183"/>
        <v>43</v>
      </c>
      <c r="GQH51">
        <f t="shared" si="183"/>
        <v>43</v>
      </c>
      <c r="GQI51">
        <f t="shared" si="183"/>
        <v>43</v>
      </c>
      <c r="GQJ51">
        <f t="shared" si="183"/>
        <v>43</v>
      </c>
      <c r="GQK51">
        <f t="shared" si="183"/>
        <v>43</v>
      </c>
      <c r="GQL51">
        <f t="shared" si="183"/>
        <v>43</v>
      </c>
      <c r="GQM51">
        <f t="shared" si="183"/>
        <v>43</v>
      </c>
      <c r="GQN51">
        <f t="shared" si="183"/>
        <v>43</v>
      </c>
      <c r="GQO51">
        <f t="shared" si="183"/>
        <v>43</v>
      </c>
      <c r="GQP51">
        <f t="shared" si="183"/>
        <v>43</v>
      </c>
      <c r="GQQ51">
        <f t="shared" si="183"/>
        <v>43</v>
      </c>
      <c r="GQR51">
        <f t="shared" si="183"/>
        <v>43</v>
      </c>
      <c r="GQS51">
        <f t="shared" si="183"/>
        <v>43</v>
      </c>
      <c r="GQT51">
        <f t="shared" si="183"/>
        <v>43</v>
      </c>
      <c r="GQU51">
        <f t="shared" si="183"/>
        <v>43</v>
      </c>
      <c r="GQV51">
        <f t="shared" si="183"/>
        <v>43</v>
      </c>
      <c r="GQW51">
        <f t="shared" si="183"/>
        <v>43</v>
      </c>
      <c r="GQX51">
        <f t="shared" si="183"/>
        <v>43</v>
      </c>
      <c r="GQY51">
        <f t="shared" si="183"/>
        <v>43</v>
      </c>
      <c r="GQZ51">
        <f t="shared" si="183"/>
        <v>43</v>
      </c>
      <c r="GRA51">
        <f t="shared" si="183"/>
        <v>43</v>
      </c>
      <c r="GRB51">
        <f t="shared" si="183"/>
        <v>43</v>
      </c>
      <c r="GRC51">
        <f t="shared" si="183"/>
        <v>43</v>
      </c>
      <c r="GRD51">
        <f t="shared" si="183"/>
        <v>43</v>
      </c>
      <c r="GRE51">
        <f t="shared" si="183"/>
        <v>43</v>
      </c>
      <c r="GRF51">
        <f t="shared" si="183"/>
        <v>43</v>
      </c>
      <c r="GRG51">
        <f t="shared" si="183"/>
        <v>43</v>
      </c>
      <c r="GRH51">
        <f t="shared" si="183"/>
        <v>43</v>
      </c>
      <c r="GRI51">
        <f t="shared" si="183"/>
        <v>43</v>
      </c>
      <c r="GRJ51">
        <f t="shared" si="183"/>
        <v>43</v>
      </c>
      <c r="GRK51">
        <f t="shared" si="183"/>
        <v>43</v>
      </c>
      <c r="GRL51">
        <f t="shared" si="183"/>
        <v>43</v>
      </c>
      <c r="GRM51">
        <f t="shared" si="183"/>
        <v>43</v>
      </c>
      <c r="GRN51">
        <f t="shared" si="183"/>
        <v>43</v>
      </c>
      <c r="GRO51">
        <f t="shared" si="183"/>
        <v>43</v>
      </c>
      <c r="GRP51">
        <f t="shared" si="183"/>
        <v>43</v>
      </c>
      <c r="GRQ51">
        <f t="shared" si="183"/>
        <v>43</v>
      </c>
      <c r="GRR51">
        <f t="shared" si="183"/>
        <v>43</v>
      </c>
      <c r="GRS51">
        <f t="shared" si="183"/>
        <v>43</v>
      </c>
      <c r="GRT51">
        <f t="shared" si="183"/>
        <v>43</v>
      </c>
      <c r="GRU51">
        <f t="shared" si="183"/>
        <v>43</v>
      </c>
      <c r="GRV51">
        <f t="shared" si="183"/>
        <v>43</v>
      </c>
      <c r="GRW51">
        <f t="shared" ref="GRW51:GUH51" si="184">COUNTBLANK(GRW6:GRW49)</f>
        <v>43</v>
      </c>
      <c r="GRX51">
        <f t="shared" si="184"/>
        <v>43</v>
      </c>
      <c r="GRY51">
        <f t="shared" si="184"/>
        <v>43</v>
      </c>
      <c r="GRZ51">
        <f t="shared" si="184"/>
        <v>43</v>
      </c>
      <c r="GSA51">
        <f t="shared" si="184"/>
        <v>43</v>
      </c>
      <c r="GSB51">
        <f t="shared" si="184"/>
        <v>43</v>
      </c>
      <c r="GSC51">
        <f t="shared" si="184"/>
        <v>43</v>
      </c>
      <c r="GSD51">
        <f t="shared" si="184"/>
        <v>43</v>
      </c>
      <c r="GSE51">
        <f t="shared" si="184"/>
        <v>43</v>
      </c>
      <c r="GSF51">
        <f t="shared" si="184"/>
        <v>43</v>
      </c>
      <c r="GSG51">
        <f t="shared" si="184"/>
        <v>43</v>
      </c>
      <c r="GSH51">
        <f t="shared" si="184"/>
        <v>43</v>
      </c>
      <c r="GSI51">
        <f t="shared" si="184"/>
        <v>43</v>
      </c>
      <c r="GSJ51">
        <f t="shared" si="184"/>
        <v>43</v>
      </c>
      <c r="GSK51">
        <f t="shared" si="184"/>
        <v>43</v>
      </c>
      <c r="GSL51">
        <f t="shared" si="184"/>
        <v>43</v>
      </c>
      <c r="GSM51">
        <f t="shared" si="184"/>
        <v>43</v>
      </c>
      <c r="GSN51">
        <f t="shared" si="184"/>
        <v>43</v>
      </c>
      <c r="GSO51">
        <f t="shared" si="184"/>
        <v>43</v>
      </c>
      <c r="GSP51">
        <f t="shared" si="184"/>
        <v>43</v>
      </c>
      <c r="GSQ51">
        <f t="shared" si="184"/>
        <v>43</v>
      </c>
      <c r="GSR51">
        <f t="shared" si="184"/>
        <v>43</v>
      </c>
      <c r="GSS51">
        <f t="shared" si="184"/>
        <v>43</v>
      </c>
      <c r="GST51">
        <f t="shared" si="184"/>
        <v>43</v>
      </c>
      <c r="GSU51">
        <f t="shared" si="184"/>
        <v>43</v>
      </c>
      <c r="GSV51">
        <f t="shared" si="184"/>
        <v>43</v>
      </c>
      <c r="GSW51">
        <f t="shared" si="184"/>
        <v>43</v>
      </c>
      <c r="GSX51">
        <f t="shared" si="184"/>
        <v>43</v>
      </c>
      <c r="GSY51">
        <f t="shared" si="184"/>
        <v>43</v>
      </c>
      <c r="GSZ51">
        <f t="shared" si="184"/>
        <v>43</v>
      </c>
      <c r="GTA51">
        <f t="shared" si="184"/>
        <v>43</v>
      </c>
      <c r="GTB51">
        <f t="shared" si="184"/>
        <v>43</v>
      </c>
      <c r="GTC51">
        <f t="shared" si="184"/>
        <v>43</v>
      </c>
      <c r="GTD51">
        <f t="shared" si="184"/>
        <v>43</v>
      </c>
      <c r="GTE51">
        <f t="shared" si="184"/>
        <v>43</v>
      </c>
      <c r="GTF51">
        <f t="shared" si="184"/>
        <v>43</v>
      </c>
      <c r="GTG51">
        <f t="shared" si="184"/>
        <v>43</v>
      </c>
      <c r="GTH51">
        <f t="shared" si="184"/>
        <v>43</v>
      </c>
      <c r="GTI51">
        <f t="shared" si="184"/>
        <v>43</v>
      </c>
      <c r="GTJ51">
        <f t="shared" si="184"/>
        <v>43</v>
      </c>
      <c r="GTK51">
        <f t="shared" si="184"/>
        <v>43</v>
      </c>
      <c r="GTL51">
        <f t="shared" si="184"/>
        <v>43</v>
      </c>
      <c r="GTM51">
        <f t="shared" si="184"/>
        <v>43</v>
      </c>
      <c r="GTN51">
        <f t="shared" si="184"/>
        <v>43</v>
      </c>
      <c r="GTO51">
        <f t="shared" si="184"/>
        <v>43</v>
      </c>
      <c r="GTP51">
        <f t="shared" si="184"/>
        <v>43</v>
      </c>
      <c r="GTQ51">
        <f t="shared" si="184"/>
        <v>43</v>
      </c>
      <c r="GTR51">
        <f t="shared" si="184"/>
        <v>43</v>
      </c>
      <c r="GTS51">
        <f t="shared" si="184"/>
        <v>43</v>
      </c>
      <c r="GTT51">
        <f t="shared" si="184"/>
        <v>43</v>
      </c>
      <c r="GTU51">
        <f t="shared" si="184"/>
        <v>43</v>
      </c>
      <c r="GTV51">
        <f t="shared" si="184"/>
        <v>43</v>
      </c>
      <c r="GTW51">
        <f t="shared" si="184"/>
        <v>43</v>
      </c>
      <c r="GTX51">
        <f t="shared" si="184"/>
        <v>43</v>
      </c>
      <c r="GTY51">
        <f t="shared" si="184"/>
        <v>43</v>
      </c>
      <c r="GTZ51">
        <f t="shared" si="184"/>
        <v>43</v>
      </c>
      <c r="GUA51">
        <f t="shared" si="184"/>
        <v>43</v>
      </c>
      <c r="GUB51">
        <f t="shared" si="184"/>
        <v>43</v>
      </c>
      <c r="GUC51">
        <f t="shared" si="184"/>
        <v>43</v>
      </c>
      <c r="GUD51">
        <f t="shared" si="184"/>
        <v>43</v>
      </c>
      <c r="GUE51">
        <f t="shared" si="184"/>
        <v>43</v>
      </c>
      <c r="GUF51">
        <f t="shared" si="184"/>
        <v>43</v>
      </c>
      <c r="GUG51">
        <f t="shared" si="184"/>
        <v>43</v>
      </c>
      <c r="GUH51">
        <f t="shared" si="184"/>
        <v>43</v>
      </c>
      <c r="GUI51">
        <f t="shared" ref="GUI51:GWT51" si="185">COUNTBLANK(GUI6:GUI49)</f>
        <v>43</v>
      </c>
      <c r="GUJ51">
        <f t="shared" si="185"/>
        <v>43</v>
      </c>
      <c r="GUK51">
        <f t="shared" si="185"/>
        <v>43</v>
      </c>
      <c r="GUL51">
        <f t="shared" si="185"/>
        <v>43</v>
      </c>
      <c r="GUM51">
        <f t="shared" si="185"/>
        <v>43</v>
      </c>
      <c r="GUN51">
        <f t="shared" si="185"/>
        <v>43</v>
      </c>
      <c r="GUO51">
        <f t="shared" si="185"/>
        <v>43</v>
      </c>
      <c r="GUP51">
        <f t="shared" si="185"/>
        <v>43</v>
      </c>
      <c r="GUQ51">
        <f t="shared" si="185"/>
        <v>43</v>
      </c>
      <c r="GUR51">
        <f t="shared" si="185"/>
        <v>43</v>
      </c>
      <c r="GUS51">
        <f t="shared" si="185"/>
        <v>43</v>
      </c>
      <c r="GUT51">
        <f t="shared" si="185"/>
        <v>43</v>
      </c>
      <c r="GUU51">
        <f t="shared" si="185"/>
        <v>43</v>
      </c>
      <c r="GUV51">
        <f t="shared" si="185"/>
        <v>43</v>
      </c>
      <c r="GUW51">
        <f t="shared" si="185"/>
        <v>43</v>
      </c>
      <c r="GUX51">
        <f t="shared" si="185"/>
        <v>43</v>
      </c>
      <c r="GUY51">
        <f t="shared" si="185"/>
        <v>43</v>
      </c>
      <c r="GUZ51">
        <f t="shared" si="185"/>
        <v>43</v>
      </c>
      <c r="GVA51">
        <f t="shared" si="185"/>
        <v>43</v>
      </c>
      <c r="GVB51">
        <f t="shared" si="185"/>
        <v>43</v>
      </c>
      <c r="GVC51">
        <f t="shared" si="185"/>
        <v>43</v>
      </c>
      <c r="GVD51">
        <f t="shared" si="185"/>
        <v>43</v>
      </c>
      <c r="GVE51">
        <f t="shared" si="185"/>
        <v>43</v>
      </c>
      <c r="GVF51">
        <f t="shared" si="185"/>
        <v>43</v>
      </c>
      <c r="GVG51">
        <f t="shared" si="185"/>
        <v>43</v>
      </c>
      <c r="GVH51">
        <f t="shared" si="185"/>
        <v>43</v>
      </c>
      <c r="GVI51">
        <f t="shared" si="185"/>
        <v>43</v>
      </c>
      <c r="GVJ51">
        <f t="shared" si="185"/>
        <v>43</v>
      </c>
      <c r="GVK51">
        <f t="shared" si="185"/>
        <v>43</v>
      </c>
      <c r="GVL51">
        <f t="shared" si="185"/>
        <v>43</v>
      </c>
      <c r="GVM51">
        <f t="shared" si="185"/>
        <v>43</v>
      </c>
      <c r="GVN51">
        <f t="shared" si="185"/>
        <v>43</v>
      </c>
      <c r="GVO51">
        <f t="shared" si="185"/>
        <v>43</v>
      </c>
      <c r="GVP51">
        <f t="shared" si="185"/>
        <v>43</v>
      </c>
      <c r="GVQ51">
        <f t="shared" si="185"/>
        <v>43</v>
      </c>
      <c r="GVR51">
        <f t="shared" si="185"/>
        <v>43</v>
      </c>
      <c r="GVS51">
        <f t="shared" si="185"/>
        <v>43</v>
      </c>
      <c r="GVT51">
        <f t="shared" si="185"/>
        <v>43</v>
      </c>
      <c r="GVU51">
        <f t="shared" si="185"/>
        <v>43</v>
      </c>
      <c r="GVV51">
        <f t="shared" si="185"/>
        <v>43</v>
      </c>
      <c r="GVW51">
        <f t="shared" si="185"/>
        <v>43</v>
      </c>
      <c r="GVX51">
        <f t="shared" si="185"/>
        <v>43</v>
      </c>
      <c r="GVY51">
        <f t="shared" si="185"/>
        <v>43</v>
      </c>
      <c r="GVZ51">
        <f t="shared" si="185"/>
        <v>43</v>
      </c>
      <c r="GWA51">
        <f t="shared" si="185"/>
        <v>43</v>
      </c>
      <c r="GWB51">
        <f t="shared" si="185"/>
        <v>43</v>
      </c>
      <c r="GWC51">
        <f t="shared" si="185"/>
        <v>43</v>
      </c>
      <c r="GWD51">
        <f t="shared" si="185"/>
        <v>43</v>
      </c>
      <c r="GWE51">
        <f t="shared" si="185"/>
        <v>43</v>
      </c>
      <c r="GWF51">
        <f t="shared" si="185"/>
        <v>43</v>
      </c>
      <c r="GWG51">
        <f t="shared" si="185"/>
        <v>43</v>
      </c>
      <c r="GWH51">
        <f t="shared" si="185"/>
        <v>43</v>
      </c>
      <c r="GWI51">
        <f t="shared" si="185"/>
        <v>43</v>
      </c>
      <c r="GWJ51">
        <f t="shared" si="185"/>
        <v>43</v>
      </c>
      <c r="GWK51">
        <f t="shared" si="185"/>
        <v>43</v>
      </c>
      <c r="GWL51">
        <f t="shared" si="185"/>
        <v>43</v>
      </c>
      <c r="GWM51">
        <f t="shared" si="185"/>
        <v>43</v>
      </c>
      <c r="GWN51">
        <f t="shared" si="185"/>
        <v>43</v>
      </c>
      <c r="GWO51">
        <f t="shared" si="185"/>
        <v>43</v>
      </c>
      <c r="GWP51">
        <f t="shared" si="185"/>
        <v>43</v>
      </c>
      <c r="GWQ51">
        <f t="shared" si="185"/>
        <v>43</v>
      </c>
      <c r="GWR51">
        <f t="shared" si="185"/>
        <v>43</v>
      </c>
      <c r="GWS51">
        <f t="shared" si="185"/>
        <v>43</v>
      </c>
      <c r="GWT51">
        <f t="shared" si="185"/>
        <v>43</v>
      </c>
      <c r="GWU51">
        <f t="shared" ref="GWU51:GZF51" si="186">COUNTBLANK(GWU6:GWU49)</f>
        <v>43</v>
      </c>
      <c r="GWV51">
        <f t="shared" si="186"/>
        <v>43</v>
      </c>
      <c r="GWW51">
        <f t="shared" si="186"/>
        <v>43</v>
      </c>
      <c r="GWX51">
        <f t="shared" si="186"/>
        <v>43</v>
      </c>
      <c r="GWY51">
        <f t="shared" si="186"/>
        <v>43</v>
      </c>
      <c r="GWZ51">
        <f t="shared" si="186"/>
        <v>43</v>
      </c>
      <c r="GXA51">
        <f t="shared" si="186"/>
        <v>43</v>
      </c>
      <c r="GXB51">
        <f t="shared" si="186"/>
        <v>43</v>
      </c>
      <c r="GXC51">
        <f t="shared" si="186"/>
        <v>43</v>
      </c>
      <c r="GXD51">
        <f t="shared" si="186"/>
        <v>43</v>
      </c>
      <c r="GXE51">
        <f t="shared" si="186"/>
        <v>43</v>
      </c>
      <c r="GXF51">
        <f t="shared" si="186"/>
        <v>43</v>
      </c>
      <c r="GXG51">
        <f t="shared" si="186"/>
        <v>43</v>
      </c>
      <c r="GXH51">
        <f t="shared" si="186"/>
        <v>43</v>
      </c>
      <c r="GXI51">
        <f t="shared" si="186"/>
        <v>43</v>
      </c>
      <c r="GXJ51">
        <f t="shared" si="186"/>
        <v>43</v>
      </c>
      <c r="GXK51">
        <f t="shared" si="186"/>
        <v>43</v>
      </c>
      <c r="GXL51">
        <f t="shared" si="186"/>
        <v>43</v>
      </c>
      <c r="GXM51">
        <f t="shared" si="186"/>
        <v>43</v>
      </c>
      <c r="GXN51">
        <f t="shared" si="186"/>
        <v>43</v>
      </c>
      <c r="GXO51">
        <f t="shared" si="186"/>
        <v>43</v>
      </c>
      <c r="GXP51">
        <f t="shared" si="186"/>
        <v>43</v>
      </c>
      <c r="GXQ51">
        <f t="shared" si="186"/>
        <v>43</v>
      </c>
      <c r="GXR51">
        <f t="shared" si="186"/>
        <v>43</v>
      </c>
      <c r="GXS51">
        <f t="shared" si="186"/>
        <v>43</v>
      </c>
      <c r="GXT51">
        <f t="shared" si="186"/>
        <v>43</v>
      </c>
      <c r="GXU51">
        <f t="shared" si="186"/>
        <v>43</v>
      </c>
      <c r="GXV51">
        <f t="shared" si="186"/>
        <v>43</v>
      </c>
      <c r="GXW51">
        <f t="shared" si="186"/>
        <v>43</v>
      </c>
      <c r="GXX51">
        <f t="shared" si="186"/>
        <v>43</v>
      </c>
      <c r="GXY51">
        <f t="shared" si="186"/>
        <v>43</v>
      </c>
      <c r="GXZ51">
        <f t="shared" si="186"/>
        <v>43</v>
      </c>
      <c r="GYA51">
        <f t="shared" si="186"/>
        <v>43</v>
      </c>
      <c r="GYB51">
        <f t="shared" si="186"/>
        <v>43</v>
      </c>
      <c r="GYC51">
        <f t="shared" si="186"/>
        <v>43</v>
      </c>
      <c r="GYD51">
        <f t="shared" si="186"/>
        <v>43</v>
      </c>
      <c r="GYE51">
        <f t="shared" si="186"/>
        <v>43</v>
      </c>
      <c r="GYF51">
        <f t="shared" si="186"/>
        <v>43</v>
      </c>
      <c r="GYG51">
        <f t="shared" si="186"/>
        <v>43</v>
      </c>
      <c r="GYH51">
        <f t="shared" si="186"/>
        <v>43</v>
      </c>
      <c r="GYI51">
        <f t="shared" si="186"/>
        <v>43</v>
      </c>
      <c r="GYJ51">
        <f t="shared" si="186"/>
        <v>43</v>
      </c>
      <c r="GYK51">
        <f t="shared" si="186"/>
        <v>43</v>
      </c>
      <c r="GYL51">
        <f t="shared" si="186"/>
        <v>43</v>
      </c>
      <c r="GYM51">
        <f t="shared" si="186"/>
        <v>43</v>
      </c>
      <c r="GYN51">
        <f t="shared" si="186"/>
        <v>43</v>
      </c>
      <c r="GYO51">
        <f t="shared" si="186"/>
        <v>43</v>
      </c>
      <c r="GYP51">
        <f t="shared" si="186"/>
        <v>43</v>
      </c>
      <c r="GYQ51">
        <f t="shared" si="186"/>
        <v>43</v>
      </c>
      <c r="GYR51">
        <f t="shared" si="186"/>
        <v>43</v>
      </c>
      <c r="GYS51">
        <f t="shared" si="186"/>
        <v>43</v>
      </c>
      <c r="GYT51">
        <f t="shared" si="186"/>
        <v>43</v>
      </c>
      <c r="GYU51">
        <f t="shared" si="186"/>
        <v>43</v>
      </c>
      <c r="GYV51">
        <f t="shared" si="186"/>
        <v>43</v>
      </c>
      <c r="GYW51">
        <f t="shared" si="186"/>
        <v>43</v>
      </c>
      <c r="GYX51">
        <f t="shared" si="186"/>
        <v>43</v>
      </c>
      <c r="GYY51">
        <f t="shared" si="186"/>
        <v>43</v>
      </c>
      <c r="GYZ51">
        <f t="shared" si="186"/>
        <v>43</v>
      </c>
      <c r="GZA51">
        <f t="shared" si="186"/>
        <v>43</v>
      </c>
      <c r="GZB51">
        <f t="shared" si="186"/>
        <v>43</v>
      </c>
      <c r="GZC51">
        <f t="shared" si="186"/>
        <v>43</v>
      </c>
      <c r="GZD51">
        <f t="shared" si="186"/>
        <v>43</v>
      </c>
      <c r="GZE51">
        <f t="shared" si="186"/>
        <v>43</v>
      </c>
      <c r="GZF51">
        <f t="shared" si="186"/>
        <v>43</v>
      </c>
      <c r="GZG51">
        <f t="shared" ref="GZG51:HBR51" si="187">COUNTBLANK(GZG6:GZG49)</f>
        <v>43</v>
      </c>
      <c r="GZH51">
        <f t="shared" si="187"/>
        <v>43</v>
      </c>
      <c r="GZI51">
        <f t="shared" si="187"/>
        <v>43</v>
      </c>
      <c r="GZJ51">
        <f t="shared" si="187"/>
        <v>43</v>
      </c>
      <c r="GZK51">
        <f t="shared" si="187"/>
        <v>43</v>
      </c>
      <c r="GZL51">
        <f t="shared" si="187"/>
        <v>43</v>
      </c>
      <c r="GZM51">
        <f t="shared" si="187"/>
        <v>43</v>
      </c>
      <c r="GZN51">
        <f t="shared" si="187"/>
        <v>43</v>
      </c>
      <c r="GZO51">
        <f t="shared" si="187"/>
        <v>43</v>
      </c>
      <c r="GZP51">
        <f t="shared" si="187"/>
        <v>43</v>
      </c>
      <c r="GZQ51">
        <f t="shared" si="187"/>
        <v>43</v>
      </c>
      <c r="GZR51">
        <f t="shared" si="187"/>
        <v>43</v>
      </c>
      <c r="GZS51">
        <f t="shared" si="187"/>
        <v>43</v>
      </c>
      <c r="GZT51">
        <f t="shared" si="187"/>
        <v>43</v>
      </c>
      <c r="GZU51">
        <f t="shared" si="187"/>
        <v>43</v>
      </c>
      <c r="GZV51">
        <f t="shared" si="187"/>
        <v>43</v>
      </c>
      <c r="GZW51">
        <f t="shared" si="187"/>
        <v>43</v>
      </c>
      <c r="GZX51">
        <f t="shared" si="187"/>
        <v>43</v>
      </c>
      <c r="GZY51">
        <f t="shared" si="187"/>
        <v>43</v>
      </c>
      <c r="GZZ51">
        <f t="shared" si="187"/>
        <v>43</v>
      </c>
      <c r="HAA51">
        <f t="shared" si="187"/>
        <v>43</v>
      </c>
      <c r="HAB51">
        <f t="shared" si="187"/>
        <v>43</v>
      </c>
      <c r="HAC51">
        <f t="shared" si="187"/>
        <v>43</v>
      </c>
      <c r="HAD51">
        <f t="shared" si="187"/>
        <v>43</v>
      </c>
      <c r="HAE51">
        <f t="shared" si="187"/>
        <v>43</v>
      </c>
      <c r="HAF51">
        <f t="shared" si="187"/>
        <v>43</v>
      </c>
      <c r="HAG51">
        <f t="shared" si="187"/>
        <v>43</v>
      </c>
      <c r="HAH51">
        <f t="shared" si="187"/>
        <v>43</v>
      </c>
      <c r="HAI51">
        <f t="shared" si="187"/>
        <v>43</v>
      </c>
      <c r="HAJ51">
        <f t="shared" si="187"/>
        <v>43</v>
      </c>
      <c r="HAK51">
        <f t="shared" si="187"/>
        <v>43</v>
      </c>
      <c r="HAL51">
        <f t="shared" si="187"/>
        <v>43</v>
      </c>
      <c r="HAM51">
        <f t="shared" si="187"/>
        <v>43</v>
      </c>
      <c r="HAN51">
        <f t="shared" si="187"/>
        <v>43</v>
      </c>
      <c r="HAO51">
        <f t="shared" si="187"/>
        <v>43</v>
      </c>
      <c r="HAP51">
        <f t="shared" si="187"/>
        <v>43</v>
      </c>
      <c r="HAQ51">
        <f t="shared" si="187"/>
        <v>43</v>
      </c>
      <c r="HAR51">
        <f t="shared" si="187"/>
        <v>43</v>
      </c>
      <c r="HAS51">
        <f t="shared" si="187"/>
        <v>43</v>
      </c>
      <c r="HAT51">
        <f t="shared" si="187"/>
        <v>43</v>
      </c>
      <c r="HAU51">
        <f t="shared" si="187"/>
        <v>43</v>
      </c>
      <c r="HAV51">
        <f t="shared" si="187"/>
        <v>43</v>
      </c>
      <c r="HAW51">
        <f t="shared" si="187"/>
        <v>43</v>
      </c>
      <c r="HAX51">
        <f t="shared" si="187"/>
        <v>43</v>
      </c>
      <c r="HAY51">
        <f t="shared" si="187"/>
        <v>43</v>
      </c>
      <c r="HAZ51">
        <f t="shared" si="187"/>
        <v>43</v>
      </c>
      <c r="HBA51">
        <f t="shared" si="187"/>
        <v>43</v>
      </c>
      <c r="HBB51">
        <f t="shared" si="187"/>
        <v>43</v>
      </c>
      <c r="HBC51">
        <f t="shared" si="187"/>
        <v>43</v>
      </c>
      <c r="HBD51">
        <f t="shared" si="187"/>
        <v>43</v>
      </c>
      <c r="HBE51">
        <f t="shared" si="187"/>
        <v>43</v>
      </c>
      <c r="HBF51">
        <f t="shared" si="187"/>
        <v>43</v>
      </c>
      <c r="HBG51">
        <f t="shared" si="187"/>
        <v>43</v>
      </c>
      <c r="HBH51">
        <f t="shared" si="187"/>
        <v>43</v>
      </c>
      <c r="HBI51">
        <f t="shared" si="187"/>
        <v>43</v>
      </c>
      <c r="HBJ51">
        <f t="shared" si="187"/>
        <v>43</v>
      </c>
      <c r="HBK51">
        <f t="shared" si="187"/>
        <v>43</v>
      </c>
      <c r="HBL51">
        <f t="shared" si="187"/>
        <v>43</v>
      </c>
      <c r="HBM51">
        <f t="shared" si="187"/>
        <v>43</v>
      </c>
      <c r="HBN51">
        <f t="shared" si="187"/>
        <v>43</v>
      </c>
      <c r="HBO51">
        <f t="shared" si="187"/>
        <v>43</v>
      </c>
      <c r="HBP51">
        <f t="shared" si="187"/>
        <v>43</v>
      </c>
      <c r="HBQ51">
        <f t="shared" si="187"/>
        <v>43</v>
      </c>
      <c r="HBR51">
        <f t="shared" si="187"/>
        <v>43</v>
      </c>
      <c r="HBS51">
        <f t="shared" ref="HBS51:HED51" si="188">COUNTBLANK(HBS6:HBS49)</f>
        <v>43</v>
      </c>
      <c r="HBT51">
        <f t="shared" si="188"/>
        <v>43</v>
      </c>
      <c r="HBU51">
        <f t="shared" si="188"/>
        <v>43</v>
      </c>
      <c r="HBV51">
        <f t="shared" si="188"/>
        <v>43</v>
      </c>
      <c r="HBW51">
        <f t="shared" si="188"/>
        <v>43</v>
      </c>
      <c r="HBX51">
        <f t="shared" si="188"/>
        <v>43</v>
      </c>
      <c r="HBY51">
        <f t="shared" si="188"/>
        <v>43</v>
      </c>
      <c r="HBZ51">
        <f t="shared" si="188"/>
        <v>43</v>
      </c>
      <c r="HCA51">
        <f t="shared" si="188"/>
        <v>43</v>
      </c>
      <c r="HCB51">
        <f t="shared" si="188"/>
        <v>43</v>
      </c>
      <c r="HCC51">
        <f t="shared" si="188"/>
        <v>43</v>
      </c>
      <c r="HCD51">
        <f t="shared" si="188"/>
        <v>43</v>
      </c>
      <c r="HCE51">
        <f t="shared" si="188"/>
        <v>43</v>
      </c>
      <c r="HCF51">
        <f t="shared" si="188"/>
        <v>43</v>
      </c>
      <c r="HCG51">
        <f t="shared" si="188"/>
        <v>43</v>
      </c>
      <c r="HCH51">
        <f t="shared" si="188"/>
        <v>43</v>
      </c>
      <c r="HCI51">
        <f t="shared" si="188"/>
        <v>43</v>
      </c>
      <c r="HCJ51">
        <f t="shared" si="188"/>
        <v>43</v>
      </c>
      <c r="HCK51">
        <f t="shared" si="188"/>
        <v>43</v>
      </c>
      <c r="HCL51">
        <f t="shared" si="188"/>
        <v>43</v>
      </c>
      <c r="HCM51">
        <f t="shared" si="188"/>
        <v>43</v>
      </c>
      <c r="HCN51">
        <f t="shared" si="188"/>
        <v>43</v>
      </c>
      <c r="HCO51">
        <f t="shared" si="188"/>
        <v>43</v>
      </c>
      <c r="HCP51">
        <f t="shared" si="188"/>
        <v>43</v>
      </c>
      <c r="HCQ51">
        <f t="shared" si="188"/>
        <v>43</v>
      </c>
      <c r="HCR51">
        <f t="shared" si="188"/>
        <v>43</v>
      </c>
      <c r="HCS51">
        <f t="shared" si="188"/>
        <v>43</v>
      </c>
      <c r="HCT51">
        <f t="shared" si="188"/>
        <v>43</v>
      </c>
      <c r="HCU51">
        <f t="shared" si="188"/>
        <v>43</v>
      </c>
      <c r="HCV51">
        <f t="shared" si="188"/>
        <v>43</v>
      </c>
      <c r="HCW51">
        <f t="shared" si="188"/>
        <v>43</v>
      </c>
      <c r="HCX51">
        <f t="shared" si="188"/>
        <v>43</v>
      </c>
      <c r="HCY51">
        <f t="shared" si="188"/>
        <v>43</v>
      </c>
      <c r="HCZ51">
        <f t="shared" si="188"/>
        <v>43</v>
      </c>
      <c r="HDA51">
        <f t="shared" si="188"/>
        <v>43</v>
      </c>
      <c r="HDB51">
        <f t="shared" si="188"/>
        <v>43</v>
      </c>
      <c r="HDC51">
        <f t="shared" si="188"/>
        <v>43</v>
      </c>
      <c r="HDD51">
        <f t="shared" si="188"/>
        <v>43</v>
      </c>
      <c r="HDE51">
        <f t="shared" si="188"/>
        <v>43</v>
      </c>
      <c r="HDF51">
        <f t="shared" si="188"/>
        <v>43</v>
      </c>
      <c r="HDG51">
        <f t="shared" si="188"/>
        <v>43</v>
      </c>
      <c r="HDH51">
        <f t="shared" si="188"/>
        <v>43</v>
      </c>
      <c r="HDI51">
        <f t="shared" si="188"/>
        <v>43</v>
      </c>
      <c r="HDJ51">
        <f t="shared" si="188"/>
        <v>43</v>
      </c>
      <c r="HDK51">
        <f t="shared" si="188"/>
        <v>43</v>
      </c>
      <c r="HDL51">
        <f t="shared" si="188"/>
        <v>43</v>
      </c>
      <c r="HDM51">
        <f t="shared" si="188"/>
        <v>43</v>
      </c>
      <c r="HDN51">
        <f t="shared" si="188"/>
        <v>43</v>
      </c>
      <c r="HDO51">
        <f t="shared" si="188"/>
        <v>43</v>
      </c>
      <c r="HDP51">
        <f t="shared" si="188"/>
        <v>43</v>
      </c>
      <c r="HDQ51">
        <f t="shared" si="188"/>
        <v>43</v>
      </c>
      <c r="HDR51">
        <f t="shared" si="188"/>
        <v>43</v>
      </c>
      <c r="HDS51">
        <f t="shared" si="188"/>
        <v>43</v>
      </c>
      <c r="HDT51">
        <f t="shared" si="188"/>
        <v>43</v>
      </c>
      <c r="HDU51">
        <f t="shared" si="188"/>
        <v>43</v>
      </c>
      <c r="HDV51">
        <f t="shared" si="188"/>
        <v>43</v>
      </c>
      <c r="HDW51">
        <f t="shared" si="188"/>
        <v>43</v>
      </c>
      <c r="HDX51">
        <f t="shared" si="188"/>
        <v>43</v>
      </c>
      <c r="HDY51">
        <f t="shared" si="188"/>
        <v>43</v>
      </c>
      <c r="HDZ51">
        <f t="shared" si="188"/>
        <v>43</v>
      </c>
      <c r="HEA51">
        <f t="shared" si="188"/>
        <v>43</v>
      </c>
      <c r="HEB51">
        <f t="shared" si="188"/>
        <v>43</v>
      </c>
      <c r="HEC51">
        <f t="shared" si="188"/>
        <v>43</v>
      </c>
      <c r="HED51">
        <f t="shared" si="188"/>
        <v>43</v>
      </c>
      <c r="HEE51">
        <f t="shared" ref="HEE51:HGP51" si="189">COUNTBLANK(HEE6:HEE49)</f>
        <v>43</v>
      </c>
      <c r="HEF51">
        <f t="shared" si="189"/>
        <v>43</v>
      </c>
      <c r="HEG51">
        <f t="shared" si="189"/>
        <v>43</v>
      </c>
      <c r="HEH51">
        <f t="shared" si="189"/>
        <v>43</v>
      </c>
      <c r="HEI51">
        <f t="shared" si="189"/>
        <v>43</v>
      </c>
      <c r="HEJ51">
        <f t="shared" si="189"/>
        <v>43</v>
      </c>
      <c r="HEK51">
        <f t="shared" si="189"/>
        <v>43</v>
      </c>
      <c r="HEL51">
        <f t="shared" si="189"/>
        <v>43</v>
      </c>
      <c r="HEM51">
        <f t="shared" si="189"/>
        <v>43</v>
      </c>
      <c r="HEN51">
        <f t="shared" si="189"/>
        <v>43</v>
      </c>
      <c r="HEO51">
        <f t="shared" si="189"/>
        <v>43</v>
      </c>
      <c r="HEP51">
        <f t="shared" si="189"/>
        <v>43</v>
      </c>
      <c r="HEQ51">
        <f t="shared" si="189"/>
        <v>43</v>
      </c>
      <c r="HER51">
        <f t="shared" si="189"/>
        <v>43</v>
      </c>
      <c r="HES51">
        <f t="shared" si="189"/>
        <v>43</v>
      </c>
      <c r="HET51">
        <f t="shared" si="189"/>
        <v>43</v>
      </c>
      <c r="HEU51">
        <f t="shared" si="189"/>
        <v>43</v>
      </c>
      <c r="HEV51">
        <f t="shared" si="189"/>
        <v>43</v>
      </c>
      <c r="HEW51">
        <f t="shared" si="189"/>
        <v>43</v>
      </c>
      <c r="HEX51">
        <f t="shared" si="189"/>
        <v>43</v>
      </c>
      <c r="HEY51">
        <f t="shared" si="189"/>
        <v>43</v>
      </c>
      <c r="HEZ51">
        <f t="shared" si="189"/>
        <v>43</v>
      </c>
      <c r="HFA51">
        <f t="shared" si="189"/>
        <v>43</v>
      </c>
      <c r="HFB51">
        <f t="shared" si="189"/>
        <v>43</v>
      </c>
      <c r="HFC51">
        <f t="shared" si="189"/>
        <v>43</v>
      </c>
      <c r="HFD51">
        <f t="shared" si="189"/>
        <v>43</v>
      </c>
      <c r="HFE51">
        <f t="shared" si="189"/>
        <v>43</v>
      </c>
      <c r="HFF51">
        <f t="shared" si="189"/>
        <v>43</v>
      </c>
      <c r="HFG51">
        <f t="shared" si="189"/>
        <v>43</v>
      </c>
      <c r="HFH51">
        <f t="shared" si="189"/>
        <v>43</v>
      </c>
      <c r="HFI51">
        <f t="shared" si="189"/>
        <v>43</v>
      </c>
      <c r="HFJ51">
        <f t="shared" si="189"/>
        <v>43</v>
      </c>
      <c r="HFK51">
        <f t="shared" si="189"/>
        <v>43</v>
      </c>
      <c r="HFL51">
        <f t="shared" si="189"/>
        <v>43</v>
      </c>
      <c r="HFM51">
        <f t="shared" si="189"/>
        <v>43</v>
      </c>
      <c r="HFN51">
        <f t="shared" si="189"/>
        <v>43</v>
      </c>
      <c r="HFO51">
        <f t="shared" si="189"/>
        <v>43</v>
      </c>
      <c r="HFP51">
        <f t="shared" si="189"/>
        <v>43</v>
      </c>
      <c r="HFQ51">
        <f t="shared" si="189"/>
        <v>43</v>
      </c>
      <c r="HFR51">
        <f t="shared" si="189"/>
        <v>43</v>
      </c>
      <c r="HFS51">
        <f t="shared" si="189"/>
        <v>43</v>
      </c>
      <c r="HFT51">
        <f t="shared" si="189"/>
        <v>43</v>
      </c>
      <c r="HFU51">
        <f t="shared" si="189"/>
        <v>43</v>
      </c>
      <c r="HFV51">
        <f t="shared" si="189"/>
        <v>43</v>
      </c>
      <c r="HFW51">
        <f t="shared" si="189"/>
        <v>43</v>
      </c>
      <c r="HFX51">
        <f t="shared" si="189"/>
        <v>43</v>
      </c>
      <c r="HFY51">
        <f t="shared" si="189"/>
        <v>43</v>
      </c>
      <c r="HFZ51">
        <f t="shared" si="189"/>
        <v>43</v>
      </c>
      <c r="HGA51">
        <f t="shared" si="189"/>
        <v>43</v>
      </c>
      <c r="HGB51">
        <f t="shared" si="189"/>
        <v>43</v>
      </c>
      <c r="HGC51">
        <f t="shared" si="189"/>
        <v>43</v>
      </c>
      <c r="HGD51">
        <f t="shared" si="189"/>
        <v>43</v>
      </c>
      <c r="HGE51">
        <f t="shared" si="189"/>
        <v>43</v>
      </c>
      <c r="HGF51">
        <f t="shared" si="189"/>
        <v>43</v>
      </c>
      <c r="HGG51">
        <f t="shared" si="189"/>
        <v>43</v>
      </c>
      <c r="HGH51">
        <f t="shared" si="189"/>
        <v>43</v>
      </c>
      <c r="HGI51">
        <f t="shared" si="189"/>
        <v>43</v>
      </c>
      <c r="HGJ51">
        <f t="shared" si="189"/>
        <v>43</v>
      </c>
      <c r="HGK51">
        <f t="shared" si="189"/>
        <v>43</v>
      </c>
      <c r="HGL51">
        <f t="shared" si="189"/>
        <v>43</v>
      </c>
      <c r="HGM51">
        <f t="shared" si="189"/>
        <v>43</v>
      </c>
      <c r="HGN51">
        <f t="shared" si="189"/>
        <v>43</v>
      </c>
      <c r="HGO51">
        <f t="shared" si="189"/>
        <v>43</v>
      </c>
      <c r="HGP51">
        <f t="shared" si="189"/>
        <v>43</v>
      </c>
      <c r="HGQ51">
        <f t="shared" ref="HGQ51:HJB51" si="190">COUNTBLANK(HGQ6:HGQ49)</f>
        <v>43</v>
      </c>
      <c r="HGR51">
        <f t="shared" si="190"/>
        <v>43</v>
      </c>
      <c r="HGS51">
        <f t="shared" si="190"/>
        <v>43</v>
      </c>
      <c r="HGT51">
        <f t="shared" si="190"/>
        <v>43</v>
      </c>
      <c r="HGU51">
        <f t="shared" si="190"/>
        <v>43</v>
      </c>
      <c r="HGV51">
        <f t="shared" si="190"/>
        <v>43</v>
      </c>
      <c r="HGW51">
        <f t="shared" si="190"/>
        <v>43</v>
      </c>
      <c r="HGX51">
        <f t="shared" si="190"/>
        <v>43</v>
      </c>
      <c r="HGY51">
        <f t="shared" si="190"/>
        <v>43</v>
      </c>
      <c r="HGZ51">
        <f t="shared" si="190"/>
        <v>43</v>
      </c>
      <c r="HHA51">
        <f t="shared" si="190"/>
        <v>43</v>
      </c>
      <c r="HHB51">
        <f t="shared" si="190"/>
        <v>43</v>
      </c>
      <c r="HHC51">
        <f t="shared" si="190"/>
        <v>43</v>
      </c>
      <c r="HHD51">
        <f t="shared" si="190"/>
        <v>43</v>
      </c>
      <c r="HHE51">
        <f t="shared" si="190"/>
        <v>43</v>
      </c>
      <c r="HHF51">
        <f t="shared" si="190"/>
        <v>43</v>
      </c>
      <c r="HHG51">
        <f t="shared" si="190"/>
        <v>43</v>
      </c>
      <c r="HHH51">
        <f t="shared" si="190"/>
        <v>43</v>
      </c>
      <c r="HHI51">
        <f t="shared" si="190"/>
        <v>43</v>
      </c>
      <c r="HHJ51">
        <f t="shared" si="190"/>
        <v>43</v>
      </c>
      <c r="HHK51">
        <f t="shared" si="190"/>
        <v>43</v>
      </c>
      <c r="HHL51">
        <f t="shared" si="190"/>
        <v>43</v>
      </c>
      <c r="HHM51">
        <f t="shared" si="190"/>
        <v>43</v>
      </c>
      <c r="HHN51">
        <f t="shared" si="190"/>
        <v>43</v>
      </c>
      <c r="HHO51">
        <f t="shared" si="190"/>
        <v>43</v>
      </c>
      <c r="HHP51">
        <f t="shared" si="190"/>
        <v>43</v>
      </c>
      <c r="HHQ51">
        <f t="shared" si="190"/>
        <v>43</v>
      </c>
      <c r="HHR51">
        <f t="shared" si="190"/>
        <v>43</v>
      </c>
      <c r="HHS51">
        <f t="shared" si="190"/>
        <v>43</v>
      </c>
      <c r="HHT51">
        <f t="shared" si="190"/>
        <v>43</v>
      </c>
      <c r="HHU51">
        <f t="shared" si="190"/>
        <v>43</v>
      </c>
      <c r="HHV51">
        <f t="shared" si="190"/>
        <v>43</v>
      </c>
      <c r="HHW51">
        <f t="shared" si="190"/>
        <v>43</v>
      </c>
      <c r="HHX51">
        <f t="shared" si="190"/>
        <v>43</v>
      </c>
      <c r="HHY51">
        <f t="shared" si="190"/>
        <v>43</v>
      </c>
      <c r="HHZ51">
        <f t="shared" si="190"/>
        <v>43</v>
      </c>
      <c r="HIA51">
        <f t="shared" si="190"/>
        <v>43</v>
      </c>
      <c r="HIB51">
        <f t="shared" si="190"/>
        <v>43</v>
      </c>
      <c r="HIC51">
        <f t="shared" si="190"/>
        <v>43</v>
      </c>
      <c r="HID51">
        <f t="shared" si="190"/>
        <v>43</v>
      </c>
      <c r="HIE51">
        <f t="shared" si="190"/>
        <v>43</v>
      </c>
      <c r="HIF51">
        <f t="shared" si="190"/>
        <v>43</v>
      </c>
      <c r="HIG51">
        <f t="shared" si="190"/>
        <v>43</v>
      </c>
      <c r="HIH51">
        <f t="shared" si="190"/>
        <v>43</v>
      </c>
      <c r="HII51">
        <f t="shared" si="190"/>
        <v>43</v>
      </c>
      <c r="HIJ51">
        <f t="shared" si="190"/>
        <v>43</v>
      </c>
      <c r="HIK51">
        <f t="shared" si="190"/>
        <v>43</v>
      </c>
      <c r="HIL51">
        <f t="shared" si="190"/>
        <v>43</v>
      </c>
      <c r="HIM51">
        <f t="shared" si="190"/>
        <v>43</v>
      </c>
      <c r="HIN51">
        <f t="shared" si="190"/>
        <v>43</v>
      </c>
      <c r="HIO51">
        <f t="shared" si="190"/>
        <v>43</v>
      </c>
      <c r="HIP51">
        <f t="shared" si="190"/>
        <v>43</v>
      </c>
      <c r="HIQ51">
        <f t="shared" si="190"/>
        <v>43</v>
      </c>
      <c r="HIR51">
        <f t="shared" si="190"/>
        <v>43</v>
      </c>
      <c r="HIS51">
        <f t="shared" si="190"/>
        <v>43</v>
      </c>
      <c r="HIT51">
        <f t="shared" si="190"/>
        <v>43</v>
      </c>
      <c r="HIU51">
        <f t="shared" si="190"/>
        <v>43</v>
      </c>
      <c r="HIV51">
        <f t="shared" si="190"/>
        <v>43</v>
      </c>
      <c r="HIW51">
        <f t="shared" si="190"/>
        <v>43</v>
      </c>
      <c r="HIX51">
        <f t="shared" si="190"/>
        <v>43</v>
      </c>
      <c r="HIY51">
        <f t="shared" si="190"/>
        <v>43</v>
      </c>
      <c r="HIZ51">
        <f t="shared" si="190"/>
        <v>43</v>
      </c>
      <c r="HJA51">
        <f t="shared" si="190"/>
        <v>43</v>
      </c>
      <c r="HJB51">
        <f t="shared" si="190"/>
        <v>43</v>
      </c>
      <c r="HJC51">
        <f t="shared" ref="HJC51:HLN51" si="191">COUNTBLANK(HJC6:HJC49)</f>
        <v>43</v>
      </c>
      <c r="HJD51">
        <f t="shared" si="191"/>
        <v>43</v>
      </c>
      <c r="HJE51">
        <f t="shared" si="191"/>
        <v>43</v>
      </c>
      <c r="HJF51">
        <f t="shared" si="191"/>
        <v>43</v>
      </c>
      <c r="HJG51">
        <f t="shared" si="191"/>
        <v>43</v>
      </c>
      <c r="HJH51">
        <f t="shared" si="191"/>
        <v>43</v>
      </c>
      <c r="HJI51">
        <f t="shared" si="191"/>
        <v>43</v>
      </c>
      <c r="HJJ51">
        <f t="shared" si="191"/>
        <v>43</v>
      </c>
      <c r="HJK51">
        <f t="shared" si="191"/>
        <v>43</v>
      </c>
      <c r="HJL51">
        <f t="shared" si="191"/>
        <v>43</v>
      </c>
      <c r="HJM51">
        <f t="shared" si="191"/>
        <v>43</v>
      </c>
      <c r="HJN51">
        <f t="shared" si="191"/>
        <v>43</v>
      </c>
      <c r="HJO51">
        <f t="shared" si="191"/>
        <v>43</v>
      </c>
      <c r="HJP51">
        <f t="shared" si="191"/>
        <v>43</v>
      </c>
      <c r="HJQ51">
        <f t="shared" si="191"/>
        <v>43</v>
      </c>
      <c r="HJR51">
        <f t="shared" si="191"/>
        <v>43</v>
      </c>
      <c r="HJS51">
        <f t="shared" si="191"/>
        <v>43</v>
      </c>
      <c r="HJT51">
        <f t="shared" si="191"/>
        <v>43</v>
      </c>
      <c r="HJU51">
        <f t="shared" si="191"/>
        <v>43</v>
      </c>
      <c r="HJV51">
        <f t="shared" si="191"/>
        <v>43</v>
      </c>
      <c r="HJW51">
        <f t="shared" si="191"/>
        <v>43</v>
      </c>
      <c r="HJX51">
        <f t="shared" si="191"/>
        <v>43</v>
      </c>
      <c r="HJY51">
        <f t="shared" si="191"/>
        <v>43</v>
      </c>
      <c r="HJZ51">
        <f t="shared" si="191"/>
        <v>43</v>
      </c>
      <c r="HKA51">
        <f t="shared" si="191"/>
        <v>43</v>
      </c>
      <c r="HKB51">
        <f t="shared" si="191"/>
        <v>43</v>
      </c>
      <c r="HKC51">
        <f t="shared" si="191"/>
        <v>43</v>
      </c>
      <c r="HKD51">
        <f t="shared" si="191"/>
        <v>43</v>
      </c>
      <c r="HKE51">
        <f t="shared" si="191"/>
        <v>43</v>
      </c>
      <c r="HKF51">
        <f t="shared" si="191"/>
        <v>43</v>
      </c>
      <c r="HKG51">
        <f t="shared" si="191"/>
        <v>43</v>
      </c>
      <c r="HKH51">
        <f t="shared" si="191"/>
        <v>43</v>
      </c>
      <c r="HKI51">
        <f t="shared" si="191"/>
        <v>43</v>
      </c>
      <c r="HKJ51">
        <f t="shared" si="191"/>
        <v>43</v>
      </c>
      <c r="HKK51">
        <f t="shared" si="191"/>
        <v>43</v>
      </c>
      <c r="HKL51">
        <f t="shared" si="191"/>
        <v>43</v>
      </c>
      <c r="HKM51">
        <f t="shared" si="191"/>
        <v>43</v>
      </c>
      <c r="HKN51">
        <f t="shared" si="191"/>
        <v>43</v>
      </c>
      <c r="HKO51">
        <f t="shared" si="191"/>
        <v>43</v>
      </c>
      <c r="HKP51">
        <f t="shared" si="191"/>
        <v>43</v>
      </c>
      <c r="HKQ51">
        <f t="shared" si="191"/>
        <v>43</v>
      </c>
      <c r="HKR51">
        <f t="shared" si="191"/>
        <v>43</v>
      </c>
      <c r="HKS51">
        <f t="shared" si="191"/>
        <v>43</v>
      </c>
      <c r="HKT51">
        <f t="shared" si="191"/>
        <v>43</v>
      </c>
      <c r="HKU51">
        <f t="shared" si="191"/>
        <v>43</v>
      </c>
      <c r="HKV51">
        <f t="shared" si="191"/>
        <v>43</v>
      </c>
      <c r="HKW51">
        <f t="shared" si="191"/>
        <v>43</v>
      </c>
      <c r="HKX51">
        <f t="shared" si="191"/>
        <v>43</v>
      </c>
      <c r="HKY51">
        <f t="shared" si="191"/>
        <v>43</v>
      </c>
      <c r="HKZ51">
        <f t="shared" si="191"/>
        <v>43</v>
      </c>
      <c r="HLA51">
        <f t="shared" si="191"/>
        <v>43</v>
      </c>
      <c r="HLB51">
        <f t="shared" si="191"/>
        <v>43</v>
      </c>
      <c r="HLC51">
        <f t="shared" si="191"/>
        <v>43</v>
      </c>
      <c r="HLD51">
        <f t="shared" si="191"/>
        <v>43</v>
      </c>
      <c r="HLE51">
        <f t="shared" si="191"/>
        <v>43</v>
      </c>
      <c r="HLF51">
        <f t="shared" si="191"/>
        <v>43</v>
      </c>
      <c r="HLG51">
        <f t="shared" si="191"/>
        <v>43</v>
      </c>
      <c r="HLH51">
        <f t="shared" si="191"/>
        <v>43</v>
      </c>
      <c r="HLI51">
        <f t="shared" si="191"/>
        <v>43</v>
      </c>
      <c r="HLJ51">
        <f t="shared" si="191"/>
        <v>43</v>
      </c>
      <c r="HLK51">
        <f t="shared" si="191"/>
        <v>43</v>
      </c>
      <c r="HLL51">
        <f t="shared" si="191"/>
        <v>43</v>
      </c>
      <c r="HLM51">
        <f t="shared" si="191"/>
        <v>43</v>
      </c>
      <c r="HLN51">
        <f t="shared" si="191"/>
        <v>43</v>
      </c>
      <c r="HLO51">
        <f t="shared" ref="HLO51:HNZ51" si="192">COUNTBLANK(HLO6:HLO49)</f>
        <v>43</v>
      </c>
      <c r="HLP51">
        <f t="shared" si="192"/>
        <v>43</v>
      </c>
      <c r="HLQ51">
        <f t="shared" si="192"/>
        <v>43</v>
      </c>
      <c r="HLR51">
        <f t="shared" si="192"/>
        <v>43</v>
      </c>
      <c r="HLS51">
        <f t="shared" si="192"/>
        <v>43</v>
      </c>
      <c r="HLT51">
        <f t="shared" si="192"/>
        <v>43</v>
      </c>
      <c r="HLU51">
        <f t="shared" si="192"/>
        <v>43</v>
      </c>
      <c r="HLV51">
        <f t="shared" si="192"/>
        <v>43</v>
      </c>
      <c r="HLW51">
        <f t="shared" si="192"/>
        <v>43</v>
      </c>
      <c r="HLX51">
        <f t="shared" si="192"/>
        <v>43</v>
      </c>
      <c r="HLY51">
        <f t="shared" si="192"/>
        <v>43</v>
      </c>
      <c r="HLZ51">
        <f t="shared" si="192"/>
        <v>43</v>
      </c>
      <c r="HMA51">
        <f t="shared" si="192"/>
        <v>43</v>
      </c>
      <c r="HMB51">
        <f t="shared" si="192"/>
        <v>43</v>
      </c>
      <c r="HMC51">
        <f t="shared" si="192"/>
        <v>43</v>
      </c>
      <c r="HMD51">
        <f t="shared" si="192"/>
        <v>43</v>
      </c>
      <c r="HME51">
        <f t="shared" si="192"/>
        <v>43</v>
      </c>
      <c r="HMF51">
        <f t="shared" si="192"/>
        <v>43</v>
      </c>
      <c r="HMG51">
        <f t="shared" si="192"/>
        <v>43</v>
      </c>
      <c r="HMH51">
        <f t="shared" si="192"/>
        <v>43</v>
      </c>
      <c r="HMI51">
        <f t="shared" si="192"/>
        <v>43</v>
      </c>
      <c r="HMJ51">
        <f t="shared" si="192"/>
        <v>43</v>
      </c>
      <c r="HMK51">
        <f t="shared" si="192"/>
        <v>43</v>
      </c>
      <c r="HML51">
        <f t="shared" si="192"/>
        <v>43</v>
      </c>
      <c r="HMM51">
        <f t="shared" si="192"/>
        <v>43</v>
      </c>
      <c r="HMN51">
        <f t="shared" si="192"/>
        <v>43</v>
      </c>
      <c r="HMO51">
        <f t="shared" si="192"/>
        <v>43</v>
      </c>
      <c r="HMP51">
        <f t="shared" si="192"/>
        <v>43</v>
      </c>
      <c r="HMQ51">
        <f t="shared" si="192"/>
        <v>43</v>
      </c>
      <c r="HMR51">
        <f t="shared" si="192"/>
        <v>43</v>
      </c>
      <c r="HMS51">
        <f t="shared" si="192"/>
        <v>43</v>
      </c>
      <c r="HMT51">
        <f t="shared" si="192"/>
        <v>43</v>
      </c>
      <c r="HMU51">
        <f t="shared" si="192"/>
        <v>43</v>
      </c>
      <c r="HMV51">
        <f t="shared" si="192"/>
        <v>43</v>
      </c>
      <c r="HMW51">
        <f t="shared" si="192"/>
        <v>43</v>
      </c>
      <c r="HMX51">
        <f t="shared" si="192"/>
        <v>43</v>
      </c>
      <c r="HMY51">
        <f t="shared" si="192"/>
        <v>43</v>
      </c>
      <c r="HMZ51">
        <f t="shared" si="192"/>
        <v>43</v>
      </c>
      <c r="HNA51">
        <f t="shared" si="192"/>
        <v>43</v>
      </c>
      <c r="HNB51">
        <f t="shared" si="192"/>
        <v>43</v>
      </c>
      <c r="HNC51">
        <f t="shared" si="192"/>
        <v>43</v>
      </c>
      <c r="HND51">
        <f t="shared" si="192"/>
        <v>43</v>
      </c>
      <c r="HNE51">
        <f t="shared" si="192"/>
        <v>43</v>
      </c>
      <c r="HNF51">
        <f t="shared" si="192"/>
        <v>43</v>
      </c>
      <c r="HNG51">
        <f t="shared" si="192"/>
        <v>43</v>
      </c>
      <c r="HNH51">
        <f t="shared" si="192"/>
        <v>43</v>
      </c>
      <c r="HNI51">
        <f t="shared" si="192"/>
        <v>43</v>
      </c>
      <c r="HNJ51">
        <f t="shared" si="192"/>
        <v>43</v>
      </c>
      <c r="HNK51">
        <f t="shared" si="192"/>
        <v>43</v>
      </c>
      <c r="HNL51">
        <f t="shared" si="192"/>
        <v>43</v>
      </c>
      <c r="HNM51">
        <f t="shared" si="192"/>
        <v>43</v>
      </c>
      <c r="HNN51">
        <f t="shared" si="192"/>
        <v>43</v>
      </c>
      <c r="HNO51">
        <f t="shared" si="192"/>
        <v>43</v>
      </c>
      <c r="HNP51">
        <f t="shared" si="192"/>
        <v>43</v>
      </c>
      <c r="HNQ51">
        <f t="shared" si="192"/>
        <v>43</v>
      </c>
      <c r="HNR51">
        <f t="shared" si="192"/>
        <v>43</v>
      </c>
      <c r="HNS51">
        <f t="shared" si="192"/>
        <v>43</v>
      </c>
      <c r="HNT51">
        <f t="shared" si="192"/>
        <v>43</v>
      </c>
      <c r="HNU51">
        <f t="shared" si="192"/>
        <v>43</v>
      </c>
      <c r="HNV51">
        <f t="shared" si="192"/>
        <v>43</v>
      </c>
      <c r="HNW51">
        <f t="shared" si="192"/>
        <v>43</v>
      </c>
      <c r="HNX51">
        <f t="shared" si="192"/>
        <v>43</v>
      </c>
      <c r="HNY51">
        <f t="shared" si="192"/>
        <v>43</v>
      </c>
      <c r="HNZ51">
        <f t="shared" si="192"/>
        <v>43</v>
      </c>
      <c r="HOA51">
        <f t="shared" ref="HOA51:HQL51" si="193">COUNTBLANK(HOA6:HOA49)</f>
        <v>43</v>
      </c>
      <c r="HOB51">
        <f t="shared" si="193"/>
        <v>43</v>
      </c>
      <c r="HOC51">
        <f t="shared" si="193"/>
        <v>43</v>
      </c>
      <c r="HOD51">
        <f t="shared" si="193"/>
        <v>43</v>
      </c>
      <c r="HOE51">
        <f t="shared" si="193"/>
        <v>43</v>
      </c>
      <c r="HOF51">
        <f t="shared" si="193"/>
        <v>43</v>
      </c>
      <c r="HOG51">
        <f t="shared" si="193"/>
        <v>43</v>
      </c>
      <c r="HOH51">
        <f t="shared" si="193"/>
        <v>43</v>
      </c>
      <c r="HOI51">
        <f t="shared" si="193"/>
        <v>43</v>
      </c>
      <c r="HOJ51">
        <f t="shared" si="193"/>
        <v>43</v>
      </c>
      <c r="HOK51">
        <f t="shared" si="193"/>
        <v>43</v>
      </c>
      <c r="HOL51">
        <f t="shared" si="193"/>
        <v>43</v>
      </c>
      <c r="HOM51">
        <f t="shared" si="193"/>
        <v>43</v>
      </c>
      <c r="HON51">
        <f t="shared" si="193"/>
        <v>43</v>
      </c>
      <c r="HOO51">
        <f t="shared" si="193"/>
        <v>43</v>
      </c>
      <c r="HOP51">
        <f t="shared" si="193"/>
        <v>43</v>
      </c>
      <c r="HOQ51">
        <f t="shared" si="193"/>
        <v>43</v>
      </c>
      <c r="HOR51">
        <f t="shared" si="193"/>
        <v>43</v>
      </c>
      <c r="HOS51">
        <f t="shared" si="193"/>
        <v>43</v>
      </c>
      <c r="HOT51">
        <f t="shared" si="193"/>
        <v>43</v>
      </c>
      <c r="HOU51">
        <f t="shared" si="193"/>
        <v>43</v>
      </c>
      <c r="HOV51">
        <f t="shared" si="193"/>
        <v>43</v>
      </c>
      <c r="HOW51">
        <f t="shared" si="193"/>
        <v>43</v>
      </c>
      <c r="HOX51">
        <f t="shared" si="193"/>
        <v>43</v>
      </c>
      <c r="HOY51">
        <f t="shared" si="193"/>
        <v>43</v>
      </c>
      <c r="HOZ51">
        <f t="shared" si="193"/>
        <v>43</v>
      </c>
      <c r="HPA51">
        <f t="shared" si="193"/>
        <v>43</v>
      </c>
      <c r="HPB51">
        <f t="shared" si="193"/>
        <v>43</v>
      </c>
      <c r="HPC51">
        <f t="shared" si="193"/>
        <v>43</v>
      </c>
      <c r="HPD51">
        <f t="shared" si="193"/>
        <v>43</v>
      </c>
      <c r="HPE51">
        <f t="shared" si="193"/>
        <v>43</v>
      </c>
      <c r="HPF51">
        <f t="shared" si="193"/>
        <v>43</v>
      </c>
      <c r="HPG51">
        <f t="shared" si="193"/>
        <v>43</v>
      </c>
      <c r="HPH51">
        <f t="shared" si="193"/>
        <v>43</v>
      </c>
      <c r="HPI51">
        <f t="shared" si="193"/>
        <v>43</v>
      </c>
      <c r="HPJ51">
        <f t="shared" si="193"/>
        <v>43</v>
      </c>
      <c r="HPK51">
        <f t="shared" si="193"/>
        <v>43</v>
      </c>
      <c r="HPL51">
        <f t="shared" si="193"/>
        <v>43</v>
      </c>
      <c r="HPM51">
        <f t="shared" si="193"/>
        <v>43</v>
      </c>
      <c r="HPN51">
        <f t="shared" si="193"/>
        <v>43</v>
      </c>
      <c r="HPO51">
        <f t="shared" si="193"/>
        <v>43</v>
      </c>
      <c r="HPP51">
        <f t="shared" si="193"/>
        <v>43</v>
      </c>
      <c r="HPQ51">
        <f t="shared" si="193"/>
        <v>43</v>
      </c>
      <c r="HPR51">
        <f t="shared" si="193"/>
        <v>43</v>
      </c>
      <c r="HPS51">
        <f t="shared" si="193"/>
        <v>43</v>
      </c>
      <c r="HPT51">
        <f t="shared" si="193"/>
        <v>43</v>
      </c>
      <c r="HPU51">
        <f t="shared" si="193"/>
        <v>43</v>
      </c>
      <c r="HPV51">
        <f t="shared" si="193"/>
        <v>43</v>
      </c>
      <c r="HPW51">
        <f t="shared" si="193"/>
        <v>43</v>
      </c>
      <c r="HPX51">
        <f t="shared" si="193"/>
        <v>43</v>
      </c>
      <c r="HPY51">
        <f t="shared" si="193"/>
        <v>43</v>
      </c>
      <c r="HPZ51">
        <f t="shared" si="193"/>
        <v>43</v>
      </c>
      <c r="HQA51">
        <f t="shared" si="193"/>
        <v>43</v>
      </c>
      <c r="HQB51">
        <f t="shared" si="193"/>
        <v>43</v>
      </c>
      <c r="HQC51">
        <f t="shared" si="193"/>
        <v>43</v>
      </c>
      <c r="HQD51">
        <f t="shared" si="193"/>
        <v>43</v>
      </c>
      <c r="HQE51">
        <f t="shared" si="193"/>
        <v>43</v>
      </c>
      <c r="HQF51">
        <f t="shared" si="193"/>
        <v>43</v>
      </c>
      <c r="HQG51">
        <f t="shared" si="193"/>
        <v>43</v>
      </c>
      <c r="HQH51">
        <f t="shared" si="193"/>
        <v>43</v>
      </c>
      <c r="HQI51">
        <f t="shared" si="193"/>
        <v>43</v>
      </c>
      <c r="HQJ51">
        <f t="shared" si="193"/>
        <v>43</v>
      </c>
      <c r="HQK51">
        <f t="shared" si="193"/>
        <v>43</v>
      </c>
      <c r="HQL51">
        <f t="shared" si="193"/>
        <v>43</v>
      </c>
      <c r="HQM51">
        <f t="shared" ref="HQM51:HSX51" si="194">COUNTBLANK(HQM6:HQM49)</f>
        <v>43</v>
      </c>
      <c r="HQN51">
        <f t="shared" si="194"/>
        <v>43</v>
      </c>
      <c r="HQO51">
        <f t="shared" si="194"/>
        <v>43</v>
      </c>
      <c r="HQP51">
        <f t="shared" si="194"/>
        <v>43</v>
      </c>
      <c r="HQQ51">
        <f t="shared" si="194"/>
        <v>43</v>
      </c>
      <c r="HQR51">
        <f t="shared" si="194"/>
        <v>43</v>
      </c>
      <c r="HQS51">
        <f t="shared" si="194"/>
        <v>43</v>
      </c>
      <c r="HQT51">
        <f t="shared" si="194"/>
        <v>43</v>
      </c>
      <c r="HQU51">
        <f t="shared" si="194"/>
        <v>43</v>
      </c>
      <c r="HQV51">
        <f t="shared" si="194"/>
        <v>43</v>
      </c>
      <c r="HQW51">
        <f t="shared" si="194"/>
        <v>43</v>
      </c>
      <c r="HQX51">
        <f t="shared" si="194"/>
        <v>43</v>
      </c>
      <c r="HQY51">
        <f t="shared" si="194"/>
        <v>43</v>
      </c>
      <c r="HQZ51">
        <f t="shared" si="194"/>
        <v>43</v>
      </c>
      <c r="HRA51">
        <f t="shared" si="194"/>
        <v>43</v>
      </c>
      <c r="HRB51">
        <f t="shared" si="194"/>
        <v>43</v>
      </c>
      <c r="HRC51">
        <f t="shared" si="194"/>
        <v>43</v>
      </c>
      <c r="HRD51">
        <f t="shared" si="194"/>
        <v>43</v>
      </c>
      <c r="HRE51">
        <f t="shared" si="194"/>
        <v>43</v>
      </c>
      <c r="HRF51">
        <f t="shared" si="194"/>
        <v>43</v>
      </c>
      <c r="HRG51">
        <f t="shared" si="194"/>
        <v>43</v>
      </c>
      <c r="HRH51">
        <f t="shared" si="194"/>
        <v>43</v>
      </c>
      <c r="HRI51">
        <f t="shared" si="194"/>
        <v>43</v>
      </c>
      <c r="HRJ51">
        <f t="shared" si="194"/>
        <v>43</v>
      </c>
      <c r="HRK51">
        <f t="shared" si="194"/>
        <v>43</v>
      </c>
      <c r="HRL51">
        <f t="shared" si="194"/>
        <v>43</v>
      </c>
      <c r="HRM51">
        <f t="shared" si="194"/>
        <v>43</v>
      </c>
      <c r="HRN51">
        <f t="shared" si="194"/>
        <v>43</v>
      </c>
      <c r="HRO51">
        <f t="shared" si="194"/>
        <v>43</v>
      </c>
      <c r="HRP51">
        <f t="shared" si="194"/>
        <v>43</v>
      </c>
      <c r="HRQ51">
        <f t="shared" si="194"/>
        <v>43</v>
      </c>
      <c r="HRR51">
        <f t="shared" si="194"/>
        <v>43</v>
      </c>
      <c r="HRS51">
        <f t="shared" si="194"/>
        <v>43</v>
      </c>
      <c r="HRT51">
        <f t="shared" si="194"/>
        <v>43</v>
      </c>
      <c r="HRU51">
        <f t="shared" si="194"/>
        <v>43</v>
      </c>
      <c r="HRV51">
        <f t="shared" si="194"/>
        <v>43</v>
      </c>
      <c r="HRW51">
        <f t="shared" si="194"/>
        <v>43</v>
      </c>
      <c r="HRX51">
        <f t="shared" si="194"/>
        <v>43</v>
      </c>
      <c r="HRY51">
        <f t="shared" si="194"/>
        <v>43</v>
      </c>
      <c r="HRZ51">
        <f t="shared" si="194"/>
        <v>43</v>
      </c>
      <c r="HSA51">
        <f t="shared" si="194"/>
        <v>43</v>
      </c>
      <c r="HSB51">
        <f t="shared" si="194"/>
        <v>43</v>
      </c>
      <c r="HSC51">
        <f t="shared" si="194"/>
        <v>43</v>
      </c>
      <c r="HSD51">
        <f t="shared" si="194"/>
        <v>43</v>
      </c>
      <c r="HSE51">
        <f t="shared" si="194"/>
        <v>43</v>
      </c>
      <c r="HSF51">
        <f t="shared" si="194"/>
        <v>43</v>
      </c>
      <c r="HSG51">
        <f t="shared" si="194"/>
        <v>43</v>
      </c>
      <c r="HSH51">
        <f t="shared" si="194"/>
        <v>43</v>
      </c>
      <c r="HSI51">
        <f t="shared" si="194"/>
        <v>43</v>
      </c>
      <c r="HSJ51">
        <f t="shared" si="194"/>
        <v>43</v>
      </c>
      <c r="HSK51">
        <f t="shared" si="194"/>
        <v>43</v>
      </c>
      <c r="HSL51">
        <f t="shared" si="194"/>
        <v>43</v>
      </c>
      <c r="HSM51">
        <f t="shared" si="194"/>
        <v>43</v>
      </c>
      <c r="HSN51">
        <f t="shared" si="194"/>
        <v>43</v>
      </c>
      <c r="HSO51">
        <f t="shared" si="194"/>
        <v>43</v>
      </c>
      <c r="HSP51">
        <f t="shared" si="194"/>
        <v>43</v>
      </c>
      <c r="HSQ51">
        <f t="shared" si="194"/>
        <v>43</v>
      </c>
      <c r="HSR51">
        <f t="shared" si="194"/>
        <v>43</v>
      </c>
      <c r="HSS51">
        <f t="shared" si="194"/>
        <v>43</v>
      </c>
      <c r="HST51">
        <f t="shared" si="194"/>
        <v>43</v>
      </c>
      <c r="HSU51">
        <f t="shared" si="194"/>
        <v>43</v>
      </c>
      <c r="HSV51">
        <f t="shared" si="194"/>
        <v>43</v>
      </c>
      <c r="HSW51">
        <f t="shared" si="194"/>
        <v>43</v>
      </c>
      <c r="HSX51">
        <f t="shared" si="194"/>
        <v>43</v>
      </c>
      <c r="HSY51">
        <f t="shared" ref="HSY51:HVJ51" si="195">COUNTBLANK(HSY6:HSY49)</f>
        <v>43</v>
      </c>
      <c r="HSZ51">
        <f t="shared" si="195"/>
        <v>43</v>
      </c>
      <c r="HTA51">
        <f t="shared" si="195"/>
        <v>43</v>
      </c>
      <c r="HTB51">
        <f t="shared" si="195"/>
        <v>43</v>
      </c>
      <c r="HTC51">
        <f t="shared" si="195"/>
        <v>43</v>
      </c>
      <c r="HTD51">
        <f t="shared" si="195"/>
        <v>43</v>
      </c>
      <c r="HTE51">
        <f t="shared" si="195"/>
        <v>43</v>
      </c>
      <c r="HTF51">
        <f t="shared" si="195"/>
        <v>43</v>
      </c>
      <c r="HTG51">
        <f t="shared" si="195"/>
        <v>43</v>
      </c>
      <c r="HTH51">
        <f t="shared" si="195"/>
        <v>43</v>
      </c>
      <c r="HTI51">
        <f t="shared" si="195"/>
        <v>43</v>
      </c>
      <c r="HTJ51">
        <f t="shared" si="195"/>
        <v>43</v>
      </c>
      <c r="HTK51">
        <f t="shared" si="195"/>
        <v>43</v>
      </c>
      <c r="HTL51">
        <f t="shared" si="195"/>
        <v>43</v>
      </c>
      <c r="HTM51">
        <f t="shared" si="195"/>
        <v>43</v>
      </c>
      <c r="HTN51">
        <f t="shared" si="195"/>
        <v>43</v>
      </c>
      <c r="HTO51">
        <f t="shared" si="195"/>
        <v>43</v>
      </c>
      <c r="HTP51">
        <f t="shared" si="195"/>
        <v>43</v>
      </c>
      <c r="HTQ51">
        <f t="shared" si="195"/>
        <v>43</v>
      </c>
      <c r="HTR51">
        <f t="shared" si="195"/>
        <v>43</v>
      </c>
      <c r="HTS51">
        <f t="shared" si="195"/>
        <v>43</v>
      </c>
      <c r="HTT51">
        <f t="shared" si="195"/>
        <v>43</v>
      </c>
      <c r="HTU51">
        <f t="shared" si="195"/>
        <v>43</v>
      </c>
      <c r="HTV51">
        <f t="shared" si="195"/>
        <v>43</v>
      </c>
      <c r="HTW51">
        <f t="shared" si="195"/>
        <v>43</v>
      </c>
      <c r="HTX51">
        <f t="shared" si="195"/>
        <v>43</v>
      </c>
      <c r="HTY51">
        <f t="shared" si="195"/>
        <v>43</v>
      </c>
      <c r="HTZ51">
        <f t="shared" si="195"/>
        <v>43</v>
      </c>
      <c r="HUA51">
        <f t="shared" si="195"/>
        <v>43</v>
      </c>
      <c r="HUB51">
        <f t="shared" si="195"/>
        <v>43</v>
      </c>
      <c r="HUC51">
        <f t="shared" si="195"/>
        <v>43</v>
      </c>
      <c r="HUD51">
        <f t="shared" si="195"/>
        <v>43</v>
      </c>
      <c r="HUE51">
        <f t="shared" si="195"/>
        <v>43</v>
      </c>
      <c r="HUF51">
        <f t="shared" si="195"/>
        <v>43</v>
      </c>
      <c r="HUG51">
        <f t="shared" si="195"/>
        <v>43</v>
      </c>
      <c r="HUH51">
        <f t="shared" si="195"/>
        <v>43</v>
      </c>
      <c r="HUI51">
        <f t="shared" si="195"/>
        <v>43</v>
      </c>
      <c r="HUJ51">
        <f t="shared" si="195"/>
        <v>43</v>
      </c>
      <c r="HUK51">
        <f t="shared" si="195"/>
        <v>43</v>
      </c>
      <c r="HUL51">
        <f t="shared" si="195"/>
        <v>43</v>
      </c>
      <c r="HUM51">
        <f t="shared" si="195"/>
        <v>43</v>
      </c>
      <c r="HUN51">
        <f t="shared" si="195"/>
        <v>43</v>
      </c>
      <c r="HUO51">
        <f t="shared" si="195"/>
        <v>43</v>
      </c>
      <c r="HUP51">
        <f t="shared" si="195"/>
        <v>43</v>
      </c>
      <c r="HUQ51">
        <f t="shared" si="195"/>
        <v>43</v>
      </c>
      <c r="HUR51">
        <f t="shared" si="195"/>
        <v>43</v>
      </c>
      <c r="HUS51">
        <f t="shared" si="195"/>
        <v>43</v>
      </c>
      <c r="HUT51">
        <f t="shared" si="195"/>
        <v>43</v>
      </c>
      <c r="HUU51">
        <f t="shared" si="195"/>
        <v>43</v>
      </c>
      <c r="HUV51">
        <f t="shared" si="195"/>
        <v>43</v>
      </c>
      <c r="HUW51">
        <f t="shared" si="195"/>
        <v>43</v>
      </c>
      <c r="HUX51">
        <f t="shared" si="195"/>
        <v>43</v>
      </c>
      <c r="HUY51">
        <f t="shared" si="195"/>
        <v>43</v>
      </c>
      <c r="HUZ51">
        <f t="shared" si="195"/>
        <v>43</v>
      </c>
      <c r="HVA51">
        <f t="shared" si="195"/>
        <v>43</v>
      </c>
      <c r="HVB51">
        <f t="shared" si="195"/>
        <v>43</v>
      </c>
      <c r="HVC51">
        <f t="shared" si="195"/>
        <v>43</v>
      </c>
      <c r="HVD51">
        <f t="shared" si="195"/>
        <v>43</v>
      </c>
      <c r="HVE51">
        <f t="shared" si="195"/>
        <v>43</v>
      </c>
      <c r="HVF51">
        <f t="shared" si="195"/>
        <v>43</v>
      </c>
      <c r="HVG51">
        <f t="shared" si="195"/>
        <v>43</v>
      </c>
      <c r="HVH51">
        <f t="shared" si="195"/>
        <v>43</v>
      </c>
      <c r="HVI51">
        <f t="shared" si="195"/>
        <v>43</v>
      </c>
      <c r="HVJ51">
        <f t="shared" si="195"/>
        <v>43</v>
      </c>
      <c r="HVK51">
        <f t="shared" ref="HVK51:HXV51" si="196">COUNTBLANK(HVK6:HVK49)</f>
        <v>43</v>
      </c>
      <c r="HVL51">
        <f t="shared" si="196"/>
        <v>43</v>
      </c>
      <c r="HVM51">
        <f t="shared" si="196"/>
        <v>43</v>
      </c>
      <c r="HVN51">
        <f t="shared" si="196"/>
        <v>43</v>
      </c>
      <c r="HVO51">
        <f t="shared" si="196"/>
        <v>43</v>
      </c>
      <c r="HVP51">
        <f t="shared" si="196"/>
        <v>43</v>
      </c>
      <c r="HVQ51">
        <f t="shared" si="196"/>
        <v>43</v>
      </c>
      <c r="HVR51">
        <f t="shared" si="196"/>
        <v>43</v>
      </c>
      <c r="HVS51">
        <f t="shared" si="196"/>
        <v>43</v>
      </c>
      <c r="HVT51">
        <f t="shared" si="196"/>
        <v>43</v>
      </c>
      <c r="HVU51">
        <f t="shared" si="196"/>
        <v>43</v>
      </c>
      <c r="HVV51">
        <f t="shared" si="196"/>
        <v>43</v>
      </c>
      <c r="HVW51">
        <f t="shared" si="196"/>
        <v>43</v>
      </c>
      <c r="HVX51">
        <f t="shared" si="196"/>
        <v>43</v>
      </c>
      <c r="HVY51">
        <f t="shared" si="196"/>
        <v>43</v>
      </c>
      <c r="HVZ51">
        <f t="shared" si="196"/>
        <v>43</v>
      </c>
      <c r="HWA51">
        <f t="shared" si="196"/>
        <v>43</v>
      </c>
      <c r="HWB51">
        <f t="shared" si="196"/>
        <v>43</v>
      </c>
      <c r="HWC51">
        <f t="shared" si="196"/>
        <v>43</v>
      </c>
      <c r="HWD51">
        <f t="shared" si="196"/>
        <v>43</v>
      </c>
      <c r="HWE51">
        <f t="shared" si="196"/>
        <v>43</v>
      </c>
      <c r="HWF51">
        <f t="shared" si="196"/>
        <v>43</v>
      </c>
      <c r="HWG51">
        <f t="shared" si="196"/>
        <v>43</v>
      </c>
      <c r="HWH51">
        <f t="shared" si="196"/>
        <v>43</v>
      </c>
      <c r="HWI51">
        <f t="shared" si="196"/>
        <v>43</v>
      </c>
      <c r="HWJ51">
        <f t="shared" si="196"/>
        <v>43</v>
      </c>
      <c r="HWK51">
        <f t="shared" si="196"/>
        <v>43</v>
      </c>
      <c r="HWL51">
        <f t="shared" si="196"/>
        <v>43</v>
      </c>
      <c r="HWM51">
        <f t="shared" si="196"/>
        <v>43</v>
      </c>
      <c r="HWN51">
        <f t="shared" si="196"/>
        <v>43</v>
      </c>
      <c r="HWO51">
        <f t="shared" si="196"/>
        <v>43</v>
      </c>
      <c r="HWP51">
        <f t="shared" si="196"/>
        <v>43</v>
      </c>
      <c r="HWQ51">
        <f t="shared" si="196"/>
        <v>43</v>
      </c>
      <c r="HWR51">
        <f t="shared" si="196"/>
        <v>43</v>
      </c>
      <c r="HWS51">
        <f t="shared" si="196"/>
        <v>43</v>
      </c>
      <c r="HWT51">
        <f t="shared" si="196"/>
        <v>43</v>
      </c>
      <c r="HWU51">
        <f t="shared" si="196"/>
        <v>43</v>
      </c>
      <c r="HWV51">
        <f t="shared" si="196"/>
        <v>43</v>
      </c>
      <c r="HWW51">
        <f t="shared" si="196"/>
        <v>43</v>
      </c>
      <c r="HWX51">
        <f t="shared" si="196"/>
        <v>43</v>
      </c>
      <c r="HWY51">
        <f t="shared" si="196"/>
        <v>43</v>
      </c>
      <c r="HWZ51">
        <f t="shared" si="196"/>
        <v>43</v>
      </c>
      <c r="HXA51">
        <f t="shared" si="196"/>
        <v>43</v>
      </c>
      <c r="HXB51">
        <f t="shared" si="196"/>
        <v>43</v>
      </c>
      <c r="HXC51">
        <f t="shared" si="196"/>
        <v>43</v>
      </c>
      <c r="HXD51">
        <f t="shared" si="196"/>
        <v>43</v>
      </c>
      <c r="HXE51">
        <f t="shared" si="196"/>
        <v>43</v>
      </c>
      <c r="HXF51">
        <f t="shared" si="196"/>
        <v>43</v>
      </c>
      <c r="HXG51">
        <f t="shared" si="196"/>
        <v>43</v>
      </c>
      <c r="HXH51">
        <f t="shared" si="196"/>
        <v>43</v>
      </c>
      <c r="HXI51">
        <f t="shared" si="196"/>
        <v>43</v>
      </c>
      <c r="HXJ51">
        <f t="shared" si="196"/>
        <v>43</v>
      </c>
      <c r="HXK51">
        <f t="shared" si="196"/>
        <v>43</v>
      </c>
      <c r="HXL51">
        <f t="shared" si="196"/>
        <v>43</v>
      </c>
      <c r="HXM51">
        <f t="shared" si="196"/>
        <v>43</v>
      </c>
      <c r="HXN51">
        <f t="shared" si="196"/>
        <v>43</v>
      </c>
      <c r="HXO51">
        <f t="shared" si="196"/>
        <v>43</v>
      </c>
      <c r="HXP51">
        <f t="shared" si="196"/>
        <v>43</v>
      </c>
      <c r="HXQ51">
        <f t="shared" si="196"/>
        <v>43</v>
      </c>
      <c r="HXR51">
        <f t="shared" si="196"/>
        <v>43</v>
      </c>
      <c r="HXS51">
        <f t="shared" si="196"/>
        <v>43</v>
      </c>
      <c r="HXT51">
        <f t="shared" si="196"/>
        <v>43</v>
      </c>
      <c r="HXU51">
        <f t="shared" si="196"/>
        <v>43</v>
      </c>
      <c r="HXV51">
        <f t="shared" si="196"/>
        <v>43</v>
      </c>
      <c r="HXW51">
        <f t="shared" ref="HXW51:IAH51" si="197">COUNTBLANK(HXW6:HXW49)</f>
        <v>43</v>
      </c>
      <c r="HXX51">
        <f t="shared" si="197"/>
        <v>43</v>
      </c>
      <c r="HXY51">
        <f t="shared" si="197"/>
        <v>43</v>
      </c>
      <c r="HXZ51">
        <f t="shared" si="197"/>
        <v>43</v>
      </c>
      <c r="HYA51">
        <f t="shared" si="197"/>
        <v>43</v>
      </c>
      <c r="HYB51">
        <f t="shared" si="197"/>
        <v>43</v>
      </c>
      <c r="HYC51">
        <f t="shared" si="197"/>
        <v>43</v>
      </c>
      <c r="HYD51">
        <f t="shared" si="197"/>
        <v>43</v>
      </c>
      <c r="HYE51">
        <f t="shared" si="197"/>
        <v>43</v>
      </c>
      <c r="HYF51">
        <f t="shared" si="197"/>
        <v>43</v>
      </c>
      <c r="HYG51">
        <f t="shared" si="197"/>
        <v>43</v>
      </c>
      <c r="HYH51">
        <f t="shared" si="197"/>
        <v>43</v>
      </c>
      <c r="HYI51">
        <f t="shared" si="197"/>
        <v>43</v>
      </c>
      <c r="HYJ51">
        <f t="shared" si="197"/>
        <v>43</v>
      </c>
      <c r="HYK51">
        <f t="shared" si="197"/>
        <v>43</v>
      </c>
      <c r="HYL51">
        <f t="shared" si="197"/>
        <v>43</v>
      </c>
      <c r="HYM51">
        <f t="shared" si="197"/>
        <v>43</v>
      </c>
      <c r="HYN51">
        <f t="shared" si="197"/>
        <v>43</v>
      </c>
      <c r="HYO51">
        <f t="shared" si="197"/>
        <v>43</v>
      </c>
      <c r="HYP51">
        <f t="shared" si="197"/>
        <v>43</v>
      </c>
      <c r="HYQ51">
        <f t="shared" si="197"/>
        <v>43</v>
      </c>
      <c r="HYR51">
        <f t="shared" si="197"/>
        <v>43</v>
      </c>
      <c r="HYS51">
        <f t="shared" si="197"/>
        <v>43</v>
      </c>
      <c r="HYT51">
        <f t="shared" si="197"/>
        <v>43</v>
      </c>
      <c r="HYU51">
        <f t="shared" si="197"/>
        <v>43</v>
      </c>
      <c r="HYV51">
        <f t="shared" si="197"/>
        <v>43</v>
      </c>
      <c r="HYW51">
        <f t="shared" si="197"/>
        <v>43</v>
      </c>
      <c r="HYX51">
        <f t="shared" si="197"/>
        <v>43</v>
      </c>
      <c r="HYY51">
        <f t="shared" si="197"/>
        <v>43</v>
      </c>
      <c r="HYZ51">
        <f t="shared" si="197"/>
        <v>43</v>
      </c>
      <c r="HZA51">
        <f t="shared" si="197"/>
        <v>43</v>
      </c>
      <c r="HZB51">
        <f t="shared" si="197"/>
        <v>43</v>
      </c>
      <c r="HZC51">
        <f t="shared" si="197"/>
        <v>43</v>
      </c>
      <c r="HZD51">
        <f t="shared" si="197"/>
        <v>43</v>
      </c>
      <c r="HZE51">
        <f t="shared" si="197"/>
        <v>43</v>
      </c>
      <c r="HZF51">
        <f t="shared" si="197"/>
        <v>43</v>
      </c>
      <c r="HZG51">
        <f t="shared" si="197"/>
        <v>43</v>
      </c>
      <c r="HZH51">
        <f t="shared" si="197"/>
        <v>43</v>
      </c>
      <c r="HZI51">
        <f t="shared" si="197"/>
        <v>43</v>
      </c>
      <c r="HZJ51">
        <f t="shared" si="197"/>
        <v>43</v>
      </c>
      <c r="HZK51">
        <f t="shared" si="197"/>
        <v>43</v>
      </c>
      <c r="HZL51">
        <f t="shared" si="197"/>
        <v>43</v>
      </c>
      <c r="HZM51">
        <f t="shared" si="197"/>
        <v>43</v>
      </c>
      <c r="HZN51">
        <f t="shared" si="197"/>
        <v>43</v>
      </c>
      <c r="HZO51">
        <f t="shared" si="197"/>
        <v>43</v>
      </c>
      <c r="HZP51">
        <f t="shared" si="197"/>
        <v>43</v>
      </c>
      <c r="HZQ51">
        <f t="shared" si="197"/>
        <v>43</v>
      </c>
      <c r="HZR51">
        <f t="shared" si="197"/>
        <v>43</v>
      </c>
      <c r="HZS51">
        <f t="shared" si="197"/>
        <v>43</v>
      </c>
      <c r="HZT51">
        <f t="shared" si="197"/>
        <v>43</v>
      </c>
      <c r="HZU51">
        <f t="shared" si="197"/>
        <v>43</v>
      </c>
      <c r="HZV51">
        <f t="shared" si="197"/>
        <v>43</v>
      </c>
      <c r="HZW51">
        <f t="shared" si="197"/>
        <v>43</v>
      </c>
      <c r="HZX51">
        <f t="shared" si="197"/>
        <v>43</v>
      </c>
      <c r="HZY51">
        <f t="shared" si="197"/>
        <v>43</v>
      </c>
      <c r="HZZ51">
        <f t="shared" si="197"/>
        <v>43</v>
      </c>
      <c r="IAA51">
        <f t="shared" si="197"/>
        <v>43</v>
      </c>
      <c r="IAB51">
        <f t="shared" si="197"/>
        <v>43</v>
      </c>
      <c r="IAC51">
        <f t="shared" si="197"/>
        <v>43</v>
      </c>
      <c r="IAD51">
        <f t="shared" si="197"/>
        <v>43</v>
      </c>
      <c r="IAE51">
        <f t="shared" si="197"/>
        <v>43</v>
      </c>
      <c r="IAF51">
        <f t="shared" si="197"/>
        <v>43</v>
      </c>
      <c r="IAG51">
        <f t="shared" si="197"/>
        <v>43</v>
      </c>
      <c r="IAH51">
        <f t="shared" si="197"/>
        <v>43</v>
      </c>
      <c r="IAI51">
        <f t="shared" ref="IAI51:ICT51" si="198">COUNTBLANK(IAI6:IAI49)</f>
        <v>43</v>
      </c>
      <c r="IAJ51">
        <f t="shared" si="198"/>
        <v>43</v>
      </c>
      <c r="IAK51">
        <f t="shared" si="198"/>
        <v>43</v>
      </c>
      <c r="IAL51">
        <f t="shared" si="198"/>
        <v>43</v>
      </c>
      <c r="IAM51">
        <f t="shared" si="198"/>
        <v>43</v>
      </c>
      <c r="IAN51">
        <f t="shared" si="198"/>
        <v>43</v>
      </c>
      <c r="IAO51">
        <f t="shared" si="198"/>
        <v>43</v>
      </c>
      <c r="IAP51">
        <f t="shared" si="198"/>
        <v>43</v>
      </c>
      <c r="IAQ51">
        <f t="shared" si="198"/>
        <v>43</v>
      </c>
      <c r="IAR51">
        <f t="shared" si="198"/>
        <v>43</v>
      </c>
      <c r="IAS51">
        <f t="shared" si="198"/>
        <v>43</v>
      </c>
      <c r="IAT51">
        <f t="shared" si="198"/>
        <v>43</v>
      </c>
      <c r="IAU51">
        <f t="shared" si="198"/>
        <v>43</v>
      </c>
      <c r="IAV51">
        <f t="shared" si="198"/>
        <v>43</v>
      </c>
      <c r="IAW51">
        <f t="shared" si="198"/>
        <v>43</v>
      </c>
      <c r="IAX51">
        <f t="shared" si="198"/>
        <v>43</v>
      </c>
      <c r="IAY51">
        <f t="shared" si="198"/>
        <v>43</v>
      </c>
      <c r="IAZ51">
        <f t="shared" si="198"/>
        <v>43</v>
      </c>
      <c r="IBA51">
        <f t="shared" si="198"/>
        <v>43</v>
      </c>
      <c r="IBB51">
        <f t="shared" si="198"/>
        <v>43</v>
      </c>
      <c r="IBC51">
        <f t="shared" si="198"/>
        <v>43</v>
      </c>
      <c r="IBD51">
        <f t="shared" si="198"/>
        <v>43</v>
      </c>
      <c r="IBE51">
        <f t="shared" si="198"/>
        <v>43</v>
      </c>
      <c r="IBF51">
        <f t="shared" si="198"/>
        <v>43</v>
      </c>
      <c r="IBG51">
        <f t="shared" si="198"/>
        <v>43</v>
      </c>
      <c r="IBH51">
        <f t="shared" si="198"/>
        <v>43</v>
      </c>
      <c r="IBI51">
        <f t="shared" si="198"/>
        <v>43</v>
      </c>
      <c r="IBJ51">
        <f t="shared" si="198"/>
        <v>43</v>
      </c>
      <c r="IBK51">
        <f t="shared" si="198"/>
        <v>43</v>
      </c>
      <c r="IBL51">
        <f t="shared" si="198"/>
        <v>43</v>
      </c>
      <c r="IBM51">
        <f t="shared" si="198"/>
        <v>43</v>
      </c>
      <c r="IBN51">
        <f t="shared" si="198"/>
        <v>43</v>
      </c>
      <c r="IBO51">
        <f t="shared" si="198"/>
        <v>43</v>
      </c>
      <c r="IBP51">
        <f t="shared" si="198"/>
        <v>43</v>
      </c>
      <c r="IBQ51">
        <f t="shared" si="198"/>
        <v>43</v>
      </c>
      <c r="IBR51">
        <f t="shared" si="198"/>
        <v>43</v>
      </c>
      <c r="IBS51">
        <f t="shared" si="198"/>
        <v>43</v>
      </c>
      <c r="IBT51">
        <f t="shared" si="198"/>
        <v>43</v>
      </c>
      <c r="IBU51">
        <f t="shared" si="198"/>
        <v>43</v>
      </c>
      <c r="IBV51">
        <f t="shared" si="198"/>
        <v>43</v>
      </c>
      <c r="IBW51">
        <f t="shared" si="198"/>
        <v>43</v>
      </c>
      <c r="IBX51">
        <f t="shared" si="198"/>
        <v>43</v>
      </c>
      <c r="IBY51">
        <f t="shared" si="198"/>
        <v>43</v>
      </c>
      <c r="IBZ51">
        <f t="shared" si="198"/>
        <v>43</v>
      </c>
      <c r="ICA51">
        <f t="shared" si="198"/>
        <v>43</v>
      </c>
      <c r="ICB51">
        <f t="shared" si="198"/>
        <v>43</v>
      </c>
      <c r="ICC51">
        <f t="shared" si="198"/>
        <v>43</v>
      </c>
      <c r="ICD51">
        <f t="shared" si="198"/>
        <v>43</v>
      </c>
      <c r="ICE51">
        <f t="shared" si="198"/>
        <v>43</v>
      </c>
      <c r="ICF51">
        <f t="shared" si="198"/>
        <v>43</v>
      </c>
      <c r="ICG51">
        <f t="shared" si="198"/>
        <v>43</v>
      </c>
      <c r="ICH51">
        <f t="shared" si="198"/>
        <v>43</v>
      </c>
      <c r="ICI51">
        <f t="shared" si="198"/>
        <v>43</v>
      </c>
      <c r="ICJ51">
        <f t="shared" si="198"/>
        <v>43</v>
      </c>
      <c r="ICK51">
        <f t="shared" si="198"/>
        <v>43</v>
      </c>
      <c r="ICL51">
        <f t="shared" si="198"/>
        <v>43</v>
      </c>
      <c r="ICM51">
        <f t="shared" si="198"/>
        <v>43</v>
      </c>
      <c r="ICN51">
        <f t="shared" si="198"/>
        <v>43</v>
      </c>
      <c r="ICO51">
        <f t="shared" si="198"/>
        <v>43</v>
      </c>
      <c r="ICP51">
        <f t="shared" si="198"/>
        <v>43</v>
      </c>
      <c r="ICQ51">
        <f t="shared" si="198"/>
        <v>43</v>
      </c>
      <c r="ICR51">
        <f t="shared" si="198"/>
        <v>43</v>
      </c>
      <c r="ICS51">
        <f t="shared" si="198"/>
        <v>43</v>
      </c>
      <c r="ICT51">
        <f t="shared" si="198"/>
        <v>43</v>
      </c>
      <c r="ICU51">
        <f t="shared" ref="ICU51:IFF51" si="199">COUNTBLANK(ICU6:ICU49)</f>
        <v>43</v>
      </c>
      <c r="ICV51">
        <f t="shared" si="199"/>
        <v>43</v>
      </c>
      <c r="ICW51">
        <f t="shared" si="199"/>
        <v>43</v>
      </c>
      <c r="ICX51">
        <f t="shared" si="199"/>
        <v>43</v>
      </c>
      <c r="ICY51">
        <f t="shared" si="199"/>
        <v>43</v>
      </c>
      <c r="ICZ51">
        <f t="shared" si="199"/>
        <v>43</v>
      </c>
      <c r="IDA51">
        <f t="shared" si="199"/>
        <v>43</v>
      </c>
      <c r="IDB51">
        <f t="shared" si="199"/>
        <v>43</v>
      </c>
      <c r="IDC51">
        <f t="shared" si="199"/>
        <v>43</v>
      </c>
      <c r="IDD51">
        <f t="shared" si="199"/>
        <v>43</v>
      </c>
      <c r="IDE51">
        <f t="shared" si="199"/>
        <v>43</v>
      </c>
      <c r="IDF51">
        <f t="shared" si="199"/>
        <v>43</v>
      </c>
      <c r="IDG51">
        <f t="shared" si="199"/>
        <v>43</v>
      </c>
      <c r="IDH51">
        <f t="shared" si="199"/>
        <v>43</v>
      </c>
      <c r="IDI51">
        <f t="shared" si="199"/>
        <v>43</v>
      </c>
      <c r="IDJ51">
        <f t="shared" si="199"/>
        <v>43</v>
      </c>
      <c r="IDK51">
        <f t="shared" si="199"/>
        <v>43</v>
      </c>
      <c r="IDL51">
        <f t="shared" si="199"/>
        <v>43</v>
      </c>
      <c r="IDM51">
        <f t="shared" si="199"/>
        <v>43</v>
      </c>
      <c r="IDN51">
        <f t="shared" si="199"/>
        <v>43</v>
      </c>
      <c r="IDO51">
        <f t="shared" si="199"/>
        <v>43</v>
      </c>
      <c r="IDP51">
        <f t="shared" si="199"/>
        <v>43</v>
      </c>
      <c r="IDQ51">
        <f t="shared" si="199"/>
        <v>43</v>
      </c>
      <c r="IDR51">
        <f t="shared" si="199"/>
        <v>43</v>
      </c>
      <c r="IDS51">
        <f t="shared" si="199"/>
        <v>43</v>
      </c>
      <c r="IDT51">
        <f t="shared" si="199"/>
        <v>43</v>
      </c>
      <c r="IDU51">
        <f t="shared" si="199"/>
        <v>43</v>
      </c>
      <c r="IDV51">
        <f t="shared" si="199"/>
        <v>43</v>
      </c>
      <c r="IDW51">
        <f t="shared" si="199"/>
        <v>43</v>
      </c>
      <c r="IDX51">
        <f t="shared" si="199"/>
        <v>43</v>
      </c>
      <c r="IDY51">
        <f t="shared" si="199"/>
        <v>43</v>
      </c>
      <c r="IDZ51">
        <f t="shared" si="199"/>
        <v>43</v>
      </c>
      <c r="IEA51">
        <f t="shared" si="199"/>
        <v>43</v>
      </c>
      <c r="IEB51">
        <f t="shared" si="199"/>
        <v>43</v>
      </c>
      <c r="IEC51">
        <f t="shared" si="199"/>
        <v>43</v>
      </c>
      <c r="IED51">
        <f t="shared" si="199"/>
        <v>43</v>
      </c>
      <c r="IEE51">
        <f t="shared" si="199"/>
        <v>43</v>
      </c>
      <c r="IEF51">
        <f t="shared" si="199"/>
        <v>43</v>
      </c>
      <c r="IEG51">
        <f t="shared" si="199"/>
        <v>43</v>
      </c>
      <c r="IEH51">
        <f t="shared" si="199"/>
        <v>43</v>
      </c>
      <c r="IEI51">
        <f t="shared" si="199"/>
        <v>43</v>
      </c>
      <c r="IEJ51">
        <f t="shared" si="199"/>
        <v>43</v>
      </c>
      <c r="IEK51">
        <f t="shared" si="199"/>
        <v>43</v>
      </c>
      <c r="IEL51">
        <f t="shared" si="199"/>
        <v>43</v>
      </c>
      <c r="IEM51">
        <f t="shared" si="199"/>
        <v>43</v>
      </c>
      <c r="IEN51">
        <f t="shared" si="199"/>
        <v>43</v>
      </c>
      <c r="IEO51">
        <f t="shared" si="199"/>
        <v>43</v>
      </c>
      <c r="IEP51">
        <f t="shared" si="199"/>
        <v>43</v>
      </c>
      <c r="IEQ51">
        <f t="shared" si="199"/>
        <v>43</v>
      </c>
      <c r="IER51">
        <f t="shared" si="199"/>
        <v>43</v>
      </c>
      <c r="IES51">
        <f t="shared" si="199"/>
        <v>43</v>
      </c>
      <c r="IET51">
        <f t="shared" si="199"/>
        <v>43</v>
      </c>
      <c r="IEU51">
        <f t="shared" si="199"/>
        <v>43</v>
      </c>
      <c r="IEV51">
        <f t="shared" si="199"/>
        <v>43</v>
      </c>
      <c r="IEW51">
        <f t="shared" si="199"/>
        <v>43</v>
      </c>
      <c r="IEX51">
        <f t="shared" si="199"/>
        <v>43</v>
      </c>
      <c r="IEY51">
        <f t="shared" si="199"/>
        <v>43</v>
      </c>
      <c r="IEZ51">
        <f t="shared" si="199"/>
        <v>43</v>
      </c>
      <c r="IFA51">
        <f t="shared" si="199"/>
        <v>43</v>
      </c>
      <c r="IFB51">
        <f t="shared" si="199"/>
        <v>43</v>
      </c>
      <c r="IFC51">
        <f t="shared" si="199"/>
        <v>43</v>
      </c>
      <c r="IFD51">
        <f t="shared" si="199"/>
        <v>43</v>
      </c>
      <c r="IFE51">
        <f t="shared" si="199"/>
        <v>43</v>
      </c>
      <c r="IFF51">
        <f t="shared" si="199"/>
        <v>43</v>
      </c>
      <c r="IFG51">
        <f t="shared" ref="IFG51:IHR51" si="200">COUNTBLANK(IFG6:IFG49)</f>
        <v>43</v>
      </c>
      <c r="IFH51">
        <f t="shared" si="200"/>
        <v>43</v>
      </c>
      <c r="IFI51">
        <f t="shared" si="200"/>
        <v>43</v>
      </c>
      <c r="IFJ51">
        <f t="shared" si="200"/>
        <v>43</v>
      </c>
      <c r="IFK51">
        <f t="shared" si="200"/>
        <v>43</v>
      </c>
      <c r="IFL51">
        <f t="shared" si="200"/>
        <v>43</v>
      </c>
      <c r="IFM51">
        <f t="shared" si="200"/>
        <v>43</v>
      </c>
      <c r="IFN51">
        <f t="shared" si="200"/>
        <v>43</v>
      </c>
      <c r="IFO51">
        <f t="shared" si="200"/>
        <v>43</v>
      </c>
      <c r="IFP51">
        <f t="shared" si="200"/>
        <v>43</v>
      </c>
      <c r="IFQ51">
        <f t="shared" si="200"/>
        <v>43</v>
      </c>
      <c r="IFR51">
        <f t="shared" si="200"/>
        <v>43</v>
      </c>
      <c r="IFS51">
        <f t="shared" si="200"/>
        <v>43</v>
      </c>
      <c r="IFT51">
        <f t="shared" si="200"/>
        <v>43</v>
      </c>
      <c r="IFU51">
        <f t="shared" si="200"/>
        <v>43</v>
      </c>
      <c r="IFV51">
        <f t="shared" si="200"/>
        <v>43</v>
      </c>
      <c r="IFW51">
        <f t="shared" si="200"/>
        <v>43</v>
      </c>
      <c r="IFX51">
        <f t="shared" si="200"/>
        <v>43</v>
      </c>
      <c r="IFY51">
        <f t="shared" si="200"/>
        <v>43</v>
      </c>
      <c r="IFZ51">
        <f t="shared" si="200"/>
        <v>43</v>
      </c>
      <c r="IGA51">
        <f t="shared" si="200"/>
        <v>43</v>
      </c>
      <c r="IGB51">
        <f t="shared" si="200"/>
        <v>43</v>
      </c>
      <c r="IGC51">
        <f t="shared" si="200"/>
        <v>43</v>
      </c>
      <c r="IGD51">
        <f t="shared" si="200"/>
        <v>43</v>
      </c>
      <c r="IGE51">
        <f t="shared" si="200"/>
        <v>43</v>
      </c>
      <c r="IGF51">
        <f t="shared" si="200"/>
        <v>43</v>
      </c>
      <c r="IGG51">
        <f t="shared" si="200"/>
        <v>43</v>
      </c>
      <c r="IGH51">
        <f t="shared" si="200"/>
        <v>43</v>
      </c>
      <c r="IGI51">
        <f t="shared" si="200"/>
        <v>43</v>
      </c>
      <c r="IGJ51">
        <f t="shared" si="200"/>
        <v>43</v>
      </c>
      <c r="IGK51">
        <f t="shared" si="200"/>
        <v>43</v>
      </c>
      <c r="IGL51">
        <f t="shared" si="200"/>
        <v>43</v>
      </c>
      <c r="IGM51">
        <f t="shared" si="200"/>
        <v>43</v>
      </c>
      <c r="IGN51">
        <f t="shared" si="200"/>
        <v>43</v>
      </c>
      <c r="IGO51">
        <f t="shared" si="200"/>
        <v>43</v>
      </c>
      <c r="IGP51">
        <f t="shared" si="200"/>
        <v>43</v>
      </c>
      <c r="IGQ51">
        <f t="shared" si="200"/>
        <v>43</v>
      </c>
      <c r="IGR51">
        <f t="shared" si="200"/>
        <v>43</v>
      </c>
      <c r="IGS51">
        <f t="shared" si="200"/>
        <v>43</v>
      </c>
      <c r="IGT51">
        <f t="shared" si="200"/>
        <v>43</v>
      </c>
      <c r="IGU51">
        <f t="shared" si="200"/>
        <v>43</v>
      </c>
      <c r="IGV51">
        <f t="shared" si="200"/>
        <v>43</v>
      </c>
      <c r="IGW51">
        <f t="shared" si="200"/>
        <v>43</v>
      </c>
      <c r="IGX51">
        <f t="shared" si="200"/>
        <v>43</v>
      </c>
      <c r="IGY51">
        <f t="shared" si="200"/>
        <v>43</v>
      </c>
      <c r="IGZ51">
        <f t="shared" si="200"/>
        <v>43</v>
      </c>
      <c r="IHA51">
        <f t="shared" si="200"/>
        <v>43</v>
      </c>
      <c r="IHB51">
        <f t="shared" si="200"/>
        <v>43</v>
      </c>
      <c r="IHC51">
        <f t="shared" si="200"/>
        <v>43</v>
      </c>
      <c r="IHD51">
        <f t="shared" si="200"/>
        <v>43</v>
      </c>
      <c r="IHE51">
        <f t="shared" si="200"/>
        <v>43</v>
      </c>
      <c r="IHF51">
        <f t="shared" si="200"/>
        <v>43</v>
      </c>
      <c r="IHG51">
        <f t="shared" si="200"/>
        <v>43</v>
      </c>
      <c r="IHH51">
        <f t="shared" si="200"/>
        <v>43</v>
      </c>
      <c r="IHI51">
        <f t="shared" si="200"/>
        <v>43</v>
      </c>
      <c r="IHJ51">
        <f t="shared" si="200"/>
        <v>43</v>
      </c>
      <c r="IHK51">
        <f t="shared" si="200"/>
        <v>43</v>
      </c>
      <c r="IHL51">
        <f t="shared" si="200"/>
        <v>43</v>
      </c>
      <c r="IHM51">
        <f t="shared" si="200"/>
        <v>43</v>
      </c>
      <c r="IHN51">
        <f t="shared" si="200"/>
        <v>43</v>
      </c>
      <c r="IHO51">
        <f t="shared" si="200"/>
        <v>43</v>
      </c>
      <c r="IHP51">
        <f t="shared" si="200"/>
        <v>43</v>
      </c>
      <c r="IHQ51">
        <f t="shared" si="200"/>
        <v>43</v>
      </c>
      <c r="IHR51">
        <f t="shared" si="200"/>
        <v>43</v>
      </c>
      <c r="IHS51">
        <f t="shared" ref="IHS51:IKD51" si="201">COUNTBLANK(IHS6:IHS49)</f>
        <v>43</v>
      </c>
      <c r="IHT51">
        <f t="shared" si="201"/>
        <v>43</v>
      </c>
      <c r="IHU51">
        <f t="shared" si="201"/>
        <v>43</v>
      </c>
      <c r="IHV51">
        <f t="shared" si="201"/>
        <v>43</v>
      </c>
      <c r="IHW51">
        <f t="shared" si="201"/>
        <v>43</v>
      </c>
      <c r="IHX51">
        <f t="shared" si="201"/>
        <v>43</v>
      </c>
      <c r="IHY51">
        <f t="shared" si="201"/>
        <v>43</v>
      </c>
      <c r="IHZ51">
        <f t="shared" si="201"/>
        <v>43</v>
      </c>
      <c r="IIA51">
        <f t="shared" si="201"/>
        <v>43</v>
      </c>
      <c r="IIB51">
        <f t="shared" si="201"/>
        <v>43</v>
      </c>
      <c r="IIC51">
        <f t="shared" si="201"/>
        <v>43</v>
      </c>
      <c r="IID51">
        <f t="shared" si="201"/>
        <v>43</v>
      </c>
      <c r="IIE51">
        <f t="shared" si="201"/>
        <v>43</v>
      </c>
      <c r="IIF51">
        <f t="shared" si="201"/>
        <v>43</v>
      </c>
      <c r="IIG51">
        <f t="shared" si="201"/>
        <v>43</v>
      </c>
      <c r="IIH51">
        <f t="shared" si="201"/>
        <v>43</v>
      </c>
      <c r="III51">
        <f t="shared" si="201"/>
        <v>43</v>
      </c>
      <c r="IIJ51">
        <f t="shared" si="201"/>
        <v>43</v>
      </c>
      <c r="IIK51">
        <f t="shared" si="201"/>
        <v>43</v>
      </c>
      <c r="IIL51">
        <f t="shared" si="201"/>
        <v>43</v>
      </c>
      <c r="IIM51">
        <f t="shared" si="201"/>
        <v>43</v>
      </c>
      <c r="IIN51">
        <f t="shared" si="201"/>
        <v>43</v>
      </c>
      <c r="IIO51">
        <f t="shared" si="201"/>
        <v>43</v>
      </c>
      <c r="IIP51">
        <f t="shared" si="201"/>
        <v>43</v>
      </c>
      <c r="IIQ51">
        <f t="shared" si="201"/>
        <v>43</v>
      </c>
      <c r="IIR51">
        <f t="shared" si="201"/>
        <v>43</v>
      </c>
      <c r="IIS51">
        <f t="shared" si="201"/>
        <v>43</v>
      </c>
      <c r="IIT51">
        <f t="shared" si="201"/>
        <v>43</v>
      </c>
      <c r="IIU51">
        <f t="shared" si="201"/>
        <v>43</v>
      </c>
      <c r="IIV51">
        <f t="shared" si="201"/>
        <v>43</v>
      </c>
      <c r="IIW51">
        <f t="shared" si="201"/>
        <v>43</v>
      </c>
      <c r="IIX51">
        <f t="shared" si="201"/>
        <v>43</v>
      </c>
      <c r="IIY51">
        <f t="shared" si="201"/>
        <v>43</v>
      </c>
      <c r="IIZ51">
        <f t="shared" si="201"/>
        <v>43</v>
      </c>
      <c r="IJA51">
        <f t="shared" si="201"/>
        <v>43</v>
      </c>
      <c r="IJB51">
        <f t="shared" si="201"/>
        <v>43</v>
      </c>
      <c r="IJC51">
        <f t="shared" si="201"/>
        <v>43</v>
      </c>
      <c r="IJD51">
        <f t="shared" si="201"/>
        <v>43</v>
      </c>
      <c r="IJE51">
        <f t="shared" si="201"/>
        <v>43</v>
      </c>
      <c r="IJF51">
        <f t="shared" si="201"/>
        <v>43</v>
      </c>
      <c r="IJG51">
        <f t="shared" si="201"/>
        <v>43</v>
      </c>
      <c r="IJH51">
        <f t="shared" si="201"/>
        <v>43</v>
      </c>
      <c r="IJI51">
        <f t="shared" si="201"/>
        <v>43</v>
      </c>
      <c r="IJJ51">
        <f t="shared" si="201"/>
        <v>43</v>
      </c>
      <c r="IJK51">
        <f t="shared" si="201"/>
        <v>43</v>
      </c>
      <c r="IJL51">
        <f t="shared" si="201"/>
        <v>43</v>
      </c>
      <c r="IJM51">
        <f t="shared" si="201"/>
        <v>43</v>
      </c>
      <c r="IJN51">
        <f t="shared" si="201"/>
        <v>43</v>
      </c>
      <c r="IJO51">
        <f t="shared" si="201"/>
        <v>43</v>
      </c>
      <c r="IJP51">
        <f t="shared" si="201"/>
        <v>43</v>
      </c>
      <c r="IJQ51">
        <f t="shared" si="201"/>
        <v>43</v>
      </c>
      <c r="IJR51">
        <f t="shared" si="201"/>
        <v>43</v>
      </c>
      <c r="IJS51">
        <f t="shared" si="201"/>
        <v>43</v>
      </c>
      <c r="IJT51">
        <f t="shared" si="201"/>
        <v>43</v>
      </c>
      <c r="IJU51">
        <f t="shared" si="201"/>
        <v>43</v>
      </c>
      <c r="IJV51">
        <f t="shared" si="201"/>
        <v>43</v>
      </c>
      <c r="IJW51">
        <f t="shared" si="201"/>
        <v>43</v>
      </c>
      <c r="IJX51">
        <f t="shared" si="201"/>
        <v>43</v>
      </c>
      <c r="IJY51">
        <f t="shared" si="201"/>
        <v>43</v>
      </c>
      <c r="IJZ51">
        <f t="shared" si="201"/>
        <v>43</v>
      </c>
      <c r="IKA51">
        <f t="shared" si="201"/>
        <v>43</v>
      </c>
      <c r="IKB51">
        <f t="shared" si="201"/>
        <v>43</v>
      </c>
      <c r="IKC51">
        <f t="shared" si="201"/>
        <v>43</v>
      </c>
      <c r="IKD51">
        <f t="shared" si="201"/>
        <v>43</v>
      </c>
      <c r="IKE51">
        <f t="shared" ref="IKE51:IMP51" si="202">COUNTBLANK(IKE6:IKE49)</f>
        <v>43</v>
      </c>
      <c r="IKF51">
        <f t="shared" si="202"/>
        <v>43</v>
      </c>
      <c r="IKG51">
        <f t="shared" si="202"/>
        <v>43</v>
      </c>
      <c r="IKH51">
        <f t="shared" si="202"/>
        <v>43</v>
      </c>
      <c r="IKI51">
        <f t="shared" si="202"/>
        <v>43</v>
      </c>
      <c r="IKJ51">
        <f t="shared" si="202"/>
        <v>43</v>
      </c>
      <c r="IKK51">
        <f t="shared" si="202"/>
        <v>43</v>
      </c>
      <c r="IKL51">
        <f t="shared" si="202"/>
        <v>43</v>
      </c>
      <c r="IKM51">
        <f t="shared" si="202"/>
        <v>43</v>
      </c>
      <c r="IKN51">
        <f t="shared" si="202"/>
        <v>43</v>
      </c>
      <c r="IKO51">
        <f t="shared" si="202"/>
        <v>43</v>
      </c>
      <c r="IKP51">
        <f t="shared" si="202"/>
        <v>43</v>
      </c>
      <c r="IKQ51">
        <f t="shared" si="202"/>
        <v>43</v>
      </c>
      <c r="IKR51">
        <f t="shared" si="202"/>
        <v>43</v>
      </c>
      <c r="IKS51">
        <f t="shared" si="202"/>
        <v>43</v>
      </c>
      <c r="IKT51">
        <f t="shared" si="202"/>
        <v>43</v>
      </c>
      <c r="IKU51">
        <f t="shared" si="202"/>
        <v>43</v>
      </c>
      <c r="IKV51">
        <f t="shared" si="202"/>
        <v>43</v>
      </c>
      <c r="IKW51">
        <f t="shared" si="202"/>
        <v>43</v>
      </c>
      <c r="IKX51">
        <f t="shared" si="202"/>
        <v>43</v>
      </c>
      <c r="IKY51">
        <f t="shared" si="202"/>
        <v>43</v>
      </c>
      <c r="IKZ51">
        <f t="shared" si="202"/>
        <v>43</v>
      </c>
      <c r="ILA51">
        <f t="shared" si="202"/>
        <v>43</v>
      </c>
      <c r="ILB51">
        <f t="shared" si="202"/>
        <v>43</v>
      </c>
      <c r="ILC51">
        <f t="shared" si="202"/>
        <v>43</v>
      </c>
      <c r="ILD51">
        <f t="shared" si="202"/>
        <v>43</v>
      </c>
      <c r="ILE51">
        <f t="shared" si="202"/>
        <v>43</v>
      </c>
      <c r="ILF51">
        <f t="shared" si="202"/>
        <v>43</v>
      </c>
      <c r="ILG51">
        <f t="shared" si="202"/>
        <v>43</v>
      </c>
      <c r="ILH51">
        <f t="shared" si="202"/>
        <v>43</v>
      </c>
      <c r="ILI51">
        <f t="shared" si="202"/>
        <v>43</v>
      </c>
      <c r="ILJ51">
        <f t="shared" si="202"/>
        <v>43</v>
      </c>
      <c r="ILK51">
        <f t="shared" si="202"/>
        <v>43</v>
      </c>
      <c r="ILL51">
        <f t="shared" si="202"/>
        <v>43</v>
      </c>
      <c r="ILM51">
        <f t="shared" si="202"/>
        <v>43</v>
      </c>
      <c r="ILN51">
        <f t="shared" si="202"/>
        <v>43</v>
      </c>
      <c r="ILO51">
        <f t="shared" si="202"/>
        <v>43</v>
      </c>
      <c r="ILP51">
        <f t="shared" si="202"/>
        <v>43</v>
      </c>
      <c r="ILQ51">
        <f t="shared" si="202"/>
        <v>43</v>
      </c>
      <c r="ILR51">
        <f t="shared" si="202"/>
        <v>43</v>
      </c>
      <c r="ILS51">
        <f t="shared" si="202"/>
        <v>43</v>
      </c>
      <c r="ILT51">
        <f t="shared" si="202"/>
        <v>43</v>
      </c>
      <c r="ILU51">
        <f t="shared" si="202"/>
        <v>43</v>
      </c>
      <c r="ILV51">
        <f t="shared" si="202"/>
        <v>43</v>
      </c>
      <c r="ILW51">
        <f t="shared" si="202"/>
        <v>43</v>
      </c>
      <c r="ILX51">
        <f t="shared" si="202"/>
        <v>43</v>
      </c>
      <c r="ILY51">
        <f t="shared" si="202"/>
        <v>43</v>
      </c>
      <c r="ILZ51">
        <f t="shared" si="202"/>
        <v>43</v>
      </c>
      <c r="IMA51">
        <f t="shared" si="202"/>
        <v>43</v>
      </c>
      <c r="IMB51">
        <f t="shared" si="202"/>
        <v>43</v>
      </c>
      <c r="IMC51">
        <f t="shared" si="202"/>
        <v>43</v>
      </c>
      <c r="IMD51">
        <f t="shared" si="202"/>
        <v>43</v>
      </c>
      <c r="IME51">
        <f t="shared" si="202"/>
        <v>43</v>
      </c>
      <c r="IMF51">
        <f t="shared" si="202"/>
        <v>43</v>
      </c>
      <c r="IMG51">
        <f t="shared" si="202"/>
        <v>43</v>
      </c>
      <c r="IMH51">
        <f t="shared" si="202"/>
        <v>43</v>
      </c>
      <c r="IMI51">
        <f t="shared" si="202"/>
        <v>43</v>
      </c>
      <c r="IMJ51">
        <f t="shared" si="202"/>
        <v>43</v>
      </c>
      <c r="IMK51">
        <f t="shared" si="202"/>
        <v>43</v>
      </c>
      <c r="IML51">
        <f t="shared" si="202"/>
        <v>43</v>
      </c>
      <c r="IMM51">
        <f t="shared" si="202"/>
        <v>43</v>
      </c>
      <c r="IMN51">
        <f t="shared" si="202"/>
        <v>43</v>
      </c>
      <c r="IMO51">
        <f t="shared" si="202"/>
        <v>43</v>
      </c>
      <c r="IMP51">
        <f t="shared" si="202"/>
        <v>43</v>
      </c>
      <c r="IMQ51">
        <f t="shared" ref="IMQ51:IPB51" si="203">COUNTBLANK(IMQ6:IMQ49)</f>
        <v>43</v>
      </c>
      <c r="IMR51">
        <f t="shared" si="203"/>
        <v>43</v>
      </c>
      <c r="IMS51">
        <f t="shared" si="203"/>
        <v>43</v>
      </c>
      <c r="IMT51">
        <f t="shared" si="203"/>
        <v>43</v>
      </c>
      <c r="IMU51">
        <f t="shared" si="203"/>
        <v>43</v>
      </c>
      <c r="IMV51">
        <f t="shared" si="203"/>
        <v>43</v>
      </c>
      <c r="IMW51">
        <f t="shared" si="203"/>
        <v>43</v>
      </c>
      <c r="IMX51">
        <f t="shared" si="203"/>
        <v>43</v>
      </c>
      <c r="IMY51">
        <f t="shared" si="203"/>
        <v>43</v>
      </c>
      <c r="IMZ51">
        <f t="shared" si="203"/>
        <v>43</v>
      </c>
      <c r="INA51">
        <f t="shared" si="203"/>
        <v>43</v>
      </c>
      <c r="INB51">
        <f t="shared" si="203"/>
        <v>43</v>
      </c>
      <c r="INC51">
        <f t="shared" si="203"/>
        <v>43</v>
      </c>
      <c r="IND51">
        <f t="shared" si="203"/>
        <v>43</v>
      </c>
      <c r="INE51">
        <f t="shared" si="203"/>
        <v>43</v>
      </c>
      <c r="INF51">
        <f t="shared" si="203"/>
        <v>43</v>
      </c>
      <c r="ING51">
        <f t="shared" si="203"/>
        <v>43</v>
      </c>
      <c r="INH51">
        <f t="shared" si="203"/>
        <v>43</v>
      </c>
      <c r="INI51">
        <f t="shared" si="203"/>
        <v>43</v>
      </c>
      <c r="INJ51">
        <f t="shared" si="203"/>
        <v>43</v>
      </c>
      <c r="INK51">
        <f t="shared" si="203"/>
        <v>43</v>
      </c>
      <c r="INL51">
        <f t="shared" si="203"/>
        <v>43</v>
      </c>
      <c r="INM51">
        <f t="shared" si="203"/>
        <v>43</v>
      </c>
      <c r="INN51">
        <f t="shared" si="203"/>
        <v>43</v>
      </c>
      <c r="INO51">
        <f t="shared" si="203"/>
        <v>43</v>
      </c>
      <c r="INP51">
        <f t="shared" si="203"/>
        <v>43</v>
      </c>
      <c r="INQ51">
        <f t="shared" si="203"/>
        <v>43</v>
      </c>
      <c r="INR51">
        <f t="shared" si="203"/>
        <v>43</v>
      </c>
      <c r="INS51">
        <f t="shared" si="203"/>
        <v>43</v>
      </c>
      <c r="INT51">
        <f t="shared" si="203"/>
        <v>43</v>
      </c>
      <c r="INU51">
        <f t="shared" si="203"/>
        <v>43</v>
      </c>
      <c r="INV51">
        <f t="shared" si="203"/>
        <v>43</v>
      </c>
      <c r="INW51">
        <f t="shared" si="203"/>
        <v>43</v>
      </c>
      <c r="INX51">
        <f t="shared" si="203"/>
        <v>43</v>
      </c>
      <c r="INY51">
        <f t="shared" si="203"/>
        <v>43</v>
      </c>
      <c r="INZ51">
        <f t="shared" si="203"/>
        <v>43</v>
      </c>
      <c r="IOA51">
        <f t="shared" si="203"/>
        <v>43</v>
      </c>
      <c r="IOB51">
        <f t="shared" si="203"/>
        <v>43</v>
      </c>
      <c r="IOC51">
        <f t="shared" si="203"/>
        <v>43</v>
      </c>
      <c r="IOD51">
        <f t="shared" si="203"/>
        <v>43</v>
      </c>
      <c r="IOE51">
        <f t="shared" si="203"/>
        <v>43</v>
      </c>
      <c r="IOF51">
        <f t="shared" si="203"/>
        <v>43</v>
      </c>
      <c r="IOG51">
        <f t="shared" si="203"/>
        <v>43</v>
      </c>
      <c r="IOH51">
        <f t="shared" si="203"/>
        <v>43</v>
      </c>
      <c r="IOI51">
        <f t="shared" si="203"/>
        <v>43</v>
      </c>
      <c r="IOJ51">
        <f t="shared" si="203"/>
        <v>43</v>
      </c>
      <c r="IOK51">
        <f t="shared" si="203"/>
        <v>43</v>
      </c>
      <c r="IOL51">
        <f t="shared" si="203"/>
        <v>43</v>
      </c>
      <c r="IOM51">
        <f t="shared" si="203"/>
        <v>43</v>
      </c>
      <c r="ION51">
        <f t="shared" si="203"/>
        <v>43</v>
      </c>
      <c r="IOO51">
        <f t="shared" si="203"/>
        <v>43</v>
      </c>
      <c r="IOP51">
        <f t="shared" si="203"/>
        <v>43</v>
      </c>
      <c r="IOQ51">
        <f t="shared" si="203"/>
        <v>43</v>
      </c>
      <c r="IOR51">
        <f t="shared" si="203"/>
        <v>43</v>
      </c>
      <c r="IOS51">
        <f t="shared" si="203"/>
        <v>43</v>
      </c>
      <c r="IOT51">
        <f t="shared" si="203"/>
        <v>43</v>
      </c>
      <c r="IOU51">
        <f t="shared" si="203"/>
        <v>43</v>
      </c>
      <c r="IOV51">
        <f t="shared" si="203"/>
        <v>43</v>
      </c>
      <c r="IOW51">
        <f t="shared" si="203"/>
        <v>43</v>
      </c>
      <c r="IOX51">
        <f t="shared" si="203"/>
        <v>43</v>
      </c>
      <c r="IOY51">
        <f t="shared" si="203"/>
        <v>43</v>
      </c>
      <c r="IOZ51">
        <f t="shared" si="203"/>
        <v>43</v>
      </c>
      <c r="IPA51">
        <f t="shared" si="203"/>
        <v>43</v>
      </c>
      <c r="IPB51">
        <f t="shared" si="203"/>
        <v>43</v>
      </c>
      <c r="IPC51">
        <f t="shared" ref="IPC51:IRN51" si="204">COUNTBLANK(IPC6:IPC49)</f>
        <v>43</v>
      </c>
      <c r="IPD51">
        <f t="shared" si="204"/>
        <v>43</v>
      </c>
      <c r="IPE51">
        <f t="shared" si="204"/>
        <v>43</v>
      </c>
      <c r="IPF51">
        <f t="shared" si="204"/>
        <v>43</v>
      </c>
      <c r="IPG51">
        <f t="shared" si="204"/>
        <v>43</v>
      </c>
      <c r="IPH51">
        <f t="shared" si="204"/>
        <v>43</v>
      </c>
      <c r="IPI51">
        <f t="shared" si="204"/>
        <v>43</v>
      </c>
      <c r="IPJ51">
        <f t="shared" si="204"/>
        <v>43</v>
      </c>
      <c r="IPK51">
        <f t="shared" si="204"/>
        <v>43</v>
      </c>
      <c r="IPL51">
        <f t="shared" si="204"/>
        <v>43</v>
      </c>
      <c r="IPM51">
        <f t="shared" si="204"/>
        <v>43</v>
      </c>
      <c r="IPN51">
        <f t="shared" si="204"/>
        <v>43</v>
      </c>
      <c r="IPO51">
        <f t="shared" si="204"/>
        <v>43</v>
      </c>
      <c r="IPP51">
        <f t="shared" si="204"/>
        <v>43</v>
      </c>
      <c r="IPQ51">
        <f t="shared" si="204"/>
        <v>43</v>
      </c>
      <c r="IPR51">
        <f t="shared" si="204"/>
        <v>43</v>
      </c>
      <c r="IPS51">
        <f t="shared" si="204"/>
        <v>43</v>
      </c>
      <c r="IPT51">
        <f t="shared" si="204"/>
        <v>43</v>
      </c>
      <c r="IPU51">
        <f t="shared" si="204"/>
        <v>43</v>
      </c>
      <c r="IPV51">
        <f t="shared" si="204"/>
        <v>43</v>
      </c>
      <c r="IPW51">
        <f t="shared" si="204"/>
        <v>43</v>
      </c>
      <c r="IPX51">
        <f t="shared" si="204"/>
        <v>43</v>
      </c>
      <c r="IPY51">
        <f t="shared" si="204"/>
        <v>43</v>
      </c>
      <c r="IPZ51">
        <f t="shared" si="204"/>
        <v>43</v>
      </c>
      <c r="IQA51">
        <f t="shared" si="204"/>
        <v>43</v>
      </c>
      <c r="IQB51">
        <f t="shared" si="204"/>
        <v>43</v>
      </c>
      <c r="IQC51">
        <f t="shared" si="204"/>
        <v>43</v>
      </c>
      <c r="IQD51">
        <f t="shared" si="204"/>
        <v>43</v>
      </c>
      <c r="IQE51">
        <f t="shared" si="204"/>
        <v>43</v>
      </c>
      <c r="IQF51">
        <f t="shared" si="204"/>
        <v>43</v>
      </c>
      <c r="IQG51">
        <f t="shared" si="204"/>
        <v>43</v>
      </c>
      <c r="IQH51">
        <f t="shared" si="204"/>
        <v>43</v>
      </c>
      <c r="IQI51">
        <f t="shared" si="204"/>
        <v>43</v>
      </c>
      <c r="IQJ51">
        <f t="shared" si="204"/>
        <v>43</v>
      </c>
      <c r="IQK51">
        <f t="shared" si="204"/>
        <v>43</v>
      </c>
      <c r="IQL51">
        <f t="shared" si="204"/>
        <v>43</v>
      </c>
      <c r="IQM51">
        <f t="shared" si="204"/>
        <v>43</v>
      </c>
      <c r="IQN51">
        <f t="shared" si="204"/>
        <v>43</v>
      </c>
      <c r="IQO51">
        <f t="shared" si="204"/>
        <v>43</v>
      </c>
      <c r="IQP51">
        <f t="shared" si="204"/>
        <v>43</v>
      </c>
      <c r="IQQ51">
        <f t="shared" si="204"/>
        <v>43</v>
      </c>
      <c r="IQR51">
        <f t="shared" si="204"/>
        <v>43</v>
      </c>
      <c r="IQS51">
        <f t="shared" si="204"/>
        <v>43</v>
      </c>
      <c r="IQT51">
        <f t="shared" si="204"/>
        <v>43</v>
      </c>
      <c r="IQU51">
        <f t="shared" si="204"/>
        <v>43</v>
      </c>
      <c r="IQV51">
        <f t="shared" si="204"/>
        <v>43</v>
      </c>
      <c r="IQW51">
        <f t="shared" si="204"/>
        <v>43</v>
      </c>
      <c r="IQX51">
        <f t="shared" si="204"/>
        <v>43</v>
      </c>
      <c r="IQY51">
        <f t="shared" si="204"/>
        <v>43</v>
      </c>
      <c r="IQZ51">
        <f t="shared" si="204"/>
        <v>43</v>
      </c>
      <c r="IRA51">
        <f t="shared" si="204"/>
        <v>43</v>
      </c>
      <c r="IRB51">
        <f t="shared" si="204"/>
        <v>43</v>
      </c>
      <c r="IRC51">
        <f t="shared" si="204"/>
        <v>43</v>
      </c>
      <c r="IRD51">
        <f t="shared" si="204"/>
        <v>43</v>
      </c>
      <c r="IRE51">
        <f t="shared" si="204"/>
        <v>43</v>
      </c>
      <c r="IRF51">
        <f t="shared" si="204"/>
        <v>43</v>
      </c>
      <c r="IRG51">
        <f t="shared" si="204"/>
        <v>43</v>
      </c>
      <c r="IRH51">
        <f t="shared" si="204"/>
        <v>43</v>
      </c>
      <c r="IRI51">
        <f t="shared" si="204"/>
        <v>43</v>
      </c>
      <c r="IRJ51">
        <f t="shared" si="204"/>
        <v>43</v>
      </c>
      <c r="IRK51">
        <f t="shared" si="204"/>
        <v>43</v>
      </c>
      <c r="IRL51">
        <f t="shared" si="204"/>
        <v>43</v>
      </c>
      <c r="IRM51">
        <f t="shared" si="204"/>
        <v>43</v>
      </c>
      <c r="IRN51">
        <f t="shared" si="204"/>
        <v>43</v>
      </c>
      <c r="IRO51">
        <f t="shared" ref="IRO51:ITZ51" si="205">COUNTBLANK(IRO6:IRO49)</f>
        <v>43</v>
      </c>
      <c r="IRP51">
        <f t="shared" si="205"/>
        <v>43</v>
      </c>
      <c r="IRQ51">
        <f t="shared" si="205"/>
        <v>43</v>
      </c>
      <c r="IRR51">
        <f t="shared" si="205"/>
        <v>43</v>
      </c>
      <c r="IRS51">
        <f t="shared" si="205"/>
        <v>43</v>
      </c>
      <c r="IRT51">
        <f t="shared" si="205"/>
        <v>43</v>
      </c>
      <c r="IRU51">
        <f t="shared" si="205"/>
        <v>43</v>
      </c>
      <c r="IRV51">
        <f t="shared" si="205"/>
        <v>43</v>
      </c>
      <c r="IRW51">
        <f t="shared" si="205"/>
        <v>43</v>
      </c>
      <c r="IRX51">
        <f t="shared" si="205"/>
        <v>43</v>
      </c>
      <c r="IRY51">
        <f t="shared" si="205"/>
        <v>43</v>
      </c>
      <c r="IRZ51">
        <f t="shared" si="205"/>
        <v>43</v>
      </c>
      <c r="ISA51">
        <f t="shared" si="205"/>
        <v>43</v>
      </c>
      <c r="ISB51">
        <f t="shared" si="205"/>
        <v>43</v>
      </c>
      <c r="ISC51">
        <f t="shared" si="205"/>
        <v>43</v>
      </c>
      <c r="ISD51">
        <f t="shared" si="205"/>
        <v>43</v>
      </c>
      <c r="ISE51">
        <f t="shared" si="205"/>
        <v>43</v>
      </c>
      <c r="ISF51">
        <f t="shared" si="205"/>
        <v>43</v>
      </c>
      <c r="ISG51">
        <f t="shared" si="205"/>
        <v>43</v>
      </c>
      <c r="ISH51">
        <f t="shared" si="205"/>
        <v>43</v>
      </c>
      <c r="ISI51">
        <f t="shared" si="205"/>
        <v>43</v>
      </c>
      <c r="ISJ51">
        <f t="shared" si="205"/>
        <v>43</v>
      </c>
      <c r="ISK51">
        <f t="shared" si="205"/>
        <v>43</v>
      </c>
      <c r="ISL51">
        <f t="shared" si="205"/>
        <v>43</v>
      </c>
      <c r="ISM51">
        <f t="shared" si="205"/>
        <v>43</v>
      </c>
      <c r="ISN51">
        <f t="shared" si="205"/>
        <v>43</v>
      </c>
      <c r="ISO51">
        <f t="shared" si="205"/>
        <v>43</v>
      </c>
      <c r="ISP51">
        <f t="shared" si="205"/>
        <v>43</v>
      </c>
      <c r="ISQ51">
        <f t="shared" si="205"/>
        <v>43</v>
      </c>
      <c r="ISR51">
        <f t="shared" si="205"/>
        <v>43</v>
      </c>
      <c r="ISS51">
        <f t="shared" si="205"/>
        <v>43</v>
      </c>
      <c r="IST51">
        <f t="shared" si="205"/>
        <v>43</v>
      </c>
      <c r="ISU51">
        <f t="shared" si="205"/>
        <v>43</v>
      </c>
      <c r="ISV51">
        <f t="shared" si="205"/>
        <v>43</v>
      </c>
      <c r="ISW51">
        <f t="shared" si="205"/>
        <v>43</v>
      </c>
      <c r="ISX51">
        <f t="shared" si="205"/>
        <v>43</v>
      </c>
      <c r="ISY51">
        <f t="shared" si="205"/>
        <v>43</v>
      </c>
      <c r="ISZ51">
        <f t="shared" si="205"/>
        <v>43</v>
      </c>
      <c r="ITA51">
        <f t="shared" si="205"/>
        <v>43</v>
      </c>
      <c r="ITB51">
        <f t="shared" si="205"/>
        <v>43</v>
      </c>
      <c r="ITC51">
        <f t="shared" si="205"/>
        <v>43</v>
      </c>
      <c r="ITD51">
        <f t="shared" si="205"/>
        <v>43</v>
      </c>
      <c r="ITE51">
        <f t="shared" si="205"/>
        <v>43</v>
      </c>
      <c r="ITF51">
        <f t="shared" si="205"/>
        <v>43</v>
      </c>
      <c r="ITG51">
        <f t="shared" si="205"/>
        <v>43</v>
      </c>
      <c r="ITH51">
        <f t="shared" si="205"/>
        <v>43</v>
      </c>
      <c r="ITI51">
        <f t="shared" si="205"/>
        <v>43</v>
      </c>
      <c r="ITJ51">
        <f t="shared" si="205"/>
        <v>43</v>
      </c>
      <c r="ITK51">
        <f t="shared" si="205"/>
        <v>43</v>
      </c>
      <c r="ITL51">
        <f t="shared" si="205"/>
        <v>43</v>
      </c>
      <c r="ITM51">
        <f t="shared" si="205"/>
        <v>43</v>
      </c>
      <c r="ITN51">
        <f t="shared" si="205"/>
        <v>43</v>
      </c>
      <c r="ITO51">
        <f t="shared" si="205"/>
        <v>43</v>
      </c>
      <c r="ITP51">
        <f t="shared" si="205"/>
        <v>43</v>
      </c>
      <c r="ITQ51">
        <f t="shared" si="205"/>
        <v>43</v>
      </c>
      <c r="ITR51">
        <f t="shared" si="205"/>
        <v>43</v>
      </c>
      <c r="ITS51">
        <f t="shared" si="205"/>
        <v>43</v>
      </c>
      <c r="ITT51">
        <f t="shared" si="205"/>
        <v>43</v>
      </c>
      <c r="ITU51">
        <f t="shared" si="205"/>
        <v>43</v>
      </c>
      <c r="ITV51">
        <f t="shared" si="205"/>
        <v>43</v>
      </c>
      <c r="ITW51">
        <f t="shared" si="205"/>
        <v>43</v>
      </c>
      <c r="ITX51">
        <f t="shared" si="205"/>
        <v>43</v>
      </c>
      <c r="ITY51">
        <f t="shared" si="205"/>
        <v>43</v>
      </c>
      <c r="ITZ51">
        <f t="shared" si="205"/>
        <v>43</v>
      </c>
      <c r="IUA51">
        <f t="shared" ref="IUA51:IWL51" si="206">COUNTBLANK(IUA6:IUA49)</f>
        <v>43</v>
      </c>
      <c r="IUB51">
        <f t="shared" si="206"/>
        <v>43</v>
      </c>
      <c r="IUC51">
        <f t="shared" si="206"/>
        <v>43</v>
      </c>
      <c r="IUD51">
        <f t="shared" si="206"/>
        <v>43</v>
      </c>
      <c r="IUE51">
        <f t="shared" si="206"/>
        <v>43</v>
      </c>
      <c r="IUF51">
        <f t="shared" si="206"/>
        <v>43</v>
      </c>
      <c r="IUG51">
        <f t="shared" si="206"/>
        <v>43</v>
      </c>
      <c r="IUH51">
        <f t="shared" si="206"/>
        <v>43</v>
      </c>
      <c r="IUI51">
        <f t="shared" si="206"/>
        <v>43</v>
      </c>
      <c r="IUJ51">
        <f t="shared" si="206"/>
        <v>43</v>
      </c>
      <c r="IUK51">
        <f t="shared" si="206"/>
        <v>43</v>
      </c>
      <c r="IUL51">
        <f t="shared" si="206"/>
        <v>43</v>
      </c>
      <c r="IUM51">
        <f t="shared" si="206"/>
        <v>43</v>
      </c>
      <c r="IUN51">
        <f t="shared" si="206"/>
        <v>43</v>
      </c>
      <c r="IUO51">
        <f t="shared" si="206"/>
        <v>43</v>
      </c>
      <c r="IUP51">
        <f t="shared" si="206"/>
        <v>43</v>
      </c>
      <c r="IUQ51">
        <f t="shared" si="206"/>
        <v>43</v>
      </c>
      <c r="IUR51">
        <f t="shared" si="206"/>
        <v>43</v>
      </c>
      <c r="IUS51">
        <f t="shared" si="206"/>
        <v>43</v>
      </c>
      <c r="IUT51">
        <f t="shared" si="206"/>
        <v>43</v>
      </c>
      <c r="IUU51">
        <f t="shared" si="206"/>
        <v>43</v>
      </c>
      <c r="IUV51">
        <f t="shared" si="206"/>
        <v>43</v>
      </c>
      <c r="IUW51">
        <f t="shared" si="206"/>
        <v>43</v>
      </c>
      <c r="IUX51">
        <f t="shared" si="206"/>
        <v>43</v>
      </c>
      <c r="IUY51">
        <f t="shared" si="206"/>
        <v>43</v>
      </c>
      <c r="IUZ51">
        <f t="shared" si="206"/>
        <v>43</v>
      </c>
      <c r="IVA51">
        <f t="shared" si="206"/>
        <v>43</v>
      </c>
      <c r="IVB51">
        <f t="shared" si="206"/>
        <v>43</v>
      </c>
      <c r="IVC51">
        <f t="shared" si="206"/>
        <v>43</v>
      </c>
      <c r="IVD51">
        <f t="shared" si="206"/>
        <v>43</v>
      </c>
      <c r="IVE51">
        <f t="shared" si="206"/>
        <v>43</v>
      </c>
      <c r="IVF51">
        <f t="shared" si="206"/>
        <v>43</v>
      </c>
      <c r="IVG51">
        <f t="shared" si="206"/>
        <v>43</v>
      </c>
      <c r="IVH51">
        <f t="shared" si="206"/>
        <v>43</v>
      </c>
      <c r="IVI51">
        <f t="shared" si="206"/>
        <v>43</v>
      </c>
      <c r="IVJ51">
        <f t="shared" si="206"/>
        <v>43</v>
      </c>
      <c r="IVK51">
        <f t="shared" si="206"/>
        <v>43</v>
      </c>
      <c r="IVL51">
        <f t="shared" si="206"/>
        <v>43</v>
      </c>
      <c r="IVM51">
        <f t="shared" si="206"/>
        <v>43</v>
      </c>
      <c r="IVN51">
        <f t="shared" si="206"/>
        <v>43</v>
      </c>
      <c r="IVO51">
        <f t="shared" si="206"/>
        <v>43</v>
      </c>
      <c r="IVP51">
        <f t="shared" si="206"/>
        <v>43</v>
      </c>
      <c r="IVQ51">
        <f t="shared" si="206"/>
        <v>43</v>
      </c>
      <c r="IVR51">
        <f t="shared" si="206"/>
        <v>43</v>
      </c>
      <c r="IVS51">
        <f t="shared" si="206"/>
        <v>43</v>
      </c>
      <c r="IVT51">
        <f t="shared" si="206"/>
        <v>43</v>
      </c>
      <c r="IVU51">
        <f t="shared" si="206"/>
        <v>43</v>
      </c>
      <c r="IVV51">
        <f t="shared" si="206"/>
        <v>43</v>
      </c>
      <c r="IVW51">
        <f t="shared" si="206"/>
        <v>43</v>
      </c>
      <c r="IVX51">
        <f t="shared" si="206"/>
        <v>43</v>
      </c>
      <c r="IVY51">
        <f t="shared" si="206"/>
        <v>43</v>
      </c>
      <c r="IVZ51">
        <f t="shared" si="206"/>
        <v>43</v>
      </c>
      <c r="IWA51">
        <f t="shared" si="206"/>
        <v>43</v>
      </c>
      <c r="IWB51">
        <f t="shared" si="206"/>
        <v>43</v>
      </c>
      <c r="IWC51">
        <f t="shared" si="206"/>
        <v>43</v>
      </c>
      <c r="IWD51">
        <f t="shared" si="206"/>
        <v>43</v>
      </c>
      <c r="IWE51">
        <f t="shared" si="206"/>
        <v>43</v>
      </c>
      <c r="IWF51">
        <f t="shared" si="206"/>
        <v>43</v>
      </c>
      <c r="IWG51">
        <f t="shared" si="206"/>
        <v>43</v>
      </c>
      <c r="IWH51">
        <f t="shared" si="206"/>
        <v>43</v>
      </c>
      <c r="IWI51">
        <f t="shared" si="206"/>
        <v>43</v>
      </c>
      <c r="IWJ51">
        <f t="shared" si="206"/>
        <v>43</v>
      </c>
      <c r="IWK51">
        <f t="shared" si="206"/>
        <v>43</v>
      </c>
      <c r="IWL51">
        <f t="shared" si="206"/>
        <v>43</v>
      </c>
      <c r="IWM51">
        <f t="shared" ref="IWM51:IYX51" si="207">COUNTBLANK(IWM6:IWM49)</f>
        <v>43</v>
      </c>
      <c r="IWN51">
        <f t="shared" si="207"/>
        <v>43</v>
      </c>
      <c r="IWO51">
        <f t="shared" si="207"/>
        <v>43</v>
      </c>
      <c r="IWP51">
        <f t="shared" si="207"/>
        <v>43</v>
      </c>
      <c r="IWQ51">
        <f t="shared" si="207"/>
        <v>43</v>
      </c>
      <c r="IWR51">
        <f t="shared" si="207"/>
        <v>43</v>
      </c>
      <c r="IWS51">
        <f t="shared" si="207"/>
        <v>43</v>
      </c>
      <c r="IWT51">
        <f t="shared" si="207"/>
        <v>43</v>
      </c>
      <c r="IWU51">
        <f t="shared" si="207"/>
        <v>43</v>
      </c>
      <c r="IWV51">
        <f t="shared" si="207"/>
        <v>43</v>
      </c>
      <c r="IWW51">
        <f t="shared" si="207"/>
        <v>43</v>
      </c>
      <c r="IWX51">
        <f t="shared" si="207"/>
        <v>43</v>
      </c>
      <c r="IWY51">
        <f t="shared" si="207"/>
        <v>43</v>
      </c>
      <c r="IWZ51">
        <f t="shared" si="207"/>
        <v>43</v>
      </c>
      <c r="IXA51">
        <f t="shared" si="207"/>
        <v>43</v>
      </c>
      <c r="IXB51">
        <f t="shared" si="207"/>
        <v>43</v>
      </c>
      <c r="IXC51">
        <f t="shared" si="207"/>
        <v>43</v>
      </c>
      <c r="IXD51">
        <f t="shared" si="207"/>
        <v>43</v>
      </c>
      <c r="IXE51">
        <f t="shared" si="207"/>
        <v>43</v>
      </c>
      <c r="IXF51">
        <f t="shared" si="207"/>
        <v>43</v>
      </c>
      <c r="IXG51">
        <f t="shared" si="207"/>
        <v>43</v>
      </c>
      <c r="IXH51">
        <f t="shared" si="207"/>
        <v>43</v>
      </c>
      <c r="IXI51">
        <f t="shared" si="207"/>
        <v>43</v>
      </c>
      <c r="IXJ51">
        <f t="shared" si="207"/>
        <v>43</v>
      </c>
      <c r="IXK51">
        <f t="shared" si="207"/>
        <v>43</v>
      </c>
      <c r="IXL51">
        <f t="shared" si="207"/>
        <v>43</v>
      </c>
      <c r="IXM51">
        <f t="shared" si="207"/>
        <v>43</v>
      </c>
      <c r="IXN51">
        <f t="shared" si="207"/>
        <v>43</v>
      </c>
      <c r="IXO51">
        <f t="shared" si="207"/>
        <v>43</v>
      </c>
      <c r="IXP51">
        <f t="shared" si="207"/>
        <v>43</v>
      </c>
      <c r="IXQ51">
        <f t="shared" si="207"/>
        <v>43</v>
      </c>
      <c r="IXR51">
        <f t="shared" si="207"/>
        <v>43</v>
      </c>
      <c r="IXS51">
        <f t="shared" si="207"/>
        <v>43</v>
      </c>
      <c r="IXT51">
        <f t="shared" si="207"/>
        <v>43</v>
      </c>
      <c r="IXU51">
        <f t="shared" si="207"/>
        <v>43</v>
      </c>
      <c r="IXV51">
        <f t="shared" si="207"/>
        <v>43</v>
      </c>
      <c r="IXW51">
        <f t="shared" si="207"/>
        <v>43</v>
      </c>
      <c r="IXX51">
        <f t="shared" si="207"/>
        <v>43</v>
      </c>
      <c r="IXY51">
        <f t="shared" si="207"/>
        <v>43</v>
      </c>
      <c r="IXZ51">
        <f t="shared" si="207"/>
        <v>43</v>
      </c>
      <c r="IYA51">
        <f t="shared" si="207"/>
        <v>43</v>
      </c>
      <c r="IYB51">
        <f t="shared" si="207"/>
        <v>43</v>
      </c>
      <c r="IYC51">
        <f t="shared" si="207"/>
        <v>43</v>
      </c>
      <c r="IYD51">
        <f t="shared" si="207"/>
        <v>43</v>
      </c>
      <c r="IYE51">
        <f t="shared" si="207"/>
        <v>43</v>
      </c>
      <c r="IYF51">
        <f t="shared" si="207"/>
        <v>43</v>
      </c>
      <c r="IYG51">
        <f t="shared" si="207"/>
        <v>43</v>
      </c>
      <c r="IYH51">
        <f t="shared" si="207"/>
        <v>43</v>
      </c>
      <c r="IYI51">
        <f t="shared" si="207"/>
        <v>43</v>
      </c>
      <c r="IYJ51">
        <f t="shared" si="207"/>
        <v>43</v>
      </c>
      <c r="IYK51">
        <f t="shared" si="207"/>
        <v>43</v>
      </c>
      <c r="IYL51">
        <f t="shared" si="207"/>
        <v>43</v>
      </c>
      <c r="IYM51">
        <f t="shared" si="207"/>
        <v>43</v>
      </c>
      <c r="IYN51">
        <f t="shared" si="207"/>
        <v>43</v>
      </c>
      <c r="IYO51">
        <f t="shared" si="207"/>
        <v>43</v>
      </c>
      <c r="IYP51">
        <f t="shared" si="207"/>
        <v>43</v>
      </c>
      <c r="IYQ51">
        <f t="shared" si="207"/>
        <v>43</v>
      </c>
      <c r="IYR51">
        <f t="shared" si="207"/>
        <v>43</v>
      </c>
      <c r="IYS51">
        <f t="shared" si="207"/>
        <v>43</v>
      </c>
      <c r="IYT51">
        <f t="shared" si="207"/>
        <v>43</v>
      </c>
      <c r="IYU51">
        <f t="shared" si="207"/>
        <v>43</v>
      </c>
      <c r="IYV51">
        <f t="shared" si="207"/>
        <v>43</v>
      </c>
      <c r="IYW51">
        <f t="shared" si="207"/>
        <v>43</v>
      </c>
      <c r="IYX51">
        <f t="shared" si="207"/>
        <v>43</v>
      </c>
      <c r="IYY51">
        <f t="shared" ref="IYY51:JBJ51" si="208">COUNTBLANK(IYY6:IYY49)</f>
        <v>43</v>
      </c>
      <c r="IYZ51">
        <f t="shared" si="208"/>
        <v>43</v>
      </c>
      <c r="IZA51">
        <f t="shared" si="208"/>
        <v>43</v>
      </c>
      <c r="IZB51">
        <f t="shared" si="208"/>
        <v>43</v>
      </c>
      <c r="IZC51">
        <f t="shared" si="208"/>
        <v>43</v>
      </c>
      <c r="IZD51">
        <f t="shared" si="208"/>
        <v>43</v>
      </c>
      <c r="IZE51">
        <f t="shared" si="208"/>
        <v>43</v>
      </c>
      <c r="IZF51">
        <f t="shared" si="208"/>
        <v>43</v>
      </c>
      <c r="IZG51">
        <f t="shared" si="208"/>
        <v>43</v>
      </c>
      <c r="IZH51">
        <f t="shared" si="208"/>
        <v>43</v>
      </c>
      <c r="IZI51">
        <f t="shared" si="208"/>
        <v>43</v>
      </c>
      <c r="IZJ51">
        <f t="shared" si="208"/>
        <v>43</v>
      </c>
      <c r="IZK51">
        <f t="shared" si="208"/>
        <v>43</v>
      </c>
      <c r="IZL51">
        <f t="shared" si="208"/>
        <v>43</v>
      </c>
      <c r="IZM51">
        <f t="shared" si="208"/>
        <v>43</v>
      </c>
      <c r="IZN51">
        <f t="shared" si="208"/>
        <v>43</v>
      </c>
      <c r="IZO51">
        <f t="shared" si="208"/>
        <v>43</v>
      </c>
      <c r="IZP51">
        <f t="shared" si="208"/>
        <v>43</v>
      </c>
      <c r="IZQ51">
        <f t="shared" si="208"/>
        <v>43</v>
      </c>
      <c r="IZR51">
        <f t="shared" si="208"/>
        <v>43</v>
      </c>
      <c r="IZS51">
        <f t="shared" si="208"/>
        <v>43</v>
      </c>
      <c r="IZT51">
        <f t="shared" si="208"/>
        <v>43</v>
      </c>
      <c r="IZU51">
        <f t="shared" si="208"/>
        <v>43</v>
      </c>
      <c r="IZV51">
        <f t="shared" si="208"/>
        <v>43</v>
      </c>
      <c r="IZW51">
        <f t="shared" si="208"/>
        <v>43</v>
      </c>
      <c r="IZX51">
        <f t="shared" si="208"/>
        <v>43</v>
      </c>
      <c r="IZY51">
        <f t="shared" si="208"/>
        <v>43</v>
      </c>
      <c r="IZZ51">
        <f t="shared" si="208"/>
        <v>43</v>
      </c>
      <c r="JAA51">
        <f t="shared" si="208"/>
        <v>43</v>
      </c>
      <c r="JAB51">
        <f t="shared" si="208"/>
        <v>43</v>
      </c>
      <c r="JAC51">
        <f t="shared" si="208"/>
        <v>43</v>
      </c>
      <c r="JAD51">
        <f t="shared" si="208"/>
        <v>43</v>
      </c>
      <c r="JAE51">
        <f t="shared" si="208"/>
        <v>43</v>
      </c>
      <c r="JAF51">
        <f t="shared" si="208"/>
        <v>43</v>
      </c>
      <c r="JAG51">
        <f t="shared" si="208"/>
        <v>43</v>
      </c>
      <c r="JAH51">
        <f t="shared" si="208"/>
        <v>43</v>
      </c>
      <c r="JAI51">
        <f t="shared" si="208"/>
        <v>43</v>
      </c>
      <c r="JAJ51">
        <f t="shared" si="208"/>
        <v>43</v>
      </c>
      <c r="JAK51">
        <f t="shared" si="208"/>
        <v>43</v>
      </c>
      <c r="JAL51">
        <f t="shared" si="208"/>
        <v>43</v>
      </c>
      <c r="JAM51">
        <f t="shared" si="208"/>
        <v>43</v>
      </c>
      <c r="JAN51">
        <f t="shared" si="208"/>
        <v>43</v>
      </c>
      <c r="JAO51">
        <f t="shared" si="208"/>
        <v>43</v>
      </c>
      <c r="JAP51">
        <f t="shared" si="208"/>
        <v>43</v>
      </c>
      <c r="JAQ51">
        <f t="shared" si="208"/>
        <v>43</v>
      </c>
      <c r="JAR51">
        <f t="shared" si="208"/>
        <v>43</v>
      </c>
      <c r="JAS51">
        <f t="shared" si="208"/>
        <v>43</v>
      </c>
      <c r="JAT51">
        <f t="shared" si="208"/>
        <v>43</v>
      </c>
      <c r="JAU51">
        <f t="shared" si="208"/>
        <v>43</v>
      </c>
      <c r="JAV51">
        <f t="shared" si="208"/>
        <v>43</v>
      </c>
      <c r="JAW51">
        <f t="shared" si="208"/>
        <v>43</v>
      </c>
      <c r="JAX51">
        <f t="shared" si="208"/>
        <v>43</v>
      </c>
      <c r="JAY51">
        <f t="shared" si="208"/>
        <v>43</v>
      </c>
      <c r="JAZ51">
        <f t="shared" si="208"/>
        <v>43</v>
      </c>
      <c r="JBA51">
        <f t="shared" si="208"/>
        <v>43</v>
      </c>
      <c r="JBB51">
        <f t="shared" si="208"/>
        <v>43</v>
      </c>
      <c r="JBC51">
        <f t="shared" si="208"/>
        <v>43</v>
      </c>
      <c r="JBD51">
        <f t="shared" si="208"/>
        <v>43</v>
      </c>
      <c r="JBE51">
        <f t="shared" si="208"/>
        <v>43</v>
      </c>
      <c r="JBF51">
        <f t="shared" si="208"/>
        <v>43</v>
      </c>
      <c r="JBG51">
        <f t="shared" si="208"/>
        <v>43</v>
      </c>
      <c r="JBH51">
        <f t="shared" si="208"/>
        <v>43</v>
      </c>
      <c r="JBI51">
        <f t="shared" si="208"/>
        <v>43</v>
      </c>
      <c r="JBJ51">
        <f t="shared" si="208"/>
        <v>43</v>
      </c>
      <c r="JBK51">
        <f t="shared" ref="JBK51:JDV51" si="209">COUNTBLANK(JBK6:JBK49)</f>
        <v>43</v>
      </c>
      <c r="JBL51">
        <f t="shared" si="209"/>
        <v>43</v>
      </c>
      <c r="JBM51">
        <f t="shared" si="209"/>
        <v>43</v>
      </c>
      <c r="JBN51">
        <f t="shared" si="209"/>
        <v>43</v>
      </c>
      <c r="JBO51">
        <f t="shared" si="209"/>
        <v>43</v>
      </c>
      <c r="JBP51">
        <f t="shared" si="209"/>
        <v>43</v>
      </c>
      <c r="JBQ51">
        <f t="shared" si="209"/>
        <v>43</v>
      </c>
      <c r="JBR51">
        <f t="shared" si="209"/>
        <v>43</v>
      </c>
      <c r="JBS51">
        <f t="shared" si="209"/>
        <v>43</v>
      </c>
      <c r="JBT51">
        <f t="shared" si="209"/>
        <v>43</v>
      </c>
      <c r="JBU51">
        <f t="shared" si="209"/>
        <v>43</v>
      </c>
      <c r="JBV51">
        <f t="shared" si="209"/>
        <v>43</v>
      </c>
      <c r="JBW51">
        <f t="shared" si="209"/>
        <v>43</v>
      </c>
      <c r="JBX51">
        <f t="shared" si="209"/>
        <v>43</v>
      </c>
      <c r="JBY51">
        <f t="shared" si="209"/>
        <v>43</v>
      </c>
      <c r="JBZ51">
        <f t="shared" si="209"/>
        <v>43</v>
      </c>
      <c r="JCA51">
        <f t="shared" si="209"/>
        <v>43</v>
      </c>
      <c r="JCB51">
        <f t="shared" si="209"/>
        <v>43</v>
      </c>
      <c r="JCC51">
        <f t="shared" si="209"/>
        <v>43</v>
      </c>
      <c r="JCD51">
        <f t="shared" si="209"/>
        <v>43</v>
      </c>
      <c r="JCE51">
        <f t="shared" si="209"/>
        <v>43</v>
      </c>
      <c r="JCF51">
        <f t="shared" si="209"/>
        <v>43</v>
      </c>
      <c r="JCG51">
        <f t="shared" si="209"/>
        <v>43</v>
      </c>
      <c r="JCH51">
        <f t="shared" si="209"/>
        <v>43</v>
      </c>
      <c r="JCI51">
        <f t="shared" si="209"/>
        <v>43</v>
      </c>
      <c r="JCJ51">
        <f t="shared" si="209"/>
        <v>43</v>
      </c>
      <c r="JCK51">
        <f t="shared" si="209"/>
        <v>43</v>
      </c>
      <c r="JCL51">
        <f t="shared" si="209"/>
        <v>43</v>
      </c>
      <c r="JCM51">
        <f t="shared" si="209"/>
        <v>43</v>
      </c>
      <c r="JCN51">
        <f t="shared" si="209"/>
        <v>43</v>
      </c>
      <c r="JCO51">
        <f t="shared" si="209"/>
        <v>43</v>
      </c>
      <c r="JCP51">
        <f t="shared" si="209"/>
        <v>43</v>
      </c>
      <c r="JCQ51">
        <f t="shared" si="209"/>
        <v>43</v>
      </c>
      <c r="JCR51">
        <f t="shared" si="209"/>
        <v>43</v>
      </c>
      <c r="JCS51">
        <f t="shared" si="209"/>
        <v>43</v>
      </c>
      <c r="JCT51">
        <f t="shared" si="209"/>
        <v>43</v>
      </c>
      <c r="JCU51">
        <f t="shared" si="209"/>
        <v>43</v>
      </c>
      <c r="JCV51">
        <f t="shared" si="209"/>
        <v>43</v>
      </c>
      <c r="JCW51">
        <f t="shared" si="209"/>
        <v>43</v>
      </c>
      <c r="JCX51">
        <f t="shared" si="209"/>
        <v>43</v>
      </c>
      <c r="JCY51">
        <f t="shared" si="209"/>
        <v>43</v>
      </c>
      <c r="JCZ51">
        <f t="shared" si="209"/>
        <v>43</v>
      </c>
      <c r="JDA51">
        <f t="shared" si="209"/>
        <v>43</v>
      </c>
      <c r="JDB51">
        <f t="shared" si="209"/>
        <v>43</v>
      </c>
      <c r="JDC51">
        <f t="shared" si="209"/>
        <v>43</v>
      </c>
      <c r="JDD51">
        <f t="shared" si="209"/>
        <v>43</v>
      </c>
      <c r="JDE51">
        <f t="shared" si="209"/>
        <v>43</v>
      </c>
      <c r="JDF51">
        <f t="shared" si="209"/>
        <v>43</v>
      </c>
      <c r="JDG51">
        <f t="shared" si="209"/>
        <v>43</v>
      </c>
      <c r="JDH51">
        <f t="shared" si="209"/>
        <v>43</v>
      </c>
      <c r="JDI51">
        <f t="shared" si="209"/>
        <v>43</v>
      </c>
      <c r="JDJ51">
        <f t="shared" si="209"/>
        <v>43</v>
      </c>
      <c r="JDK51">
        <f t="shared" si="209"/>
        <v>43</v>
      </c>
      <c r="JDL51">
        <f t="shared" si="209"/>
        <v>43</v>
      </c>
      <c r="JDM51">
        <f t="shared" si="209"/>
        <v>43</v>
      </c>
      <c r="JDN51">
        <f t="shared" si="209"/>
        <v>43</v>
      </c>
      <c r="JDO51">
        <f t="shared" si="209"/>
        <v>43</v>
      </c>
      <c r="JDP51">
        <f t="shared" si="209"/>
        <v>43</v>
      </c>
      <c r="JDQ51">
        <f t="shared" si="209"/>
        <v>43</v>
      </c>
      <c r="JDR51">
        <f t="shared" si="209"/>
        <v>43</v>
      </c>
      <c r="JDS51">
        <f t="shared" si="209"/>
        <v>43</v>
      </c>
      <c r="JDT51">
        <f t="shared" si="209"/>
        <v>43</v>
      </c>
      <c r="JDU51">
        <f t="shared" si="209"/>
        <v>43</v>
      </c>
      <c r="JDV51">
        <f t="shared" si="209"/>
        <v>43</v>
      </c>
      <c r="JDW51">
        <f t="shared" ref="JDW51:JGH51" si="210">COUNTBLANK(JDW6:JDW49)</f>
        <v>43</v>
      </c>
      <c r="JDX51">
        <f t="shared" si="210"/>
        <v>43</v>
      </c>
      <c r="JDY51">
        <f t="shared" si="210"/>
        <v>43</v>
      </c>
      <c r="JDZ51">
        <f t="shared" si="210"/>
        <v>43</v>
      </c>
      <c r="JEA51">
        <f t="shared" si="210"/>
        <v>43</v>
      </c>
      <c r="JEB51">
        <f t="shared" si="210"/>
        <v>43</v>
      </c>
      <c r="JEC51">
        <f t="shared" si="210"/>
        <v>43</v>
      </c>
      <c r="JED51">
        <f t="shared" si="210"/>
        <v>43</v>
      </c>
      <c r="JEE51">
        <f t="shared" si="210"/>
        <v>43</v>
      </c>
      <c r="JEF51">
        <f t="shared" si="210"/>
        <v>43</v>
      </c>
      <c r="JEG51">
        <f t="shared" si="210"/>
        <v>43</v>
      </c>
      <c r="JEH51">
        <f t="shared" si="210"/>
        <v>43</v>
      </c>
      <c r="JEI51">
        <f t="shared" si="210"/>
        <v>43</v>
      </c>
      <c r="JEJ51">
        <f t="shared" si="210"/>
        <v>43</v>
      </c>
      <c r="JEK51">
        <f t="shared" si="210"/>
        <v>43</v>
      </c>
      <c r="JEL51">
        <f t="shared" si="210"/>
        <v>43</v>
      </c>
      <c r="JEM51">
        <f t="shared" si="210"/>
        <v>43</v>
      </c>
      <c r="JEN51">
        <f t="shared" si="210"/>
        <v>43</v>
      </c>
      <c r="JEO51">
        <f t="shared" si="210"/>
        <v>43</v>
      </c>
      <c r="JEP51">
        <f t="shared" si="210"/>
        <v>43</v>
      </c>
      <c r="JEQ51">
        <f t="shared" si="210"/>
        <v>43</v>
      </c>
      <c r="JER51">
        <f t="shared" si="210"/>
        <v>43</v>
      </c>
      <c r="JES51">
        <f t="shared" si="210"/>
        <v>43</v>
      </c>
      <c r="JET51">
        <f t="shared" si="210"/>
        <v>43</v>
      </c>
      <c r="JEU51">
        <f t="shared" si="210"/>
        <v>43</v>
      </c>
      <c r="JEV51">
        <f t="shared" si="210"/>
        <v>43</v>
      </c>
      <c r="JEW51">
        <f t="shared" si="210"/>
        <v>43</v>
      </c>
      <c r="JEX51">
        <f t="shared" si="210"/>
        <v>43</v>
      </c>
      <c r="JEY51">
        <f t="shared" si="210"/>
        <v>43</v>
      </c>
      <c r="JEZ51">
        <f t="shared" si="210"/>
        <v>43</v>
      </c>
      <c r="JFA51">
        <f t="shared" si="210"/>
        <v>43</v>
      </c>
      <c r="JFB51">
        <f t="shared" si="210"/>
        <v>43</v>
      </c>
      <c r="JFC51">
        <f t="shared" si="210"/>
        <v>43</v>
      </c>
      <c r="JFD51">
        <f t="shared" si="210"/>
        <v>43</v>
      </c>
      <c r="JFE51">
        <f t="shared" si="210"/>
        <v>43</v>
      </c>
      <c r="JFF51">
        <f t="shared" si="210"/>
        <v>43</v>
      </c>
      <c r="JFG51">
        <f t="shared" si="210"/>
        <v>43</v>
      </c>
      <c r="JFH51">
        <f t="shared" si="210"/>
        <v>43</v>
      </c>
      <c r="JFI51">
        <f t="shared" si="210"/>
        <v>43</v>
      </c>
      <c r="JFJ51">
        <f t="shared" si="210"/>
        <v>43</v>
      </c>
      <c r="JFK51">
        <f t="shared" si="210"/>
        <v>43</v>
      </c>
      <c r="JFL51">
        <f t="shared" si="210"/>
        <v>43</v>
      </c>
      <c r="JFM51">
        <f t="shared" si="210"/>
        <v>43</v>
      </c>
      <c r="JFN51">
        <f t="shared" si="210"/>
        <v>43</v>
      </c>
      <c r="JFO51">
        <f t="shared" si="210"/>
        <v>43</v>
      </c>
      <c r="JFP51">
        <f t="shared" si="210"/>
        <v>43</v>
      </c>
      <c r="JFQ51">
        <f t="shared" si="210"/>
        <v>43</v>
      </c>
      <c r="JFR51">
        <f t="shared" si="210"/>
        <v>43</v>
      </c>
      <c r="JFS51">
        <f t="shared" si="210"/>
        <v>43</v>
      </c>
      <c r="JFT51">
        <f t="shared" si="210"/>
        <v>43</v>
      </c>
      <c r="JFU51">
        <f t="shared" si="210"/>
        <v>43</v>
      </c>
      <c r="JFV51">
        <f t="shared" si="210"/>
        <v>43</v>
      </c>
      <c r="JFW51">
        <f t="shared" si="210"/>
        <v>43</v>
      </c>
      <c r="JFX51">
        <f t="shared" si="210"/>
        <v>43</v>
      </c>
      <c r="JFY51">
        <f t="shared" si="210"/>
        <v>43</v>
      </c>
      <c r="JFZ51">
        <f t="shared" si="210"/>
        <v>43</v>
      </c>
      <c r="JGA51">
        <f t="shared" si="210"/>
        <v>43</v>
      </c>
      <c r="JGB51">
        <f t="shared" si="210"/>
        <v>43</v>
      </c>
      <c r="JGC51">
        <f t="shared" si="210"/>
        <v>43</v>
      </c>
      <c r="JGD51">
        <f t="shared" si="210"/>
        <v>43</v>
      </c>
      <c r="JGE51">
        <f t="shared" si="210"/>
        <v>43</v>
      </c>
      <c r="JGF51">
        <f t="shared" si="210"/>
        <v>43</v>
      </c>
      <c r="JGG51">
        <f t="shared" si="210"/>
        <v>43</v>
      </c>
      <c r="JGH51">
        <f t="shared" si="210"/>
        <v>43</v>
      </c>
      <c r="JGI51">
        <f t="shared" ref="JGI51:JIT51" si="211">COUNTBLANK(JGI6:JGI49)</f>
        <v>43</v>
      </c>
      <c r="JGJ51">
        <f t="shared" si="211"/>
        <v>43</v>
      </c>
      <c r="JGK51">
        <f t="shared" si="211"/>
        <v>43</v>
      </c>
      <c r="JGL51">
        <f t="shared" si="211"/>
        <v>43</v>
      </c>
      <c r="JGM51">
        <f t="shared" si="211"/>
        <v>43</v>
      </c>
      <c r="JGN51">
        <f t="shared" si="211"/>
        <v>43</v>
      </c>
      <c r="JGO51">
        <f t="shared" si="211"/>
        <v>43</v>
      </c>
      <c r="JGP51">
        <f t="shared" si="211"/>
        <v>43</v>
      </c>
      <c r="JGQ51">
        <f t="shared" si="211"/>
        <v>43</v>
      </c>
      <c r="JGR51">
        <f t="shared" si="211"/>
        <v>43</v>
      </c>
      <c r="JGS51">
        <f t="shared" si="211"/>
        <v>43</v>
      </c>
      <c r="JGT51">
        <f t="shared" si="211"/>
        <v>43</v>
      </c>
      <c r="JGU51">
        <f t="shared" si="211"/>
        <v>43</v>
      </c>
      <c r="JGV51">
        <f t="shared" si="211"/>
        <v>43</v>
      </c>
      <c r="JGW51">
        <f t="shared" si="211"/>
        <v>43</v>
      </c>
      <c r="JGX51">
        <f t="shared" si="211"/>
        <v>43</v>
      </c>
      <c r="JGY51">
        <f t="shared" si="211"/>
        <v>43</v>
      </c>
      <c r="JGZ51">
        <f t="shared" si="211"/>
        <v>43</v>
      </c>
      <c r="JHA51">
        <f t="shared" si="211"/>
        <v>43</v>
      </c>
      <c r="JHB51">
        <f t="shared" si="211"/>
        <v>43</v>
      </c>
      <c r="JHC51">
        <f t="shared" si="211"/>
        <v>43</v>
      </c>
      <c r="JHD51">
        <f t="shared" si="211"/>
        <v>43</v>
      </c>
      <c r="JHE51">
        <f t="shared" si="211"/>
        <v>43</v>
      </c>
      <c r="JHF51">
        <f t="shared" si="211"/>
        <v>43</v>
      </c>
      <c r="JHG51">
        <f t="shared" si="211"/>
        <v>43</v>
      </c>
      <c r="JHH51">
        <f t="shared" si="211"/>
        <v>43</v>
      </c>
      <c r="JHI51">
        <f t="shared" si="211"/>
        <v>43</v>
      </c>
      <c r="JHJ51">
        <f t="shared" si="211"/>
        <v>43</v>
      </c>
      <c r="JHK51">
        <f t="shared" si="211"/>
        <v>43</v>
      </c>
      <c r="JHL51">
        <f t="shared" si="211"/>
        <v>43</v>
      </c>
      <c r="JHM51">
        <f t="shared" si="211"/>
        <v>43</v>
      </c>
      <c r="JHN51">
        <f t="shared" si="211"/>
        <v>43</v>
      </c>
      <c r="JHO51">
        <f t="shared" si="211"/>
        <v>43</v>
      </c>
      <c r="JHP51">
        <f t="shared" si="211"/>
        <v>43</v>
      </c>
      <c r="JHQ51">
        <f t="shared" si="211"/>
        <v>43</v>
      </c>
      <c r="JHR51">
        <f t="shared" si="211"/>
        <v>43</v>
      </c>
      <c r="JHS51">
        <f t="shared" si="211"/>
        <v>43</v>
      </c>
      <c r="JHT51">
        <f t="shared" si="211"/>
        <v>43</v>
      </c>
      <c r="JHU51">
        <f t="shared" si="211"/>
        <v>43</v>
      </c>
      <c r="JHV51">
        <f t="shared" si="211"/>
        <v>43</v>
      </c>
      <c r="JHW51">
        <f t="shared" si="211"/>
        <v>43</v>
      </c>
      <c r="JHX51">
        <f t="shared" si="211"/>
        <v>43</v>
      </c>
      <c r="JHY51">
        <f t="shared" si="211"/>
        <v>43</v>
      </c>
      <c r="JHZ51">
        <f t="shared" si="211"/>
        <v>43</v>
      </c>
      <c r="JIA51">
        <f t="shared" si="211"/>
        <v>43</v>
      </c>
      <c r="JIB51">
        <f t="shared" si="211"/>
        <v>43</v>
      </c>
      <c r="JIC51">
        <f t="shared" si="211"/>
        <v>43</v>
      </c>
      <c r="JID51">
        <f t="shared" si="211"/>
        <v>43</v>
      </c>
      <c r="JIE51">
        <f t="shared" si="211"/>
        <v>43</v>
      </c>
      <c r="JIF51">
        <f t="shared" si="211"/>
        <v>43</v>
      </c>
      <c r="JIG51">
        <f t="shared" si="211"/>
        <v>43</v>
      </c>
      <c r="JIH51">
        <f t="shared" si="211"/>
        <v>43</v>
      </c>
      <c r="JII51">
        <f t="shared" si="211"/>
        <v>43</v>
      </c>
      <c r="JIJ51">
        <f t="shared" si="211"/>
        <v>43</v>
      </c>
      <c r="JIK51">
        <f t="shared" si="211"/>
        <v>43</v>
      </c>
      <c r="JIL51">
        <f t="shared" si="211"/>
        <v>43</v>
      </c>
      <c r="JIM51">
        <f t="shared" si="211"/>
        <v>43</v>
      </c>
      <c r="JIN51">
        <f t="shared" si="211"/>
        <v>43</v>
      </c>
      <c r="JIO51">
        <f t="shared" si="211"/>
        <v>43</v>
      </c>
      <c r="JIP51">
        <f t="shared" si="211"/>
        <v>43</v>
      </c>
      <c r="JIQ51">
        <f t="shared" si="211"/>
        <v>43</v>
      </c>
      <c r="JIR51">
        <f t="shared" si="211"/>
        <v>43</v>
      </c>
      <c r="JIS51">
        <f t="shared" si="211"/>
        <v>43</v>
      </c>
      <c r="JIT51">
        <f t="shared" si="211"/>
        <v>43</v>
      </c>
      <c r="JIU51">
        <f t="shared" ref="JIU51:JLF51" si="212">COUNTBLANK(JIU6:JIU49)</f>
        <v>43</v>
      </c>
      <c r="JIV51">
        <f t="shared" si="212"/>
        <v>43</v>
      </c>
      <c r="JIW51">
        <f t="shared" si="212"/>
        <v>43</v>
      </c>
      <c r="JIX51">
        <f t="shared" si="212"/>
        <v>43</v>
      </c>
      <c r="JIY51">
        <f t="shared" si="212"/>
        <v>43</v>
      </c>
      <c r="JIZ51">
        <f t="shared" si="212"/>
        <v>43</v>
      </c>
      <c r="JJA51">
        <f t="shared" si="212"/>
        <v>43</v>
      </c>
      <c r="JJB51">
        <f t="shared" si="212"/>
        <v>43</v>
      </c>
      <c r="JJC51">
        <f t="shared" si="212"/>
        <v>43</v>
      </c>
      <c r="JJD51">
        <f t="shared" si="212"/>
        <v>43</v>
      </c>
      <c r="JJE51">
        <f t="shared" si="212"/>
        <v>43</v>
      </c>
      <c r="JJF51">
        <f t="shared" si="212"/>
        <v>43</v>
      </c>
      <c r="JJG51">
        <f t="shared" si="212"/>
        <v>43</v>
      </c>
      <c r="JJH51">
        <f t="shared" si="212"/>
        <v>43</v>
      </c>
      <c r="JJI51">
        <f t="shared" si="212"/>
        <v>43</v>
      </c>
      <c r="JJJ51">
        <f t="shared" si="212"/>
        <v>43</v>
      </c>
      <c r="JJK51">
        <f t="shared" si="212"/>
        <v>43</v>
      </c>
      <c r="JJL51">
        <f t="shared" si="212"/>
        <v>43</v>
      </c>
      <c r="JJM51">
        <f t="shared" si="212"/>
        <v>43</v>
      </c>
      <c r="JJN51">
        <f t="shared" si="212"/>
        <v>43</v>
      </c>
      <c r="JJO51">
        <f t="shared" si="212"/>
        <v>43</v>
      </c>
      <c r="JJP51">
        <f t="shared" si="212"/>
        <v>43</v>
      </c>
      <c r="JJQ51">
        <f t="shared" si="212"/>
        <v>43</v>
      </c>
      <c r="JJR51">
        <f t="shared" si="212"/>
        <v>42</v>
      </c>
      <c r="JJS51">
        <f t="shared" si="212"/>
        <v>42</v>
      </c>
      <c r="JJT51">
        <f t="shared" si="212"/>
        <v>42</v>
      </c>
      <c r="JJU51">
        <f t="shared" si="212"/>
        <v>42</v>
      </c>
      <c r="JJV51">
        <f t="shared" si="212"/>
        <v>42</v>
      </c>
      <c r="JJW51">
        <f t="shared" si="212"/>
        <v>42</v>
      </c>
      <c r="JJX51">
        <f t="shared" si="212"/>
        <v>42</v>
      </c>
      <c r="JJY51">
        <f t="shared" si="212"/>
        <v>42</v>
      </c>
      <c r="JJZ51">
        <f t="shared" si="212"/>
        <v>42</v>
      </c>
      <c r="JKA51">
        <f t="shared" si="212"/>
        <v>42</v>
      </c>
      <c r="JKB51">
        <f t="shared" si="212"/>
        <v>42</v>
      </c>
      <c r="JKC51">
        <f t="shared" si="212"/>
        <v>42</v>
      </c>
      <c r="JKD51">
        <f t="shared" si="212"/>
        <v>42</v>
      </c>
      <c r="JKE51">
        <f t="shared" si="212"/>
        <v>42</v>
      </c>
      <c r="JKF51">
        <f t="shared" si="212"/>
        <v>43</v>
      </c>
      <c r="JKG51">
        <f t="shared" si="212"/>
        <v>43</v>
      </c>
      <c r="JKH51">
        <f t="shared" si="212"/>
        <v>43</v>
      </c>
      <c r="JKI51">
        <f t="shared" si="212"/>
        <v>43</v>
      </c>
      <c r="JKJ51">
        <f t="shared" si="212"/>
        <v>43</v>
      </c>
      <c r="JKK51">
        <f t="shared" si="212"/>
        <v>43</v>
      </c>
      <c r="JKL51">
        <f t="shared" si="212"/>
        <v>43</v>
      </c>
      <c r="JKM51">
        <f t="shared" si="212"/>
        <v>43</v>
      </c>
      <c r="JKN51">
        <f t="shared" si="212"/>
        <v>43</v>
      </c>
      <c r="JKO51">
        <f t="shared" si="212"/>
        <v>43</v>
      </c>
      <c r="JKP51">
        <f t="shared" si="212"/>
        <v>43</v>
      </c>
      <c r="JKQ51">
        <f t="shared" si="212"/>
        <v>43</v>
      </c>
      <c r="JKR51">
        <f t="shared" si="212"/>
        <v>43</v>
      </c>
      <c r="JKS51">
        <f t="shared" si="212"/>
        <v>43</v>
      </c>
      <c r="JKT51">
        <f t="shared" si="212"/>
        <v>43</v>
      </c>
      <c r="JKU51">
        <f t="shared" si="212"/>
        <v>43</v>
      </c>
      <c r="JKV51">
        <f t="shared" si="212"/>
        <v>43</v>
      </c>
      <c r="JKW51">
        <f t="shared" si="212"/>
        <v>43</v>
      </c>
      <c r="JKX51">
        <f t="shared" si="212"/>
        <v>43</v>
      </c>
      <c r="JKY51">
        <f t="shared" si="212"/>
        <v>43</v>
      </c>
      <c r="JKZ51">
        <f t="shared" si="212"/>
        <v>43</v>
      </c>
      <c r="JLA51">
        <f t="shared" si="212"/>
        <v>43</v>
      </c>
      <c r="JLB51">
        <f t="shared" si="212"/>
        <v>43</v>
      </c>
      <c r="JLC51">
        <f t="shared" si="212"/>
        <v>43</v>
      </c>
      <c r="JLD51">
        <f t="shared" si="212"/>
        <v>43</v>
      </c>
      <c r="JLE51">
        <f t="shared" si="212"/>
        <v>43</v>
      </c>
      <c r="JLF51">
        <f t="shared" si="212"/>
        <v>43</v>
      </c>
      <c r="JLG51">
        <f t="shared" ref="JLG51:JNR51" si="213">COUNTBLANK(JLG6:JLG49)</f>
        <v>43</v>
      </c>
      <c r="JLH51">
        <f t="shared" si="213"/>
        <v>43</v>
      </c>
      <c r="JLI51">
        <f t="shared" si="213"/>
        <v>43</v>
      </c>
      <c r="JLJ51">
        <f t="shared" si="213"/>
        <v>43</v>
      </c>
      <c r="JLK51">
        <f t="shared" si="213"/>
        <v>43</v>
      </c>
      <c r="JLL51">
        <f t="shared" si="213"/>
        <v>43</v>
      </c>
      <c r="JLM51">
        <f t="shared" si="213"/>
        <v>43</v>
      </c>
      <c r="JLN51">
        <f t="shared" si="213"/>
        <v>43</v>
      </c>
      <c r="JLO51">
        <f t="shared" si="213"/>
        <v>43</v>
      </c>
      <c r="JLP51">
        <f t="shared" si="213"/>
        <v>43</v>
      </c>
      <c r="JLQ51">
        <f t="shared" si="213"/>
        <v>43</v>
      </c>
      <c r="JLR51">
        <f t="shared" si="213"/>
        <v>43</v>
      </c>
      <c r="JLS51">
        <f t="shared" si="213"/>
        <v>43</v>
      </c>
      <c r="JLT51">
        <f t="shared" si="213"/>
        <v>43</v>
      </c>
      <c r="JLU51">
        <f t="shared" si="213"/>
        <v>43</v>
      </c>
      <c r="JLV51">
        <f t="shared" si="213"/>
        <v>43</v>
      </c>
      <c r="JLW51">
        <f t="shared" si="213"/>
        <v>43</v>
      </c>
      <c r="JLX51">
        <f t="shared" si="213"/>
        <v>43</v>
      </c>
      <c r="JLY51">
        <f t="shared" si="213"/>
        <v>43</v>
      </c>
      <c r="JLZ51">
        <f t="shared" si="213"/>
        <v>43</v>
      </c>
      <c r="JMA51">
        <f t="shared" si="213"/>
        <v>43</v>
      </c>
      <c r="JMB51">
        <f t="shared" si="213"/>
        <v>43</v>
      </c>
      <c r="JMC51">
        <f t="shared" si="213"/>
        <v>43</v>
      </c>
      <c r="JMD51">
        <f t="shared" si="213"/>
        <v>43</v>
      </c>
      <c r="JME51">
        <f t="shared" si="213"/>
        <v>43</v>
      </c>
      <c r="JMF51">
        <f t="shared" si="213"/>
        <v>43</v>
      </c>
      <c r="JMG51">
        <f t="shared" si="213"/>
        <v>43</v>
      </c>
      <c r="JMH51">
        <f t="shared" si="213"/>
        <v>43</v>
      </c>
      <c r="JMI51">
        <f t="shared" si="213"/>
        <v>43</v>
      </c>
      <c r="JMJ51">
        <f t="shared" si="213"/>
        <v>43</v>
      </c>
      <c r="JMK51">
        <f t="shared" si="213"/>
        <v>43</v>
      </c>
      <c r="JML51">
        <f t="shared" si="213"/>
        <v>43</v>
      </c>
      <c r="JMM51">
        <f t="shared" si="213"/>
        <v>43</v>
      </c>
      <c r="JMN51">
        <f t="shared" si="213"/>
        <v>43</v>
      </c>
      <c r="JMO51">
        <f t="shared" si="213"/>
        <v>43</v>
      </c>
      <c r="JMP51">
        <f t="shared" si="213"/>
        <v>43</v>
      </c>
      <c r="JMQ51">
        <f t="shared" si="213"/>
        <v>43</v>
      </c>
      <c r="JMR51">
        <f t="shared" si="213"/>
        <v>43</v>
      </c>
      <c r="JMS51">
        <f t="shared" si="213"/>
        <v>43</v>
      </c>
      <c r="JMT51">
        <f t="shared" si="213"/>
        <v>43</v>
      </c>
      <c r="JMU51">
        <f t="shared" si="213"/>
        <v>43</v>
      </c>
      <c r="JMV51">
        <f t="shared" si="213"/>
        <v>43</v>
      </c>
      <c r="JMW51">
        <f t="shared" si="213"/>
        <v>43</v>
      </c>
      <c r="JMX51">
        <f t="shared" si="213"/>
        <v>43</v>
      </c>
      <c r="JMY51">
        <f t="shared" si="213"/>
        <v>43</v>
      </c>
      <c r="JMZ51">
        <f t="shared" si="213"/>
        <v>43</v>
      </c>
      <c r="JNA51">
        <f t="shared" si="213"/>
        <v>43</v>
      </c>
      <c r="JNB51">
        <f t="shared" si="213"/>
        <v>43</v>
      </c>
      <c r="JNC51">
        <f t="shared" si="213"/>
        <v>43</v>
      </c>
      <c r="JND51">
        <f t="shared" si="213"/>
        <v>43</v>
      </c>
      <c r="JNE51">
        <f t="shared" si="213"/>
        <v>43</v>
      </c>
      <c r="JNF51">
        <f t="shared" si="213"/>
        <v>43</v>
      </c>
      <c r="JNG51">
        <f t="shared" si="213"/>
        <v>43</v>
      </c>
      <c r="JNH51">
        <f t="shared" si="213"/>
        <v>43</v>
      </c>
      <c r="JNI51">
        <f t="shared" si="213"/>
        <v>43</v>
      </c>
      <c r="JNJ51">
        <f t="shared" si="213"/>
        <v>43</v>
      </c>
      <c r="JNK51">
        <f t="shared" si="213"/>
        <v>43</v>
      </c>
      <c r="JNL51">
        <f t="shared" si="213"/>
        <v>43</v>
      </c>
      <c r="JNM51">
        <f t="shared" si="213"/>
        <v>43</v>
      </c>
      <c r="JNN51">
        <f t="shared" si="213"/>
        <v>43</v>
      </c>
      <c r="JNO51">
        <f t="shared" si="213"/>
        <v>43</v>
      </c>
      <c r="JNP51">
        <f t="shared" si="213"/>
        <v>43</v>
      </c>
      <c r="JNQ51">
        <f t="shared" si="213"/>
        <v>43</v>
      </c>
      <c r="JNR51">
        <f t="shared" si="213"/>
        <v>43</v>
      </c>
      <c r="JNS51">
        <f t="shared" ref="JNS51:JQD51" si="214">COUNTBLANK(JNS6:JNS49)</f>
        <v>43</v>
      </c>
      <c r="JNT51">
        <f t="shared" si="214"/>
        <v>43</v>
      </c>
      <c r="JNU51">
        <f t="shared" si="214"/>
        <v>43</v>
      </c>
      <c r="JNV51">
        <f t="shared" si="214"/>
        <v>43</v>
      </c>
      <c r="JNW51">
        <f t="shared" si="214"/>
        <v>43</v>
      </c>
      <c r="JNX51">
        <f t="shared" si="214"/>
        <v>43</v>
      </c>
      <c r="JNY51">
        <f t="shared" si="214"/>
        <v>43</v>
      </c>
      <c r="JNZ51">
        <f t="shared" si="214"/>
        <v>43</v>
      </c>
      <c r="JOA51">
        <f t="shared" si="214"/>
        <v>43</v>
      </c>
      <c r="JOB51">
        <f t="shared" si="214"/>
        <v>43</v>
      </c>
      <c r="JOC51">
        <f t="shared" si="214"/>
        <v>43</v>
      </c>
      <c r="JOD51">
        <f t="shared" si="214"/>
        <v>43</v>
      </c>
      <c r="JOE51">
        <f t="shared" si="214"/>
        <v>43</v>
      </c>
      <c r="JOF51">
        <f t="shared" si="214"/>
        <v>43</v>
      </c>
      <c r="JOG51">
        <f t="shared" si="214"/>
        <v>43</v>
      </c>
      <c r="JOH51">
        <f t="shared" si="214"/>
        <v>43</v>
      </c>
      <c r="JOI51">
        <f t="shared" si="214"/>
        <v>43</v>
      </c>
      <c r="JOJ51">
        <f t="shared" si="214"/>
        <v>43</v>
      </c>
      <c r="JOK51">
        <f t="shared" si="214"/>
        <v>43</v>
      </c>
      <c r="JOL51">
        <f t="shared" si="214"/>
        <v>43</v>
      </c>
      <c r="JOM51">
        <f t="shared" si="214"/>
        <v>43</v>
      </c>
      <c r="JON51">
        <f t="shared" si="214"/>
        <v>43</v>
      </c>
      <c r="JOO51">
        <f t="shared" si="214"/>
        <v>43</v>
      </c>
      <c r="JOP51">
        <f t="shared" si="214"/>
        <v>43</v>
      </c>
      <c r="JOQ51">
        <f t="shared" si="214"/>
        <v>43</v>
      </c>
      <c r="JOR51">
        <f t="shared" si="214"/>
        <v>43</v>
      </c>
      <c r="JOS51">
        <f t="shared" si="214"/>
        <v>43</v>
      </c>
      <c r="JOT51">
        <f t="shared" si="214"/>
        <v>43</v>
      </c>
      <c r="JOU51">
        <f t="shared" si="214"/>
        <v>43</v>
      </c>
      <c r="JOV51">
        <f t="shared" si="214"/>
        <v>43</v>
      </c>
      <c r="JOW51">
        <f t="shared" si="214"/>
        <v>43</v>
      </c>
      <c r="JOX51">
        <f t="shared" si="214"/>
        <v>43</v>
      </c>
      <c r="JOY51">
        <f t="shared" si="214"/>
        <v>43</v>
      </c>
      <c r="JOZ51">
        <f t="shared" si="214"/>
        <v>43</v>
      </c>
      <c r="JPA51">
        <f t="shared" si="214"/>
        <v>43</v>
      </c>
      <c r="JPB51">
        <f t="shared" si="214"/>
        <v>43</v>
      </c>
      <c r="JPC51">
        <f t="shared" si="214"/>
        <v>43</v>
      </c>
      <c r="JPD51">
        <f t="shared" si="214"/>
        <v>43</v>
      </c>
      <c r="JPE51">
        <f t="shared" si="214"/>
        <v>43</v>
      </c>
      <c r="JPF51">
        <f t="shared" si="214"/>
        <v>43</v>
      </c>
      <c r="JPG51">
        <f t="shared" si="214"/>
        <v>43</v>
      </c>
      <c r="JPH51">
        <f t="shared" si="214"/>
        <v>43</v>
      </c>
      <c r="JPI51">
        <f t="shared" si="214"/>
        <v>43</v>
      </c>
      <c r="JPJ51">
        <f t="shared" si="214"/>
        <v>43</v>
      </c>
      <c r="JPK51">
        <f t="shared" si="214"/>
        <v>43</v>
      </c>
      <c r="JPL51">
        <f t="shared" si="214"/>
        <v>43</v>
      </c>
      <c r="JPM51">
        <f t="shared" si="214"/>
        <v>43</v>
      </c>
      <c r="JPN51">
        <f t="shared" si="214"/>
        <v>43</v>
      </c>
      <c r="JPO51">
        <f t="shared" si="214"/>
        <v>43</v>
      </c>
      <c r="JPP51">
        <f t="shared" si="214"/>
        <v>43</v>
      </c>
      <c r="JPQ51">
        <f t="shared" si="214"/>
        <v>43</v>
      </c>
      <c r="JPR51">
        <f t="shared" si="214"/>
        <v>43</v>
      </c>
      <c r="JPS51">
        <f t="shared" si="214"/>
        <v>43</v>
      </c>
      <c r="JPT51">
        <f t="shared" si="214"/>
        <v>43</v>
      </c>
      <c r="JPU51">
        <f t="shared" si="214"/>
        <v>43</v>
      </c>
      <c r="JPV51">
        <f t="shared" si="214"/>
        <v>43</v>
      </c>
      <c r="JPW51">
        <f t="shared" si="214"/>
        <v>43</v>
      </c>
      <c r="JPX51">
        <f t="shared" si="214"/>
        <v>43</v>
      </c>
      <c r="JPY51">
        <f t="shared" si="214"/>
        <v>43</v>
      </c>
      <c r="JPZ51">
        <f t="shared" si="214"/>
        <v>43</v>
      </c>
      <c r="JQA51">
        <f t="shared" si="214"/>
        <v>43</v>
      </c>
      <c r="JQB51">
        <f t="shared" si="214"/>
        <v>43</v>
      </c>
      <c r="JQC51">
        <f t="shared" si="214"/>
        <v>43</v>
      </c>
      <c r="JQD51">
        <f t="shared" si="214"/>
        <v>43</v>
      </c>
      <c r="JQE51">
        <f t="shared" ref="JQE51:JSP51" si="215">COUNTBLANK(JQE6:JQE49)</f>
        <v>43</v>
      </c>
      <c r="JQF51">
        <f t="shared" si="215"/>
        <v>43</v>
      </c>
      <c r="JQG51">
        <f t="shared" si="215"/>
        <v>43</v>
      </c>
      <c r="JQH51">
        <f t="shared" si="215"/>
        <v>43</v>
      </c>
      <c r="JQI51">
        <f t="shared" si="215"/>
        <v>43</v>
      </c>
      <c r="JQJ51">
        <f t="shared" si="215"/>
        <v>43</v>
      </c>
      <c r="JQK51">
        <f t="shared" si="215"/>
        <v>43</v>
      </c>
      <c r="JQL51">
        <f t="shared" si="215"/>
        <v>43</v>
      </c>
      <c r="JQM51">
        <f t="shared" si="215"/>
        <v>43</v>
      </c>
      <c r="JQN51">
        <f t="shared" si="215"/>
        <v>43</v>
      </c>
      <c r="JQO51">
        <f t="shared" si="215"/>
        <v>43</v>
      </c>
      <c r="JQP51">
        <f t="shared" si="215"/>
        <v>43</v>
      </c>
      <c r="JQQ51">
        <f t="shared" si="215"/>
        <v>43</v>
      </c>
      <c r="JQR51">
        <f t="shared" si="215"/>
        <v>43</v>
      </c>
      <c r="JQS51">
        <f t="shared" si="215"/>
        <v>43</v>
      </c>
      <c r="JQT51">
        <f t="shared" si="215"/>
        <v>43</v>
      </c>
      <c r="JQU51">
        <f t="shared" si="215"/>
        <v>43</v>
      </c>
      <c r="JQV51">
        <f t="shared" si="215"/>
        <v>43</v>
      </c>
      <c r="JQW51">
        <f t="shared" si="215"/>
        <v>43</v>
      </c>
      <c r="JQX51">
        <f t="shared" si="215"/>
        <v>43</v>
      </c>
      <c r="JQY51">
        <f t="shared" si="215"/>
        <v>43</v>
      </c>
      <c r="JQZ51">
        <f t="shared" si="215"/>
        <v>43</v>
      </c>
      <c r="JRA51">
        <f t="shared" si="215"/>
        <v>43</v>
      </c>
      <c r="JRB51">
        <f t="shared" si="215"/>
        <v>43</v>
      </c>
      <c r="JRC51">
        <f t="shared" si="215"/>
        <v>43</v>
      </c>
      <c r="JRD51">
        <f t="shared" si="215"/>
        <v>43</v>
      </c>
      <c r="JRE51">
        <f t="shared" si="215"/>
        <v>43</v>
      </c>
      <c r="JRF51">
        <f t="shared" si="215"/>
        <v>43</v>
      </c>
      <c r="JRG51">
        <f t="shared" si="215"/>
        <v>43</v>
      </c>
      <c r="JRH51">
        <f t="shared" si="215"/>
        <v>43</v>
      </c>
      <c r="JRI51">
        <f t="shared" si="215"/>
        <v>43</v>
      </c>
      <c r="JRJ51">
        <f t="shared" si="215"/>
        <v>43</v>
      </c>
      <c r="JRK51">
        <f t="shared" si="215"/>
        <v>43</v>
      </c>
      <c r="JRL51">
        <f t="shared" si="215"/>
        <v>43</v>
      </c>
      <c r="JRM51">
        <f t="shared" si="215"/>
        <v>43</v>
      </c>
      <c r="JRN51">
        <f t="shared" si="215"/>
        <v>43</v>
      </c>
      <c r="JRO51">
        <f t="shared" si="215"/>
        <v>43</v>
      </c>
      <c r="JRP51">
        <f t="shared" si="215"/>
        <v>43</v>
      </c>
      <c r="JRQ51">
        <f t="shared" si="215"/>
        <v>43</v>
      </c>
      <c r="JRR51">
        <f t="shared" si="215"/>
        <v>43</v>
      </c>
      <c r="JRS51">
        <f t="shared" si="215"/>
        <v>43</v>
      </c>
      <c r="JRT51">
        <f t="shared" si="215"/>
        <v>43</v>
      </c>
      <c r="JRU51">
        <f t="shared" si="215"/>
        <v>43</v>
      </c>
      <c r="JRV51">
        <f t="shared" si="215"/>
        <v>43</v>
      </c>
      <c r="JRW51">
        <f t="shared" si="215"/>
        <v>43</v>
      </c>
      <c r="JRX51">
        <f t="shared" si="215"/>
        <v>43</v>
      </c>
      <c r="JRY51">
        <f t="shared" si="215"/>
        <v>43</v>
      </c>
      <c r="JRZ51">
        <f t="shared" si="215"/>
        <v>43</v>
      </c>
      <c r="JSA51">
        <f t="shared" si="215"/>
        <v>43</v>
      </c>
      <c r="JSB51">
        <f t="shared" si="215"/>
        <v>43</v>
      </c>
      <c r="JSC51">
        <f t="shared" si="215"/>
        <v>43</v>
      </c>
      <c r="JSD51">
        <f t="shared" si="215"/>
        <v>43</v>
      </c>
      <c r="JSE51">
        <f t="shared" si="215"/>
        <v>43</v>
      </c>
      <c r="JSF51">
        <f t="shared" si="215"/>
        <v>43</v>
      </c>
      <c r="JSG51">
        <f t="shared" si="215"/>
        <v>43</v>
      </c>
      <c r="JSH51">
        <f t="shared" si="215"/>
        <v>43</v>
      </c>
      <c r="JSI51">
        <f t="shared" si="215"/>
        <v>43</v>
      </c>
      <c r="JSJ51">
        <f t="shared" si="215"/>
        <v>43</v>
      </c>
      <c r="JSK51">
        <f t="shared" si="215"/>
        <v>43</v>
      </c>
      <c r="JSL51">
        <f t="shared" si="215"/>
        <v>43</v>
      </c>
      <c r="JSM51">
        <f t="shared" si="215"/>
        <v>43</v>
      </c>
      <c r="JSN51">
        <f t="shared" si="215"/>
        <v>43</v>
      </c>
      <c r="JSO51">
        <f t="shared" si="215"/>
        <v>43</v>
      </c>
      <c r="JSP51">
        <f t="shared" si="215"/>
        <v>43</v>
      </c>
      <c r="JSQ51">
        <f t="shared" ref="JSQ51:JVB51" si="216">COUNTBLANK(JSQ6:JSQ49)</f>
        <v>43</v>
      </c>
      <c r="JSR51">
        <f t="shared" si="216"/>
        <v>43</v>
      </c>
      <c r="JSS51">
        <f t="shared" si="216"/>
        <v>43</v>
      </c>
      <c r="JST51">
        <f t="shared" si="216"/>
        <v>43</v>
      </c>
      <c r="JSU51">
        <f t="shared" si="216"/>
        <v>43</v>
      </c>
      <c r="JSV51">
        <f t="shared" si="216"/>
        <v>43</v>
      </c>
      <c r="JSW51">
        <f t="shared" si="216"/>
        <v>43</v>
      </c>
      <c r="JSX51">
        <f t="shared" si="216"/>
        <v>43</v>
      </c>
      <c r="JSY51">
        <f t="shared" si="216"/>
        <v>43</v>
      </c>
      <c r="JSZ51">
        <f t="shared" si="216"/>
        <v>43</v>
      </c>
      <c r="JTA51">
        <f t="shared" si="216"/>
        <v>43</v>
      </c>
      <c r="JTB51">
        <f t="shared" si="216"/>
        <v>43</v>
      </c>
      <c r="JTC51">
        <f t="shared" si="216"/>
        <v>43</v>
      </c>
      <c r="JTD51">
        <f t="shared" si="216"/>
        <v>43</v>
      </c>
      <c r="JTE51">
        <f t="shared" si="216"/>
        <v>43</v>
      </c>
      <c r="JTF51">
        <f t="shared" si="216"/>
        <v>43</v>
      </c>
      <c r="JTG51">
        <f t="shared" si="216"/>
        <v>43</v>
      </c>
      <c r="JTH51">
        <f t="shared" si="216"/>
        <v>43</v>
      </c>
      <c r="JTI51">
        <f t="shared" si="216"/>
        <v>43</v>
      </c>
      <c r="JTJ51">
        <f t="shared" si="216"/>
        <v>43</v>
      </c>
      <c r="JTK51">
        <f t="shared" si="216"/>
        <v>43</v>
      </c>
      <c r="JTL51">
        <f t="shared" si="216"/>
        <v>43</v>
      </c>
      <c r="JTM51">
        <f t="shared" si="216"/>
        <v>43</v>
      </c>
      <c r="JTN51">
        <f t="shared" si="216"/>
        <v>43</v>
      </c>
      <c r="JTO51">
        <f t="shared" si="216"/>
        <v>43</v>
      </c>
      <c r="JTP51">
        <f t="shared" si="216"/>
        <v>43</v>
      </c>
      <c r="JTQ51">
        <f t="shared" si="216"/>
        <v>43</v>
      </c>
      <c r="JTR51">
        <f t="shared" si="216"/>
        <v>43</v>
      </c>
      <c r="JTS51">
        <f t="shared" si="216"/>
        <v>43</v>
      </c>
      <c r="JTT51">
        <f t="shared" si="216"/>
        <v>43</v>
      </c>
      <c r="JTU51">
        <f t="shared" si="216"/>
        <v>43</v>
      </c>
      <c r="JTV51">
        <f t="shared" si="216"/>
        <v>43</v>
      </c>
      <c r="JTW51">
        <f t="shared" si="216"/>
        <v>43</v>
      </c>
      <c r="JTX51">
        <f t="shared" si="216"/>
        <v>43</v>
      </c>
      <c r="JTY51">
        <f t="shared" si="216"/>
        <v>43</v>
      </c>
      <c r="JTZ51">
        <f t="shared" si="216"/>
        <v>43</v>
      </c>
      <c r="JUA51">
        <f t="shared" si="216"/>
        <v>43</v>
      </c>
      <c r="JUB51">
        <f t="shared" si="216"/>
        <v>43</v>
      </c>
      <c r="JUC51">
        <f t="shared" si="216"/>
        <v>43</v>
      </c>
      <c r="JUD51">
        <f t="shared" si="216"/>
        <v>43</v>
      </c>
      <c r="JUE51">
        <f t="shared" si="216"/>
        <v>43</v>
      </c>
      <c r="JUF51">
        <f t="shared" si="216"/>
        <v>43</v>
      </c>
      <c r="JUG51">
        <f t="shared" si="216"/>
        <v>43</v>
      </c>
      <c r="JUH51">
        <f t="shared" si="216"/>
        <v>43</v>
      </c>
      <c r="JUI51">
        <f t="shared" si="216"/>
        <v>43</v>
      </c>
      <c r="JUJ51">
        <f t="shared" si="216"/>
        <v>43</v>
      </c>
      <c r="JUK51">
        <f t="shared" si="216"/>
        <v>43</v>
      </c>
      <c r="JUL51">
        <f t="shared" si="216"/>
        <v>43</v>
      </c>
      <c r="JUM51">
        <f t="shared" si="216"/>
        <v>43</v>
      </c>
      <c r="JUN51">
        <f t="shared" si="216"/>
        <v>43</v>
      </c>
      <c r="JUO51">
        <f t="shared" si="216"/>
        <v>43</v>
      </c>
      <c r="JUP51">
        <f t="shared" si="216"/>
        <v>43</v>
      </c>
      <c r="JUQ51">
        <f t="shared" si="216"/>
        <v>43</v>
      </c>
      <c r="JUR51">
        <f t="shared" si="216"/>
        <v>43</v>
      </c>
      <c r="JUS51">
        <f t="shared" si="216"/>
        <v>43</v>
      </c>
      <c r="JUT51">
        <f t="shared" si="216"/>
        <v>43</v>
      </c>
      <c r="JUU51">
        <f t="shared" si="216"/>
        <v>43</v>
      </c>
      <c r="JUV51">
        <f t="shared" si="216"/>
        <v>43</v>
      </c>
      <c r="JUW51">
        <f t="shared" si="216"/>
        <v>43</v>
      </c>
      <c r="JUX51">
        <f t="shared" si="216"/>
        <v>43</v>
      </c>
      <c r="JUY51">
        <f t="shared" si="216"/>
        <v>43</v>
      </c>
      <c r="JUZ51">
        <f t="shared" si="216"/>
        <v>43</v>
      </c>
      <c r="JVA51">
        <f t="shared" si="216"/>
        <v>43</v>
      </c>
      <c r="JVB51">
        <f t="shared" si="216"/>
        <v>43</v>
      </c>
      <c r="JVC51">
        <f t="shared" ref="JVC51:JXN51" si="217">COUNTBLANK(JVC6:JVC49)</f>
        <v>43</v>
      </c>
      <c r="JVD51">
        <f t="shared" si="217"/>
        <v>43</v>
      </c>
      <c r="JVE51">
        <f t="shared" si="217"/>
        <v>43</v>
      </c>
      <c r="JVF51">
        <f t="shared" si="217"/>
        <v>43</v>
      </c>
      <c r="JVG51">
        <f t="shared" si="217"/>
        <v>43</v>
      </c>
      <c r="JVH51">
        <f t="shared" si="217"/>
        <v>43</v>
      </c>
      <c r="JVI51">
        <f t="shared" si="217"/>
        <v>43</v>
      </c>
      <c r="JVJ51">
        <f t="shared" si="217"/>
        <v>43</v>
      </c>
      <c r="JVK51">
        <f t="shared" si="217"/>
        <v>43</v>
      </c>
      <c r="JVL51">
        <f t="shared" si="217"/>
        <v>43</v>
      </c>
      <c r="JVM51">
        <f t="shared" si="217"/>
        <v>43</v>
      </c>
      <c r="JVN51">
        <f t="shared" si="217"/>
        <v>43</v>
      </c>
      <c r="JVO51">
        <f t="shared" si="217"/>
        <v>43</v>
      </c>
      <c r="JVP51">
        <f t="shared" si="217"/>
        <v>43</v>
      </c>
      <c r="JVQ51">
        <f t="shared" si="217"/>
        <v>43</v>
      </c>
      <c r="JVR51">
        <f t="shared" si="217"/>
        <v>43</v>
      </c>
      <c r="JVS51">
        <f t="shared" si="217"/>
        <v>43</v>
      </c>
      <c r="JVT51">
        <f t="shared" si="217"/>
        <v>43</v>
      </c>
      <c r="JVU51">
        <f t="shared" si="217"/>
        <v>43</v>
      </c>
      <c r="JVV51">
        <f t="shared" si="217"/>
        <v>43</v>
      </c>
      <c r="JVW51">
        <f t="shared" si="217"/>
        <v>43</v>
      </c>
      <c r="JVX51">
        <f t="shared" si="217"/>
        <v>43</v>
      </c>
      <c r="JVY51">
        <f t="shared" si="217"/>
        <v>43</v>
      </c>
      <c r="JVZ51">
        <f t="shared" si="217"/>
        <v>43</v>
      </c>
      <c r="JWA51">
        <f t="shared" si="217"/>
        <v>43</v>
      </c>
      <c r="JWB51">
        <f t="shared" si="217"/>
        <v>43</v>
      </c>
      <c r="JWC51">
        <f t="shared" si="217"/>
        <v>43</v>
      </c>
      <c r="JWD51">
        <f t="shared" si="217"/>
        <v>43</v>
      </c>
      <c r="JWE51">
        <f t="shared" si="217"/>
        <v>43</v>
      </c>
      <c r="JWF51">
        <f t="shared" si="217"/>
        <v>43</v>
      </c>
      <c r="JWG51">
        <f t="shared" si="217"/>
        <v>43</v>
      </c>
      <c r="JWH51">
        <f t="shared" si="217"/>
        <v>43</v>
      </c>
      <c r="JWI51">
        <f t="shared" si="217"/>
        <v>43</v>
      </c>
      <c r="JWJ51">
        <f t="shared" si="217"/>
        <v>43</v>
      </c>
      <c r="JWK51">
        <f t="shared" si="217"/>
        <v>43</v>
      </c>
      <c r="JWL51">
        <f t="shared" si="217"/>
        <v>43</v>
      </c>
      <c r="JWM51">
        <f t="shared" si="217"/>
        <v>43</v>
      </c>
      <c r="JWN51">
        <f t="shared" si="217"/>
        <v>43</v>
      </c>
      <c r="JWO51">
        <f t="shared" si="217"/>
        <v>43</v>
      </c>
      <c r="JWP51">
        <f t="shared" si="217"/>
        <v>43</v>
      </c>
      <c r="JWQ51">
        <f t="shared" si="217"/>
        <v>43</v>
      </c>
      <c r="JWR51">
        <f t="shared" si="217"/>
        <v>43</v>
      </c>
      <c r="JWS51">
        <f t="shared" si="217"/>
        <v>43</v>
      </c>
      <c r="JWT51">
        <f t="shared" si="217"/>
        <v>43</v>
      </c>
      <c r="JWU51">
        <f t="shared" si="217"/>
        <v>43</v>
      </c>
      <c r="JWV51">
        <f t="shared" si="217"/>
        <v>43</v>
      </c>
      <c r="JWW51">
        <f t="shared" si="217"/>
        <v>43</v>
      </c>
      <c r="JWX51">
        <f t="shared" si="217"/>
        <v>43</v>
      </c>
      <c r="JWY51">
        <f t="shared" si="217"/>
        <v>43</v>
      </c>
      <c r="JWZ51">
        <f t="shared" si="217"/>
        <v>43</v>
      </c>
      <c r="JXA51">
        <f t="shared" si="217"/>
        <v>43</v>
      </c>
      <c r="JXB51">
        <f t="shared" si="217"/>
        <v>43</v>
      </c>
      <c r="JXC51">
        <f t="shared" si="217"/>
        <v>43</v>
      </c>
      <c r="JXD51">
        <f t="shared" si="217"/>
        <v>43</v>
      </c>
      <c r="JXE51">
        <f t="shared" si="217"/>
        <v>43</v>
      </c>
      <c r="JXF51">
        <f t="shared" si="217"/>
        <v>43</v>
      </c>
      <c r="JXG51">
        <f t="shared" si="217"/>
        <v>43</v>
      </c>
      <c r="JXH51">
        <f t="shared" si="217"/>
        <v>43</v>
      </c>
      <c r="JXI51">
        <f t="shared" si="217"/>
        <v>43</v>
      </c>
      <c r="JXJ51">
        <f t="shared" si="217"/>
        <v>43</v>
      </c>
      <c r="JXK51">
        <f t="shared" si="217"/>
        <v>43</v>
      </c>
      <c r="JXL51">
        <f t="shared" si="217"/>
        <v>43</v>
      </c>
      <c r="JXM51">
        <f t="shared" si="217"/>
        <v>43</v>
      </c>
      <c r="JXN51">
        <f t="shared" si="217"/>
        <v>43</v>
      </c>
      <c r="JXO51">
        <f t="shared" ref="JXO51:JZZ51" si="218">COUNTBLANK(JXO6:JXO49)</f>
        <v>43</v>
      </c>
      <c r="JXP51">
        <f t="shared" si="218"/>
        <v>43</v>
      </c>
      <c r="JXQ51">
        <f t="shared" si="218"/>
        <v>43</v>
      </c>
      <c r="JXR51">
        <f t="shared" si="218"/>
        <v>43</v>
      </c>
      <c r="JXS51">
        <f t="shared" si="218"/>
        <v>43</v>
      </c>
      <c r="JXT51">
        <f t="shared" si="218"/>
        <v>43</v>
      </c>
      <c r="JXU51">
        <f t="shared" si="218"/>
        <v>43</v>
      </c>
      <c r="JXV51">
        <f t="shared" si="218"/>
        <v>43</v>
      </c>
      <c r="JXW51">
        <f t="shared" si="218"/>
        <v>43</v>
      </c>
      <c r="JXX51">
        <f t="shared" si="218"/>
        <v>43</v>
      </c>
      <c r="JXY51">
        <f t="shared" si="218"/>
        <v>43</v>
      </c>
      <c r="JXZ51">
        <f t="shared" si="218"/>
        <v>43</v>
      </c>
      <c r="JYA51">
        <f t="shared" si="218"/>
        <v>43</v>
      </c>
      <c r="JYB51">
        <f t="shared" si="218"/>
        <v>43</v>
      </c>
      <c r="JYC51">
        <f t="shared" si="218"/>
        <v>43</v>
      </c>
      <c r="JYD51">
        <f t="shared" si="218"/>
        <v>43</v>
      </c>
      <c r="JYE51">
        <f t="shared" si="218"/>
        <v>43</v>
      </c>
      <c r="JYF51">
        <f t="shared" si="218"/>
        <v>43</v>
      </c>
      <c r="JYG51">
        <f t="shared" si="218"/>
        <v>43</v>
      </c>
      <c r="JYH51">
        <f t="shared" si="218"/>
        <v>43</v>
      </c>
      <c r="JYI51">
        <f t="shared" si="218"/>
        <v>43</v>
      </c>
      <c r="JYJ51">
        <f t="shared" si="218"/>
        <v>43</v>
      </c>
      <c r="JYK51">
        <f t="shared" si="218"/>
        <v>43</v>
      </c>
      <c r="JYL51">
        <f t="shared" si="218"/>
        <v>43</v>
      </c>
      <c r="JYM51">
        <f t="shared" si="218"/>
        <v>43</v>
      </c>
      <c r="JYN51">
        <f t="shared" si="218"/>
        <v>43</v>
      </c>
      <c r="JYO51">
        <f t="shared" si="218"/>
        <v>43</v>
      </c>
      <c r="JYP51">
        <f t="shared" si="218"/>
        <v>43</v>
      </c>
      <c r="JYQ51">
        <f t="shared" si="218"/>
        <v>43</v>
      </c>
      <c r="JYR51">
        <f t="shared" si="218"/>
        <v>43</v>
      </c>
      <c r="JYS51">
        <f t="shared" si="218"/>
        <v>43</v>
      </c>
      <c r="JYT51">
        <f t="shared" si="218"/>
        <v>43</v>
      </c>
      <c r="JYU51">
        <f t="shared" si="218"/>
        <v>43</v>
      </c>
      <c r="JYV51">
        <f t="shared" si="218"/>
        <v>43</v>
      </c>
      <c r="JYW51">
        <f t="shared" si="218"/>
        <v>43</v>
      </c>
      <c r="JYX51">
        <f t="shared" si="218"/>
        <v>43</v>
      </c>
      <c r="JYY51">
        <f t="shared" si="218"/>
        <v>43</v>
      </c>
      <c r="JYZ51">
        <f t="shared" si="218"/>
        <v>43</v>
      </c>
      <c r="JZA51">
        <f t="shared" si="218"/>
        <v>43</v>
      </c>
      <c r="JZB51">
        <f t="shared" si="218"/>
        <v>43</v>
      </c>
      <c r="JZC51">
        <f t="shared" si="218"/>
        <v>43</v>
      </c>
      <c r="JZD51">
        <f t="shared" si="218"/>
        <v>43</v>
      </c>
      <c r="JZE51">
        <f t="shared" si="218"/>
        <v>43</v>
      </c>
      <c r="JZF51">
        <f t="shared" si="218"/>
        <v>43</v>
      </c>
      <c r="JZG51">
        <f t="shared" si="218"/>
        <v>43</v>
      </c>
      <c r="JZH51">
        <f t="shared" si="218"/>
        <v>43</v>
      </c>
      <c r="JZI51">
        <f t="shared" si="218"/>
        <v>43</v>
      </c>
      <c r="JZJ51">
        <f t="shared" si="218"/>
        <v>43</v>
      </c>
      <c r="JZK51">
        <f t="shared" si="218"/>
        <v>43</v>
      </c>
      <c r="JZL51">
        <f t="shared" si="218"/>
        <v>43</v>
      </c>
      <c r="JZM51">
        <f t="shared" si="218"/>
        <v>43</v>
      </c>
      <c r="JZN51">
        <f t="shared" si="218"/>
        <v>43</v>
      </c>
      <c r="JZO51">
        <f t="shared" si="218"/>
        <v>43</v>
      </c>
      <c r="JZP51">
        <f t="shared" si="218"/>
        <v>43</v>
      </c>
      <c r="JZQ51">
        <f t="shared" si="218"/>
        <v>43</v>
      </c>
      <c r="JZR51">
        <f t="shared" si="218"/>
        <v>43</v>
      </c>
      <c r="JZS51">
        <f t="shared" si="218"/>
        <v>43</v>
      </c>
      <c r="JZT51">
        <f t="shared" si="218"/>
        <v>43</v>
      </c>
      <c r="JZU51">
        <f t="shared" si="218"/>
        <v>43</v>
      </c>
      <c r="JZV51">
        <f t="shared" si="218"/>
        <v>43</v>
      </c>
      <c r="JZW51">
        <f t="shared" si="218"/>
        <v>43</v>
      </c>
      <c r="JZX51">
        <f t="shared" si="218"/>
        <v>43</v>
      </c>
      <c r="JZY51">
        <f t="shared" si="218"/>
        <v>43</v>
      </c>
      <c r="JZZ51">
        <f t="shared" si="218"/>
        <v>43</v>
      </c>
      <c r="KAA51">
        <f t="shared" ref="KAA51:KCL51" si="219">COUNTBLANK(KAA6:KAA49)</f>
        <v>43</v>
      </c>
      <c r="KAB51">
        <f t="shared" si="219"/>
        <v>43</v>
      </c>
      <c r="KAC51">
        <f t="shared" si="219"/>
        <v>43</v>
      </c>
      <c r="KAD51">
        <f t="shared" si="219"/>
        <v>43</v>
      </c>
      <c r="KAE51">
        <f t="shared" si="219"/>
        <v>43</v>
      </c>
      <c r="KAF51">
        <f t="shared" si="219"/>
        <v>43</v>
      </c>
      <c r="KAG51">
        <f t="shared" si="219"/>
        <v>43</v>
      </c>
      <c r="KAH51">
        <f t="shared" si="219"/>
        <v>43</v>
      </c>
      <c r="KAI51">
        <f t="shared" si="219"/>
        <v>43</v>
      </c>
      <c r="KAJ51">
        <f t="shared" si="219"/>
        <v>43</v>
      </c>
      <c r="KAK51">
        <f t="shared" si="219"/>
        <v>43</v>
      </c>
      <c r="KAL51">
        <f t="shared" si="219"/>
        <v>43</v>
      </c>
      <c r="KAM51">
        <f t="shared" si="219"/>
        <v>43</v>
      </c>
      <c r="KAN51">
        <f t="shared" si="219"/>
        <v>43</v>
      </c>
      <c r="KAO51">
        <f t="shared" si="219"/>
        <v>43</v>
      </c>
      <c r="KAP51">
        <f t="shared" si="219"/>
        <v>43</v>
      </c>
      <c r="KAQ51">
        <f t="shared" si="219"/>
        <v>43</v>
      </c>
      <c r="KAR51">
        <f t="shared" si="219"/>
        <v>43</v>
      </c>
      <c r="KAS51">
        <f t="shared" si="219"/>
        <v>43</v>
      </c>
      <c r="KAT51">
        <f t="shared" si="219"/>
        <v>43</v>
      </c>
      <c r="KAU51">
        <f t="shared" si="219"/>
        <v>43</v>
      </c>
      <c r="KAV51">
        <f t="shared" si="219"/>
        <v>43</v>
      </c>
      <c r="KAW51">
        <f t="shared" si="219"/>
        <v>43</v>
      </c>
      <c r="KAX51">
        <f t="shared" si="219"/>
        <v>43</v>
      </c>
      <c r="KAY51">
        <f t="shared" si="219"/>
        <v>43</v>
      </c>
      <c r="KAZ51">
        <f t="shared" si="219"/>
        <v>43</v>
      </c>
      <c r="KBA51">
        <f t="shared" si="219"/>
        <v>43</v>
      </c>
      <c r="KBB51">
        <f t="shared" si="219"/>
        <v>43</v>
      </c>
      <c r="KBC51">
        <f t="shared" si="219"/>
        <v>43</v>
      </c>
      <c r="KBD51">
        <f t="shared" si="219"/>
        <v>43</v>
      </c>
      <c r="KBE51">
        <f t="shared" si="219"/>
        <v>43</v>
      </c>
      <c r="KBF51">
        <f t="shared" si="219"/>
        <v>43</v>
      </c>
      <c r="KBG51">
        <f t="shared" si="219"/>
        <v>43</v>
      </c>
      <c r="KBH51">
        <f t="shared" si="219"/>
        <v>43</v>
      </c>
      <c r="KBI51">
        <f t="shared" si="219"/>
        <v>43</v>
      </c>
      <c r="KBJ51">
        <f t="shared" si="219"/>
        <v>43</v>
      </c>
      <c r="KBK51">
        <f t="shared" si="219"/>
        <v>43</v>
      </c>
      <c r="KBL51">
        <f t="shared" si="219"/>
        <v>43</v>
      </c>
      <c r="KBM51">
        <f t="shared" si="219"/>
        <v>43</v>
      </c>
      <c r="KBN51">
        <f t="shared" si="219"/>
        <v>43</v>
      </c>
      <c r="KBO51">
        <f t="shared" si="219"/>
        <v>43</v>
      </c>
      <c r="KBP51">
        <f t="shared" si="219"/>
        <v>43</v>
      </c>
      <c r="KBQ51">
        <f t="shared" si="219"/>
        <v>43</v>
      </c>
      <c r="KBR51">
        <f t="shared" si="219"/>
        <v>43</v>
      </c>
      <c r="KBS51">
        <f t="shared" si="219"/>
        <v>43</v>
      </c>
      <c r="KBT51">
        <f t="shared" si="219"/>
        <v>43</v>
      </c>
      <c r="KBU51">
        <f t="shared" si="219"/>
        <v>43</v>
      </c>
      <c r="KBV51">
        <f t="shared" si="219"/>
        <v>43</v>
      </c>
      <c r="KBW51">
        <f t="shared" si="219"/>
        <v>43</v>
      </c>
      <c r="KBX51">
        <f t="shared" si="219"/>
        <v>43</v>
      </c>
      <c r="KBY51">
        <f t="shared" si="219"/>
        <v>43</v>
      </c>
      <c r="KBZ51">
        <f t="shared" si="219"/>
        <v>43</v>
      </c>
      <c r="KCA51">
        <f t="shared" si="219"/>
        <v>43</v>
      </c>
      <c r="KCB51">
        <f t="shared" si="219"/>
        <v>43</v>
      </c>
      <c r="KCC51">
        <f t="shared" si="219"/>
        <v>43</v>
      </c>
      <c r="KCD51">
        <f t="shared" si="219"/>
        <v>43</v>
      </c>
      <c r="KCE51">
        <f t="shared" si="219"/>
        <v>43</v>
      </c>
      <c r="KCF51">
        <f t="shared" si="219"/>
        <v>43</v>
      </c>
      <c r="KCG51">
        <f t="shared" si="219"/>
        <v>43</v>
      </c>
      <c r="KCH51">
        <f t="shared" si="219"/>
        <v>43</v>
      </c>
      <c r="KCI51">
        <f t="shared" si="219"/>
        <v>43</v>
      </c>
      <c r="KCJ51">
        <f t="shared" si="219"/>
        <v>43</v>
      </c>
      <c r="KCK51">
        <f t="shared" si="219"/>
        <v>43</v>
      </c>
      <c r="KCL51">
        <f t="shared" si="219"/>
        <v>43</v>
      </c>
      <c r="KCM51">
        <f t="shared" ref="KCM51:KEX51" si="220">COUNTBLANK(KCM6:KCM49)</f>
        <v>43</v>
      </c>
      <c r="KCN51">
        <f t="shared" si="220"/>
        <v>43</v>
      </c>
      <c r="KCO51">
        <f t="shared" si="220"/>
        <v>43</v>
      </c>
      <c r="KCP51">
        <f t="shared" si="220"/>
        <v>43</v>
      </c>
      <c r="KCQ51">
        <f t="shared" si="220"/>
        <v>43</v>
      </c>
      <c r="KCR51">
        <f t="shared" si="220"/>
        <v>43</v>
      </c>
      <c r="KCS51">
        <f t="shared" si="220"/>
        <v>43</v>
      </c>
      <c r="KCT51">
        <f t="shared" si="220"/>
        <v>43</v>
      </c>
      <c r="KCU51">
        <f t="shared" si="220"/>
        <v>43</v>
      </c>
      <c r="KCV51">
        <f t="shared" si="220"/>
        <v>43</v>
      </c>
      <c r="KCW51">
        <f t="shared" si="220"/>
        <v>43</v>
      </c>
      <c r="KCX51">
        <f t="shared" si="220"/>
        <v>44</v>
      </c>
      <c r="KCY51">
        <f t="shared" si="220"/>
        <v>44</v>
      </c>
      <c r="KCZ51">
        <f t="shared" si="220"/>
        <v>44</v>
      </c>
      <c r="KDA51">
        <f t="shared" si="220"/>
        <v>44</v>
      </c>
      <c r="KDB51">
        <f t="shared" si="220"/>
        <v>44</v>
      </c>
      <c r="KDC51">
        <f t="shared" si="220"/>
        <v>44</v>
      </c>
      <c r="KDD51">
        <f t="shared" si="220"/>
        <v>44</v>
      </c>
      <c r="KDE51">
        <f t="shared" si="220"/>
        <v>44</v>
      </c>
      <c r="KDF51">
        <f t="shared" si="220"/>
        <v>44</v>
      </c>
      <c r="KDG51">
        <f t="shared" si="220"/>
        <v>44</v>
      </c>
      <c r="KDH51">
        <f t="shared" si="220"/>
        <v>44</v>
      </c>
      <c r="KDI51">
        <f t="shared" si="220"/>
        <v>44</v>
      </c>
      <c r="KDJ51">
        <f t="shared" si="220"/>
        <v>44</v>
      </c>
      <c r="KDK51">
        <f t="shared" si="220"/>
        <v>44</v>
      </c>
      <c r="KDL51">
        <f t="shared" si="220"/>
        <v>44</v>
      </c>
      <c r="KDM51">
        <f t="shared" si="220"/>
        <v>44</v>
      </c>
      <c r="KDN51">
        <f t="shared" si="220"/>
        <v>44</v>
      </c>
      <c r="KDO51">
        <f t="shared" si="220"/>
        <v>44</v>
      </c>
      <c r="KDP51">
        <f t="shared" si="220"/>
        <v>44</v>
      </c>
      <c r="KDQ51">
        <f t="shared" si="220"/>
        <v>44</v>
      </c>
      <c r="KDR51">
        <f t="shared" si="220"/>
        <v>44</v>
      </c>
      <c r="KDS51">
        <f t="shared" si="220"/>
        <v>44</v>
      </c>
      <c r="KDT51">
        <f t="shared" si="220"/>
        <v>44</v>
      </c>
      <c r="KDU51">
        <f t="shared" si="220"/>
        <v>44</v>
      </c>
      <c r="KDV51">
        <f t="shared" si="220"/>
        <v>44</v>
      </c>
      <c r="KDW51">
        <f t="shared" si="220"/>
        <v>44</v>
      </c>
      <c r="KDX51">
        <f t="shared" si="220"/>
        <v>44</v>
      </c>
      <c r="KDY51">
        <f t="shared" si="220"/>
        <v>44</v>
      </c>
      <c r="KDZ51">
        <f t="shared" si="220"/>
        <v>44</v>
      </c>
      <c r="KEA51">
        <f t="shared" si="220"/>
        <v>44</v>
      </c>
      <c r="KEB51">
        <f t="shared" si="220"/>
        <v>44</v>
      </c>
      <c r="KEC51">
        <f t="shared" si="220"/>
        <v>44</v>
      </c>
      <c r="KED51">
        <f t="shared" si="220"/>
        <v>44</v>
      </c>
      <c r="KEE51">
        <f t="shared" si="220"/>
        <v>44</v>
      </c>
      <c r="KEF51">
        <f t="shared" si="220"/>
        <v>44</v>
      </c>
      <c r="KEG51">
        <f t="shared" si="220"/>
        <v>44</v>
      </c>
      <c r="KEH51">
        <f t="shared" si="220"/>
        <v>44</v>
      </c>
      <c r="KEI51">
        <f t="shared" si="220"/>
        <v>44</v>
      </c>
      <c r="KEJ51">
        <f t="shared" si="220"/>
        <v>44</v>
      </c>
      <c r="KEK51">
        <f t="shared" si="220"/>
        <v>44</v>
      </c>
      <c r="KEL51">
        <f t="shared" si="220"/>
        <v>44</v>
      </c>
      <c r="KEM51">
        <f t="shared" si="220"/>
        <v>44</v>
      </c>
      <c r="KEN51">
        <f t="shared" si="220"/>
        <v>44</v>
      </c>
      <c r="KEO51">
        <f t="shared" si="220"/>
        <v>44</v>
      </c>
      <c r="KEP51">
        <f t="shared" si="220"/>
        <v>44</v>
      </c>
      <c r="KEQ51">
        <f t="shared" si="220"/>
        <v>44</v>
      </c>
      <c r="KER51">
        <f t="shared" si="220"/>
        <v>44</v>
      </c>
      <c r="KES51">
        <f t="shared" si="220"/>
        <v>44</v>
      </c>
      <c r="KET51">
        <f t="shared" si="220"/>
        <v>44</v>
      </c>
      <c r="KEU51">
        <f t="shared" si="220"/>
        <v>44</v>
      </c>
      <c r="KEV51">
        <f t="shared" si="220"/>
        <v>44</v>
      </c>
      <c r="KEW51">
        <f t="shared" si="220"/>
        <v>44</v>
      </c>
      <c r="KEX51">
        <f t="shared" si="220"/>
        <v>44</v>
      </c>
      <c r="KEY51">
        <f t="shared" ref="KEY51:KFV51" si="221">COUNTBLANK(KEY6:KEY49)</f>
        <v>44</v>
      </c>
      <c r="KEZ51">
        <f t="shared" si="221"/>
        <v>44</v>
      </c>
      <c r="KFA51">
        <f t="shared" si="221"/>
        <v>44</v>
      </c>
      <c r="KFB51">
        <f t="shared" si="221"/>
        <v>44</v>
      </c>
      <c r="KFC51">
        <f t="shared" si="221"/>
        <v>44</v>
      </c>
      <c r="KFD51">
        <f t="shared" si="221"/>
        <v>44</v>
      </c>
      <c r="KFE51">
        <f t="shared" si="221"/>
        <v>44</v>
      </c>
      <c r="KFF51">
        <f t="shared" si="221"/>
        <v>44</v>
      </c>
      <c r="KFG51">
        <f t="shared" si="221"/>
        <v>44</v>
      </c>
      <c r="KFH51">
        <f t="shared" si="221"/>
        <v>44</v>
      </c>
      <c r="KFI51">
        <f t="shared" si="221"/>
        <v>44</v>
      </c>
      <c r="KFJ51">
        <f t="shared" si="221"/>
        <v>44</v>
      </c>
      <c r="KFK51">
        <f t="shared" si="221"/>
        <v>44</v>
      </c>
      <c r="KFL51">
        <f t="shared" si="221"/>
        <v>44</v>
      </c>
      <c r="KFM51">
        <f t="shared" si="221"/>
        <v>44</v>
      </c>
      <c r="KFN51">
        <f t="shared" si="221"/>
        <v>44</v>
      </c>
      <c r="KFO51">
        <f t="shared" si="221"/>
        <v>44</v>
      </c>
      <c r="KFP51">
        <f t="shared" si="221"/>
        <v>44</v>
      </c>
      <c r="KFQ51">
        <f t="shared" si="221"/>
        <v>44</v>
      </c>
      <c r="KFR51">
        <f t="shared" si="221"/>
        <v>44</v>
      </c>
      <c r="KFS51">
        <f t="shared" si="221"/>
        <v>44</v>
      </c>
      <c r="KFT51">
        <f t="shared" si="221"/>
        <v>44</v>
      </c>
      <c r="KFU51">
        <f t="shared" si="221"/>
        <v>44</v>
      </c>
      <c r="KFV51">
        <f t="shared" si="221"/>
        <v>44</v>
      </c>
      <c r="KFW51" s="1"/>
      <c r="KJT51">
        <f t="shared" ref="KJT51:KJX51" si="222">SUM(KJT2:KJT48)</f>
        <v>16330</v>
      </c>
      <c r="KJU51">
        <f t="shared" si="222"/>
        <v>9308</v>
      </c>
      <c r="KJV51">
        <f t="shared" si="222"/>
        <v>7022</v>
      </c>
      <c r="KJW51">
        <f t="shared" si="222"/>
        <v>653.20000000000027</v>
      </c>
      <c r="KJX51">
        <f t="shared" si="222"/>
        <v>372.32</v>
      </c>
      <c r="KJY51">
        <f>SUM(KJY2:KJY49)</f>
        <v>293.55999999999995</v>
      </c>
    </row>
    <row r="52" spans="1:7721">
      <c r="A52" s="1" t="s">
        <v>7548</v>
      </c>
      <c r="B52" s="1" t="s">
        <v>7595</v>
      </c>
      <c r="C52" s="1">
        <f>COUNTBLANK(C2:C5)</f>
        <v>4</v>
      </c>
      <c r="D52" s="1">
        <f t="shared" ref="D52:CX52" si="223">COUNTBLANK(D2:D5)</f>
        <v>4</v>
      </c>
      <c r="E52" s="1">
        <f t="shared" si="223"/>
        <v>4</v>
      </c>
      <c r="F52" s="1">
        <f t="shared" si="223"/>
        <v>4</v>
      </c>
      <c r="G52">
        <f t="shared" si="223"/>
        <v>4</v>
      </c>
      <c r="H52">
        <f t="shared" si="223"/>
        <v>4</v>
      </c>
      <c r="I52">
        <f t="shared" si="223"/>
        <v>4</v>
      </c>
      <c r="J52">
        <f t="shared" si="223"/>
        <v>4</v>
      </c>
      <c r="K52">
        <f t="shared" si="223"/>
        <v>4</v>
      </c>
      <c r="L52">
        <f t="shared" si="223"/>
        <v>4</v>
      </c>
      <c r="M52">
        <f t="shared" si="223"/>
        <v>4</v>
      </c>
      <c r="N52">
        <f t="shared" si="223"/>
        <v>4</v>
      </c>
      <c r="O52">
        <f t="shared" si="223"/>
        <v>4</v>
      </c>
      <c r="P52">
        <f t="shared" si="223"/>
        <v>4</v>
      </c>
      <c r="Q52">
        <f t="shared" si="223"/>
        <v>4</v>
      </c>
      <c r="R52">
        <f t="shared" si="223"/>
        <v>4</v>
      </c>
      <c r="S52">
        <f t="shared" si="223"/>
        <v>4</v>
      </c>
      <c r="T52">
        <f t="shared" si="223"/>
        <v>4</v>
      </c>
      <c r="U52">
        <f t="shared" si="223"/>
        <v>4</v>
      </c>
      <c r="V52">
        <f t="shared" si="223"/>
        <v>4</v>
      </c>
      <c r="W52">
        <f t="shared" si="223"/>
        <v>4</v>
      </c>
      <c r="X52">
        <f t="shared" si="223"/>
        <v>4</v>
      </c>
      <c r="Y52">
        <f t="shared" si="223"/>
        <v>4</v>
      </c>
      <c r="Z52">
        <f t="shared" si="223"/>
        <v>4</v>
      </c>
      <c r="AA52">
        <f t="shared" si="223"/>
        <v>4</v>
      </c>
      <c r="AB52">
        <f t="shared" si="223"/>
        <v>4</v>
      </c>
      <c r="AC52">
        <f t="shared" si="223"/>
        <v>4</v>
      </c>
      <c r="AD52">
        <f t="shared" si="223"/>
        <v>4</v>
      </c>
      <c r="AE52">
        <f t="shared" si="223"/>
        <v>4</v>
      </c>
      <c r="AF52">
        <f t="shared" si="223"/>
        <v>4</v>
      </c>
      <c r="AG52">
        <f t="shared" si="223"/>
        <v>4</v>
      </c>
      <c r="AH52">
        <f t="shared" si="223"/>
        <v>4</v>
      </c>
      <c r="AI52">
        <f t="shared" si="223"/>
        <v>4</v>
      </c>
      <c r="AJ52">
        <f t="shared" si="223"/>
        <v>3</v>
      </c>
      <c r="AK52">
        <f t="shared" ref="AK52:BS52" si="224">COUNTBLANK(AK2:AK5)</f>
        <v>3</v>
      </c>
      <c r="AL52">
        <f t="shared" si="224"/>
        <v>3</v>
      </c>
      <c r="AM52">
        <f t="shared" si="224"/>
        <v>3</v>
      </c>
      <c r="AN52">
        <f t="shared" si="224"/>
        <v>3</v>
      </c>
      <c r="AO52">
        <f t="shared" si="224"/>
        <v>3</v>
      </c>
      <c r="AP52">
        <f t="shared" si="224"/>
        <v>3</v>
      </c>
      <c r="AQ52">
        <f t="shared" si="224"/>
        <v>3</v>
      </c>
      <c r="AR52">
        <f t="shared" si="224"/>
        <v>3</v>
      </c>
      <c r="AS52">
        <f t="shared" si="224"/>
        <v>3</v>
      </c>
      <c r="AT52">
        <f t="shared" si="224"/>
        <v>3</v>
      </c>
      <c r="AU52">
        <f t="shared" si="224"/>
        <v>3</v>
      </c>
      <c r="AV52">
        <f t="shared" si="224"/>
        <v>3</v>
      </c>
      <c r="AW52">
        <f t="shared" si="224"/>
        <v>3</v>
      </c>
      <c r="AX52">
        <f t="shared" si="224"/>
        <v>3</v>
      </c>
      <c r="AY52">
        <f t="shared" si="224"/>
        <v>3</v>
      </c>
      <c r="AZ52">
        <f t="shared" si="224"/>
        <v>3</v>
      </c>
      <c r="BA52">
        <f t="shared" si="224"/>
        <v>3</v>
      </c>
      <c r="BB52">
        <f t="shared" si="224"/>
        <v>3</v>
      </c>
      <c r="BC52">
        <f t="shared" si="224"/>
        <v>3</v>
      </c>
      <c r="BD52">
        <f t="shared" si="224"/>
        <v>3</v>
      </c>
      <c r="BE52">
        <f t="shared" si="224"/>
        <v>3</v>
      </c>
      <c r="BF52">
        <f t="shared" si="224"/>
        <v>3</v>
      </c>
      <c r="BG52">
        <f t="shared" si="224"/>
        <v>3</v>
      </c>
      <c r="BH52">
        <f t="shared" si="224"/>
        <v>3</v>
      </c>
      <c r="BI52">
        <f t="shared" si="224"/>
        <v>3</v>
      </c>
      <c r="BJ52">
        <f t="shared" si="224"/>
        <v>3</v>
      </c>
      <c r="BK52">
        <f t="shared" si="224"/>
        <v>3</v>
      </c>
      <c r="BL52">
        <f t="shared" si="224"/>
        <v>3</v>
      </c>
      <c r="BM52">
        <f t="shared" si="224"/>
        <v>3</v>
      </c>
      <c r="BN52">
        <f t="shared" si="224"/>
        <v>3</v>
      </c>
      <c r="BO52">
        <f t="shared" si="224"/>
        <v>3</v>
      </c>
      <c r="BP52">
        <f t="shared" si="224"/>
        <v>3</v>
      </c>
      <c r="BQ52">
        <f t="shared" si="224"/>
        <v>3</v>
      </c>
      <c r="BR52">
        <f t="shared" si="224"/>
        <v>3</v>
      </c>
      <c r="BS52">
        <f t="shared" si="224"/>
        <v>3</v>
      </c>
      <c r="BT52">
        <f t="shared" si="223"/>
        <v>3</v>
      </c>
      <c r="BU52">
        <f t="shared" si="223"/>
        <v>3</v>
      </c>
      <c r="BV52">
        <f t="shared" si="223"/>
        <v>3</v>
      </c>
      <c r="BW52">
        <f t="shared" si="223"/>
        <v>3</v>
      </c>
      <c r="BX52">
        <f t="shared" si="223"/>
        <v>3</v>
      </c>
      <c r="BY52">
        <f t="shared" si="223"/>
        <v>3</v>
      </c>
      <c r="BZ52">
        <f t="shared" si="223"/>
        <v>3</v>
      </c>
      <c r="CA52">
        <f t="shared" si="223"/>
        <v>3</v>
      </c>
      <c r="CB52">
        <f t="shared" si="223"/>
        <v>3</v>
      </c>
      <c r="CC52">
        <f t="shared" si="223"/>
        <v>3</v>
      </c>
      <c r="CD52">
        <f t="shared" si="223"/>
        <v>3</v>
      </c>
      <c r="CE52">
        <f t="shared" si="223"/>
        <v>3</v>
      </c>
      <c r="CF52">
        <f t="shared" si="223"/>
        <v>3</v>
      </c>
      <c r="CG52">
        <f t="shared" si="223"/>
        <v>3</v>
      </c>
      <c r="CH52">
        <f t="shared" si="223"/>
        <v>3</v>
      </c>
      <c r="CI52">
        <f t="shared" si="223"/>
        <v>3</v>
      </c>
      <c r="CJ52">
        <f t="shared" si="223"/>
        <v>3</v>
      </c>
      <c r="CK52">
        <f t="shared" si="223"/>
        <v>3</v>
      </c>
      <c r="CL52">
        <f t="shared" si="223"/>
        <v>3</v>
      </c>
      <c r="CM52">
        <f t="shared" si="223"/>
        <v>3</v>
      </c>
      <c r="CN52">
        <f t="shared" si="223"/>
        <v>3</v>
      </c>
      <c r="CO52">
        <f t="shared" si="223"/>
        <v>3</v>
      </c>
      <c r="CP52">
        <f t="shared" si="223"/>
        <v>3</v>
      </c>
      <c r="CQ52">
        <f t="shared" si="223"/>
        <v>3</v>
      </c>
      <c r="CR52">
        <f t="shared" si="223"/>
        <v>3</v>
      </c>
      <c r="CS52">
        <f t="shared" si="223"/>
        <v>3</v>
      </c>
      <c r="CT52">
        <f t="shared" si="223"/>
        <v>3</v>
      </c>
      <c r="CU52">
        <f t="shared" si="223"/>
        <v>3</v>
      </c>
      <c r="CV52">
        <f t="shared" si="223"/>
        <v>3</v>
      </c>
      <c r="CW52">
        <f t="shared" si="223"/>
        <v>3</v>
      </c>
      <c r="CX52">
        <f t="shared" si="223"/>
        <v>3</v>
      </c>
      <c r="CY52">
        <f t="shared" ref="CY52:FJ52" si="225">COUNTBLANK(CY2:CY5)</f>
        <v>3</v>
      </c>
      <c r="CZ52">
        <f t="shared" si="225"/>
        <v>3</v>
      </c>
      <c r="DA52">
        <f t="shared" si="225"/>
        <v>3</v>
      </c>
      <c r="DB52">
        <f t="shared" si="225"/>
        <v>3</v>
      </c>
      <c r="DC52">
        <f t="shared" si="225"/>
        <v>3</v>
      </c>
      <c r="DD52">
        <f t="shared" si="225"/>
        <v>3</v>
      </c>
      <c r="DE52">
        <f t="shared" si="225"/>
        <v>3</v>
      </c>
      <c r="DF52">
        <f t="shared" si="225"/>
        <v>3</v>
      </c>
      <c r="DG52">
        <f t="shared" si="225"/>
        <v>3</v>
      </c>
      <c r="DH52">
        <f t="shared" si="225"/>
        <v>3</v>
      </c>
      <c r="DI52">
        <f t="shared" si="225"/>
        <v>3</v>
      </c>
      <c r="DJ52">
        <f t="shared" si="225"/>
        <v>3</v>
      </c>
      <c r="DK52">
        <f t="shared" si="225"/>
        <v>3</v>
      </c>
      <c r="DL52">
        <f t="shared" si="225"/>
        <v>3</v>
      </c>
      <c r="DM52">
        <f t="shared" si="225"/>
        <v>3</v>
      </c>
      <c r="DN52">
        <f t="shared" si="225"/>
        <v>3</v>
      </c>
      <c r="DO52">
        <f t="shared" si="225"/>
        <v>3</v>
      </c>
      <c r="DP52">
        <f t="shared" si="225"/>
        <v>3</v>
      </c>
      <c r="DQ52">
        <f t="shared" si="225"/>
        <v>3</v>
      </c>
      <c r="DR52">
        <f t="shared" si="225"/>
        <v>3</v>
      </c>
      <c r="DS52">
        <f t="shared" si="225"/>
        <v>3</v>
      </c>
      <c r="DT52">
        <f t="shared" si="225"/>
        <v>3</v>
      </c>
      <c r="DU52">
        <f t="shared" si="225"/>
        <v>3</v>
      </c>
      <c r="DV52">
        <f t="shared" si="225"/>
        <v>3</v>
      </c>
      <c r="DW52">
        <f t="shared" si="225"/>
        <v>3</v>
      </c>
      <c r="DX52">
        <f t="shared" si="225"/>
        <v>3</v>
      </c>
      <c r="DY52">
        <f t="shared" si="225"/>
        <v>3</v>
      </c>
      <c r="DZ52">
        <f t="shared" si="225"/>
        <v>3</v>
      </c>
      <c r="EA52">
        <f t="shared" si="225"/>
        <v>3</v>
      </c>
      <c r="EB52">
        <f t="shared" si="225"/>
        <v>3</v>
      </c>
      <c r="EC52">
        <f t="shared" si="225"/>
        <v>3</v>
      </c>
      <c r="ED52">
        <f t="shared" si="225"/>
        <v>3</v>
      </c>
      <c r="EE52">
        <f t="shared" si="225"/>
        <v>3</v>
      </c>
      <c r="EF52">
        <f t="shared" si="225"/>
        <v>3</v>
      </c>
      <c r="EG52">
        <f t="shared" si="225"/>
        <v>3</v>
      </c>
      <c r="EH52">
        <f t="shared" si="225"/>
        <v>3</v>
      </c>
      <c r="EI52">
        <f t="shared" si="225"/>
        <v>3</v>
      </c>
      <c r="EJ52">
        <f t="shared" si="225"/>
        <v>3</v>
      </c>
      <c r="EK52">
        <f t="shared" si="225"/>
        <v>3</v>
      </c>
      <c r="EL52">
        <f t="shared" si="225"/>
        <v>3</v>
      </c>
      <c r="EM52">
        <f t="shared" si="225"/>
        <v>3</v>
      </c>
      <c r="EN52">
        <f t="shared" si="225"/>
        <v>3</v>
      </c>
      <c r="EO52">
        <f t="shared" si="225"/>
        <v>3</v>
      </c>
      <c r="EP52">
        <f t="shared" si="225"/>
        <v>3</v>
      </c>
      <c r="EQ52">
        <f t="shared" si="225"/>
        <v>3</v>
      </c>
      <c r="ER52">
        <f t="shared" si="225"/>
        <v>3</v>
      </c>
      <c r="ES52">
        <f t="shared" si="225"/>
        <v>3</v>
      </c>
      <c r="ET52">
        <f t="shared" si="225"/>
        <v>3</v>
      </c>
      <c r="EU52">
        <f t="shared" si="225"/>
        <v>3</v>
      </c>
      <c r="EV52">
        <f t="shared" si="225"/>
        <v>3</v>
      </c>
      <c r="EW52">
        <f t="shared" si="225"/>
        <v>3</v>
      </c>
      <c r="EX52">
        <f t="shared" si="225"/>
        <v>3</v>
      </c>
      <c r="EY52">
        <f t="shared" si="225"/>
        <v>3</v>
      </c>
      <c r="EZ52">
        <f t="shared" si="225"/>
        <v>3</v>
      </c>
      <c r="FA52">
        <f t="shared" si="225"/>
        <v>3</v>
      </c>
      <c r="FB52">
        <f t="shared" si="225"/>
        <v>3</v>
      </c>
      <c r="FC52">
        <f t="shared" si="225"/>
        <v>3</v>
      </c>
      <c r="FD52">
        <f t="shared" si="225"/>
        <v>3</v>
      </c>
      <c r="FE52">
        <f t="shared" si="225"/>
        <v>3</v>
      </c>
      <c r="FF52">
        <f t="shared" si="225"/>
        <v>3</v>
      </c>
      <c r="FG52">
        <f t="shared" si="225"/>
        <v>3</v>
      </c>
      <c r="FH52">
        <f t="shared" si="225"/>
        <v>3</v>
      </c>
      <c r="FI52">
        <f t="shared" si="225"/>
        <v>3</v>
      </c>
      <c r="FJ52">
        <f t="shared" si="225"/>
        <v>3</v>
      </c>
      <c r="FK52">
        <f t="shared" ref="FK52:HV52" si="226">COUNTBLANK(FK2:FK5)</f>
        <v>3</v>
      </c>
      <c r="FL52">
        <f t="shared" si="226"/>
        <v>3</v>
      </c>
      <c r="FM52">
        <f t="shared" si="226"/>
        <v>3</v>
      </c>
      <c r="FN52">
        <f t="shared" si="226"/>
        <v>3</v>
      </c>
      <c r="FO52">
        <f t="shared" si="226"/>
        <v>3</v>
      </c>
      <c r="FP52">
        <f t="shared" si="226"/>
        <v>3</v>
      </c>
      <c r="FQ52">
        <f t="shared" si="226"/>
        <v>3</v>
      </c>
      <c r="FR52">
        <f t="shared" si="226"/>
        <v>3</v>
      </c>
      <c r="FS52">
        <f t="shared" si="226"/>
        <v>3</v>
      </c>
      <c r="FT52">
        <f t="shared" si="226"/>
        <v>3</v>
      </c>
      <c r="FU52">
        <f t="shared" si="226"/>
        <v>3</v>
      </c>
      <c r="FV52">
        <f t="shared" si="226"/>
        <v>3</v>
      </c>
      <c r="FW52">
        <f t="shared" si="226"/>
        <v>3</v>
      </c>
      <c r="FX52">
        <f t="shared" si="226"/>
        <v>3</v>
      </c>
      <c r="FY52">
        <f t="shared" si="226"/>
        <v>3</v>
      </c>
      <c r="FZ52">
        <f t="shared" si="226"/>
        <v>3</v>
      </c>
      <c r="GA52">
        <f t="shared" si="226"/>
        <v>3</v>
      </c>
      <c r="GB52">
        <f t="shared" si="226"/>
        <v>3</v>
      </c>
      <c r="GC52">
        <f t="shared" si="226"/>
        <v>3</v>
      </c>
      <c r="GD52">
        <f t="shared" si="226"/>
        <v>3</v>
      </c>
      <c r="GE52">
        <f t="shared" si="226"/>
        <v>3</v>
      </c>
      <c r="GF52">
        <f t="shared" si="226"/>
        <v>3</v>
      </c>
      <c r="GG52">
        <f t="shared" si="226"/>
        <v>3</v>
      </c>
      <c r="GH52">
        <f t="shared" si="226"/>
        <v>3</v>
      </c>
      <c r="GI52">
        <f t="shared" si="226"/>
        <v>3</v>
      </c>
      <c r="GJ52">
        <f t="shared" si="226"/>
        <v>3</v>
      </c>
      <c r="GK52">
        <f t="shared" si="226"/>
        <v>3</v>
      </c>
      <c r="GL52">
        <f t="shared" si="226"/>
        <v>3</v>
      </c>
      <c r="GM52">
        <f t="shared" si="226"/>
        <v>3</v>
      </c>
      <c r="GN52">
        <f t="shared" si="226"/>
        <v>3</v>
      </c>
      <c r="GO52">
        <f t="shared" si="226"/>
        <v>3</v>
      </c>
      <c r="GP52">
        <f t="shared" si="226"/>
        <v>3</v>
      </c>
      <c r="GQ52">
        <f t="shared" si="226"/>
        <v>3</v>
      </c>
      <c r="GR52">
        <f t="shared" si="226"/>
        <v>3</v>
      </c>
      <c r="GS52">
        <f t="shared" si="226"/>
        <v>3</v>
      </c>
      <c r="GT52">
        <f t="shared" si="226"/>
        <v>3</v>
      </c>
      <c r="GU52">
        <f t="shared" si="226"/>
        <v>3</v>
      </c>
      <c r="GV52">
        <f t="shared" si="226"/>
        <v>3</v>
      </c>
      <c r="GW52">
        <f t="shared" si="226"/>
        <v>3</v>
      </c>
      <c r="GX52">
        <f t="shared" si="226"/>
        <v>3</v>
      </c>
      <c r="GY52">
        <f t="shared" si="226"/>
        <v>3</v>
      </c>
      <c r="GZ52">
        <f t="shared" si="226"/>
        <v>3</v>
      </c>
      <c r="HA52">
        <f t="shared" si="226"/>
        <v>3</v>
      </c>
      <c r="HB52">
        <f t="shared" si="226"/>
        <v>3</v>
      </c>
      <c r="HC52">
        <f t="shared" si="226"/>
        <v>3</v>
      </c>
      <c r="HD52">
        <f t="shared" si="226"/>
        <v>3</v>
      </c>
      <c r="HE52">
        <f t="shared" si="226"/>
        <v>3</v>
      </c>
      <c r="HF52">
        <f t="shared" si="226"/>
        <v>3</v>
      </c>
      <c r="HG52">
        <f t="shared" si="226"/>
        <v>3</v>
      </c>
      <c r="HH52">
        <f t="shared" si="226"/>
        <v>3</v>
      </c>
      <c r="HI52">
        <f t="shared" si="226"/>
        <v>3</v>
      </c>
      <c r="HJ52">
        <f t="shared" si="226"/>
        <v>3</v>
      </c>
      <c r="HK52">
        <f t="shared" si="226"/>
        <v>3</v>
      </c>
      <c r="HL52">
        <f t="shared" si="226"/>
        <v>3</v>
      </c>
      <c r="HM52">
        <f t="shared" si="226"/>
        <v>3</v>
      </c>
      <c r="HN52">
        <f t="shared" si="226"/>
        <v>3</v>
      </c>
      <c r="HO52">
        <f t="shared" si="226"/>
        <v>3</v>
      </c>
      <c r="HP52">
        <f t="shared" si="226"/>
        <v>3</v>
      </c>
      <c r="HQ52">
        <f t="shared" si="226"/>
        <v>3</v>
      </c>
      <c r="HR52">
        <f t="shared" si="226"/>
        <v>3</v>
      </c>
      <c r="HS52">
        <f t="shared" si="226"/>
        <v>3</v>
      </c>
      <c r="HT52">
        <f t="shared" si="226"/>
        <v>3</v>
      </c>
      <c r="HU52">
        <f t="shared" si="226"/>
        <v>3</v>
      </c>
      <c r="HV52">
        <f t="shared" si="226"/>
        <v>3</v>
      </c>
      <c r="HW52">
        <f t="shared" ref="HW52:KH52" si="227">COUNTBLANK(HW2:HW5)</f>
        <v>3</v>
      </c>
      <c r="HX52">
        <f t="shared" si="227"/>
        <v>3</v>
      </c>
      <c r="HY52">
        <f t="shared" si="227"/>
        <v>3</v>
      </c>
      <c r="HZ52">
        <f t="shared" si="227"/>
        <v>3</v>
      </c>
      <c r="IA52">
        <f t="shared" si="227"/>
        <v>3</v>
      </c>
      <c r="IB52">
        <f t="shared" si="227"/>
        <v>3</v>
      </c>
      <c r="IC52">
        <f t="shared" si="227"/>
        <v>3</v>
      </c>
      <c r="ID52">
        <f t="shared" si="227"/>
        <v>3</v>
      </c>
      <c r="IE52">
        <f t="shared" si="227"/>
        <v>3</v>
      </c>
      <c r="IF52">
        <f t="shared" si="227"/>
        <v>3</v>
      </c>
      <c r="IG52">
        <f t="shared" si="227"/>
        <v>3</v>
      </c>
      <c r="IH52">
        <f t="shared" si="227"/>
        <v>3</v>
      </c>
      <c r="II52">
        <f t="shared" si="227"/>
        <v>3</v>
      </c>
      <c r="IJ52">
        <f t="shared" si="227"/>
        <v>3</v>
      </c>
      <c r="IK52">
        <f t="shared" si="227"/>
        <v>3</v>
      </c>
      <c r="IL52">
        <f t="shared" si="227"/>
        <v>3</v>
      </c>
      <c r="IM52">
        <f t="shared" si="227"/>
        <v>3</v>
      </c>
      <c r="IN52">
        <f t="shared" si="227"/>
        <v>3</v>
      </c>
      <c r="IO52">
        <f t="shared" si="227"/>
        <v>3</v>
      </c>
      <c r="IP52">
        <f t="shared" si="227"/>
        <v>3</v>
      </c>
      <c r="IQ52">
        <f t="shared" si="227"/>
        <v>3</v>
      </c>
      <c r="IR52">
        <f t="shared" si="227"/>
        <v>3</v>
      </c>
      <c r="IS52">
        <f t="shared" si="227"/>
        <v>3</v>
      </c>
      <c r="IT52">
        <f t="shared" si="227"/>
        <v>3</v>
      </c>
      <c r="IU52">
        <f t="shared" si="227"/>
        <v>3</v>
      </c>
      <c r="IV52">
        <f t="shared" si="227"/>
        <v>3</v>
      </c>
      <c r="IW52">
        <f t="shared" si="227"/>
        <v>3</v>
      </c>
      <c r="IX52">
        <f t="shared" si="227"/>
        <v>3</v>
      </c>
      <c r="IY52">
        <f t="shared" si="227"/>
        <v>3</v>
      </c>
      <c r="IZ52">
        <f t="shared" si="227"/>
        <v>3</v>
      </c>
      <c r="JA52">
        <f t="shared" si="227"/>
        <v>3</v>
      </c>
      <c r="JB52">
        <f t="shared" si="227"/>
        <v>3</v>
      </c>
      <c r="JC52">
        <f t="shared" si="227"/>
        <v>3</v>
      </c>
      <c r="JD52">
        <f t="shared" si="227"/>
        <v>3</v>
      </c>
      <c r="JE52">
        <f t="shared" si="227"/>
        <v>3</v>
      </c>
      <c r="JF52">
        <f t="shared" si="227"/>
        <v>3</v>
      </c>
      <c r="JG52">
        <f t="shared" si="227"/>
        <v>3</v>
      </c>
      <c r="JH52">
        <f t="shared" si="227"/>
        <v>3</v>
      </c>
      <c r="JI52">
        <f t="shared" si="227"/>
        <v>3</v>
      </c>
      <c r="JJ52">
        <f t="shared" si="227"/>
        <v>3</v>
      </c>
      <c r="JK52">
        <f t="shared" si="227"/>
        <v>3</v>
      </c>
      <c r="JL52">
        <f t="shared" si="227"/>
        <v>3</v>
      </c>
      <c r="JM52">
        <f t="shared" si="227"/>
        <v>3</v>
      </c>
      <c r="JN52">
        <f t="shared" si="227"/>
        <v>3</v>
      </c>
      <c r="JO52">
        <f t="shared" si="227"/>
        <v>3</v>
      </c>
      <c r="JP52">
        <f t="shared" si="227"/>
        <v>3</v>
      </c>
      <c r="JQ52">
        <f t="shared" si="227"/>
        <v>3</v>
      </c>
      <c r="JR52">
        <f t="shared" si="227"/>
        <v>3</v>
      </c>
      <c r="JS52">
        <f t="shared" si="227"/>
        <v>3</v>
      </c>
      <c r="JT52">
        <f t="shared" si="227"/>
        <v>3</v>
      </c>
      <c r="JU52">
        <f t="shared" si="227"/>
        <v>3</v>
      </c>
      <c r="JV52">
        <f t="shared" si="227"/>
        <v>3</v>
      </c>
      <c r="JW52">
        <f t="shared" si="227"/>
        <v>3</v>
      </c>
      <c r="JX52">
        <f t="shared" si="227"/>
        <v>3</v>
      </c>
      <c r="JY52">
        <f t="shared" si="227"/>
        <v>3</v>
      </c>
      <c r="JZ52">
        <f t="shared" si="227"/>
        <v>3</v>
      </c>
      <c r="KA52">
        <f t="shared" si="227"/>
        <v>3</v>
      </c>
      <c r="KB52">
        <f t="shared" si="227"/>
        <v>3</v>
      </c>
      <c r="KC52">
        <f t="shared" si="227"/>
        <v>3</v>
      </c>
      <c r="KD52">
        <f t="shared" si="227"/>
        <v>3</v>
      </c>
      <c r="KE52">
        <f t="shared" si="227"/>
        <v>3</v>
      </c>
      <c r="KF52">
        <f t="shared" si="227"/>
        <v>3</v>
      </c>
      <c r="KG52">
        <f t="shared" si="227"/>
        <v>3</v>
      </c>
      <c r="KH52">
        <f t="shared" si="227"/>
        <v>3</v>
      </c>
      <c r="KI52">
        <f t="shared" ref="KI52:MT52" si="228">COUNTBLANK(KI2:KI5)</f>
        <v>3</v>
      </c>
      <c r="KJ52">
        <f t="shared" si="228"/>
        <v>3</v>
      </c>
      <c r="KK52">
        <f t="shared" si="228"/>
        <v>3</v>
      </c>
      <c r="KL52">
        <f t="shared" si="228"/>
        <v>3</v>
      </c>
      <c r="KM52">
        <f t="shared" si="228"/>
        <v>3</v>
      </c>
      <c r="KN52">
        <f t="shared" si="228"/>
        <v>3</v>
      </c>
      <c r="KO52">
        <f t="shared" si="228"/>
        <v>3</v>
      </c>
      <c r="KP52">
        <f t="shared" si="228"/>
        <v>3</v>
      </c>
      <c r="KQ52">
        <f t="shared" si="228"/>
        <v>2</v>
      </c>
      <c r="KR52">
        <f t="shared" si="228"/>
        <v>2</v>
      </c>
      <c r="KS52">
        <f t="shared" si="228"/>
        <v>2</v>
      </c>
      <c r="KT52">
        <f t="shared" si="228"/>
        <v>2</v>
      </c>
      <c r="KU52">
        <f t="shared" si="228"/>
        <v>2</v>
      </c>
      <c r="KV52">
        <f t="shared" si="228"/>
        <v>2</v>
      </c>
      <c r="KW52">
        <f t="shared" si="228"/>
        <v>2</v>
      </c>
      <c r="KX52">
        <f t="shared" si="228"/>
        <v>2</v>
      </c>
      <c r="KY52">
        <f t="shared" si="228"/>
        <v>2</v>
      </c>
      <c r="KZ52">
        <f t="shared" si="228"/>
        <v>2</v>
      </c>
      <c r="LA52">
        <f t="shared" si="228"/>
        <v>2</v>
      </c>
      <c r="LB52">
        <f t="shared" si="228"/>
        <v>2</v>
      </c>
      <c r="LC52">
        <f t="shared" si="228"/>
        <v>2</v>
      </c>
      <c r="LD52">
        <f t="shared" si="228"/>
        <v>2</v>
      </c>
      <c r="LE52">
        <f t="shared" si="228"/>
        <v>2</v>
      </c>
      <c r="LF52">
        <f t="shared" si="228"/>
        <v>2</v>
      </c>
      <c r="LG52">
        <f t="shared" si="228"/>
        <v>2</v>
      </c>
      <c r="LH52">
        <f t="shared" si="228"/>
        <v>2</v>
      </c>
      <c r="LI52">
        <f t="shared" si="228"/>
        <v>2</v>
      </c>
      <c r="LJ52">
        <f t="shared" si="228"/>
        <v>2</v>
      </c>
      <c r="LK52">
        <f t="shared" si="228"/>
        <v>2</v>
      </c>
      <c r="LL52">
        <f t="shared" si="228"/>
        <v>2</v>
      </c>
      <c r="LM52">
        <f t="shared" si="228"/>
        <v>2</v>
      </c>
      <c r="LN52">
        <f t="shared" si="228"/>
        <v>2</v>
      </c>
      <c r="LO52">
        <f t="shared" si="228"/>
        <v>2</v>
      </c>
      <c r="LP52">
        <f t="shared" si="228"/>
        <v>2</v>
      </c>
      <c r="LQ52">
        <f t="shared" si="228"/>
        <v>2</v>
      </c>
      <c r="LR52">
        <f t="shared" si="228"/>
        <v>2</v>
      </c>
      <c r="LS52">
        <f t="shared" si="228"/>
        <v>2</v>
      </c>
      <c r="LT52">
        <f t="shared" si="228"/>
        <v>2</v>
      </c>
      <c r="LU52">
        <f t="shared" si="228"/>
        <v>2</v>
      </c>
      <c r="LV52">
        <f t="shared" si="228"/>
        <v>2</v>
      </c>
      <c r="LW52">
        <f t="shared" si="228"/>
        <v>2</v>
      </c>
      <c r="LX52">
        <f t="shared" si="228"/>
        <v>2</v>
      </c>
      <c r="LY52">
        <f t="shared" si="228"/>
        <v>2</v>
      </c>
      <c r="LZ52">
        <f t="shared" si="228"/>
        <v>2</v>
      </c>
      <c r="MA52">
        <f t="shared" si="228"/>
        <v>2</v>
      </c>
      <c r="MB52">
        <f t="shared" si="228"/>
        <v>2</v>
      </c>
      <c r="MC52">
        <f t="shared" si="228"/>
        <v>2</v>
      </c>
      <c r="MD52">
        <f t="shared" si="228"/>
        <v>2</v>
      </c>
      <c r="ME52">
        <f t="shared" si="228"/>
        <v>2</v>
      </c>
      <c r="MF52">
        <f t="shared" si="228"/>
        <v>2</v>
      </c>
      <c r="MG52">
        <f t="shared" si="228"/>
        <v>2</v>
      </c>
      <c r="MH52">
        <f t="shared" si="228"/>
        <v>3</v>
      </c>
      <c r="MI52">
        <f t="shared" si="228"/>
        <v>3</v>
      </c>
      <c r="MJ52">
        <f t="shared" si="228"/>
        <v>3</v>
      </c>
      <c r="MK52">
        <f t="shared" si="228"/>
        <v>3</v>
      </c>
      <c r="ML52">
        <f t="shared" si="228"/>
        <v>3</v>
      </c>
      <c r="MM52">
        <f t="shared" si="228"/>
        <v>3</v>
      </c>
      <c r="MN52">
        <f t="shared" si="228"/>
        <v>3</v>
      </c>
      <c r="MO52">
        <f t="shared" si="228"/>
        <v>3</v>
      </c>
      <c r="MP52">
        <f t="shared" si="228"/>
        <v>3</v>
      </c>
      <c r="MQ52">
        <f t="shared" si="228"/>
        <v>3</v>
      </c>
      <c r="MR52">
        <f t="shared" si="228"/>
        <v>3</v>
      </c>
      <c r="MS52">
        <f t="shared" si="228"/>
        <v>3</v>
      </c>
      <c r="MT52">
        <f t="shared" si="228"/>
        <v>3</v>
      </c>
      <c r="MU52">
        <f t="shared" ref="MU52:PF52" si="229">COUNTBLANK(MU2:MU5)</f>
        <v>3</v>
      </c>
      <c r="MV52">
        <f t="shared" si="229"/>
        <v>3</v>
      </c>
      <c r="MW52">
        <f t="shared" si="229"/>
        <v>3</v>
      </c>
      <c r="MX52">
        <f t="shared" si="229"/>
        <v>3</v>
      </c>
      <c r="MY52">
        <f t="shared" si="229"/>
        <v>3</v>
      </c>
      <c r="MZ52">
        <f t="shared" si="229"/>
        <v>3</v>
      </c>
      <c r="NA52">
        <f t="shared" si="229"/>
        <v>3</v>
      </c>
      <c r="NB52">
        <f t="shared" si="229"/>
        <v>3</v>
      </c>
      <c r="NC52">
        <f t="shared" si="229"/>
        <v>3</v>
      </c>
      <c r="ND52">
        <f t="shared" si="229"/>
        <v>3</v>
      </c>
      <c r="NE52">
        <f t="shared" si="229"/>
        <v>3</v>
      </c>
      <c r="NF52">
        <f t="shared" si="229"/>
        <v>3</v>
      </c>
      <c r="NG52">
        <f t="shared" si="229"/>
        <v>3</v>
      </c>
      <c r="NH52">
        <f t="shared" si="229"/>
        <v>3</v>
      </c>
      <c r="NI52">
        <f t="shared" si="229"/>
        <v>3</v>
      </c>
      <c r="NJ52">
        <f t="shared" si="229"/>
        <v>3</v>
      </c>
      <c r="NK52">
        <f t="shared" si="229"/>
        <v>3</v>
      </c>
      <c r="NL52">
        <f t="shared" si="229"/>
        <v>3</v>
      </c>
      <c r="NM52">
        <f t="shared" si="229"/>
        <v>3</v>
      </c>
      <c r="NN52">
        <f t="shared" si="229"/>
        <v>3</v>
      </c>
      <c r="NO52">
        <f t="shared" si="229"/>
        <v>3</v>
      </c>
      <c r="NP52">
        <f t="shared" si="229"/>
        <v>3</v>
      </c>
      <c r="NQ52">
        <f t="shared" si="229"/>
        <v>3</v>
      </c>
      <c r="NR52">
        <f t="shared" si="229"/>
        <v>3</v>
      </c>
      <c r="NS52">
        <f t="shared" si="229"/>
        <v>3</v>
      </c>
      <c r="NT52">
        <f t="shared" si="229"/>
        <v>3</v>
      </c>
      <c r="NU52">
        <f t="shared" si="229"/>
        <v>3</v>
      </c>
      <c r="NV52">
        <f t="shared" si="229"/>
        <v>3</v>
      </c>
      <c r="NW52">
        <f t="shared" si="229"/>
        <v>3</v>
      </c>
      <c r="NX52">
        <f t="shared" si="229"/>
        <v>3</v>
      </c>
      <c r="NY52">
        <f t="shared" si="229"/>
        <v>3</v>
      </c>
      <c r="NZ52">
        <f t="shared" si="229"/>
        <v>3</v>
      </c>
      <c r="OA52">
        <f t="shared" si="229"/>
        <v>3</v>
      </c>
      <c r="OB52">
        <f t="shared" si="229"/>
        <v>3</v>
      </c>
      <c r="OC52">
        <f t="shared" si="229"/>
        <v>3</v>
      </c>
      <c r="OD52">
        <f t="shared" si="229"/>
        <v>3</v>
      </c>
      <c r="OE52">
        <f t="shared" si="229"/>
        <v>3</v>
      </c>
      <c r="OF52">
        <f t="shared" si="229"/>
        <v>3</v>
      </c>
      <c r="OG52">
        <f t="shared" si="229"/>
        <v>3</v>
      </c>
      <c r="OH52">
        <f t="shared" si="229"/>
        <v>3</v>
      </c>
      <c r="OI52">
        <f t="shared" si="229"/>
        <v>3</v>
      </c>
      <c r="OJ52">
        <f t="shared" si="229"/>
        <v>3</v>
      </c>
      <c r="OK52">
        <f t="shared" si="229"/>
        <v>3</v>
      </c>
      <c r="OL52">
        <f t="shared" si="229"/>
        <v>3</v>
      </c>
      <c r="OM52">
        <f t="shared" si="229"/>
        <v>3</v>
      </c>
      <c r="ON52">
        <f t="shared" si="229"/>
        <v>3</v>
      </c>
      <c r="OO52">
        <f t="shared" si="229"/>
        <v>3</v>
      </c>
      <c r="OP52">
        <f t="shared" si="229"/>
        <v>3</v>
      </c>
      <c r="OQ52">
        <f t="shared" si="229"/>
        <v>3</v>
      </c>
      <c r="OR52">
        <f t="shared" si="229"/>
        <v>3</v>
      </c>
      <c r="OS52">
        <f t="shared" si="229"/>
        <v>3</v>
      </c>
      <c r="OT52">
        <f t="shared" si="229"/>
        <v>3</v>
      </c>
      <c r="OU52">
        <f t="shared" si="229"/>
        <v>3</v>
      </c>
      <c r="OV52">
        <f t="shared" si="229"/>
        <v>3</v>
      </c>
      <c r="OW52">
        <f t="shared" si="229"/>
        <v>3</v>
      </c>
      <c r="OX52">
        <f t="shared" si="229"/>
        <v>3</v>
      </c>
      <c r="OY52">
        <f t="shared" si="229"/>
        <v>3</v>
      </c>
      <c r="OZ52">
        <f t="shared" si="229"/>
        <v>3</v>
      </c>
      <c r="PA52">
        <f t="shared" si="229"/>
        <v>3</v>
      </c>
      <c r="PB52">
        <f t="shared" si="229"/>
        <v>3</v>
      </c>
      <c r="PC52">
        <f t="shared" si="229"/>
        <v>3</v>
      </c>
      <c r="PD52">
        <f t="shared" si="229"/>
        <v>3</v>
      </c>
      <c r="PE52">
        <f t="shared" si="229"/>
        <v>3</v>
      </c>
      <c r="PF52">
        <f t="shared" si="229"/>
        <v>3</v>
      </c>
      <c r="PG52">
        <f t="shared" ref="PG52:RR52" si="230">COUNTBLANK(PG2:PG5)</f>
        <v>3</v>
      </c>
      <c r="PH52">
        <f t="shared" si="230"/>
        <v>3</v>
      </c>
      <c r="PI52">
        <f t="shared" si="230"/>
        <v>3</v>
      </c>
      <c r="PJ52">
        <f t="shared" si="230"/>
        <v>3</v>
      </c>
      <c r="PK52">
        <f t="shared" si="230"/>
        <v>3</v>
      </c>
      <c r="PL52">
        <f t="shared" si="230"/>
        <v>3</v>
      </c>
      <c r="PM52">
        <f t="shared" si="230"/>
        <v>3</v>
      </c>
      <c r="PN52">
        <f t="shared" si="230"/>
        <v>3</v>
      </c>
      <c r="PO52">
        <f t="shared" si="230"/>
        <v>3</v>
      </c>
      <c r="PP52">
        <f t="shared" si="230"/>
        <v>3</v>
      </c>
      <c r="PQ52">
        <f t="shared" si="230"/>
        <v>3</v>
      </c>
      <c r="PR52">
        <f t="shared" si="230"/>
        <v>3</v>
      </c>
      <c r="PS52">
        <f t="shared" si="230"/>
        <v>3</v>
      </c>
      <c r="PT52">
        <f t="shared" si="230"/>
        <v>3</v>
      </c>
      <c r="PU52">
        <f t="shared" si="230"/>
        <v>3</v>
      </c>
      <c r="PV52">
        <f t="shared" si="230"/>
        <v>3</v>
      </c>
      <c r="PW52">
        <f t="shared" si="230"/>
        <v>3</v>
      </c>
      <c r="PX52">
        <f t="shared" si="230"/>
        <v>3</v>
      </c>
      <c r="PY52">
        <f t="shared" si="230"/>
        <v>3</v>
      </c>
      <c r="PZ52">
        <f t="shared" si="230"/>
        <v>3</v>
      </c>
      <c r="QA52">
        <f t="shared" si="230"/>
        <v>3</v>
      </c>
      <c r="QB52">
        <f t="shared" si="230"/>
        <v>3</v>
      </c>
      <c r="QC52">
        <f t="shared" si="230"/>
        <v>3</v>
      </c>
      <c r="QD52">
        <f t="shared" si="230"/>
        <v>3</v>
      </c>
      <c r="QE52">
        <f t="shared" si="230"/>
        <v>3</v>
      </c>
      <c r="QF52">
        <f t="shared" si="230"/>
        <v>3</v>
      </c>
      <c r="QG52">
        <f t="shared" si="230"/>
        <v>3</v>
      </c>
      <c r="QH52">
        <f t="shared" si="230"/>
        <v>3</v>
      </c>
      <c r="QI52">
        <f t="shared" si="230"/>
        <v>3</v>
      </c>
      <c r="QJ52">
        <f t="shared" si="230"/>
        <v>3</v>
      </c>
      <c r="QK52">
        <f t="shared" si="230"/>
        <v>3</v>
      </c>
      <c r="QL52">
        <f t="shared" si="230"/>
        <v>3</v>
      </c>
      <c r="QM52">
        <f t="shared" si="230"/>
        <v>3</v>
      </c>
      <c r="QN52">
        <f t="shared" si="230"/>
        <v>3</v>
      </c>
      <c r="QO52">
        <f t="shared" si="230"/>
        <v>3</v>
      </c>
      <c r="QP52">
        <f t="shared" si="230"/>
        <v>3</v>
      </c>
      <c r="QQ52">
        <f t="shared" si="230"/>
        <v>3</v>
      </c>
      <c r="QR52">
        <f t="shared" si="230"/>
        <v>3</v>
      </c>
      <c r="QS52">
        <f t="shared" si="230"/>
        <v>3</v>
      </c>
      <c r="QT52">
        <f t="shared" si="230"/>
        <v>3</v>
      </c>
      <c r="QU52">
        <f t="shared" si="230"/>
        <v>3</v>
      </c>
      <c r="QV52">
        <f t="shared" si="230"/>
        <v>3</v>
      </c>
      <c r="QW52">
        <f t="shared" si="230"/>
        <v>3</v>
      </c>
      <c r="QX52">
        <f t="shared" si="230"/>
        <v>3</v>
      </c>
      <c r="QY52">
        <f t="shared" si="230"/>
        <v>3</v>
      </c>
      <c r="QZ52">
        <f t="shared" si="230"/>
        <v>3</v>
      </c>
      <c r="RA52">
        <f t="shared" si="230"/>
        <v>3</v>
      </c>
      <c r="RB52">
        <f t="shared" si="230"/>
        <v>3</v>
      </c>
      <c r="RC52">
        <f t="shared" si="230"/>
        <v>3</v>
      </c>
      <c r="RD52">
        <f t="shared" si="230"/>
        <v>3</v>
      </c>
      <c r="RE52">
        <f t="shared" si="230"/>
        <v>3</v>
      </c>
      <c r="RF52">
        <f t="shared" si="230"/>
        <v>3</v>
      </c>
      <c r="RG52">
        <f t="shared" si="230"/>
        <v>3</v>
      </c>
      <c r="RH52">
        <f t="shared" si="230"/>
        <v>3</v>
      </c>
      <c r="RI52">
        <f t="shared" si="230"/>
        <v>3</v>
      </c>
      <c r="RJ52">
        <f t="shared" si="230"/>
        <v>3</v>
      </c>
      <c r="RK52">
        <f t="shared" si="230"/>
        <v>3</v>
      </c>
      <c r="RL52">
        <f t="shared" si="230"/>
        <v>3</v>
      </c>
      <c r="RM52">
        <f t="shared" si="230"/>
        <v>3</v>
      </c>
      <c r="RN52">
        <f t="shared" si="230"/>
        <v>3</v>
      </c>
      <c r="RO52">
        <f t="shared" si="230"/>
        <v>3</v>
      </c>
      <c r="RP52">
        <f t="shared" si="230"/>
        <v>3</v>
      </c>
      <c r="RQ52">
        <f t="shared" si="230"/>
        <v>3</v>
      </c>
      <c r="RR52">
        <f t="shared" si="230"/>
        <v>3</v>
      </c>
      <c r="RS52">
        <f t="shared" ref="RS52:UD52" si="231">COUNTBLANK(RS2:RS5)</f>
        <v>3</v>
      </c>
      <c r="RT52">
        <f t="shared" si="231"/>
        <v>3</v>
      </c>
      <c r="RU52">
        <f t="shared" si="231"/>
        <v>3</v>
      </c>
      <c r="RV52">
        <f t="shared" si="231"/>
        <v>3</v>
      </c>
      <c r="RW52">
        <f t="shared" si="231"/>
        <v>3</v>
      </c>
      <c r="RX52">
        <f t="shared" si="231"/>
        <v>3</v>
      </c>
      <c r="RY52">
        <f t="shared" si="231"/>
        <v>3</v>
      </c>
      <c r="RZ52">
        <f t="shared" si="231"/>
        <v>3</v>
      </c>
      <c r="SA52">
        <f t="shared" si="231"/>
        <v>3</v>
      </c>
      <c r="SB52">
        <f t="shared" si="231"/>
        <v>3</v>
      </c>
      <c r="SC52">
        <f t="shared" si="231"/>
        <v>3</v>
      </c>
      <c r="SD52">
        <f t="shared" si="231"/>
        <v>3</v>
      </c>
      <c r="SE52">
        <f t="shared" si="231"/>
        <v>3</v>
      </c>
      <c r="SF52">
        <f t="shared" si="231"/>
        <v>3</v>
      </c>
      <c r="SG52">
        <f t="shared" si="231"/>
        <v>3</v>
      </c>
      <c r="SH52">
        <f t="shared" si="231"/>
        <v>3</v>
      </c>
      <c r="SI52">
        <f t="shared" si="231"/>
        <v>3</v>
      </c>
      <c r="SJ52">
        <f t="shared" si="231"/>
        <v>3</v>
      </c>
      <c r="SK52">
        <f t="shared" si="231"/>
        <v>3</v>
      </c>
      <c r="SL52">
        <f t="shared" si="231"/>
        <v>3</v>
      </c>
      <c r="SM52">
        <f t="shared" si="231"/>
        <v>3</v>
      </c>
      <c r="SN52">
        <f t="shared" si="231"/>
        <v>3</v>
      </c>
      <c r="SO52">
        <f t="shared" si="231"/>
        <v>3</v>
      </c>
      <c r="SP52">
        <f t="shared" si="231"/>
        <v>3</v>
      </c>
      <c r="SQ52">
        <f t="shared" si="231"/>
        <v>3</v>
      </c>
      <c r="SR52">
        <f t="shared" si="231"/>
        <v>3</v>
      </c>
      <c r="SS52">
        <f t="shared" si="231"/>
        <v>3</v>
      </c>
      <c r="ST52">
        <f t="shared" si="231"/>
        <v>3</v>
      </c>
      <c r="SU52">
        <f t="shared" si="231"/>
        <v>3</v>
      </c>
      <c r="SV52">
        <f t="shared" si="231"/>
        <v>3</v>
      </c>
      <c r="SW52">
        <f t="shared" si="231"/>
        <v>3</v>
      </c>
      <c r="SX52">
        <f t="shared" si="231"/>
        <v>3</v>
      </c>
      <c r="SY52">
        <f t="shared" si="231"/>
        <v>3</v>
      </c>
      <c r="SZ52">
        <f t="shared" si="231"/>
        <v>3</v>
      </c>
      <c r="TA52">
        <f t="shared" si="231"/>
        <v>3</v>
      </c>
      <c r="TB52">
        <f t="shared" si="231"/>
        <v>3</v>
      </c>
      <c r="TC52">
        <f t="shared" si="231"/>
        <v>3</v>
      </c>
      <c r="TD52">
        <f t="shared" si="231"/>
        <v>3</v>
      </c>
      <c r="TE52">
        <f t="shared" si="231"/>
        <v>3</v>
      </c>
      <c r="TF52">
        <f t="shared" si="231"/>
        <v>3</v>
      </c>
      <c r="TG52">
        <f t="shared" si="231"/>
        <v>3</v>
      </c>
      <c r="TH52">
        <f t="shared" si="231"/>
        <v>3</v>
      </c>
      <c r="TI52">
        <f t="shared" si="231"/>
        <v>3</v>
      </c>
      <c r="TJ52">
        <f t="shared" si="231"/>
        <v>3</v>
      </c>
      <c r="TK52">
        <f t="shared" si="231"/>
        <v>3</v>
      </c>
      <c r="TL52">
        <f t="shared" si="231"/>
        <v>3</v>
      </c>
      <c r="TM52">
        <f t="shared" si="231"/>
        <v>3</v>
      </c>
      <c r="TN52">
        <f t="shared" si="231"/>
        <v>3</v>
      </c>
      <c r="TO52">
        <f t="shared" si="231"/>
        <v>3</v>
      </c>
      <c r="TP52">
        <f t="shared" si="231"/>
        <v>3</v>
      </c>
      <c r="TQ52">
        <f t="shared" si="231"/>
        <v>3</v>
      </c>
      <c r="TR52">
        <f t="shared" si="231"/>
        <v>3</v>
      </c>
      <c r="TS52">
        <f t="shared" si="231"/>
        <v>3</v>
      </c>
      <c r="TT52">
        <f t="shared" si="231"/>
        <v>3</v>
      </c>
      <c r="TU52">
        <f t="shared" si="231"/>
        <v>3</v>
      </c>
      <c r="TV52">
        <f t="shared" si="231"/>
        <v>3</v>
      </c>
      <c r="TW52">
        <f t="shared" si="231"/>
        <v>3</v>
      </c>
      <c r="TX52">
        <f t="shared" si="231"/>
        <v>3</v>
      </c>
      <c r="TY52">
        <f t="shared" si="231"/>
        <v>3</v>
      </c>
      <c r="TZ52">
        <f t="shared" si="231"/>
        <v>3</v>
      </c>
      <c r="UA52">
        <f t="shared" si="231"/>
        <v>3</v>
      </c>
      <c r="UB52">
        <f t="shared" si="231"/>
        <v>3</v>
      </c>
      <c r="UC52">
        <f t="shared" si="231"/>
        <v>3</v>
      </c>
      <c r="UD52">
        <f t="shared" si="231"/>
        <v>3</v>
      </c>
      <c r="UE52">
        <f t="shared" ref="UE52:WP52" si="232">COUNTBLANK(UE2:UE5)</f>
        <v>3</v>
      </c>
      <c r="UF52">
        <f t="shared" si="232"/>
        <v>3</v>
      </c>
      <c r="UG52">
        <f t="shared" si="232"/>
        <v>3</v>
      </c>
      <c r="UH52">
        <f t="shared" si="232"/>
        <v>3</v>
      </c>
      <c r="UI52">
        <f t="shared" si="232"/>
        <v>3</v>
      </c>
      <c r="UJ52">
        <f t="shared" si="232"/>
        <v>3</v>
      </c>
      <c r="UK52">
        <f t="shared" si="232"/>
        <v>3</v>
      </c>
      <c r="UL52">
        <f t="shared" si="232"/>
        <v>3</v>
      </c>
      <c r="UM52">
        <f t="shared" si="232"/>
        <v>3</v>
      </c>
      <c r="UN52">
        <f t="shared" si="232"/>
        <v>3</v>
      </c>
      <c r="UO52">
        <f t="shared" si="232"/>
        <v>3</v>
      </c>
      <c r="UP52">
        <f t="shared" si="232"/>
        <v>3</v>
      </c>
      <c r="UQ52">
        <f t="shared" si="232"/>
        <v>3</v>
      </c>
      <c r="UR52">
        <f t="shared" si="232"/>
        <v>3</v>
      </c>
      <c r="US52">
        <f t="shared" si="232"/>
        <v>3</v>
      </c>
      <c r="UT52">
        <f t="shared" si="232"/>
        <v>3</v>
      </c>
      <c r="UU52">
        <f t="shared" si="232"/>
        <v>3</v>
      </c>
      <c r="UV52">
        <f t="shared" si="232"/>
        <v>3</v>
      </c>
      <c r="UW52">
        <f t="shared" si="232"/>
        <v>3</v>
      </c>
      <c r="UX52">
        <f t="shared" si="232"/>
        <v>3</v>
      </c>
      <c r="UY52">
        <f t="shared" si="232"/>
        <v>3</v>
      </c>
      <c r="UZ52">
        <f t="shared" si="232"/>
        <v>3</v>
      </c>
      <c r="VA52">
        <f t="shared" si="232"/>
        <v>3</v>
      </c>
      <c r="VB52">
        <f t="shared" si="232"/>
        <v>3</v>
      </c>
      <c r="VC52">
        <f t="shared" si="232"/>
        <v>3</v>
      </c>
      <c r="VD52">
        <f t="shared" si="232"/>
        <v>3</v>
      </c>
      <c r="VE52">
        <f t="shared" si="232"/>
        <v>3</v>
      </c>
      <c r="VF52">
        <f t="shared" si="232"/>
        <v>3</v>
      </c>
      <c r="VG52">
        <f t="shared" si="232"/>
        <v>3</v>
      </c>
      <c r="VH52">
        <f t="shared" si="232"/>
        <v>3</v>
      </c>
      <c r="VI52">
        <f t="shared" si="232"/>
        <v>3</v>
      </c>
      <c r="VJ52">
        <f t="shared" si="232"/>
        <v>3</v>
      </c>
      <c r="VK52">
        <f t="shared" si="232"/>
        <v>3</v>
      </c>
      <c r="VL52">
        <f t="shared" si="232"/>
        <v>3</v>
      </c>
      <c r="VM52">
        <f t="shared" si="232"/>
        <v>3</v>
      </c>
      <c r="VN52">
        <f t="shared" si="232"/>
        <v>3</v>
      </c>
      <c r="VO52">
        <f t="shared" si="232"/>
        <v>3</v>
      </c>
      <c r="VP52">
        <f t="shared" si="232"/>
        <v>3</v>
      </c>
      <c r="VQ52">
        <f t="shared" si="232"/>
        <v>3</v>
      </c>
      <c r="VR52">
        <f t="shared" si="232"/>
        <v>3</v>
      </c>
      <c r="VS52">
        <f t="shared" si="232"/>
        <v>3</v>
      </c>
      <c r="VT52">
        <f t="shared" si="232"/>
        <v>3</v>
      </c>
      <c r="VU52">
        <f t="shared" si="232"/>
        <v>3</v>
      </c>
      <c r="VV52">
        <f t="shared" si="232"/>
        <v>3</v>
      </c>
      <c r="VW52">
        <f t="shared" si="232"/>
        <v>3</v>
      </c>
      <c r="VX52">
        <f t="shared" si="232"/>
        <v>3</v>
      </c>
      <c r="VY52">
        <f t="shared" si="232"/>
        <v>3</v>
      </c>
      <c r="VZ52">
        <f t="shared" si="232"/>
        <v>3</v>
      </c>
      <c r="WA52">
        <f t="shared" si="232"/>
        <v>3</v>
      </c>
      <c r="WB52">
        <f t="shared" si="232"/>
        <v>3</v>
      </c>
      <c r="WC52">
        <f t="shared" si="232"/>
        <v>3</v>
      </c>
      <c r="WD52">
        <f t="shared" si="232"/>
        <v>3</v>
      </c>
      <c r="WE52">
        <f t="shared" si="232"/>
        <v>3</v>
      </c>
      <c r="WF52">
        <f t="shared" si="232"/>
        <v>3</v>
      </c>
      <c r="WG52">
        <f t="shared" si="232"/>
        <v>3</v>
      </c>
      <c r="WH52">
        <f t="shared" si="232"/>
        <v>3</v>
      </c>
      <c r="WI52">
        <f t="shared" si="232"/>
        <v>3</v>
      </c>
      <c r="WJ52">
        <f t="shared" si="232"/>
        <v>3</v>
      </c>
      <c r="WK52">
        <f t="shared" si="232"/>
        <v>3</v>
      </c>
      <c r="WL52">
        <f t="shared" si="232"/>
        <v>3</v>
      </c>
      <c r="WM52">
        <f t="shared" si="232"/>
        <v>3</v>
      </c>
      <c r="WN52">
        <f t="shared" si="232"/>
        <v>3</v>
      </c>
      <c r="WO52">
        <f t="shared" si="232"/>
        <v>3</v>
      </c>
      <c r="WP52">
        <f t="shared" si="232"/>
        <v>3</v>
      </c>
      <c r="WQ52">
        <f t="shared" ref="WQ52:ZB52" si="233">COUNTBLANK(WQ2:WQ5)</f>
        <v>3</v>
      </c>
      <c r="WR52">
        <f t="shared" si="233"/>
        <v>3</v>
      </c>
      <c r="WS52">
        <f t="shared" si="233"/>
        <v>3</v>
      </c>
      <c r="WT52">
        <f t="shared" si="233"/>
        <v>3</v>
      </c>
      <c r="WU52">
        <f t="shared" si="233"/>
        <v>3</v>
      </c>
      <c r="WV52">
        <f t="shared" si="233"/>
        <v>3</v>
      </c>
      <c r="WW52">
        <f t="shared" si="233"/>
        <v>3</v>
      </c>
      <c r="WX52">
        <f t="shared" si="233"/>
        <v>3</v>
      </c>
      <c r="WY52">
        <f t="shared" si="233"/>
        <v>3</v>
      </c>
      <c r="WZ52">
        <f t="shared" si="233"/>
        <v>3</v>
      </c>
      <c r="XA52">
        <f t="shared" si="233"/>
        <v>3</v>
      </c>
      <c r="XB52">
        <f t="shared" si="233"/>
        <v>3</v>
      </c>
      <c r="XC52">
        <f t="shared" si="233"/>
        <v>3</v>
      </c>
      <c r="XD52">
        <f t="shared" si="233"/>
        <v>3</v>
      </c>
      <c r="XE52">
        <f t="shared" si="233"/>
        <v>3</v>
      </c>
      <c r="XF52">
        <f t="shared" si="233"/>
        <v>3</v>
      </c>
      <c r="XG52">
        <f t="shared" si="233"/>
        <v>3</v>
      </c>
      <c r="XH52">
        <f t="shared" si="233"/>
        <v>3</v>
      </c>
      <c r="XI52">
        <f t="shared" si="233"/>
        <v>3</v>
      </c>
      <c r="XJ52">
        <f t="shared" si="233"/>
        <v>3</v>
      </c>
      <c r="XK52">
        <f t="shared" si="233"/>
        <v>3</v>
      </c>
      <c r="XL52">
        <f t="shared" si="233"/>
        <v>3</v>
      </c>
      <c r="XM52">
        <f t="shared" si="233"/>
        <v>3</v>
      </c>
      <c r="XN52">
        <f t="shared" si="233"/>
        <v>3</v>
      </c>
      <c r="XO52">
        <f t="shared" si="233"/>
        <v>3</v>
      </c>
      <c r="XP52">
        <f t="shared" si="233"/>
        <v>3</v>
      </c>
      <c r="XQ52">
        <f t="shared" si="233"/>
        <v>3</v>
      </c>
      <c r="XR52">
        <f t="shared" si="233"/>
        <v>3</v>
      </c>
      <c r="XS52">
        <f t="shared" si="233"/>
        <v>3</v>
      </c>
      <c r="XT52">
        <f t="shared" si="233"/>
        <v>3</v>
      </c>
      <c r="XU52">
        <f t="shared" si="233"/>
        <v>3</v>
      </c>
      <c r="XV52">
        <f t="shared" si="233"/>
        <v>3</v>
      </c>
      <c r="XW52">
        <f t="shared" si="233"/>
        <v>3</v>
      </c>
      <c r="XX52">
        <f t="shared" si="233"/>
        <v>3</v>
      </c>
      <c r="XY52">
        <f t="shared" si="233"/>
        <v>3</v>
      </c>
      <c r="XZ52">
        <f t="shared" si="233"/>
        <v>3</v>
      </c>
      <c r="YA52">
        <f t="shared" si="233"/>
        <v>3</v>
      </c>
      <c r="YB52">
        <f t="shared" si="233"/>
        <v>3</v>
      </c>
      <c r="YC52">
        <f t="shared" si="233"/>
        <v>3</v>
      </c>
      <c r="YD52">
        <f t="shared" si="233"/>
        <v>3</v>
      </c>
      <c r="YE52">
        <f t="shared" si="233"/>
        <v>3</v>
      </c>
      <c r="YF52">
        <f t="shared" si="233"/>
        <v>3</v>
      </c>
      <c r="YG52">
        <f t="shared" si="233"/>
        <v>3</v>
      </c>
      <c r="YH52">
        <f t="shared" si="233"/>
        <v>3</v>
      </c>
      <c r="YI52">
        <f t="shared" si="233"/>
        <v>3</v>
      </c>
      <c r="YJ52">
        <f t="shared" si="233"/>
        <v>3</v>
      </c>
      <c r="YK52">
        <f t="shared" si="233"/>
        <v>3</v>
      </c>
      <c r="YL52">
        <f t="shared" si="233"/>
        <v>3</v>
      </c>
      <c r="YM52">
        <f t="shared" si="233"/>
        <v>3</v>
      </c>
      <c r="YN52">
        <f t="shared" si="233"/>
        <v>3</v>
      </c>
      <c r="YO52">
        <f t="shared" si="233"/>
        <v>3</v>
      </c>
      <c r="YP52">
        <f t="shared" si="233"/>
        <v>3</v>
      </c>
      <c r="YQ52">
        <f t="shared" si="233"/>
        <v>3</v>
      </c>
      <c r="YR52">
        <f t="shared" si="233"/>
        <v>3</v>
      </c>
      <c r="YS52">
        <f t="shared" si="233"/>
        <v>3</v>
      </c>
      <c r="YT52">
        <f t="shared" si="233"/>
        <v>3</v>
      </c>
      <c r="YU52">
        <f t="shared" si="233"/>
        <v>3</v>
      </c>
      <c r="YV52">
        <f t="shared" si="233"/>
        <v>3</v>
      </c>
      <c r="YW52">
        <f t="shared" si="233"/>
        <v>3</v>
      </c>
      <c r="YX52">
        <f t="shared" si="233"/>
        <v>3</v>
      </c>
      <c r="YY52">
        <f t="shared" si="233"/>
        <v>3</v>
      </c>
      <c r="YZ52">
        <f t="shared" si="233"/>
        <v>3</v>
      </c>
      <c r="ZA52">
        <f t="shared" si="233"/>
        <v>3</v>
      </c>
      <c r="ZB52">
        <f t="shared" si="233"/>
        <v>3</v>
      </c>
      <c r="ZC52">
        <f t="shared" ref="ZC52:ABN52" si="234">COUNTBLANK(ZC2:ZC5)</f>
        <v>3</v>
      </c>
      <c r="ZD52">
        <f t="shared" si="234"/>
        <v>3</v>
      </c>
      <c r="ZE52">
        <f t="shared" si="234"/>
        <v>3</v>
      </c>
      <c r="ZF52">
        <f t="shared" si="234"/>
        <v>3</v>
      </c>
      <c r="ZG52">
        <f t="shared" si="234"/>
        <v>3</v>
      </c>
      <c r="ZH52">
        <f t="shared" si="234"/>
        <v>3</v>
      </c>
      <c r="ZI52">
        <f t="shared" si="234"/>
        <v>3</v>
      </c>
      <c r="ZJ52">
        <f t="shared" si="234"/>
        <v>3</v>
      </c>
      <c r="ZK52">
        <f t="shared" si="234"/>
        <v>3</v>
      </c>
      <c r="ZL52">
        <f t="shared" si="234"/>
        <v>3</v>
      </c>
      <c r="ZM52">
        <f t="shared" si="234"/>
        <v>3</v>
      </c>
      <c r="ZN52">
        <f t="shared" si="234"/>
        <v>3</v>
      </c>
      <c r="ZO52">
        <f t="shared" si="234"/>
        <v>3</v>
      </c>
      <c r="ZP52">
        <f t="shared" si="234"/>
        <v>3</v>
      </c>
      <c r="ZQ52">
        <f t="shared" si="234"/>
        <v>3</v>
      </c>
      <c r="ZR52">
        <f t="shared" si="234"/>
        <v>3</v>
      </c>
      <c r="ZS52">
        <f t="shared" si="234"/>
        <v>3</v>
      </c>
      <c r="ZT52">
        <f t="shared" si="234"/>
        <v>3</v>
      </c>
      <c r="ZU52">
        <f t="shared" si="234"/>
        <v>3</v>
      </c>
      <c r="ZV52">
        <f t="shared" si="234"/>
        <v>3</v>
      </c>
      <c r="ZW52">
        <f t="shared" si="234"/>
        <v>3</v>
      </c>
      <c r="ZX52">
        <f t="shared" si="234"/>
        <v>3</v>
      </c>
      <c r="ZY52">
        <f t="shared" si="234"/>
        <v>3</v>
      </c>
      <c r="ZZ52">
        <f t="shared" si="234"/>
        <v>3</v>
      </c>
      <c r="AAA52">
        <f t="shared" si="234"/>
        <v>3</v>
      </c>
      <c r="AAB52">
        <f t="shared" si="234"/>
        <v>3</v>
      </c>
      <c r="AAC52">
        <f t="shared" si="234"/>
        <v>3</v>
      </c>
      <c r="AAD52">
        <f t="shared" si="234"/>
        <v>3</v>
      </c>
      <c r="AAE52">
        <f t="shared" si="234"/>
        <v>3</v>
      </c>
      <c r="AAF52">
        <f t="shared" si="234"/>
        <v>3</v>
      </c>
      <c r="AAG52">
        <f t="shared" si="234"/>
        <v>3</v>
      </c>
      <c r="AAH52">
        <f t="shared" si="234"/>
        <v>3</v>
      </c>
      <c r="AAI52">
        <f t="shared" si="234"/>
        <v>3</v>
      </c>
      <c r="AAJ52">
        <f t="shared" si="234"/>
        <v>3</v>
      </c>
      <c r="AAK52">
        <f t="shared" si="234"/>
        <v>3</v>
      </c>
      <c r="AAL52">
        <f t="shared" si="234"/>
        <v>3</v>
      </c>
      <c r="AAM52">
        <f t="shared" si="234"/>
        <v>3</v>
      </c>
      <c r="AAN52">
        <f t="shared" si="234"/>
        <v>3</v>
      </c>
      <c r="AAO52">
        <f t="shared" si="234"/>
        <v>3</v>
      </c>
      <c r="AAP52">
        <f t="shared" si="234"/>
        <v>3</v>
      </c>
      <c r="AAQ52">
        <f t="shared" si="234"/>
        <v>3</v>
      </c>
      <c r="AAR52">
        <f t="shared" si="234"/>
        <v>3</v>
      </c>
      <c r="AAS52">
        <f t="shared" si="234"/>
        <v>3</v>
      </c>
      <c r="AAT52">
        <f t="shared" si="234"/>
        <v>3</v>
      </c>
      <c r="AAU52">
        <f t="shared" si="234"/>
        <v>3</v>
      </c>
      <c r="AAV52">
        <f t="shared" si="234"/>
        <v>3</v>
      </c>
      <c r="AAW52">
        <f t="shared" si="234"/>
        <v>3</v>
      </c>
      <c r="AAX52">
        <f t="shared" si="234"/>
        <v>3</v>
      </c>
      <c r="AAY52">
        <f t="shared" si="234"/>
        <v>3</v>
      </c>
      <c r="AAZ52">
        <f t="shared" si="234"/>
        <v>3</v>
      </c>
      <c r="ABA52">
        <f t="shared" si="234"/>
        <v>3</v>
      </c>
      <c r="ABB52">
        <f t="shared" si="234"/>
        <v>3</v>
      </c>
      <c r="ABC52">
        <f t="shared" si="234"/>
        <v>3</v>
      </c>
      <c r="ABD52">
        <f t="shared" si="234"/>
        <v>3</v>
      </c>
      <c r="ABE52">
        <f t="shared" si="234"/>
        <v>3</v>
      </c>
      <c r="ABF52">
        <f t="shared" si="234"/>
        <v>3</v>
      </c>
      <c r="ABG52">
        <f t="shared" si="234"/>
        <v>3</v>
      </c>
      <c r="ABH52">
        <f t="shared" si="234"/>
        <v>3</v>
      </c>
      <c r="ABI52">
        <f t="shared" si="234"/>
        <v>3</v>
      </c>
      <c r="ABJ52">
        <f t="shared" si="234"/>
        <v>3</v>
      </c>
      <c r="ABK52">
        <f t="shared" si="234"/>
        <v>3</v>
      </c>
      <c r="ABL52">
        <f t="shared" si="234"/>
        <v>3</v>
      </c>
      <c r="ABM52">
        <f t="shared" si="234"/>
        <v>3</v>
      </c>
      <c r="ABN52">
        <f t="shared" si="234"/>
        <v>3</v>
      </c>
      <c r="ABO52">
        <f t="shared" ref="ABO52:ADZ52" si="235">COUNTBLANK(ABO2:ABO5)</f>
        <v>3</v>
      </c>
      <c r="ABP52">
        <f t="shared" si="235"/>
        <v>3</v>
      </c>
      <c r="ABQ52">
        <f t="shared" si="235"/>
        <v>3</v>
      </c>
      <c r="ABR52">
        <f t="shared" si="235"/>
        <v>3</v>
      </c>
      <c r="ABS52">
        <f t="shared" si="235"/>
        <v>3</v>
      </c>
      <c r="ABT52">
        <f t="shared" si="235"/>
        <v>3</v>
      </c>
      <c r="ABU52">
        <f t="shared" si="235"/>
        <v>3</v>
      </c>
      <c r="ABV52">
        <f t="shared" si="235"/>
        <v>3</v>
      </c>
      <c r="ABW52">
        <f t="shared" si="235"/>
        <v>3</v>
      </c>
      <c r="ABX52">
        <f t="shared" si="235"/>
        <v>3</v>
      </c>
      <c r="ABY52">
        <f t="shared" si="235"/>
        <v>3</v>
      </c>
      <c r="ABZ52">
        <f t="shared" si="235"/>
        <v>3</v>
      </c>
      <c r="ACA52">
        <f t="shared" si="235"/>
        <v>3</v>
      </c>
      <c r="ACB52">
        <f t="shared" si="235"/>
        <v>3</v>
      </c>
      <c r="ACC52">
        <f t="shared" si="235"/>
        <v>3</v>
      </c>
      <c r="ACD52">
        <f t="shared" si="235"/>
        <v>3</v>
      </c>
      <c r="ACE52">
        <f t="shared" si="235"/>
        <v>3</v>
      </c>
      <c r="ACF52">
        <f t="shared" si="235"/>
        <v>3</v>
      </c>
      <c r="ACG52">
        <f t="shared" si="235"/>
        <v>3</v>
      </c>
      <c r="ACH52">
        <f t="shared" si="235"/>
        <v>3</v>
      </c>
      <c r="ACI52">
        <f t="shared" si="235"/>
        <v>3</v>
      </c>
      <c r="ACJ52">
        <f t="shared" si="235"/>
        <v>3</v>
      </c>
      <c r="ACK52">
        <f t="shared" si="235"/>
        <v>3</v>
      </c>
      <c r="ACL52">
        <f t="shared" si="235"/>
        <v>3</v>
      </c>
      <c r="ACM52">
        <f t="shared" si="235"/>
        <v>3</v>
      </c>
      <c r="ACN52">
        <f t="shared" si="235"/>
        <v>3</v>
      </c>
      <c r="ACO52">
        <f t="shared" si="235"/>
        <v>3</v>
      </c>
      <c r="ACP52">
        <f t="shared" si="235"/>
        <v>3</v>
      </c>
      <c r="ACQ52">
        <f t="shared" si="235"/>
        <v>3</v>
      </c>
      <c r="ACR52">
        <f t="shared" si="235"/>
        <v>3</v>
      </c>
      <c r="ACS52">
        <f t="shared" si="235"/>
        <v>3</v>
      </c>
      <c r="ACT52">
        <f t="shared" si="235"/>
        <v>3</v>
      </c>
      <c r="ACU52">
        <f t="shared" si="235"/>
        <v>3</v>
      </c>
      <c r="ACV52">
        <f t="shared" si="235"/>
        <v>3</v>
      </c>
      <c r="ACW52">
        <f t="shared" si="235"/>
        <v>3</v>
      </c>
      <c r="ACX52">
        <f t="shared" si="235"/>
        <v>3</v>
      </c>
      <c r="ACY52">
        <f t="shared" si="235"/>
        <v>3</v>
      </c>
      <c r="ACZ52">
        <f t="shared" si="235"/>
        <v>2</v>
      </c>
      <c r="ADA52">
        <f t="shared" si="235"/>
        <v>2</v>
      </c>
      <c r="ADB52">
        <f t="shared" si="235"/>
        <v>2</v>
      </c>
      <c r="ADC52">
        <f t="shared" si="235"/>
        <v>2</v>
      </c>
      <c r="ADD52">
        <f t="shared" si="235"/>
        <v>2</v>
      </c>
      <c r="ADE52">
        <f t="shared" si="235"/>
        <v>2</v>
      </c>
      <c r="ADF52">
        <f t="shared" si="235"/>
        <v>2</v>
      </c>
      <c r="ADG52">
        <f t="shared" si="235"/>
        <v>2</v>
      </c>
      <c r="ADH52">
        <f t="shared" si="235"/>
        <v>2</v>
      </c>
      <c r="ADI52">
        <f t="shared" si="235"/>
        <v>2</v>
      </c>
      <c r="ADJ52">
        <f t="shared" si="235"/>
        <v>2</v>
      </c>
      <c r="ADK52">
        <f t="shared" si="235"/>
        <v>2</v>
      </c>
      <c r="ADL52">
        <f t="shared" si="235"/>
        <v>2</v>
      </c>
      <c r="ADM52">
        <f t="shared" si="235"/>
        <v>3</v>
      </c>
      <c r="ADN52">
        <f t="shared" si="235"/>
        <v>3</v>
      </c>
      <c r="ADO52">
        <f t="shared" si="235"/>
        <v>3</v>
      </c>
      <c r="ADP52">
        <f t="shared" si="235"/>
        <v>3</v>
      </c>
      <c r="ADQ52">
        <f t="shared" si="235"/>
        <v>3</v>
      </c>
      <c r="ADR52">
        <f t="shared" si="235"/>
        <v>3</v>
      </c>
      <c r="ADS52">
        <f t="shared" si="235"/>
        <v>3</v>
      </c>
      <c r="ADT52">
        <f t="shared" si="235"/>
        <v>3</v>
      </c>
      <c r="ADU52">
        <f t="shared" si="235"/>
        <v>3</v>
      </c>
      <c r="ADV52">
        <f t="shared" si="235"/>
        <v>3</v>
      </c>
      <c r="ADW52">
        <f t="shared" si="235"/>
        <v>3</v>
      </c>
      <c r="ADX52">
        <f t="shared" si="235"/>
        <v>3</v>
      </c>
      <c r="ADY52">
        <f t="shared" si="235"/>
        <v>3</v>
      </c>
      <c r="ADZ52">
        <f t="shared" si="235"/>
        <v>3</v>
      </c>
      <c r="AEA52">
        <f t="shared" ref="AEA52:AGL52" si="236">COUNTBLANK(AEA2:AEA5)</f>
        <v>3</v>
      </c>
      <c r="AEB52">
        <f t="shared" si="236"/>
        <v>3</v>
      </c>
      <c r="AEC52">
        <f t="shared" si="236"/>
        <v>3</v>
      </c>
      <c r="AED52">
        <f t="shared" si="236"/>
        <v>3</v>
      </c>
      <c r="AEE52">
        <f t="shared" si="236"/>
        <v>3</v>
      </c>
      <c r="AEF52">
        <f t="shared" si="236"/>
        <v>3</v>
      </c>
      <c r="AEG52">
        <f t="shared" si="236"/>
        <v>3</v>
      </c>
      <c r="AEH52">
        <f t="shared" si="236"/>
        <v>3</v>
      </c>
      <c r="AEI52">
        <f t="shared" si="236"/>
        <v>3</v>
      </c>
      <c r="AEJ52">
        <f t="shared" si="236"/>
        <v>3</v>
      </c>
      <c r="AEK52">
        <f t="shared" si="236"/>
        <v>3</v>
      </c>
      <c r="AEL52">
        <f t="shared" si="236"/>
        <v>3</v>
      </c>
      <c r="AEM52">
        <f t="shared" si="236"/>
        <v>3</v>
      </c>
      <c r="AEN52">
        <f t="shared" si="236"/>
        <v>3</v>
      </c>
      <c r="AEO52">
        <f t="shared" si="236"/>
        <v>3</v>
      </c>
      <c r="AEP52">
        <f t="shared" si="236"/>
        <v>3</v>
      </c>
      <c r="AEQ52">
        <f t="shared" si="236"/>
        <v>3</v>
      </c>
      <c r="AER52">
        <f t="shared" si="236"/>
        <v>3</v>
      </c>
      <c r="AES52">
        <f t="shared" si="236"/>
        <v>3</v>
      </c>
      <c r="AET52">
        <f t="shared" si="236"/>
        <v>3</v>
      </c>
      <c r="AEU52">
        <f t="shared" si="236"/>
        <v>3</v>
      </c>
      <c r="AEV52">
        <f t="shared" si="236"/>
        <v>3</v>
      </c>
      <c r="AEW52">
        <f t="shared" si="236"/>
        <v>3</v>
      </c>
      <c r="AEX52">
        <f t="shared" si="236"/>
        <v>3</v>
      </c>
      <c r="AEY52">
        <f t="shared" si="236"/>
        <v>3</v>
      </c>
      <c r="AEZ52">
        <f t="shared" si="236"/>
        <v>3</v>
      </c>
      <c r="AFA52">
        <f t="shared" si="236"/>
        <v>3</v>
      </c>
      <c r="AFB52">
        <f t="shared" si="236"/>
        <v>3</v>
      </c>
      <c r="AFC52">
        <f t="shared" si="236"/>
        <v>3</v>
      </c>
      <c r="AFD52">
        <f t="shared" si="236"/>
        <v>3</v>
      </c>
      <c r="AFE52">
        <f t="shared" si="236"/>
        <v>3</v>
      </c>
      <c r="AFF52">
        <f t="shared" si="236"/>
        <v>3</v>
      </c>
      <c r="AFG52">
        <f t="shared" si="236"/>
        <v>3</v>
      </c>
      <c r="AFH52">
        <f t="shared" si="236"/>
        <v>3</v>
      </c>
      <c r="AFI52">
        <f t="shared" si="236"/>
        <v>3</v>
      </c>
      <c r="AFJ52">
        <f t="shared" si="236"/>
        <v>3</v>
      </c>
      <c r="AFK52">
        <f t="shared" si="236"/>
        <v>3</v>
      </c>
      <c r="AFL52">
        <f t="shared" si="236"/>
        <v>3</v>
      </c>
      <c r="AFM52">
        <f t="shared" si="236"/>
        <v>3</v>
      </c>
      <c r="AFN52">
        <f t="shared" si="236"/>
        <v>3</v>
      </c>
      <c r="AFO52">
        <f t="shared" si="236"/>
        <v>3</v>
      </c>
      <c r="AFP52">
        <f t="shared" si="236"/>
        <v>3</v>
      </c>
      <c r="AFQ52">
        <f t="shared" si="236"/>
        <v>3</v>
      </c>
      <c r="AFR52">
        <f t="shared" si="236"/>
        <v>3</v>
      </c>
      <c r="AFS52">
        <f t="shared" si="236"/>
        <v>3</v>
      </c>
      <c r="AFT52">
        <f t="shared" si="236"/>
        <v>3</v>
      </c>
      <c r="AFU52">
        <f t="shared" si="236"/>
        <v>3</v>
      </c>
      <c r="AFV52">
        <f t="shared" si="236"/>
        <v>3</v>
      </c>
      <c r="AFW52">
        <f t="shared" si="236"/>
        <v>3</v>
      </c>
      <c r="AFX52">
        <f t="shared" si="236"/>
        <v>3</v>
      </c>
      <c r="AFY52">
        <f t="shared" si="236"/>
        <v>3</v>
      </c>
      <c r="AFZ52">
        <f t="shared" si="236"/>
        <v>3</v>
      </c>
      <c r="AGA52">
        <f t="shared" si="236"/>
        <v>3</v>
      </c>
      <c r="AGB52">
        <f t="shared" si="236"/>
        <v>3</v>
      </c>
      <c r="AGC52">
        <f t="shared" si="236"/>
        <v>3</v>
      </c>
      <c r="AGD52">
        <f t="shared" si="236"/>
        <v>3</v>
      </c>
      <c r="AGE52">
        <f t="shared" si="236"/>
        <v>3</v>
      </c>
      <c r="AGF52">
        <f t="shared" si="236"/>
        <v>3</v>
      </c>
      <c r="AGG52">
        <f t="shared" si="236"/>
        <v>3</v>
      </c>
      <c r="AGH52">
        <f t="shared" si="236"/>
        <v>3</v>
      </c>
      <c r="AGI52">
        <f t="shared" si="236"/>
        <v>3</v>
      </c>
      <c r="AGJ52">
        <f t="shared" si="236"/>
        <v>3</v>
      </c>
      <c r="AGK52">
        <f t="shared" si="236"/>
        <v>3</v>
      </c>
      <c r="AGL52">
        <f t="shared" si="236"/>
        <v>3</v>
      </c>
      <c r="AGM52">
        <f t="shared" ref="AGM52:AIX52" si="237">COUNTBLANK(AGM2:AGM5)</f>
        <v>3</v>
      </c>
      <c r="AGN52">
        <f t="shared" si="237"/>
        <v>3</v>
      </c>
      <c r="AGO52">
        <f t="shared" si="237"/>
        <v>3</v>
      </c>
      <c r="AGP52">
        <f t="shared" si="237"/>
        <v>3</v>
      </c>
      <c r="AGQ52">
        <f t="shared" si="237"/>
        <v>3</v>
      </c>
      <c r="AGR52">
        <f t="shared" si="237"/>
        <v>3</v>
      </c>
      <c r="AGS52">
        <f t="shared" si="237"/>
        <v>3</v>
      </c>
      <c r="AGT52">
        <f t="shared" si="237"/>
        <v>3</v>
      </c>
      <c r="AGU52">
        <f t="shared" si="237"/>
        <v>3</v>
      </c>
      <c r="AGV52">
        <f t="shared" si="237"/>
        <v>3</v>
      </c>
      <c r="AGW52">
        <f t="shared" si="237"/>
        <v>3</v>
      </c>
      <c r="AGX52">
        <f t="shared" si="237"/>
        <v>3</v>
      </c>
      <c r="AGY52">
        <f t="shared" si="237"/>
        <v>3</v>
      </c>
      <c r="AGZ52">
        <f t="shared" si="237"/>
        <v>3</v>
      </c>
      <c r="AHA52">
        <f t="shared" si="237"/>
        <v>3</v>
      </c>
      <c r="AHB52">
        <f t="shared" si="237"/>
        <v>3</v>
      </c>
      <c r="AHC52">
        <f t="shared" si="237"/>
        <v>3</v>
      </c>
      <c r="AHD52">
        <f t="shared" si="237"/>
        <v>3</v>
      </c>
      <c r="AHE52">
        <f t="shared" si="237"/>
        <v>3</v>
      </c>
      <c r="AHF52">
        <f t="shared" si="237"/>
        <v>3</v>
      </c>
      <c r="AHG52">
        <f t="shared" si="237"/>
        <v>3</v>
      </c>
      <c r="AHH52">
        <f t="shared" si="237"/>
        <v>3</v>
      </c>
      <c r="AHI52">
        <f t="shared" si="237"/>
        <v>3</v>
      </c>
      <c r="AHJ52">
        <f t="shared" si="237"/>
        <v>3</v>
      </c>
      <c r="AHK52">
        <f t="shared" si="237"/>
        <v>3</v>
      </c>
      <c r="AHL52">
        <f t="shared" si="237"/>
        <v>3</v>
      </c>
      <c r="AHM52">
        <f t="shared" si="237"/>
        <v>3</v>
      </c>
      <c r="AHN52">
        <f t="shared" si="237"/>
        <v>3</v>
      </c>
      <c r="AHO52">
        <f t="shared" si="237"/>
        <v>3</v>
      </c>
      <c r="AHP52">
        <f t="shared" si="237"/>
        <v>3</v>
      </c>
      <c r="AHQ52">
        <f t="shared" si="237"/>
        <v>3</v>
      </c>
      <c r="AHR52">
        <f t="shared" si="237"/>
        <v>3</v>
      </c>
      <c r="AHS52">
        <f t="shared" si="237"/>
        <v>3</v>
      </c>
      <c r="AHT52">
        <f t="shared" si="237"/>
        <v>3</v>
      </c>
      <c r="AHU52">
        <f t="shared" si="237"/>
        <v>3</v>
      </c>
      <c r="AHV52">
        <f t="shared" si="237"/>
        <v>3</v>
      </c>
      <c r="AHW52">
        <f t="shared" si="237"/>
        <v>3</v>
      </c>
      <c r="AHX52">
        <f t="shared" si="237"/>
        <v>3</v>
      </c>
      <c r="AHY52">
        <f t="shared" si="237"/>
        <v>3</v>
      </c>
      <c r="AHZ52">
        <f t="shared" si="237"/>
        <v>3</v>
      </c>
      <c r="AIA52">
        <f t="shared" si="237"/>
        <v>3</v>
      </c>
      <c r="AIB52">
        <f t="shared" si="237"/>
        <v>3</v>
      </c>
      <c r="AIC52">
        <f t="shared" si="237"/>
        <v>3</v>
      </c>
      <c r="AID52">
        <f t="shared" si="237"/>
        <v>3</v>
      </c>
      <c r="AIE52">
        <f t="shared" si="237"/>
        <v>3</v>
      </c>
      <c r="AIF52">
        <f t="shared" si="237"/>
        <v>3</v>
      </c>
      <c r="AIG52">
        <f t="shared" si="237"/>
        <v>3</v>
      </c>
      <c r="AIH52">
        <f t="shared" si="237"/>
        <v>3</v>
      </c>
      <c r="AII52">
        <f t="shared" si="237"/>
        <v>3</v>
      </c>
      <c r="AIJ52">
        <f t="shared" si="237"/>
        <v>3</v>
      </c>
      <c r="AIK52">
        <f t="shared" si="237"/>
        <v>3</v>
      </c>
      <c r="AIL52">
        <f t="shared" si="237"/>
        <v>3</v>
      </c>
      <c r="AIM52">
        <f t="shared" si="237"/>
        <v>3</v>
      </c>
      <c r="AIN52">
        <f t="shared" si="237"/>
        <v>3</v>
      </c>
      <c r="AIO52">
        <f t="shared" si="237"/>
        <v>3</v>
      </c>
      <c r="AIP52">
        <f t="shared" si="237"/>
        <v>3</v>
      </c>
      <c r="AIQ52">
        <f t="shared" si="237"/>
        <v>3</v>
      </c>
      <c r="AIR52">
        <f t="shared" si="237"/>
        <v>3</v>
      </c>
      <c r="AIS52">
        <f t="shared" si="237"/>
        <v>3</v>
      </c>
      <c r="AIT52">
        <f t="shared" si="237"/>
        <v>3</v>
      </c>
      <c r="AIU52">
        <f t="shared" si="237"/>
        <v>3</v>
      </c>
      <c r="AIV52">
        <f t="shared" si="237"/>
        <v>3</v>
      </c>
      <c r="AIW52">
        <f t="shared" si="237"/>
        <v>3</v>
      </c>
      <c r="AIX52">
        <f t="shared" si="237"/>
        <v>3</v>
      </c>
      <c r="AIY52">
        <f t="shared" ref="AIY52:ALJ52" si="238">COUNTBLANK(AIY2:AIY5)</f>
        <v>3</v>
      </c>
      <c r="AIZ52">
        <f t="shared" si="238"/>
        <v>3</v>
      </c>
      <c r="AJA52">
        <f t="shared" si="238"/>
        <v>3</v>
      </c>
      <c r="AJB52">
        <f t="shared" si="238"/>
        <v>3</v>
      </c>
      <c r="AJC52">
        <f t="shared" si="238"/>
        <v>3</v>
      </c>
      <c r="AJD52">
        <f t="shared" si="238"/>
        <v>3</v>
      </c>
      <c r="AJE52">
        <f t="shared" si="238"/>
        <v>3</v>
      </c>
      <c r="AJF52">
        <f t="shared" si="238"/>
        <v>3</v>
      </c>
      <c r="AJG52">
        <f t="shared" si="238"/>
        <v>3</v>
      </c>
      <c r="AJH52">
        <f t="shared" si="238"/>
        <v>3</v>
      </c>
      <c r="AJI52">
        <f t="shared" si="238"/>
        <v>3</v>
      </c>
      <c r="AJJ52">
        <f t="shared" si="238"/>
        <v>3</v>
      </c>
      <c r="AJK52">
        <f t="shared" si="238"/>
        <v>3</v>
      </c>
      <c r="AJL52">
        <f t="shared" si="238"/>
        <v>3</v>
      </c>
      <c r="AJM52">
        <f t="shared" si="238"/>
        <v>3</v>
      </c>
      <c r="AJN52">
        <f t="shared" si="238"/>
        <v>3</v>
      </c>
      <c r="AJO52">
        <f t="shared" si="238"/>
        <v>3</v>
      </c>
      <c r="AJP52">
        <f t="shared" si="238"/>
        <v>3</v>
      </c>
      <c r="AJQ52">
        <f t="shared" si="238"/>
        <v>3</v>
      </c>
      <c r="AJR52">
        <f t="shared" si="238"/>
        <v>3</v>
      </c>
      <c r="AJS52">
        <f t="shared" si="238"/>
        <v>3</v>
      </c>
      <c r="AJT52">
        <f t="shared" si="238"/>
        <v>3</v>
      </c>
      <c r="AJU52">
        <f t="shared" si="238"/>
        <v>3</v>
      </c>
      <c r="AJV52">
        <f t="shared" si="238"/>
        <v>2</v>
      </c>
      <c r="AJW52">
        <f t="shared" si="238"/>
        <v>2</v>
      </c>
      <c r="AJX52">
        <f t="shared" si="238"/>
        <v>2</v>
      </c>
      <c r="AJY52">
        <f t="shared" si="238"/>
        <v>2</v>
      </c>
      <c r="AJZ52">
        <f t="shared" si="238"/>
        <v>2</v>
      </c>
      <c r="AKA52">
        <f t="shared" si="238"/>
        <v>2</v>
      </c>
      <c r="AKB52">
        <f t="shared" si="238"/>
        <v>2</v>
      </c>
      <c r="AKC52">
        <f t="shared" si="238"/>
        <v>2</v>
      </c>
      <c r="AKD52">
        <f t="shared" si="238"/>
        <v>2</v>
      </c>
      <c r="AKE52">
        <f t="shared" si="238"/>
        <v>2</v>
      </c>
      <c r="AKF52">
        <f t="shared" si="238"/>
        <v>2</v>
      </c>
      <c r="AKG52">
        <f t="shared" si="238"/>
        <v>2</v>
      </c>
      <c r="AKH52">
        <f t="shared" si="238"/>
        <v>2</v>
      </c>
      <c r="AKI52">
        <f t="shared" si="238"/>
        <v>2</v>
      </c>
      <c r="AKJ52">
        <f t="shared" si="238"/>
        <v>2</v>
      </c>
      <c r="AKK52">
        <f t="shared" si="238"/>
        <v>2</v>
      </c>
      <c r="AKL52">
        <f t="shared" si="238"/>
        <v>2</v>
      </c>
      <c r="AKM52">
        <f t="shared" si="238"/>
        <v>2</v>
      </c>
      <c r="AKN52">
        <f t="shared" si="238"/>
        <v>2</v>
      </c>
      <c r="AKO52">
        <f t="shared" si="238"/>
        <v>2</v>
      </c>
      <c r="AKP52">
        <f t="shared" si="238"/>
        <v>2</v>
      </c>
      <c r="AKQ52">
        <f t="shared" si="238"/>
        <v>2</v>
      </c>
      <c r="AKR52">
        <f t="shared" si="238"/>
        <v>2</v>
      </c>
      <c r="AKS52">
        <f t="shared" si="238"/>
        <v>2</v>
      </c>
      <c r="AKT52">
        <f t="shared" si="238"/>
        <v>2</v>
      </c>
      <c r="AKU52">
        <f t="shared" si="238"/>
        <v>2</v>
      </c>
      <c r="AKV52">
        <f t="shared" si="238"/>
        <v>2</v>
      </c>
      <c r="AKW52">
        <f t="shared" si="238"/>
        <v>2</v>
      </c>
      <c r="AKX52">
        <f t="shared" si="238"/>
        <v>2</v>
      </c>
      <c r="AKY52">
        <f t="shared" si="238"/>
        <v>2</v>
      </c>
      <c r="AKZ52">
        <f t="shared" si="238"/>
        <v>2</v>
      </c>
      <c r="ALA52">
        <f t="shared" si="238"/>
        <v>2</v>
      </c>
      <c r="ALB52">
        <f t="shared" si="238"/>
        <v>2</v>
      </c>
      <c r="ALC52">
        <f t="shared" si="238"/>
        <v>2</v>
      </c>
      <c r="ALD52">
        <f t="shared" si="238"/>
        <v>2</v>
      </c>
      <c r="ALE52">
        <f t="shared" si="238"/>
        <v>2</v>
      </c>
      <c r="ALF52">
        <f t="shared" si="238"/>
        <v>2</v>
      </c>
      <c r="ALG52">
        <f t="shared" si="238"/>
        <v>2</v>
      </c>
      <c r="ALH52">
        <f t="shared" si="238"/>
        <v>2</v>
      </c>
      <c r="ALI52">
        <f t="shared" si="238"/>
        <v>2</v>
      </c>
      <c r="ALJ52">
        <f t="shared" si="238"/>
        <v>2</v>
      </c>
      <c r="ALK52">
        <f t="shared" ref="ALK52:ANV52" si="239">COUNTBLANK(ALK2:ALK5)</f>
        <v>2</v>
      </c>
      <c r="ALL52">
        <f t="shared" si="239"/>
        <v>2</v>
      </c>
      <c r="ALM52">
        <f t="shared" si="239"/>
        <v>2</v>
      </c>
      <c r="ALN52">
        <f t="shared" si="239"/>
        <v>2</v>
      </c>
      <c r="ALO52">
        <f t="shared" si="239"/>
        <v>2</v>
      </c>
      <c r="ALP52">
        <f t="shared" si="239"/>
        <v>2</v>
      </c>
      <c r="ALQ52">
        <f t="shared" si="239"/>
        <v>2</v>
      </c>
      <c r="ALR52">
        <f t="shared" si="239"/>
        <v>2</v>
      </c>
      <c r="ALS52">
        <f t="shared" si="239"/>
        <v>2</v>
      </c>
      <c r="ALT52">
        <f t="shared" si="239"/>
        <v>2</v>
      </c>
      <c r="ALU52">
        <f t="shared" si="239"/>
        <v>2</v>
      </c>
      <c r="ALV52">
        <f t="shared" si="239"/>
        <v>2</v>
      </c>
      <c r="ALW52">
        <f t="shared" si="239"/>
        <v>2</v>
      </c>
      <c r="ALX52">
        <f t="shared" si="239"/>
        <v>2</v>
      </c>
      <c r="ALY52">
        <f t="shared" si="239"/>
        <v>2</v>
      </c>
      <c r="ALZ52">
        <f t="shared" si="239"/>
        <v>2</v>
      </c>
      <c r="AMA52">
        <f t="shared" si="239"/>
        <v>2</v>
      </c>
      <c r="AMB52">
        <f t="shared" si="239"/>
        <v>2</v>
      </c>
      <c r="AMC52">
        <f t="shared" si="239"/>
        <v>2</v>
      </c>
      <c r="AMD52">
        <f t="shared" si="239"/>
        <v>2</v>
      </c>
      <c r="AME52">
        <f t="shared" si="239"/>
        <v>2</v>
      </c>
      <c r="AMF52">
        <f t="shared" si="239"/>
        <v>2</v>
      </c>
      <c r="AMG52">
        <f t="shared" si="239"/>
        <v>2</v>
      </c>
      <c r="AMH52">
        <f t="shared" si="239"/>
        <v>2</v>
      </c>
      <c r="AMI52">
        <f t="shared" si="239"/>
        <v>2</v>
      </c>
      <c r="AMJ52">
        <f t="shared" si="239"/>
        <v>2</v>
      </c>
      <c r="AMK52">
        <f t="shared" si="239"/>
        <v>2</v>
      </c>
      <c r="AML52">
        <f t="shared" si="239"/>
        <v>2</v>
      </c>
      <c r="AMM52">
        <f t="shared" si="239"/>
        <v>2</v>
      </c>
      <c r="AMN52">
        <f t="shared" si="239"/>
        <v>2</v>
      </c>
      <c r="AMO52">
        <f t="shared" si="239"/>
        <v>2</v>
      </c>
      <c r="AMP52">
        <f t="shared" si="239"/>
        <v>2</v>
      </c>
      <c r="AMQ52">
        <f t="shared" si="239"/>
        <v>2</v>
      </c>
      <c r="AMR52">
        <f t="shared" si="239"/>
        <v>2</v>
      </c>
      <c r="AMS52">
        <f t="shared" si="239"/>
        <v>2</v>
      </c>
      <c r="AMT52">
        <f t="shared" si="239"/>
        <v>2</v>
      </c>
      <c r="AMU52">
        <f t="shared" si="239"/>
        <v>2</v>
      </c>
      <c r="AMV52">
        <f t="shared" si="239"/>
        <v>2</v>
      </c>
      <c r="AMW52">
        <f t="shared" si="239"/>
        <v>2</v>
      </c>
      <c r="AMX52">
        <f t="shared" si="239"/>
        <v>2</v>
      </c>
      <c r="AMY52">
        <f t="shared" si="239"/>
        <v>2</v>
      </c>
      <c r="AMZ52">
        <f t="shared" si="239"/>
        <v>2</v>
      </c>
      <c r="ANA52">
        <f t="shared" si="239"/>
        <v>2</v>
      </c>
      <c r="ANB52">
        <f t="shared" si="239"/>
        <v>2</v>
      </c>
      <c r="ANC52">
        <f t="shared" si="239"/>
        <v>2</v>
      </c>
      <c r="AND52">
        <f t="shared" si="239"/>
        <v>2</v>
      </c>
      <c r="ANE52">
        <f t="shared" si="239"/>
        <v>2</v>
      </c>
      <c r="ANF52">
        <f t="shared" si="239"/>
        <v>3</v>
      </c>
      <c r="ANG52">
        <f t="shared" si="239"/>
        <v>3</v>
      </c>
      <c r="ANH52">
        <f t="shared" si="239"/>
        <v>3</v>
      </c>
      <c r="ANI52">
        <f t="shared" si="239"/>
        <v>3</v>
      </c>
      <c r="ANJ52">
        <f t="shared" si="239"/>
        <v>3</v>
      </c>
      <c r="ANK52">
        <f t="shared" si="239"/>
        <v>3</v>
      </c>
      <c r="ANL52">
        <f t="shared" si="239"/>
        <v>3</v>
      </c>
      <c r="ANM52">
        <f t="shared" si="239"/>
        <v>3</v>
      </c>
      <c r="ANN52">
        <f t="shared" si="239"/>
        <v>3</v>
      </c>
      <c r="ANO52">
        <f t="shared" si="239"/>
        <v>3</v>
      </c>
      <c r="ANP52">
        <f t="shared" si="239"/>
        <v>3</v>
      </c>
      <c r="ANQ52">
        <f t="shared" si="239"/>
        <v>3</v>
      </c>
      <c r="ANR52">
        <f t="shared" si="239"/>
        <v>3</v>
      </c>
      <c r="ANS52">
        <f t="shared" si="239"/>
        <v>3</v>
      </c>
      <c r="ANT52">
        <f t="shared" si="239"/>
        <v>3</v>
      </c>
      <c r="ANU52">
        <f t="shared" si="239"/>
        <v>3</v>
      </c>
      <c r="ANV52">
        <f t="shared" si="239"/>
        <v>3</v>
      </c>
      <c r="ANW52">
        <f t="shared" ref="ANW52:AQH52" si="240">COUNTBLANK(ANW2:ANW5)</f>
        <v>3</v>
      </c>
      <c r="ANX52">
        <f t="shared" si="240"/>
        <v>3</v>
      </c>
      <c r="ANY52">
        <f t="shared" si="240"/>
        <v>3</v>
      </c>
      <c r="ANZ52">
        <f t="shared" si="240"/>
        <v>3</v>
      </c>
      <c r="AOA52">
        <f t="shared" si="240"/>
        <v>3</v>
      </c>
      <c r="AOB52">
        <f t="shared" si="240"/>
        <v>3</v>
      </c>
      <c r="AOC52">
        <f t="shared" si="240"/>
        <v>3</v>
      </c>
      <c r="AOD52">
        <f t="shared" si="240"/>
        <v>3</v>
      </c>
      <c r="AOE52">
        <f t="shared" si="240"/>
        <v>3</v>
      </c>
      <c r="AOF52">
        <f t="shared" si="240"/>
        <v>3</v>
      </c>
      <c r="AOG52">
        <f t="shared" si="240"/>
        <v>3</v>
      </c>
      <c r="AOH52">
        <f t="shared" si="240"/>
        <v>3</v>
      </c>
      <c r="AOI52">
        <f t="shared" si="240"/>
        <v>3</v>
      </c>
      <c r="AOJ52">
        <f t="shared" si="240"/>
        <v>3</v>
      </c>
      <c r="AOK52">
        <f t="shared" si="240"/>
        <v>3</v>
      </c>
      <c r="AOL52">
        <f t="shared" si="240"/>
        <v>3</v>
      </c>
      <c r="AOM52">
        <f t="shared" si="240"/>
        <v>3</v>
      </c>
      <c r="AON52">
        <f t="shared" si="240"/>
        <v>3</v>
      </c>
      <c r="AOO52">
        <f t="shared" si="240"/>
        <v>3</v>
      </c>
      <c r="AOP52">
        <f t="shared" si="240"/>
        <v>3</v>
      </c>
      <c r="AOQ52">
        <f t="shared" si="240"/>
        <v>3</v>
      </c>
      <c r="AOR52">
        <f t="shared" si="240"/>
        <v>3</v>
      </c>
      <c r="AOS52">
        <f t="shared" si="240"/>
        <v>3</v>
      </c>
      <c r="AOT52">
        <f t="shared" si="240"/>
        <v>3</v>
      </c>
      <c r="AOU52">
        <f t="shared" si="240"/>
        <v>3</v>
      </c>
      <c r="AOV52">
        <f t="shared" si="240"/>
        <v>3</v>
      </c>
      <c r="AOW52">
        <f t="shared" si="240"/>
        <v>3</v>
      </c>
      <c r="AOX52">
        <f t="shared" si="240"/>
        <v>3</v>
      </c>
      <c r="AOY52">
        <f t="shared" si="240"/>
        <v>3</v>
      </c>
      <c r="AOZ52">
        <f t="shared" si="240"/>
        <v>3</v>
      </c>
      <c r="APA52">
        <f t="shared" si="240"/>
        <v>3</v>
      </c>
      <c r="APB52">
        <f t="shared" si="240"/>
        <v>3</v>
      </c>
      <c r="APC52">
        <f t="shared" si="240"/>
        <v>3</v>
      </c>
      <c r="APD52">
        <f t="shared" si="240"/>
        <v>3</v>
      </c>
      <c r="APE52">
        <f t="shared" si="240"/>
        <v>3</v>
      </c>
      <c r="APF52">
        <f t="shared" si="240"/>
        <v>3</v>
      </c>
      <c r="APG52">
        <f t="shared" si="240"/>
        <v>3</v>
      </c>
      <c r="APH52">
        <f t="shared" si="240"/>
        <v>3</v>
      </c>
      <c r="API52">
        <f t="shared" si="240"/>
        <v>3</v>
      </c>
      <c r="APJ52">
        <f t="shared" si="240"/>
        <v>3</v>
      </c>
      <c r="APK52">
        <f t="shared" si="240"/>
        <v>3</v>
      </c>
      <c r="APL52">
        <f t="shared" si="240"/>
        <v>3</v>
      </c>
      <c r="APM52">
        <f t="shared" si="240"/>
        <v>3</v>
      </c>
      <c r="APN52">
        <f t="shared" si="240"/>
        <v>3</v>
      </c>
      <c r="APO52">
        <f t="shared" si="240"/>
        <v>3</v>
      </c>
      <c r="APP52">
        <f t="shared" si="240"/>
        <v>3</v>
      </c>
      <c r="APQ52">
        <f t="shared" si="240"/>
        <v>3</v>
      </c>
      <c r="APR52">
        <f t="shared" si="240"/>
        <v>3</v>
      </c>
      <c r="APS52">
        <f t="shared" si="240"/>
        <v>3</v>
      </c>
      <c r="APT52">
        <f t="shared" si="240"/>
        <v>3</v>
      </c>
      <c r="APU52">
        <f t="shared" si="240"/>
        <v>3</v>
      </c>
      <c r="APV52">
        <f t="shared" si="240"/>
        <v>3</v>
      </c>
      <c r="APW52">
        <f t="shared" si="240"/>
        <v>3</v>
      </c>
      <c r="APX52">
        <f t="shared" si="240"/>
        <v>3</v>
      </c>
      <c r="APY52">
        <f t="shared" si="240"/>
        <v>3</v>
      </c>
      <c r="APZ52">
        <f t="shared" si="240"/>
        <v>3</v>
      </c>
      <c r="AQA52">
        <f t="shared" si="240"/>
        <v>3</v>
      </c>
      <c r="AQB52">
        <f t="shared" si="240"/>
        <v>3</v>
      </c>
      <c r="AQC52">
        <f t="shared" si="240"/>
        <v>3</v>
      </c>
      <c r="AQD52">
        <f t="shared" si="240"/>
        <v>3</v>
      </c>
      <c r="AQE52">
        <f t="shared" si="240"/>
        <v>3</v>
      </c>
      <c r="AQF52">
        <f t="shared" si="240"/>
        <v>3</v>
      </c>
      <c r="AQG52">
        <f t="shared" si="240"/>
        <v>3</v>
      </c>
      <c r="AQH52">
        <f t="shared" si="240"/>
        <v>3</v>
      </c>
      <c r="AQI52">
        <f t="shared" ref="AQI52:AST52" si="241">COUNTBLANK(AQI2:AQI5)</f>
        <v>3</v>
      </c>
      <c r="AQJ52">
        <f t="shared" si="241"/>
        <v>3</v>
      </c>
      <c r="AQK52">
        <f t="shared" si="241"/>
        <v>3</v>
      </c>
      <c r="AQL52">
        <f t="shared" si="241"/>
        <v>3</v>
      </c>
      <c r="AQM52">
        <f t="shared" si="241"/>
        <v>3</v>
      </c>
      <c r="AQN52">
        <f t="shared" si="241"/>
        <v>3</v>
      </c>
      <c r="AQO52">
        <f t="shared" si="241"/>
        <v>3</v>
      </c>
      <c r="AQP52">
        <f t="shared" si="241"/>
        <v>3</v>
      </c>
      <c r="AQQ52">
        <f t="shared" si="241"/>
        <v>3</v>
      </c>
      <c r="AQR52">
        <f t="shared" si="241"/>
        <v>3</v>
      </c>
      <c r="AQS52">
        <f t="shared" si="241"/>
        <v>3</v>
      </c>
      <c r="AQT52">
        <f t="shared" si="241"/>
        <v>3</v>
      </c>
      <c r="AQU52">
        <f t="shared" si="241"/>
        <v>3</v>
      </c>
      <c r="AQV52">
        <f t="shared" si="241"/>
        <v>3</v>
      </c>
      <c r="AQW52">
        <f t="shared" si="241"/>
        <v>3</v>
      </c>
      <c r="AQX52">
        <f t="shared" si="241"/>
        <v>3</v>
      </c>
      <c r="AQY52">
        <f t="shared" si="241"/>
        <v>3</v>
      </c>
      <c r="AQZ52">
        <f t="shared" si="241"/>
        <v>3</v>
      </c>
      <c r="ARA52">
        <f t="shared" si="241"/>
        <v>3</v>
      </c>
      <c r="ARB52">
        <f t="shared" si="241"/>
        <v>3</v>
      </c>
      <c r="ARC52">
        <f t="shared" si="241"/>
        <v>3</v>
      </c>
      <c r="ARD52">
        <f t="shared" si="241"/>
        <v>3</v>
      </c>
      <c r="ARE52">
        <f t="shared" si="241"/>
        <v>3</v>
      </c>
      <c r="ARF52">
        <f t="shared" si="241"/>
        <v>3</v>
      </c>
      <c r="ARG52">
        <f t="shared" si="241"/>
        <v>3</v>
      </c>
      <c r="ARH52">
        <f t="shared" si="241"/>
        <v>3</v>
      </c>
      <c r="ARI52">
        <f t="shared" si="241"/>
        <v>3</v>
      </c>
      <c r="ARJ52">
        <f t="shared" si="241"/>
        <v>3</v>
      </c>
      <c r="ARK52">
        <f t="shared" si="241"/>
        <v>3</v>
      </c>
      <c r="ARL52">
        <f t="shared" si="241"/>
        <v>3</v>
      </c>
      <c r="ARM52">
        <f t="shared" si="241"/>
        <v>3</v>
      </c>
      <c r="ARN52">
        <f t="shared" si="241"/>
        <v>3</v>
      </c>
      <c r="ARO52">
        <f t="shared" si="241"/>
        <v>3</v>
      </c>
      <c r="ARP52">
        <f t="shared" si="241"/>
        <v>3</v>
      </c>
      <c r="ARQ52">
        <f t="shared" si="241"/>
        <v>3</v>
      </c>
      <c r="ARR52">
        <f t="shared" si="241"/>
        <v>3</v>
      </c>
      <c r="ARS52">
        <f t="shared" si="241"/>
        <v>3</v>
      </c>
      <c r="ART52">
        <f t="shared" si="241"/>
        <v>3</v>
      </c>
      <c r="ARU52">
        <f t="shared" si="241"/>
        <v>3</v>
      </c>
      <c r="ARV52">
        <f t="shared" si="241"/>
        <v>3</v>
      </c>
      <c r="ARW52">
        <f t="shared" si="241"/>
        <v>3</v>
      </c>
      <c r="ARX52">
        <f t="shared" si="241"/>
        <v>3</v>
      </c>
      <c r="ARY52">
        <f t="shared" si="241"/>
        <v>3</v>
      </c>
      <c r="ARZ52">
        <f t="shared" si="241"/>
        <v>3</v>
      </c>
      <c r="ASA52">
        <f t="shared" si="241"/>
        <v>3</v>
      </c>
      <c r="ASB52">
        <f t="shared" si="241"/>
        <v>2</v>
      </c>
      <c r="ASC52">
        <f t="shared" si="241"/>
        <v>2</v>
      </c>
      <c r="ASD52">
        <f t="shared" si="241"/>
        <v>2</v>
      </c>
      <c r="ASE52">
        <f t="shared" si="241"/>
        <v>2</v>
      </c>
      <c r="ASF52">
        <f t="shared" si="241"/>
        <v>2</v>
      </c>
      <c r="ASG52">
        <f t="shared" si="241"/>
        <v>2</v>
      </c>
      <c r="ASH52">
        <f t="shared" si="241"/>
        <v>2</v>
      </c>
      <c r="ASI52">
        <f t="shared" si="241"/>
        <v>2</v>
      </c>
      <c r="ASJ52">
        <f t="shared" si="241"/>
        <v>2</v>
      </c>
      <c r="ASK52">
        <f t="shared" si="241"/>
        <v>2</v>
      </c>
      <c r="ASL52">
        <f t="shared" si="241"/>
        <v>2</v>
      </c>
      <c r="ASM52">
        <f t="shared" si="241"/>
        <v>2</v>
      </c>
      <c r="ASN52">
        <f t="shared" si="241"/>
        <v>2</v>
      </c>
      <c r="ASO52">
        <f t="shared" si="241"/>
        <v>2</v>
      </c>
      <c r="ASP52">
        <f t="shared" si="241"/>
        <v>2</v>
      </c>
      <c r="ASQ52">
        <f t="shared" si="241"/>
        <v>2</v>
      </c>
      <c r="ASR52">
        <f t="shared" si="241"/>
        <v>2</v>
      </c>
      <c r="ASS52">
        <f t="shared" si="241"/>
        <v>2</v>
      </c>
      <c r="AST52">
        <f t="shared" si="241"/>
        <v>2</v>
      </c>
      <c r="ASU52">
        <f t="shared" ref="ASU52:AVF52" si="242">COUNTBLANK(ASU2:ASU5)</f>
        <v>2</v>
      </c>
      <c r="ASV52">
        <f t="shared" si="242"/>
        <v>2</v>
      </c>
      <c r="ASW52">
        <f t="shared" si="242"/>
        <v>2</v>
      </c>
      <c r="ASX52">
        <f t="shared" si="242"/>
        <v>2</v>
      </c>
      <c r="ASY52">
        <f t="shared" si="242"/>
        <v>2</v>
      </c>
      <c r="ASZ52">
        <f t="shared" si="242"/>
        <v>2</v>
      </c>
      <c r="ATA52">
        <f t="shared" si="242"/>
        <v>2</v>
      </c>
      <c r="ATB52">
        <f t="shared" si="242"/>
        <v>2</v>
      </c>
      <c r="ATC52">
        <f t="shared" si="242"/>
        <v>2</v>
      </c>
      <c r="ATD52">
        <f t="shared" si="242"/>
        <v>2</v>
      </c>
      <c r="ATE52">
        <f t="shared" si="242"/>
        <v>2</v>
      </c>
      <c r="ATF52">
        <f t="shared" si="242"/>
        <v>2</v>
      </c>
      <c r="ATG52">
        <f t="shared" si="242"/>
        <v>2</v>
      </c>
      <c r="ATH52">
        <f t="shared" si="242"/>
        <v>2</v>
      </c>
      <c r="ATI52">
        <f t="shared" si="242"/>
        <v>2</v>
      </c>
      <c r="ATJ52">
        <f t="shared" si="242"/>
        <v>2</v>
      </c>
      <c r="ATK52">
        <f t="shared" si="242"/>
        <v>2</v>
      </c>
      <c r="ATL52">
        <f t="shared" si="242"/>
        <v>2</v>
      </c>
      <c r="ATM52">
        <f t="shared" si="242"/>
        <v>2</v>
      </c>
      <c r="ATN52">
        <f t="shared" si="242"/>
        <v>2</v>
      </c>
      <c r="ATO52">
        <f t="shared" si="242"/>
        <v>2</v>
      </c>
      <c r="ATP52">
        <f t="shared" si="242"/>
        <v>2</v>
      </c>
      <c r="ATQ52">
        <f t="shared" si="242"/>
        <v>2</v>
      </c>
      <c r="ATR52">
        <f t="shared" si="242"/>
        <v>2</v>
      </c>
      <c r="ATS52">
        <f t="shared" si="242"/>
        <v>2</v>
      </c>
      <c r="ATT52">
        <f t="shared" si="242"/>
        <v>2</v>
      </c>
      <c r="ATU52">
        <f t="shared" si="242"/>
        <v>2</v>
      </c>
      <c r="ATV52">
        <f t="shared" si="242"/>
        <v>2</v>
      </c>
      <c r="ATW52">
        <f t="shared" si="242"/>
        <v>2</v>
      </c>
      <c r="ATX52">
        <f t="shared" si="242"/>
        <v>2</v>
      </c>
      <c r="ATY52">
        <f t="shared" si="242"/>
        <v>2</v>
      </c>
      <c r="ATZ52">
        <f t="shared" si="242"/>
        <v>2</v>
      </c>
      <c r="AUA52">
        <f t="shared" si="242"/>
        <v>2</v>
      </c>
      <c r="AUB52">
        <f t="shared" si="242"/>
        <v>2</v>
      </c>
      <c r="AUC52">
        <f t="shared" si="242"/>
        <v>2</v>
      </c>
      <c r="AUD52">
        <f t="shared" si="242"/>
        <v>2</v>
      </c>
      <c r="AUE52">
        <f t="shared" si="242"/>
        <v>2</v>
      </c>
      <c r="AUF52">
        <f t="shared" si="242"/>
        <v>2</v>
      </c>
      <c r="AUG52">
        <f t="shared" si="242"/>
        <v>2</v>
      </c>
      <c r="AUH52">
        <f t="shared" si="242"/>
        <v>2</v>
      </c>
      <c r="AUI52">
        <f t="shared" si="242"/>
        <v>3</v>
      </c>
      <c r="AUJ52">
        <f t="shared" si="242"/>
        <v>3</v>
      </c>
      <c r="AUK52">
        <f t="shared" si="242"/>
        <v>3</v>
      </c>
      <c r="AUL52">
        <f t="shared" si="242"/>
        <v>3</v>
      </c>
      <c r="AUM52">
        <f t="shared" si="242"/>
        <v>3</v>
      </c>
      <c r="AUN52">
        <f t="shared" si="242"/>
        <v>3</v>
      </c>
      <c r="AUO52">
        <f t="shared" si="242"/>
        <v>3</v>
      </c>
      <c r="AUP52">
        <f t="shared" si="242"/>
        <v>3</v>
      </c>
      <c r="AUQ52">
        <f t="shared" si="242"/>
        <v>3</v>
      </c>
      <c r="AUR52">
        <f t="shared" si="242"/>
        <v>3</v>
      </c>
      <c r="AUS52">
        <f t="shared" si="242"/>
        <v>3</v>
      </c>
      <c r="AUT52">
        <f t="shared" si="242"/>
        <v>3</v>
      </c>
      <c r="AUU52">
        <f t="shared" si="242"/>
        <v>3</v>
      </c>
      <c r="AUV52">
        <f t="shared" si="242"/>
        <v>3</v>
      </c>
      <c r="AUW52">
        <f t="shared" si="242"/>
        <v>3</v>
      </c>
      <c r="AUX52">
        <f t="shared" si="242"/>
        <v>3</v>
      </c>
      <c r="AUY52">
        <f t="shared" si="242"/>
        <v>3</v>
      </c>
      <c r="AUZ52">
        <f t="shared" si="242"/>
        <v>3</v>
      </c>
      <c r="AVA52">
        <f t="shared" si="242"/>
        <v>3</v>
      </c>
      <c r="AVB52">
        <f t="shared" si="242"/>
        <v>3</v>
      </c>
      <c r="AVC52">
        <f t="shared" si="242"/>
        <v>3</v>
      </c>
      <c r="AVD52">
        <f t="shared" si="242"/>
        <v>3</v>
      </c>
      <c r="AVE52">
        <f t="shared" si="242"/>
        <v>3</v>
      </c>
      <c r="AVF52">
        <f t="shared" si="242"/>
        <v>3</v>
      </c>
      <c r="AVG52">
        <f t="shared" ref="AVG52:AXR52" si="243">COUNTBLANK(AVG2:AVG5)</f>
        <v>3</v>
      </c>
      <c r="AVH52">
        <f t="shared" si="243"/>
        <v>3</v>
      </c>
      <c r="AVI52">
        <f t="shared" si="243"/>
        <v>3</v>
      </c>
      <c r="AVJ52">
        <f t="shared" si="243"/>
        <v>3</v>
      </c>
      <c r="AVK52">
        <f t="shared" si="243"/>
        <v>3</v>
      </c>
      <c r="AVL52">
        <f t="shared" si="243"/>
        <v>3</v>
      </c>
      <c r="AVM52">
        <f t="shared" si="243"/>
        <v>3</v>
      </c>
      <c r="AVN52">
        <f t="shared" si="243"/>
        <v>3</v>
      </c>
      <c r="AVO52">
        <f t="shared" si="243"/>
        <v>3</v>
      </c>
      <c r="AVP52">
        <f t="shared" si="243"/>
        <v>3</v>
      </c>
      <c r="AVQ52">
        <f t="shared" si="243"/>
        <v>3</v>
      </c>
      <c r="AVR52">
        <f t="shared" si="243"/>
        <v>3</v>
      </c>
      <c r="AVS52">
        <f t="shared" si="243"/>
        <v>3</v>
      </c>
      <c r="AVT52">
        <f t="shared" si="243"/>
        <v>3</v>
      </c>
      <c r="AVU52">
        <f t="shared" si="243"/>
        <v>3</v>
      </c>
      <c r="AVV52">
        <f t="shared" si="243"/>
        <v>3</v>
      </c>
      <c r="AVW52">
        <f t="shared" si="243"/>
        <v>3</v>
      </c>
      <c r="AVX52">
        <f t="shared" si="243"/>
        <v>3</v>
      </c>
      <c r="AVY52">
        <f t="shared" si="243"/>
        <v>3</v>
      </c>
      <c r="AVZ52">
        <f t="shared" si="243"/>
        <v>3</v>
      </c>
      <c r="AWA52">
        <f t="shared" si="243"/>
        <v>3</v>
      </c>
      <c r="AWB52">
        <f t="shared" si="243"/>
        <v>3</v>
      </c>
      <c r="AWC52">
        <f t="shared" si="243"/>
        <v>3</v>
      </c>
      <c r="AWD52">
        <f t="shared" si="243"/>
        <v>3</v>
      </c>
      <c r="AWE52">
        <f t="shared" si="243"/>
        <v>3</v>
      </c>
      <c r="AWF52">
        <f t="shared" si="243"/>
        <v>3</v>
      </c>
      <c r="AWG52">
        <f t="shared" si="243"/>
        <v>3</v>
      </c>
      <c r="AWH52">
        <f t="shared" si="243"/>
        <v>3</v>
      </c>
      <c r="AWI52">
        <f t="shared" si="243"/>
        <v>3</v>
      </c>
      <c r="AWJ52">
        <f t="shared" si="243"/>
        <v>3</v>
      </c>
      <c r="AWK52">
        <f t="shared" si="243"/>
        <v>3</v>
      </c>
      <c r="AWL52">
        <f t="shared" si="243"/>
        <v>3</v>
      </c>
      <c r="AWM52">
        <f t="shared" si="243"/>
        <v>3</v>
      </c>
      <c r="AWN52">
        <f t="shared" si="243"/>
        <v>3</v>
      </c>
      <c r="AWO52">
        <f t="shared" si="243"/>
        <v>3</v>
      </c>
      <c r="AWP52">
        <f t="shared" si="243"/>
        <v>3</v>
      </c>
      <c r="AWQ52">
        <f t="shared" si="243"/>
        <v>3</v>
      </c>
      <c r="AWR52">
        <f t="shared" si="243"/>
        <v>3</v>
      </c>
      <c r="AWS52">
        <f t="shared" si="243"/>
        <v>3</v>
      </c>
      <c r="AWT52">
        <f t="shared" si="243"/>
        <v>3</v>
      </c>
      <c r="AWU52">
        <f t="shared" si="243"/>
        <v>3</v>
      </c>
      <c r="AWV52">
        <f t="shared" si="243"/>
        <v>3</v>
      </c>
      <c r="AWW52">
        <f t="shared" si="243"/>
        <v>3</v>
      </c>
      <c r="AWX52">
        <f t="shared" si="243"/>
        <v>3</v>
      </c>
      <c r="AWY52">
        <f t="shared" si="243"/>
        <v>3</v>
      </c>
      <c r="AWZ52">
        <f t="shared" si="243"/>
        <v>3</v>
      </c>
      <c r="AXA52">
        <f t="shared" si="243"/>
        <v>3</v>
      </c>
      <c r="AXB52">
        <f t="shared" si="243"/>
        <v>3</v>
      </c>
      <c r="AXC52">
        <f t="shared" si="243"/>
        <v>3</v>
      </c>
      <c r="AXD52">
        <f t="shared" si="243"/>
        <v>3</v>
      </c>
      <c r="AXE52">
        <f t="shared" si="243"/>
        <v>3</v>
      </c>
      <c r="AXF52">
        <f t="shared" si="243"/>
        <v>3</v>
      </c>
      <c r="AXG52">
        <f t="shared" si="243"/>
        <v>3</v>
      </c>
      <c r="AXH52">
        <f t="shared" si="243"/>
        <v>3</v>
      </c>
      <c r="AXI52">
        <f t="shared" si="243"/>
        <v>3</v>
      </c>
      <c r="AXJ52">
        <f t="shared" si="243"/>
        <v>3</v>
      </c>
      <c r="AXK52">
        <f t="shared" si="243"/>
        <v>3</v>
      </c>
      <c r="AXL52">
        <f t="shared" si="243"/>
        <v>3</v>
      </c>
      <c r="AXM52">
        <f t="shared" si="243"/>
        <v>3</v>
      </c>
      <c r="AXN52">
        <f t="shared" si="243"/>
        <v>3</v>
      </c>
      <c r="AXO52">
        <f t="shared" si="243"/>
        <v>2</v>
      </c>
      <c r="AXP52">
        <f t="shared" si="243"/>
        <v>2</v>
      </c>
      <c r="AXQ52">
        <f t="shared" si="243"/>
        <v>2</v>
      </c>
      <c r="AXR52">
        <f t="shared" si="243"/>
        <v>2</v>
      </c>
      <c r="AXS52">
        <f t="shared" ref="AXS52:BAD52" si="244">COUNTBLANK(AXS2:AXS5)</f>
        <v>2</v>
      </c>
      <c r="AXT52">
        <f t="shared" si="244"/>
        <v>2</v>
      </c>
      <c r="AXU52">
        <f t="shared" si="244"/>
        <v>2</v>
      </c>
      <c r="AXV52">
        <f t="shared" si="244"/>
        <v>2</v>
      </c>
      <c r="AXW52">
        <f t="shared" si="244"/>
        <v>2</v>
      </c>
      <c r="AXX52">
        <f t="shared" si="244"/>
        <v>2</v>
      </c>
      <c r="AXY52">
        <f t="shared" si="244"/>
        <v>2</v>
      </c>
      <c r="AXZ52">
        <f t="shared" si="244"/>
        <v>2</v>
      </c>
      <c r="AYA52">
        <f t="shared" si="244"/>
        <v>2</v>
      </c>
      <c r="AYB52">
        <f t="shared" si="244"/>
        <v>2</v>
      </c>
      <c r="AYC52">
        <f t="shared" si="244"/>
        <v>2</v>
      </c>
      <c r="AYD52">
        <f t="shared" si="244"/>
        <v>2</v>
      </c>
      <c r="AYE52">
        <f t="shared" si="244"/>
        <v>2</v>
      </c>
      <c r="AYF52">
        <f t="shared" si="244"/>
        <v>2</v>
      </c>
      <c r="AYG52">
        <f t="shared" si="244"/>
        <v>2</v>
      </c>
      <c r="AYH52">
        <f t="shared" si="244"/>
        <v>2</v>
      </c>
      <c r="AYI52">
        <f t="shared" si="244"/>
        <v>2</v>
      </c>
      <c r="AYJ52">
        <f t="shared" si="244"/>
        <v>2</v>
      </c>
      <c r="AYK52">
        <f t="shared" si="244"/>
        <v>2</v>
      </c>
      <c r="AYL52">
        <f t="shared" si="244"/>
        <v>2</v>
      </c>
      <c r="AYM52">
        <f t="shared" si="244"/>
        <v>2</v>
      </c>
      <c r="AYN52">
        <f t="shared" si="244"/>
        <v>2</v>
      </c>
      <c r="AYO52">
        <f t="shared" si="244"/>
        <v>2</v>
      </c>
      <c r="AYP52">
        <f t="shared" si="244"/>
        <v>2</v>
      </c>
      <c r="AYQ52">
        <f t="shared" si="244"/>
        <v>2</v>
      </c>
      <c r="AYR52">
        <f t="shared" si="244"/>
        <v>2</v>
      </c>
      <c r="AYS52">
        <f t="shared" si="244"/>
        <v>2</v>
      </c>
      <c r="AYT52">
        <f t="shared" si="244"/>
        <v>2</v>
      </c>
      <c r="AYU52">
        <f t="shared" si="244"/>
        <v>2</v>
      </c>
      <c r="AYV52">
        <f t="shared" si="244"/>
        <v>2</v>
      </c>
      <c r="AYW52">
        <f t="shared" si="244"/>
        <v>2</v>
      </c>
      <c r="AYX52">
        <f t="shared" si="244"/>
        <v>2</v>
      </c>
      <c r="AYY52">
        <f t="shared" si="244"/>
        <v>2</v>
      </c>
      <c r="AYZ52">
        <f t="shared" si="244"/>
        <v>2</v>
      </c>
      <c r="AZA52">
        <f t="shared" si="244"/>
        <v>2</v>
      </c>
      <c r="AZB52">
        <f t="shared" si="244"/>
        <v>2</v>
      </c>
      <c r="AZC52">
        <f t="shared" si="244"/>
        <v>2</v>
      </c>
      <c r="AZD52">
        <f t="shared" si="244"/>
        <v>2</v>
      </c>
      <c r="AZE52">
        <f t="shared" si="244"/>
        <v>2</v>
      </c>
      <c r="AZF52">
        <f t="shared" si="244"/>
        <v>2</v>
      </c>
      <c r="AZG52">
        <f t="shared" si="244"/>
        <v>2</v>
      </c>
      <c r="AZH52">
        <f t="shared" si="244"/>
        <v>2</v>
      </c>
      <c r="AZI52">
        <f t="shared" si="244"/>
        <v>2</v>
      </c>
      <c r="AZJ52">
        <f t="shared" si="244"/>
        <v>2</v>
      </c>
      <c r="AZK52">
        <f t="shared" si="244"/>
        <v>2</v>
      </c>
      <c r="AZL52">
        <f t="shared" si="244"/>
        <v>2</v>
      </c>
      <c r="AZM52">
        <f t="shared" si="244"/>
        <v>2</v>
      </c>
      <c r="AZN52">
        <f t="shared" si="244"/>
        <v>2</v>
      </c>
      <c r="AZO52">
        <f t="shared" si="244"/>
        <v>2</v>
      </c>
      <c r="AZP52">
        <f t="shared" si="244"/>
        <v>2</v>
      </c>
      <c r="AZQ52">
        <f t="shared" si="244"/>
        <v>3</v>
      </c>
      <c r="AZR52">
        <f t="shared" si="244"/>
        <v>3</v>
      </c>
      <c r="AZS52">
        <f t="shared" si="244"/>
        <v>3</v>
      </c>
      <c r="AZT52">
        <f t="shared" si="244"/>
        <v>3</v>
      </c>
      <c r="AZU52">
        <f t="shared" si="244"/>
        <v>3</v>
      </c>
      <c r="AZV52">
        <f t="shared" si="244"/>
        <v>3</v>
      </c>
      <c r="AZW52">
        <f t="shared" si="244"/>
        <v>3</v>
      </c>
      <c r="AZX52">
        <f t="shared" si="244"/>
        <v>3</v>
      </c>
      <c r="AZY52">
        <f t="shared" si="244"/>
        <v>3</v>
      </c>
      <c r="AZZ52">
        <f t="shared" si="244"/>
        <v>3</v>
      </c>
      <c r="BAA52">
        <f t="shared" si="244"/>
        <v>3</v>
      </c>
      <c r="BAB52">
        <f t="shared" si="244"/>
        <v>3</v>
      </c>
      <c r="BAC52">
        <f t="shared" si="244"/>
        <v>3</v>
      </c>
      <c r="BAD52">
        <f t="shared" si="244"/>
        <v>3</v>
      </c>
      <c r="BAE52">
        <f t="shared" ref="BAE52:BCP52" si="245">COUNTBLANK(BAE2:BAE5)</f>
        <v>3</v>
      </c>
      <c r="BAF52">
        <f t="shared" si="245"/>
        <v>3</v>
      </c>
      <c r="BAG52">
        <f t="shared" si="245"/>
        <v>3</v>
      </c>
      <c r="BAH52">
        <f t="shared" si="245"/>
        <v>3</v>
      </c>
      <c r="BAI52">
        <f t="shared" si="245"/>
        <v>3</v>
      </c>
      <c r="BAJ52">
        <f t="shared" si="245"/>
        <v>3</v>
      </c>
      <c r="BAK52">
        <f t="shared" si="245"/>
        <v>3</v>
      </c>
      <c r="BAL52">
        <f t="shared" si="245"/>
        <v>3</v>
      </c>
      <c r="BAM52">
        <f t="shared" si="245"/>
        <v>3</v>
      </c>
      <c r="BAN52">
        <f t="shared" si="245"/>
        <v>3</v>
      </c>
      <c r="BAO52">
        <f t="shared" si="245"/>
        <v>3</v>
      </c>
      <c r="BAP52">
        <f t="shared" si="245"/>
        <v>3</v>
      </c>
      <c r="BAQ52">
        <f t="shared" si="245"/>
        <v>3</v>
      </c>
      <c r="BAR52">
        <f t="shared" si="245"/>
        <v>3</v>
      </c>
      <c r="BAS52">
        <f t="shared" si="245"/>
        <v>3</v>
      </c>
      <c r="BAT52">
        <f t="shared" si="245"/>
        <v>3</v>
      </c>
      <c r="BAU52">
        <f t="shared" si="245"/>
        <v>3</v>
      </c>
      <c r="BAV52">
        <f t="shared" si="245"/>
        <v>3</v>
      </c>
      <c r="BAW52">
        <f t="shared" si="245"/>
        <v>3</v>
      </c>
      <c r="BAX52">
        <f t="shared" si="245"/>
        <v>3</v>
      </c>
      <c r="BAY52">
        <f t="shared" si="245"/>
        <v>3</v>
      </c>
      <c r="BAZ52">
        <f t="shared" si="245"/>
        <v>3</v>
      </c>
      <c r="BBA52">
        <f t="shared" si="245"/>
        <v>3</v>
      </c>
      <c r="BBB52">
        <f t="shared" si="245"/>
        <v>3</v>
      </c>
      <c r="BBC52">
        <f t="shared" si="245"/>
        <v>3</v>
      </c>
      <c r="BBD52">
        <f t="shared" si="245"/>
        <v>3</v>
      </c>
      <c r="BBE52">
        <f t="shared" si="245"/>
        <v>3</v>
      </c>
      <c r="BBF52">
        <f t="shared" si="245"/>
        <v>3</v>
      </c>
      <c r="BBG52">
        <f t="shared" si="245"/>
        <v>3</v>
      </c>
      <c r="BBH52">
        <f t="shared" si="245"/>
        <v>3</v>
      </c>
      <c r="BBI52">
        <f t="shared" si="245"/>
        <v>3</v>
      </c>
      <c r="BBJ52">
        <f t="shared" si="245"/>
        <v>3</v>
      </c>
      <c r="BBK52">
        <f t="shared" si="245"/>
        <v>3</v>
      </c>
      <c r="BBL52">
        <f t="shared" si="245"/>
        <v>3</v>
      </c>
      <c r="BBM52">
        <f t="shared" si="245"/>
        <v>3</v>
      </c>
      <c r="BBN52">
        <f t="shared" si="245"/>
        <v>3</v>
      </c>
      <c r="BBO52">
        <f t="shared" si="245"/>
        <v>3</v>
      </c>
      <c r="BBP52">
        <f t="shared" si="245"/>
        <v>3</v>
      </c>
      <c r="BBQ52">
        <f t="shared" si="245"/>
        <v>3</v>
      </c>
      <c r="BBR52">
        <f t="shared" si="245"/>
        <v>3</v>
      </c>
      <c r="BBS52">
        <f t="shared" si="245"/>
        <v>3</v>
      </c>
      <c r="BBT52">
        <f t="shared" si="245"/>
        <v>3</v>
      </c>
      <c r="BBU52">
        <f t="shared" si="245"/>
        <v>3</v>
      </c>
      <c r="BBV52">
        <f t="shared" si="245"/>
        <v>3</v>
      </c>
      <c r="BBW52">
        <f t="shared" si="245"/>
        <v>3</v>
      </c>
      <c r="BBX52">
        <f t="shared" si="245"/>
        <v>3</v>
      </c>
      <c r="BBY52">
        <f t="shared" si="245"/>
        <v>3</v>
      </c>
      <c r="BBZ52">
        <f t="shared" si="245"/>
        <v>3</v>
      </c>
      <c r="BCA52">
        <f t="shared" si="245"/>
        <v>3</v>
      </c>
      <c r="BCB52">
        <f t="shared" si="245"/>
        <v>3</v>
      </c>
      <c r="BCC52">
        <f t="shared" si="245"/>
        <v>3</v>
      </c>
      <c r="BCD52">
        <f t="shared" si="245"/>
        <v>3</v>
      </c>
      <c r="BCE52">
        <f t="shared" si="245"/>
        <v>3</v>
      </c>
      <c r="BCF52">
        <f t="shared" si="245"/>
        <v>3</v>
      </c>
      <c r="BCG52">
        <f t="shared" si="245"/>
        <v>3</v>
      </c>
      <c r="BCH52">
        <f t="shared" si="245"/>
        <v>3</v>
      </c>
      <c r="BCI52">
        <f t="shared" si="245"/>
        <v>3</v>
      </c>
      <c r="BCJ52">
        <f t="shared" si="245"/>
        <v>3</v>
      </c>
      <c r="BCK52">
        <f t="shared" si="245"/>
        <v>3</v>
      </c>
      <c r="BCL52">
        <f t="shared" si="245"/>
        <v>3</v>
      </c>
      <c r="BCM52">
        <f t="shared" si="245"/>
        <v>3</v>
      </c>
      <c r="BCN52">
        <f t="shared" si="245"/>
        <v>3</v>
      </c>
      <c r="BCO52">
        <f t="shared" si="245"/>
        <v>3</v>
      </c>
      <c r="BCP52">
        <f t="shared" si="245"/>
        <v>3</v>
      </c>
      <c r="BCQ52">
        <f t="shared" ref="BCQ52:BFB52" si="246">COUNTBLANK(BCQ2:BCQ5)</f>
        <v>3</v>
      </c>
      <c r="BCR52">
        <f t="shared" si="246"/>
        <v>3</v>
      </c>
      <c r="BCS52">
        <f t="shared" si="246"/>
        <v>3</v>
      </c>
      <c r="BCT52">
        <f t="shared" si="246"/>
        <v>3</v>
      </c>
      <c r="BCU52">
        <f t="shared" si="246"/>
        <v>3</v>
      </c>
      <c r="BCV52">
        <f t="shared" si="246"/>
        <v>3</v>
      </c>
      <c r="BCW52">
        <f t="shared" si="246"/>
        <v>3</v>
      </c>
      <c r="BCX52">
        <f t="shared" si="246"/>
        <v>3</v>
      </c>
      <c r="BCY52">
        <f t="shared" si="246"/>
        <v>3</v>
      </c>
      <c r="BCZ52">
        <f t="shared" si="246"/>
        <v>3</v>
      </c>
      <c r="BDA52">
        <f t="shared" si="246"/>
        <v>3</v>
      </c>
      <c r="BDB52">
        <f t="shared" si="246"/>
        <v>3</v>
      </c>
      <c r="BDC52">
        <f t="shared" si="246"/>
        <v>3</v>
      </c>
      <c r="BDD52">
        <f t="shared" si="246"/>
        <v>3</v>
      </c>
      <c r="BDE52">
        <f t="shared" si="246"/>
        <v>3</v>
      </c>
      <c r="BDF52">
        <f t="shared" si="246"/>
        <v>3</v>
      </c>
      <c r="BDG52">
        <f t="shared" si="246"/>
        <v>3</v>
      </c>
      <c r="BDH52">
        <f t="shared" si="246"/>
        <v>3</v>
      </c>
      <c r="BDI52">
        <f t="shared" si="246"/>
        <v>3</v>
      </c>
      <c r="BDJ52">
        <f t="shared" si="246"/>
        <v>3</v>
      </c>
      <c r="BDK52">
        <f t="shared" si="246"/>
        <v>3</v>
      </c>
      <c r="BDL52">
        <f t="shared" si="246"/>
        <v>3</v>
      </c>
      <c r="BDM52">
        <f t="shared" si="246"/>
        <v>3</v>
      </c>
      <c r="BDN52">
        <f t="shared" si="246"/>
        <v>3</v>
      </c>
      <c r="BDO52">
        <f t="shared" si="246"/>
        <v>3</v>
      </c>
      <c r="BDP52">
        <f t="shared" si="246"/>
        <v>3</v>
      </c>
      <c r="BDQ52">
        <f t="shared" si="246"/>
        <v>3</v>
      </c>
      <c r="BDR52">
        <f t="shared" si="246"/>
        <v>3</v>
      </c>
      <c r="BDS52">
        <f t="shared" si="246"/>
        <v>3</v>
      </c>
      <c r="BDT52">
        <f t="shared" si="246"/>
        <v>3</v>
      </c>
      <c r="BDU52">
        <f t="shared" si="246"/>
        <v>3</v>
      </c>
      <c r="BDV52">
        <f t="shared" si="246"/>
        <v>3</v>
      </c>
      <c r="BDW52">
        <f t="shared" si="246"/>
        <v>3</v>
      </c>
      <c r="BDX52">
        <f t="shared" si="246"/>
        <v>3</v>
      </c>
      <c r="BDY52">
        <f t="shared" si="246"/>
        <v>3</v>
      </c>
      <c r="BDZ52">
        <f t="shared" si="246"/>
        <v>3</v>
      </c>
      <c r="BEA52">
        <f t="shared" si="246"/>
        <v>3</v>
      </c>
      <c r="BEB52">
        <f t="shared" si="246"/>
        <v>3</v>
      </c>
      <c r="BEC52">
        <f t="shared" si="246"/>
        <v>3</v>
      </c>
      <c r="BED52">
        <f t="shared" si="246"/>
        <v>3</v>
      </c>
      <c r="BEE52">
        <f t="shared" si="246"/>
        <v>2</v>
      </c>
      <c r="BEF52">
        <f t="shared" si="246"/>
        <v>2</v>
      </c>
      <c r="BEG52">
        <f t="shared" si="246"/>
        <v>2</v>
      </c>
      <c r="BEH52">
        <f t="shared" si="246"/>
        <v>2</v>
      </c>
      <c r="BEI52">
        <f t="shared" si="246"/>
        <v>2</v>
      </c>
      <c r="BEJ52">
        <f t="shared" si="246"/>
        <v>2</v>
      </c>
      <c r="BEK52">
        <f t="shared" si="246"/>
        <v>2</v>
      </c>
      <c r="BEL52">
        <f t="shared" si="246"/>
        <v>2</v>
      </c>
      <c r="BEM52">
        <f t="shared" si="246"/>
        <v>2</v>
      </c>
      <c r="BEN52">
        <f t="shared" si="246"/>
        <v>2</v>
      </c>
      <c r="BEO52">
        <f t="shared" si="246"/>
        <v>2</v>
      </c>
      <c r="BEP52">
        <f t="shared" si="246"/>
        <v>2</v>
      </c>
      <c r="BEQ52">
        <f t="shared" si="246"/>
        <v>2</v>
      </c>
      <c r="BER52">
        <f t="shared" si="246"/>
        <v>2</v>
      </c>
      <c r="BES52">
        <f t="shared" si="246"/>
        <v>2</v>
      </c>
      <c r="BET52">
        <f t="shared" si="246"/>
        <v>2</v>
      </c>
      <c r="BEU52">
        <f t="shared" si="246"/>
        <v>2</v>
      </c>
      <c r="BEV52">
        <f t="shared" si="246"/>
        <v>2</v>
      </c>
      <c r="BEW52">
        <f t="shared" si="246"/>
        <v>2</v>
      </c>
      <c r="BEX52">
        <f t="shared" si="246"/>
        <v>2</v>
      </c>
      <c r="BEY52">
        <f t="shared" si="246"/>
        <v>2</v>
      </c>
      <c r="BEZ52">
        <f t="shared" si="246"/>
        <v>2</v>
      </c>
      <c r="BFA52">
        <f t="shared" si="246"/>
        <v>2</v>
      </c>
      <c r="BFB52">
        <f t="shared" si="246"/>
        <v>2</v>
      </c>
      <c r="BFC52">
        <f t="shared" ref="BFC52:BHN52" si="247">COUNTBLANK(BFC2:BFC5)</f>
        <v>2</v>
      </c>
      <c r="BFD52">
        <f t="shared" si="247"/>
        <v>2</v>
      </c>
      <c r="BFE52">
        <f t="shared" si="247"/>
        <v>2</v>
      </c>
      <c r="BFF52">
        <f t="shared" si="247"/>
        <v>2</v>
      </c>
      <c r="BFG52">
        <f t="shared" si="247"/>
        <v>2</v>
      </c>
      <c r="BFH52">
        <f t="shared" si="247"/>
        <v>2</v>
      </c>
      <c r="BFI52">
        <f t="shared" si="247"/>
        <v>2</v>
      </c>
      <c r="BFJ52">
        <f t="shared" si="247"/>
        <v>2</v>
      </c>
      <c r="BFK52">
        <f t="shared" si="247"/>
        <v>2</v>
      </c>
      <c r="BFL52">
        <f t="shared" si="247"/>
        <v>2</v>
      </c>
      <c r="BFM52">
        <f t="shared" si="247"/>
        <v>2</v>
      </c>
      <c r="BFN52">
        <f t="shared" si="247"/>
        <v>2</v>
      </c>
      <c r="BFO52">
        <f t="shared" si="247"/>
        <v>2</v>
      </c>
      <c r="BFP52">
        <f t="shared" si="247"/>
        <v>2</v>
      </c>
      <c r="BFQ52">
        <f t="shared" si="247"/>
        <v>2</v>
      </c>
      <c r="BFR52">
        <f t="shared" si="247"/>
        <v>2</v>
      </c>
      <c r="BFS52">
        <f t="shared" si="247"/>
        <v>2</v>
      </c>
      <c r="BFT52">
        <f t="shared" si="247"/>
        <v>2</v>
      </c>
      <c r="BFU52">
        <f t="shared" si="247"/>
        <v>2</v>
      </c>
      <c r="BFV52">
        <f t="shared" si="247"/>
        <v>2</v>
      </c>
      <c r="BFW52">
        <f t="shared" si="247"/>
        <v>2</v>
      </c>
      <c r="BFX52">
        <f t="shared" si="247"/>
        <v>2</v>
      </c>
      <c r="BFY52">
        <f t="shared" si="247"/>
        <v>2</v>
      </c>
      <c r="BFZ52">
        <f t="shared" si="247"/>
        <v>2</v>
      </c>
      <c r="BGA52">
        <f t="shared" si="247"/>
        <v>2</v>
      </c>
      <c r="BGB52">
        <f t="shared" si="247"/>
        <v>2</v>
      </c>
      <c r="BGC52">
        <f t="shared" si="247"/>
        <v>2</v>
      </c>
      <c r="BGD52">
        <f t="shared" si="247"/>
        <v>2</v>
      </c>
      <c r="BGE52">
        <f t="shared" si="247"/>
        <v>2</v>
      </c>
      <c r="BGF52">
        <f t="shared" si="247"/>
        <v>2</v>
      </c>
      <c r="BGG52">
        <f t="shared" si="247"/>
        <v>2</v>
      </c>
      <c r="BGH52">
        <f t="shared" si="247"/>
        <v>2</v>
      </c>
      <c r="BGI52">
        <f t="shared" si="247"/>
        <v>2</v>
      </c>
      <c r="BGJ52">
        <f t="shared" si="247"/>
        <v>2</v>
      </c>
      <c r="BGK52">
        <f t="shared" si="247"/>
        <v>2</v>
      </c>
      <c r="BGL52">
        <f t="shared" si="247"/>
        <v>2</v>
      </c>
      <c r="BGM52">
        <f t="shared" si="247"/>
        <v>2</v>
      </c>
      <c r="BGN52">
        <f t="shared" si="247"/>
        <v>2</v>
      </c>
      <c r="BGO52">
        <f t="shared" si="247"/>
        <v>3</v>
      </c>
      <c r="BGP52">
        <f t="shared" si="247"/>
        <v>3</v>
      </c>
      <c r="BGQ52">
        <f t="shared" si="247"/>
        <v>3</v>
      </c>
      <c r="BGR52">
        <f t="shared" si="247"/>
        <v>3</v>
      </c>
      <c r="BGS52">
        <f t="shared" si="247"/>
        <v>3</v>
      </c>
      <c r="BGT52">
        <f t="shared" si="247"/>
        <v>3</v>
      </c>
      <c r="BGU52">
        <f t="shared" si="247"/>
        <v>3</v>
      </c>
      <c r="BGV52">
        <f t="shared" si="247"/>
        <v>3</v>
      </c>
      <c r="BGW52">
        <f t="shared" si="247"/>
        <v>3</v>
      </c>
      <c r="BGX52">
        <f t="shared" si="247"/>
        <v>3</v>
      </c>
      <c r="BGY52">
        <f t="shared" si="247"/>
        <v>3</v>
      </c>
      <c r="BGZ52">
        <f t="shared" si="247"/>
        <v>3</v>
      </c>
      <c r="BHA52">
        <f t="shared" si="247"/>
        <v>3</v>
      </c>
      <c r="BHB52">
        <f t="shared" si="247"/>
        <v>3</v>
      </c>
      <c r="BHC52">
        <f t="shared" si="247"/>
        <v>3</v>
      </c>
      <c r="BHD52">
        <f t="shared" si="247"/>
        <v>3</v>
      </c>
      <c r="BHE52">
        <f t="shared" si="247"/>
        <v>3</v>
      </c>
      <c r="BHF52">
        <f t="shared" si="247"/>
        <v>3</v>
      </c>
      <c r="BHG52">
        <f t="shared" si="247"/>
        <v>3</v>
      </c>
      <c r="BHH52">
        <f t="shared" si="247"/>
        <v>3</v>
      </c>
      <c r="BHI52">
        <f t="shared" si="247"/>
        <v>3</v>
      </c>
      <c r="BHJ52">
        <f t="shared" si="247"/>
        <v>3</v>
      </c>
      <c r="BHK52">
        <f t="shared" si="247"/>
        <v>3</v>
      </c>
      <c r="BHL52">
        <f t="shared" si="247"/>
        <v>3</v>
      </c>
      <c r="BHM52">
        <f t="shared" si="247"/>
        <v>3</v>
      </c>
      <c r="BHN52">
        <f t="shared" si="247"/>
        <v>3</v>
      </c>
      <c r="BHO52">
        <f t="shared" ref="BHO52:BJZ52" si="248">COUNTBLANK(BHO2:BHO5)</f>
        <v>3</v>
      </c>
      <c r="BHP52">
        <f t="shared" si="248"/>
        <v>3</v>
      </c>
      <c r="BHQ52">
        <f t="shared" si="248"/>
        <v>3</v>
      </c>
      <c r="BHR52">
        <f t="shared" si="248"/>
        <v>3</v>
      </c>
      <c r="BHS52">
        <f t="shared" si="248"/>
        <v>3</v>
      </c>
      <c r="BHT52">
        <f t="shared" si="248"/>
        <v>3</v>
      </c>
      <c r="BHU52">
        <f t="shared" si="248"/>
        <v>3</v>
      </c>
      <c r="BHV52">
        <f t="shared" si="248"/>
        <v>3</v>
      </c>
      <c r="BHW52">
        <f t="shared" si="248"/>
        <v>3</v>
      </c>
      <c r="BHX52">
        <f t="shared" si="248"/>
        <v>3</v>
      </c>
      <c r="BHY52">
        <f t="shared" si="248"/>
        <v>3</v>
      </c>
      <c r="BHZ52">
        <f t="shared" si="248"/>
        <v>3</v>
      </c>
      <c r="BIA52">
        <f t="shared" si="248"/>
        <v>3</v>
      </c>
      <c r="BIB52">
        <f t="shared" si="248"/>
        <v>3</v>
      </c>
      <c r="BIC52">
        <f t="shared" si="248"/>
        <v>3</v>
      </c>
      <c r="BID52">
        <f t="shared" si="248"/>
        <v>3</v>
      </c>
      <c r="BIE52">
        <f t="shared" si="248"/>
        <v>3</v>
      </c>
      <c r="BIF52">
        <f t="shared" si="248"/>
        <v>3</v>
      </c>
      <c r="BIG52">
        <f t="shared" si="248"/>
        <v>3</v>
      </c>
      <c r="BIH52">
        <f t="shared" si="248"/>
        <v>3</v>
      </c>
      <c r="BII52">
        <f t="shared" si="248"/>
        <v>3</v>
      </c>
      <c r="BIJ52">
        <f t="shared" si="248"/>
        <v>3</v>
      </c>
      <c r="BIK52">
        <f t="shared" si="248"/>
        <v>3</v>
      </c>
      <c r="BIL52">
        <f t="shared" si="248"/>
        <v>3</v>
      </c>
      <c r="BIM52">
        <f t="shared" si="248"/>
        <v>3</v>
      </c>
      <c r="BIN52">
        <f t="shared" si="248"/>
        <v>3</v>
      </c>
      <c r="BIO52">
        <f t="shared" si="248"/>
        <v>3</v>
      </c>
      <c r="BIP52">
        <f t="shared" si="248"/>
        <v>3</v>
      </c>
      <c r="BIQ52">
        <f t="shared" si="248"/>
        <v>3</v>
      </c>
      <c r="BIR52">
        <f t="shared" si="248"/>
        <v>3</v>
      </c>
      <c r="BIS52">
        <f t="shared" si="248"/>
        <v>3</v>
      </c>
      <c r="BIT52">
        <f t="shared" si="248"/>
        <v>3</v>
      </c>
      <c r="BIU52">
        <f t="shared" si="248"/>
        <v>3</v>
      </c>
      <c r="BIV52">
        <f t="shared" si="248"/>
        <v>3</v>
      </c>
      <c r="BIW52">
        <f t="shared" si="248"/>
        <v>3</v>
      </c>
      <c r="BIX52">
        <f t="shared" si="248"/>
        <v>3</v>
      </c>
      <c r="BIY52">
        <f t="shared" si="248"/>
        <v>3</v>
      </c>
      <c r="BIZ52">
        <f t="shared" si="248"/>
        <v>3</v>
      </c>
      <c r="BJA52">
        <f t="shared" si="248"/>
        <v>3</v>
      </c>
      <c r="BJB52">
        <f t="shared" si="248"/>
        <v>3</v>
      </c>
      <c r="BJC52">
        <f t="shared" si="248"/>
        <v>3</v>
      </c>
      <c r="BJD52">
        <f t="shared" si="248"/>
        <v>3</v>
      </c>
      <c r="BJE52">
        <f t="shared" si="248"/>
        <v>3</v>
      </c>
      <c r="BJF52">
        <f t="shared" si="248"/>
        <v>3</v>
      </c>
      <c r="BJG52">
        <f t="shared" si="248"/>
        <v>3</v>
      </c>
      <c r="BJH52">
        <f t="shared" si="248"/>
        <v>3</v>
      </c>
      <c r="BJI52">
        <f t="shared" si="248"/>
        <v>3</v>
      </c>
      <c r="BJJ52">
        <f t="shared" si="248"/>
        <v>3</v>
      </c>
      <c r="BJK52">
        <f t="shared" si="248"/>
        <v>3</v>
      </c>
      <c r="BJL52">
        <f t="shared" si="248"/>
        <v>3</v>
      </c>
      <c r="BJM52">
        <f t="shared" si="248"/>
        <v>3</v>
      </c>
      <c r="BJN52">
        <f t="shared" si="248"/>
        <v>3</v>
      </c>
      <c r="BJO52">
        <f t="shared" si="248"/>
        <v>3</v>
      </c>
      <c r="BJP52">
        <f t="shared" si="248"/>
        <v>3</v>
      </c>
      <c r="BJQ52">
        <f t="shared" si="248"/>
        <v>3</v>
      </c>
      <c r="BJR52">
        <f t="shared" si="248"/>
        <v>3</v>
      </c>
      <c r="BJS52">
        <f t="shared" si="248"/>
        <v>3</v>
      </c>
      <c r="BJT52">
        <f t="shared" si="248"/>
        <v>3</v>
      </c>
      <c r="BJU52">
        <f t="shared" si="248"/>
        <v>3</v>
      </c>
      <c r="BJV52">
        <f t="shared" si="248"/>
        <v>3</v>
      </c>
      <c r="BJW52">
        <f t="shared" si="248"/>
        <v>3</v>
      </c>
      <c r="BJX52">
        <f t="shared" si="248"/>
        <v>3</v>
      </c>
      <c r="BJY52">
        <f t="shared" si="248"/>
        <v>3</v>
      </c>
      <c r="BJZ52">
        <f t="shared" si="248"/>
        <v>3</v>
      </c>
      <c r="BKA52">
        <f t="shared" ref="BKA52:BML52" si="249">COUNTBLANK(BKA2:BKA5)</f>
        <v>3</v>
      </c>
      <c r="BKB52">
        <f t="shared" si="249"/>
        <v>3</v>
      </c>
      <c r="BKC52">
        <f t="shared" si="249"/>
        <v>3</v>
      </c>
      <c r="BKD52">
        <f t="shared" si="249"/>
        <v>3</v>
      </c>
      <c r="BKE52">
        <f t="shared" si="249"/>
        <v>3</v>
      </c>
      <c r="BKF52">
        <f t="shared" si="249"/>
        <v>3</v>
      </c>
      <c r="BKG52">
        <f t="shared" si="249"/>
        <v>3</v>
      </c>
      <c r="BKH52">
        <f t="shared" si="249"/>
        <v>3</v>
      </c>
      <c r="BKI52">
        <f t="shared" si="249"/>
        <v>3</v>
      </c>
      <c r="BKJ52">
        <f t="shared" si="249"/>
        <v>3</v>
      </c>
      <c r="BKK52">
        <f t="shared" si="249"/>
        <v>3</v>
      </c>
      <c r="BKL52">
        <f t="shared" si="249"/>
        <v>3</v>
      </c>
      <c r="BKM52">
        <f t="shared" si="249"/>
        <v>3</v>
      </c>
      <c r="BKN52">
        <f t="shared" si="249"/>
        <v>3</v>
      </c>
      <c r="BKO52">
        <f t="shared" si="249"/>
        <v>3</v>
      </c>
      <c r="BKP52">
        <f t="shared" si="249"/>
        <v>3</v>
      </c>
      <c r="BKQ52">
        <f t="shared" si="249"/>
        <v>3</v>
      </c>
      <c r="BKR52">
        <f t="shared" si="249"/>
        <v>3</v>
      </c>
      <c r="BKS52">
        <f t="shared" si="249"/>
        <v>3</v>
      </c>
      <c r="BKT52">
        <f t="shared" si="249"/>
        <v>3</v>
      </c>
      <c r="BKU52">
        <f t="shared" si="249"/>
        <v>3</v>
      </c>
      <c r="BKV52">
        <f t="shared" si="249"/>
        <v>3</v>
      </c>
      <c r="BKW52">
        <f t="shared" si="249"/>
        <v>3</v>
      </c>
      <c r="BKX52">
        <f t="shared" si="249"/>
        <v>3</v>
      </c>
      <c r="BKY52">
        <f t="shared" si="249"/>
        <v>3</v>
      </c>
      <c r="BKZ52">
        <f t="shared" si="249"/>
        <v>3</v>
      </c>
      <c r="BLA52">
        <f t="shared" si="249"/>
        <v>3</v>
      </c>
      <c r="BLB52">
        <f t="shared" si="249"/>
        <v>3</v>
      </c>
      <c r="BLC52">
        <f t="shared" si="249"/>
        <v>3</v>
      </c>
      <c r="BLD52">
        <f t="shared" si="249"/>
        <v>3</v>
      </c>
      <c r="BLE52">
        <f t="shared" si="249"/>
        <v>3</v>
      </c>
      <c r="BLF52">
        <f t="shared" si="249"/>
        <v>3</v>
      </c>
      <c r="BLG52">
        <f t="shared" si="249"/>
        <v>3</v>
      </c>
      <c r="BLH52">
        <f t="shared" si="249"/>
        <v>3</v>
      </c>
      <c r="BLI52">
        <f t="shared" si="249"/>
        <v>3</v>
      </c>
      <c r="BLJ52">
        <f t="shared" si="249"/>
        <v>3</v>
      </c>
      <c r="BLK52">
        <f t="shared" si="249"/>
        <v>3</v>
      </c>
      <c r="BLL52">
        <f t="shared" si="249"/>
        <v>3</v>
      </c>
      <c r="BLM52">
        <f t="shared" si="249"/>
        <v>3</v>
      </c>
      <c r="BLN52">
        <f t="shared" si="249"/>
        <v>3</v>
      </c>
      <c r="BLO52">
        <f t="shared" si="249"/>
        <v>3</v>
      </c>
      <c r="BLP52">
        <f t="shared" si="249"/>
        <v>3</v>
      </c>
      <c r="BLQ52">
        <f t="shared" si="249"/>
        <v>3</v>
      </c>
      <c r="BLR52">
        <f t="shared" si="249"/>
        <v>3</v>
      </c>
      <c r="BLS52">
        <f t="shared" si="249"/>
        <v>3</v>
      </c>
      <c r="BLT52">
        <f t="shared" si="249"/>
        <v>3</v>
      </c>
      <c r="BLU52">
        <f t="shared" si="249"/>
        <v>3</v>
      </c>
      <c r="BLV52">
        <f t="shared" si="249"/>
        <v>3</v>
      </c>
      <c r="BLW52">
        <f t="shared" si="249"/>
        <v>3</v>
      </c>
      <c r="BLX52">
        <f t="shared" si="249"/>
        <v>3</v>
      </c>
      <c r="BLY52">
        <f t="shared" si="249"/>
        <v>3</v>
      </c>
      <c r="BLZ52">
        <f t="shared" si="249"/>
        <v>3</v>
      </c>
      <c r="BMA52">
        <f t="shared" si="249"/>
        <v>3</v>
      </c>
      <c r="BMB52">
        <f t="shared" si="249"/>
        <v>3</v>
      </c>
      <c r="BMC52">
        <f t="shared" si="249"/>
        <v>3</v>
      </c>
      <c r="BMD52">
        <f t="shared" si="249"/>
        <v>3</v>
      </c>
      <c r="BME52">
        <f t="shared" si="249"/>
        <v>3</v>
      </c>
      <c r="BMF52">
        <f t="shared" si="249"/>
        <v>3</v>
      </c>
      <c r="BMG52">
        <f t="shared" si="249"/>
        <v>3</v>
      </c>
      <c r="BMH52">
        <f t="shared" si="249"/>
        <v>3</v>
      </c>
      <c r="BMI52">
        <f t="shared" si="249"/>
        <v>3</v>
      </c>
      <c r="BMJ52">
        <f t="shared" si="249"/>
        <v>3</v>
      </c>
      <c r="BMK52">
        <f t="shared" si="249"/>
        <v>3</v>
      </c>
      <c r="BML52">
        <f t="shared" si="249"/>
        <v>3</v>
      </c>
      <c r="BMM52">
        <f t="shared" ref="BMM52:BOX52" si="250">COUNTBLANK(BMM2:BMM5)</f>
        <v>3</v>
      </c>
      <c r="BMN52">
        <f t="shared" si="250"/>
        <v>3</v>
      </c>
      <c r="BMO52">
        <f t="shared" si="250"/>
        <v>3</v>
      </c>
      <c r="BMP52">
        <f t="shared" si="250"/>
        <v>3</v>
      </c>
      <c r="BMQ52">
        <f t="shared" si="250"/>
        <v>3</v>
      </c>
      <c r="BMR52">
        <f t="shared" si="250"/>
        <v>3</v>
      </c>
      <c r="BMS52">
        <f t="shared" si="250"/>
        <v>3</v>
      </c>
      <c r="BMT52">
        <f t="shared" si="250"/>
        <v>3</v>
      </c>
      <c r="BMU52">
        <f t="shared" si="250"/>
        <v>3</v>
      </c>
      <c r="BMV52">
        <f t="shared" si="250"/>
        <v>3</v>
      </c>
      <c r="BMW52">
        <f t="shared" si="250"/>
        <v>3</v>
      </c>
      <c r="BMX52">
        <f t="shared" si="250"/>
        <v>3</v>
      </c>
      <c r="BMY52">
        <f t="shared" si="250"/>
        <v>3</v>
      </c>
      <c r="BMZ52">
        <f t="shared" si="250"/>
        <v>3</v>
      </c>
      <c r="BNA52">
        <f t="shared" si="250"/>
        <v>3</v>
      </c>
      <c r="BNB52">
        <f t="shared" si="250"/>
        <v>3</v>
      </c>
      <c r="BNC52">
        <f t="shared" si="250"/>
        <v>3</v>
      </c>
      <c r="BND52">
        <f t="shared" si="250"/>
        <v>3</v>
      </c>
      <c r="BNE52">
        <f t="shared" si="250"/>
        <v>3</v>
      </c>
      <c r="BNF52">
        <f t="shared" si="250"/>
        <v>3</v>
      </c>
      <c r="BNG52">
        <f t="shared" si="250"/>
        <v>3</v>
      </c>
      <c r="BNH52">
        <f t="shared" si="250"/>
        <v>3</v>
      </c>
      <c r="BNI52">
        <f t="shared" si="250"/>
        <v>3</v>
      </c>
      <c r="BNJ52">
        <f t="shared" si="250"/>
        <v>3</v>
      </c>
      <c r="BNK52">
        <f t="shared" si="250"/>
        <v>3</v>
      </c>
      <c r="BNL52">
        <f t="shared" si="250"/>
        <v>3</v>
      </c>
      <c r="BNM52">
        <f t="shared" si="250"/>
        <v>3</v>
      </c>
      <c r="BNN52">
        <f t="shared" si="250"/>
        <v>3</v>
      </c>
      <c r="BNO52">
        <f t="shared" si="250"/>
        <v>3</v>
      </c>
      <c r="BNP52">
        <f t="shared" si="250"/>
        <v>3</v>
      </c>
      <c r="BNQ52">
        <f t="shared" si="250"/>
        <v>3</v>
      </c>
      <c r="BNR52">
        <f t="shared" si="250"/>
        <v>3</v>
      </c>
      <c r="BNS52">
        <f t="shared" si="250"/>
        <v>3</v>
      </c>
      <c r="BNT52">
        <f t="shared" si="250"/>
        <v>3</v>
      </c>
      <c r="BNU52">
        <f t="shared" si="250"/>
        <v>3</v>
      </c>
      <c r="BNV52">
        <f t="shared" si="250"/>
        <v>3</v>
      </c>
      <c r="BNW52">
        <f t="shared" si="250"/>
        <v>3</v>
      </c>
      <c r="BNX52">
        <f t="shared" si="250"/>
        <v>3</v>
      </c>
      <c r="BNY52">
        <f t="shared" si="250"/>
        <v>3</v>
      </c>
      <c r="BNZ52">
        <f t="shared" si="250"/>
        <v>3</v>
      </c>
      <c r="BOA52">
        <f t="shared" si="250"/>
        <v>3</v>
      </c>
      <c r="BOB52">
        <f t="shared" si="250"/>
        <v>3</v>
      </c>
      <c r="BOC52">
        <f t="shared" si="250"/>
        <v>3</v>
      </c>
      <c r="BOD52">
        <f t="shared" si="250"/>
        <v>3</v>
      </c>
      <c r="BOE52">
        <f t="shared" si="250"/>
        <v>3</v>
      </c>
      <c r="BOF52">
        <f t="shared" si="250"/>
        <v>3</v>
      </c>
      <c r="BOG52">
        <f t="shared" si="250"/>
        <v>3</v>
      </c>
      <c r="BOH52">
        <f t="shared" si="250"/>
        <v>3</v>
      </c>
      <c r="BOI52">
        <f t="shared" si="250"/>
        <v>3</v>
      </c>
      <c r="BOJ52">
        <f t="shared" si="250"/>
        <v>3</v>
      </c>
      <c r="BOK52">
        <f t="shared" si="250"/>
        <v>3</v>
      </c>
      <c r="BOL52">
        <f t="shared" si="250"/>
        <v>3</v>
      </c>
      <c r="BOM52">
        <f t="shared" si="250"/>
        <v>3</v>
      </c>
      <c r="BON52">
        <f t="shared" si="250"/>
        <v>3</v>
      </c>
      <c r="BOO52">
        <f t="shared" si="250"/>
        <v>3</v>
      </c>
      <c r="BOP52">
        <f t="shared" si="250"/>
        <v>3</v>
      </c>
      <c r="BOQ52">
        <f t="shared" si="250"/>
        <v>3</v>
      </c>
      <c r="BOR52">
        <f t="shared" si="250"/>
        <v>3</v>
      </c>
      <c r="BOS52">
        <f t="shared" si="250"/>
        <v>3</v>
      </c>
      <c r="BOT52">
        <f t="shared" si="250"/>
        <v>3</v>
      </c>
      <c r="BOU52">
        <f t="shared" si="250"/>
        <v>3</v>
      </c>
      <c r="BOV52">
        <f t="shared" si="250"/>
        <v>3</v>
      </c>
      <c r="BOW52">
        <f t="shared" si="250"/>
        <v>3</v>
      </c>
      <c r="BOX52">
        <f t="shared" si="250"/>
        <v>3</v>
      </c>
      <c r="BOY52">
        <f t="shared" ref="BOY52:BRJ52" si="251">COUNTBLANK(BOY2:BOY5)</f>
        <v>3</v>
      </c>
      <c r="BOZ52">
        <f t="shared" si="251"/>
        <v>3</v>
      </c>
      <c r="BPA52">
        <f t="shared" si="251"/>
        <v>3</v>
      </c>
      <c r="BPB52">
        <f t="shared" si="251"/>
        <v>3</v>
      </c>
      <c r="BPC52">
        <f t="shared" si="251"/>
        <v>3</v>
      </c>
      <c r="BPD52">
        <f t="shared" si="251"/>
        <v>3</v>
      </c>
      <c r="BPE52">
        <f t="shared" si="251"/>
        <v>3</v>
      </c>
      <c r="BPF52">
        <f t="shared" si="251"/>
        <v>3</v>
      </c>
      <c r="BPG52">
        <f t="shared" si="251"/>
        <v>3</v>
      </c>
      <c r="BPH52">
        <f t="shared" si="251"/>
        <v>3</v>
      </c>
      <c r="BPI52">
        <f t="shared" si="251"/>
        <v>3</v>
      </c>
      <c r="BPJ52">
        <f t="shared" si="251"/>
        <v>3</v>
      </c>
      <c r="BPK52">
        <f t="shared" si="251"/>
        <v>3</v>
      </c>
      <c r="BPL52">
        <f t="shared" si="251"/>
        <v>3</v>
      </c>
      <c r="BPM52">
        <f t="shared" si="251"/>
        <v>3</v>
      </c>
      <c r="BPN52">
        <f t="shared" si="251"/>
        <v>3</v>
      </c>
      <c r="BPO52">
        <f t="shared" si="251"/>
        <v>3</v>
      </c>
      <c r="BPP52">
        <f t="shared" si="251"/>
        <v>3</v>
      </c>
      <c r="BPQ52">
        <f t="shared" si="251"/>
        <v>3</v>
      </c>
      <c r="BPR52">
        <f t="shared" si="251"/>
        <v>3</v>
      </c>
      <c r="BPS52">
        <f t="shared" si="251"/>
        <v>3</v>
      </c>
      <c r="BPT52">
        <f t="shared" si="251"/>
        <v>3</v>
      </c>
      <c r="BPU52">
        <f t="shared" si="251"/>
        <v>3</v>
      </c>
      <c r="BPV52">
        <f t="shared" si="251"/>
        <v>3</v>
      </c>
      <c r="BPW52">
        <f t="shared" si="251"/>
        <v>3</v>
      </c>
      <c r="BPX52">
        <f t="shared" si="251"/>
        <v>3</v>
      </c>
      <c r="BPY52">
        <f t="shared" si="251"/>
        <v>3</v>
      </c>
      <c r="BPZ52">
        <f t="shared" si="251"/>
        <v>3</v>
      </c>
      <c r="BQA52">
        <f t="shared" si="251"/>
        <v>3</v>
      </c>
      <c r="BQB52">
        <f t="shared" si="251"/>
        <v>3</v>
      </c>
      <c r="BQC52">
        <f t="shared" si="251"/>
        <v>3</v>
      </c>
      <c r="BQD52">
        <f t="shared" si="251"/>
        <v>3</v>
      </c>
      <c r="BQE52">
        <f t="shared" si="251"/>
        <v>3</v>
      </c>
      <c r="BQF52">
        <f t="shared" si="251"/>
        <v>3</v>
      </c>
      <c r="BQG52">
        <f t="shared" si="251"/>
        <v>3</v>
      </c>
      <c r="BQH52">
        <f t="shared" si="251"/>
        <v>3</v>
      </c>
      <c r="BQI52">
        <f t="shared" si="251"/>
        <v>3</v>
      </c>
      <c r="BQJ52">
        <f t="shared" si="251"/>
        <v>3</v>
      </c>
      <c r="BQK52">
        <f t="shared" si="251"/>
        <v>3</v>
      </c>
      <c r="BQL52">
        <f t="shared" si="251"/>
        <v>3</v>
      </c>
      <c r="BQM52">
        <f t="shared" si="251"/>
        <v>3</v>
      </c>
      <c r="BQN52">
        <f t="shared" si="251"/>
        <v>3</v>
      </c>
      <c r="BQO52">
        <f t="shared" si="251"/>
        <v>3</v>
      </c>
      <c r="BQP52">
        <f t="shared" si="251"/>
        <v>3</v>
      </c>
      <c r="BQQ52">
        <f t="shared" si="251"/>
        <v>3</v>
      </c>
      <c r="BQR52">
        <f t="shared" si="251"/>
        <v>3</v>
      </c>
      <c r="BQS52">
        <f t="shared" si="251"/>
        <v>3</v>
      </c>
      <c r="BQT52">
        <f t="shared" si="251"/>
        <v>3</v>
      </c>
      <c r="BQU52">
        <f t="shared" si="251"/>
        <v>3</v>
      </c>
      <c r="BQV52">
        <f t="shared" si="251"/>
        <v>3</v>
      </c>
      <c r="BQW52">
        <f t="shared" si="251"/>
        <v>3</v>
      </c>
      <c r="BQX52">
        <f t="shared" si="251"/>
        <v>3</v>
      </c>
      <c r="BQY52">
        <f t="shared" si="251"/>
        <v>3</v>
      </c>
      <c r="BQZ52">
        <f t="shared" si="251"/>
        <v>3</v>
      </c>
      <c r="BRA52">
        <f t="shared" si="251"/>
        <v>3</v>
      </c>
      <c r="BRB52">
        <f t="shared" si="251"/>
        <v>3</v>
      </c>
      <c r="BRC52">
        <f t="shared" si="251"/>
        <v>3</v>
      </c>
      <c r="BRD52">
        <f t="shared" si="251"/>
        <v>3</v>
      </c>
      <c r="BRE52">
        <f t="shared" si="251"/>
        <v>3</v>
      </c>
      <c r="BRF52">
        <f t="shared" si="251"/>
        <v>3</v>
      </c>
      <c r="BRG52">
        <f t="shared" si="251"/>
        <v>3</v>
      </c>
      <c r="BRH52">
        <f t="shared" si="251"/>
        <v>3</v>
      </c>
      <c r="BRI52">
        <f t="shared" si="251"/>
        <v>3</v>
      </c>
      <c r="BRJ52">
        <f t="shared" si="251"/>
        <v>3</v>
      </c>
      <c r="BRK52">
        <f t="shared" ref="BRK52:BTV52" si="252">COUNTBLANK(BRK2:BRK5)</f>
        <v>3</v>
      </c>
      <c r="BRL52">
        <f t="shared" si="252"/>
        <v>3</v>
      </c>
      <c r="BRM52">
        <f t="shared" si="252"/>
        <v>3</v>
      </c>
      <c r="BRN52">
        <f t="shared" si="252"/>
        <v>3</v>
      </c>
      <c r="BRO52">
        <f t="shared" si="252"/>
        <v>3</v>
      </c>
      <c r="BRP52">
        <f t="shared" si="252"/>
        <v>3</v>
      </c>
      <c r="BRQ52">
        <f t="shared" si="252"/>
        <v>3</v>
      </c>
      <c r="BRR52">
        <f t="shared" si="252"/>
        <v>3</v>
      </c>
      <c r="BRS52">
        <f t="shared" si="252"/>
        <v>3</v>
      </c>
      <c r="BRT52">
        <f t="shared" si="252"/>
        <v>3</v>
      </c>
      <c r="BRU52">
        <f t="shared" si="252"/>
        <v>3</v>
      </c>
      <c r="BRV52">
        <f t="shared" si="252"/>
        <v>3</v>
      </c>
      <c r="BRW52">
        <f t="shared" si="252"/>
        <v>3</v>
      </c>
      <c r="BRX52">
        <f t="shared" si="252"/>
        <v>3</v>
      </c>
      <c r="BRY52">
        <f t="shared" si="252"/>
        <v>3</v>
      </c>
      <c r="BRZ52">
        <f t="shared" si="252"/>
        <v>3</v>
      </c>
      <c r="BSA52">
        <f t="shared" si="252"/>
        <v>3</v>
      </c>
      <c r="BSB52">
        <f t="shared" si="252"/>
        <v>3</v>
      </c>
      <c r="BSC52">
        <f t="shared" si="252"/>
        <v>3</v>
      </c>
      <c r="BSD52">
        <f t="shared" si="252"/>
        <v>3</v>
      </c>
      <c r="BSE52">
        <f t="shared" si="252"/>
        <v>3</v>
      </c>
      <c r="BSF52">
        <f t="shared" si="252"/>
        <v>3</v>
      </c>
      <c r="BSG52">
        <f t="shared" si="252"/>
        <v>3</v>
      </c>
      <c r="BSH52">
        <f t="shared" si="252"/>
        <v>3</v>
      </c>
      <c r="BSI52">
        <f t="shared" si="252"/>
        <v>3</v>
      </c>
      <c r="BSJ52">
        <f t="shared" si="252"/>
        <v>3</v>
      </c>
      <c r="BSK52">
        <f t="shared" si="252"/>
        <v>3</v>
      </c>
      <c r="BSL52">
        <f t="shared" si="252"/>
        <v>3</v>
      </c>
      <c r="BSM52">
        <f t="shared" si="252"/>
        <v>3</v>
      </c>
      <c r="BSN52">
        <f t="shared" si="252"/>
        <v>3</v>
      </c>
      <c r="BSO52">
        <f t="shared" si="252"/>
        <v>3</v>
      </c>
      <c r="BSP52">
        <f t="shared" si="252"/>
        <v>3</v>
      </c>
      <c r="BSQ52">
        <f t="shared" si="252"/>
        <v>3</v>
      </c>
      <c r="BSR52">
        <f t="shared" si="252"/>
        <v>3</v>
      </c>
      <c r="BSS52">
        <f t="shared" si="252"/>
        <v>3</v>
      </c>
      <c r="BST52">
        <f t="shared" si="252"/>
        <v>3</v>
      </c>
      <c r="BSU52">
        <f t="shared" si="252"/>
        <v>3</v>
      </c>
      <c r="BSV52">
        <f t="shared" si="252"/>
        <v>3</v>
      </c>
      <c r="BSW52">
        <f t="shared" si="252"/>
        <v>3</v>
      </c>
      <c r="BSX52">
        <f t="shared" si="252"/>
        <v>3</v>
      </c>
      <c r="BSY52">
        <f t="shared" si="252"/>
        <v>3</v>
      </c>
      <c r="BSZ52">
        <f t="shared" si="252"/>
        <v>3</v>
      </c>
      <c r="BTA52">
        <f t="shared" si="252"/>
        <v>3</v>
      </c>
      <c r="BTB52">
        <f t="shared" si="252"/>
        <v>3</v>
      </c>
      <c r="BTC52">
        <f t="shared" si="252"/>
        <v>3</v>
      </c>
      <c r="BTD52">
        <f t="shared" si="252"/>
        <v>3</v>
      </c>
      <c r="BTE52">
        <f t="shared" si="252"/>
        <v>3</v>
      </c>
      <c r="BTF52">
        <f t="shared" si="252"/>
        <v>3</v>
      </c>
      <c r="BTG52">
        <f t="shared" si="252"/>
        <v>3</v>
      </c>
      <c r="BTH52">
        <f t="shared" si="252"/>
        <v>3</v>
      </c>
      <c r="BTI52">
        <f t="shared" si="252"/>
        <v>3</v>
      </c>
      <c r="BTJ52">
        <f t="shared" si="252"/>
        <v>3</v>
      </c>
      <c r="BTK52">
        <f t="shared" si="252"/>
        <v>3</v>
      </c>
      <c r="BTL52">
        <f t="shared" si="252"/>
        <v>3</v>
      </c>
      <c r="BTM52">
        <f t="shared" si="252"/>
        <v>3</v>
      </c>
      <c r="BTN52">
        <f t="shared" si="252"/>
        <v>3</v>
      </c>
      <c r="BTO52">
        <f t="shared" si="252"/>
        <v>3</v>
      </c>
      <c r="BTP52">
        <f t="shared" si="252"/>
        <v>3</v>
      </c>
      <c r="BTQ52">
        <f t="shared" si="252"/>
        <v>3</v>
      </c>
      <c r="BTR52">
        <f t="shared" si="252"/>
        <v>3</v>
      </c>
      <c r="BTS52">
        <f t="shared" si="252"/>
        <v>3</v>
      </c>
      <c r="BTT52">
        <f t="shared" si="252"/>
        <v>3</v>
      </c>
      <c r="BTU52">
        <f t="shared" si="252"/>
        <v>3</v>
      </c>
      <c r="BTV52">
        <f t="shared" si="252"/>
        <v>3</v>
      </c>
      <c r="BTW52">
        <f t="shared" ref="BTW52:BWH52" si="253">COUNTBLANK(BTW2:BTW5)</f>
        <v>3</v>
      </c>
      <c r="BTX52">
        <f t="shared" si="253"/>
        <v>3</v>
      </c>
      <c r="BTY52">
        <f t="shared" si="253"/>
        <v>3</v>
      </c>
      <c r="BTZ52">
        <f t="shared" si="253"/>
        <v>3</v>
      </c>
      <c r="BUA52">
        <f t="shared" si="253"/>
        <v>3</v>
      </c>
      <c r="BUB52">
        <f t="shared" si="253"/>
        <v>3</v>
      </c>
      <c r="BUC52">
        <f t="shared" si="253"/>
        <v>3</v>
      </c>
      <c r="BUD52">
        <f t="shared" si="253"/>
        <v>3</v>
      </c>
      <c r="BUE52">
        <f t="shared" si="253"/>
        <v>3</v>
      </c>
      <c r="BUF52">
        <f t="shared" si="253"/>
        <v>3</v>
      </c>
      <c r="BUG52">
        <f t="shared" si="253"/>
        <v>3</v>
      </c>
      <c r="BUH52">
        <f t="shared" si="253"/>
        <v>3</v>
      </c>
      <c r="BUI52">
        <f t="shared" si="253"/>
        <v>3</v>
      </c>
      <c r="BUJ52">
        <f t="shared" si="253"/>
        <v>3</v>
      </c>
      <c r="BUK52">
        <f t="shared" si="253"/>
        <v>3</v>
      </c>
      <c r="BUL52">
        <f t="shared" si="253"/>
        <v>3</v>
      </c>
      <c r="BUM52">
        <f t="shared" si="253"/>
        <v>3</v>
      </c>
      <c r="BUN52">
        <f t="shared" si="253"/>
        <v>3</v>
      </c>
      <c r="BUO52">
        <f t="shared" si="253"/>
        <v>3</v>
      </c>
      <c r="BUP52">
        <f t="shared" si="253"/>
        <v>3</v>
      </c>
      <c r="BUQ52">
        <f t="shared" si="253"/>
        <v>3</v>
      </c>
      <c r="BUR52">
        <f t="shared" si="253"/>
        <v>3</v>
      </c>
      <c r="BUS52">
        <f t="shared" si="253"/>
        <v>3</v>
      </c>
      <c r="BUT52">
        <f t="shared" si="253"/>
        <v>3</v>
      </c>
      <c r="BUU52">
        <f t="shared" si="253"/>
        <v>3</v>
      </c>
      <c r="BUV52">
        <f t="shared" si="253"/>
        <v>3</v>
      </c>
      <c r="BUW52">
        <f t="shared" si="253"/>
        <v>3</v>
      </c>
      <c r="BUX52">
        <f t="shared" si="253"/>
        <v>3</v>
      </c>
      <c r="BUY52">
        <f t="shared" si="253"/>
        <v>3</v>
      </c>
      <c r="BUZ52">
        <f t="shared" si="253"/>
        <v>3</v>
      </c>
      <c r="BVA52">
        <f t="shared" si="253"/>
        <v>3</v>
      </c>
      <c r="BVB52">
        <f t="shared" si="253"/>
        <v>3</v>
      </c>
      <c r="BVC52">
        <f t="shared" si="253"/>
        <v>3</v>
      </c>
      <c r="BVD52">
        <f t="shared" si="253"/>
        <v>3</v>
      </c>
      <c r="BVE52">
        <f t="shared" si="253"/>
        <v>3</v>
      </c>
      <c r="BVF52">
        <f t="shared" si="253"/>
        <v>3</v>
      </c>
      <c r="BVG52">
        <f t="shared" si="253"/>
        <v>3</v>
      </c>
      <c r="BVH52">
        <f t="shared" si="253"/>
        <v>3</v>
      </c>
      <c r="BVI52">
        <f t="shared" si="253"/>
        <v>3</v>
      </c>
      <c r="BVJ52">
        <f t="shared" si="253"/>
        <v>3</v>
      </c>
      <c r="BVK52">
        <f t="shared" si="253"/>
        <v>3</v>
      </c>
      <c r="BVL52">
        <f t="shared" si="253"/>
        <v>3</v>
      </c>
      <c r="BVM52">
        <f t="shared" si="253"/>
        <v>3</v>
      </c>
      <c r="BVN52">
        <f t="shared" si="253"/>
        <v>3</v>
      </c>
      <c r="BVO52">
        <f t="shared" si="253"/>
        <v>3</v>
      </c>
      <c r="BVP52">
        <f t="shared" si="253"/>
        <v>3</v>
      </c>
      <c r="BVQ52">
        <f t="shared" si="253"/>
        <v>3</v>
      </c>
      <c r="BVR52">
        <f t="shared" si="253"/>
        <v>3</v>
      </c>
      <c r="BVS52">
        <f t="shared" si="253"/>
        <v>3</v>
      </c>
      <c r="BVT52">
        <f t="shared" si="253"/>
        <v>3</v>
      </c>
      <c r="BVU52">
        <f t="shared" si="253"/>
        <v>3</v>
      </c>
      <c r="BVV52">
        <f t="shared" si="253"/>
        <v>3</v>
      </c>
      <c r="BVW52">
        <f t="shared" si="253"/>
        <v>3</v>
      </c>
      <c r="BVX52">
        <f t="shared" si="253"/>
        <v>3</v>
      </c>
      <c r="BVY52">
        <f t="shared" si="253"/>
        <v>3</v>
      </c>
      <c r="BVZ52">
        <f t="shared" si="253"/>
        <v>3</v>
      </c>
      <c r="BWA52">
        <f t="shared" si="253"/>
        <v>3</v>
      </c>
      <c r="BWB52">
        <f t="shared" si="253"/>
        <v>3</v>
      </c>
      <c r="BWC52">
        <f t="shared" si="253"/>
        <v>3</v>
      </c>
      <c r="BWD52">
        <f t="shared" si="253"/>
        <v>3</v>
      </c>
      <c r="BWE52">
        <f t="shared" si="253"/>
        <v>3</v>
      </c>
      <c r="BWF52">
        <f t="shared" si="253"/>
        <v>3</v>
      </c>
      <c r="BWG52">
        <f t="shared" si="253"/>
        <v>3</v>
      </c>
      <c r="BWH52">
        <f t="shared" si="253"/>
        <v>3</v>
      </c>
      <c r="BWI52">
        <f t="shared" ref="BWI52:BYT52" si="254">COUNTBLANK(BWI2:BWI5)</f>
        <v>3</v>
      </c>
      <c r="BWJ52">
        <f t="shared" si="254"/>
        <v>3</v>
      </c>
      <c r="BWK52">
        <f t="shared" si="254"/>
        <v>3</v>
      </c>
      <c r="BWL52">
        <f t="shared" si="254"/>
        <v>3</v>
      </c>
      <c r="BWM52">
        <f t="shared" si="254"/>
        <v>3</v>
      </c>
      <c r="BWN52">
        <f t="shared" si="254"/>
        <v>3</v>
      </c>
      <c r="BWO52">
        <f t="shared" si="254"/>
        <v>3</v>
      </c>
      <c r="BWP52">
        <f t="shared" si="254"/>
        <v>3</v>
      </c>
      <c r="BWQ52">
        <f t="shared" si="254"/>
        <v>3</v>
      </c>
      <c r="BWR52">
        <f t="shared" si="254"/>
        <v>3</v>
      </c>
      <c r="BWS52">
        <f t="shared" si="254"/>
        <v>3</v>
      </c>
      <c r="BWT52">
        <f t="shared" si="254"/>
        <v>3</v>
      </c>
      <c r="BWU52">
        <f t="shared" si="254"/>
        <v>3</v>
      </c>
      <c r="BWV52">
        <f t="shared" si="254"/>
        <v>3</v>
      </c>
      <c r="BWW52">
        <f t="shared" si="254"/>
        <v>3</v>
      </c>
      <c r="BWX52">
        <f t="shared" si="254"/>
        <v>3</v>
      </c>
      <c r="BWY52">
        <f t="shared" si="254"/>
        <v>3</v>
      </c>
      <c r="BWZ52">
        <f t="shared" si="254"/>
        <v>3</v>
      </c>
      <c r="BXA52">
        <f t="shared" si="254"/>
        <v>3</v>
      </c>
      <c r="BXB52">
        <f t="shared" si="254"/>
        <v>3</v>
      </c>
      <c r="BXC52">
        <f t="shared" si="254"/>
        <v>3</v>
      </c>
      <c r="BXD52">
        <f t="shared" si="254"/>
        <v>3</v>
      </c>
      <c r="BXE52">
        <f t="shared" si="254"/>
        <v>3</v>
      </c>
      <c r="BXF52">
        <f t="shared" si="254"/>
        <v>3</v>
      </c>
      <c r="BXG52">
        <f t="shared" si="254"/>
        <v>3</v>
      </c>
      <c r="BXH52">
        <f t="shared" si="254"/>
        <v>3</v>
      </c>
      <c r="BXI52">
        <f t="shared" si="254"/>
        <v>3</v>
      </c>
      <c r="BXJ52">
        <f t="shared" si="254"/>
        <v>3</v>
      </c>
      <c r="BXK52">
        <f t="shared" si="254"/>
        <v>3</v>
      </c>
      <c r="BXL52">
        <f t="shared" si="254"/>
        <v>3</v>
      </c>
      <c r="BXM52">
        <f t="shared" si="254"/>
        <v>3</v>
      </c>
      <c r="BXN52">
        <f t="shared" si="254"/>
        <v>3</v>
      </c>
      <c r="BXO52">
        <f t="shared" si="254"/>
        <v>3</v>
      </c>
      <c r="BXP52">
        <f t="shared" si="254"/>
        <v>3</v>
      </c>
      <c r="BXQ52">
        <f t="shared" si="254"/>
        <v>3</v>
      </c>
      <c r="BXR52">
        <f t="shared" si="254"/>
        <v>3</v>
      </c>
      <c r="BXS52">
        <f t="shared" si="254"/>
        <v>3</v>
      </c>
      <c r="BXT52">
        <f t="shared" si="254"/>
        <v>3</v>
      </c>
      <c r="BXU52">
        <f t="shared" si="254"/>
        <v>3</v>
      </c>
      <c r="BXV52">
        <f t="shared" si="254"/>
        <v>3</v>
      </c>
      <c r="BXW52">
        <f t="shared" si="254"/>
        <v>3</v>
      </c>
      <c r="BXX52">
        <f t="shared" si="254"/>
        <v>3</v>
      </c>
      <c r="BXY52">
        <f t="shared" si="254"/>
        <v>3</v>
      </c>
      <c r="BXZ52">
        <f t="shared" si="254"/>
        <v>3</v>
      </c>
      <c r="BYA52">
        <f t="shared" si="254"/>
        <v>3</v>
      </c>
      <c r="BYB52">
        <f t="shared" si="254"/>
        <v>3</v>
      </c>
      <c r="BYC52">
        <f t="shared" si="254"/>
        <v>3</v>
      </c>
      <c r="BYD52">
        <f t="shared" si="254"/>
        <v>3</v>
      </c>
      <c r="BYE52">
        <f t="shared" si="254"/>
        <v>3</v>
      </c>
      <c r="BYF52">
        <f t="shared" si="254"/>
        <v>3</v>
      </c>
      <c r="BYG52">
        <f t="shared" si="254"/>
        <v>3</v>
      </c>
      <c r="BYH52">
        <f t="shared" si="254"/>
        <v>3</v>
      </c>
      <c r="BYI52">
        <f t="shared" si="254"/>
        <v>3</v>
      </c>
      <c r="BYJ52">
        <f t="shared" si="254"/>
        <v>3</v>
      </c>
      <c r="BYK52">
        <f t="shared" si="254"/>
        <v>3</v>
      </c>
      <c r="BYL52">
        <f t="shared" si="254"/>
        <v>3</v>
      </c>
      <c r="BYM52">
        <f t="shared" si="254"/>
        <v>3</v>
      </c>
      <c r="BYN52">
        <f t="shared" si="254"/>
        <v>3</v>
      </c>
      <c r="BYO52">
        <f t="shared" si="254"/>
        <v>3</v>
      </c>
      <c r="BYP52">
        <f t="shared" si="254"/>
        <v>3</v>
      </c>
      <c r="BYQ52">
        <f t="shared" si="254"/>
        <v>3</v>
      </c>
      <c r="BYR52">
        <f t="shared" si="254"/>
        <v>3</v>
      </c>
      <c r="BYS52">
        <f t="shared" si="254"/>
        <v>3</v>
      </c>
      <c r="BYT52">
        <f t="shared" si="254"/>
        <v>3</v>
      </c>
      <c r="BYU52">
        <f t="shared" ref="BYU52:CBF52" si="255">COUNTBLANK(BYU2:BYU5)</f>
        <v>3</v>
      </c>
      <c r="BYV52">
        <f t="shared" si="255"/>
        <v>3</v>
      </c>
      <c r="BYW52">
        <f t="shared" si="255"/>
        <v>3</v>
      </c>
      <c r="BYX52">
        <f t="shared" si="255"/>
        <v>3</v>
      </c>
      <c r="BYY52">
        <f t="shared" si="255"/>
        <v>3</v>
      </c>
      <c r="BYZ52">
        <f t="shared" si="255"/>
        <v>3</v>
      </c>
      <c r="BZA52">
        <f t="shared" si="255"/>
        <v>3</v>
      </c>
      <c r="BZB52">
        <f t="shared" si="255"/>
        <v>3</v>
      </c>
      <c r="BZC52">
        <f t="shared" si="255"/>
        <v>3</v>
      </c>
      <c r="BZD52">
        <f t="shared" si="255"/>
        <v>3</v>
      </c>
      <c r="BZE52">
        <f t="shared" si="255"/>
        <v>3</v>
      </c>
      <c r="BZF52">
        <f t="shared" si="255"/>
        <v>3</v>
      </c>
      <c r="BZG52">
        <f t="shared" si="255"/>
        <v>3</v>
      </c>
      <c r="BZH52">
        <f t="shared" si="255"/>
        <v>3</v>
      </c>
      <c r="BZI52">
        <f t="shared" si="255"/>
        <v>3</v>
      </c>
      <c r="BZJ52">
        <f t="shared" si="255"/>
        <v>3</v>
      </c>
      <c r="BZK52">
        <f t="shared" si="255"/>
        <v>3</v>
      </c>
      <c r="BZL52">
        <f t="shared" si="255"/>
        <v>3</v>
      </c>
      <c r="BZM52">
        <f t="shared" si="255"/>
        <v>3</v>
      </c>
      <c r="BZN52">
        <f t="shared" si="255"/>
        <v>3</v>
      </c>
      <c r="BZO52">
        <f t="shared" si="255"/>
        <v>3</v>
      </c>
      <c r="BZP52">
        <f t="shared" si="255"/>
        <v>3</v>
      </c>
      <c r="BZQ52">
        <f t="shared" si="255"/>
        <v>3</v>
      </c>
      <c r="BZR52">
        <f t="shared" si="255"/>
        <v>3</v>
      </c>
      <c r="BZS52">
        <f t="shared" si="255"/>
        <v>3</v>
      </c>
      <c r="BZT52">
        <f t="shared" si="255"/>
        <v>3</v>
      </c>
      <c r="BZU52">
        <f t="shared" si="255"/>
        <v>3</v>
      </c>
      <c r="BZV52">
        <f t="shared" si="255"/>
        <v>3</v>
      </c>
      <c r="BZW52">
        <f t="shared" si="255"/>
        <v>3</v>
      </c>
      <c r="BZX52">
        <f t="shared" si="255"/>
        <v>3</v>
      </c>
      <c r="BZY52">
        <f t="shared" si="255"/>
        <v>3</v>
      </c>
      <c r="BZZ52">
        <f t="shared" si="255"/>
        <v>3</v>
      </c>
      <c r="CAA52">
        <f t="shared" si="255"/>
        <v>3</v>
      </c>
      <c r="CAB52">
        <f t="shared" si="255"/>
        <v>3</v>
      </c>
      <c r="CAC52">
        <f t="shared" si="255"/>
        <v>3</v>
      </c>
      <c r="CAD52">
        <f t="shared" si="255"/>
        <v>3</v>
      </c>
      <c r="CAE52">
        <f t="shared" si="255"/>
        <v>3</v>
      </c>
      <c r="CAF52">
        <f t="shared" si="255"/>
        <v>3</v>
      </c>
      <c r="CAG52">
        <f t="shared" si="255"/>
        <v>3</v>
      </c>
      <c r="CAH52">
        <f t="shared" si="255"/>
        <v>3</v>
      </c>
      <c r="CAI52">
        <f t="shared" si="255"/>
        <v>3</v>
      </c>
      <c r="CAJ52">
        <f t="shared" si="255"/>
        <v>3</v>
      </c>
      <c r="CAK52">
        <f t="shared" si="255"/>
        <v>3</v>
      </c>
      <c r="CAL52">
        <f t="shared" si="255"/>
        <v>3</v>
      </c>
      <c r="CAM52">
        <f t="shared" si="255"/>
        <v>3</v>
      </c>
      <c r="CAN52">
        <f t="shared" si="255"/>
        <v>3</v>
      </c>
      <c r="CAO52">
        <f t="shared" si="255"/>
        <v>2</v>
      </c>
      <c r="CAP52">
        <f t="shared" si="255"/>
        <v>2</v>
      </c>
      <c r="CAQ52">
        <f t="shared" si="255"/>
        <v>2</v>
      </c>
      <c r="CAR52">
        <f t="shared" si="255"/>
        <v>2</v>
      </c>
      <c r="CAS52">
        <f t="shared" si="255"/>
        <v>2</v>
      </c>
      <c r="CAT52">
        <f t="shared" si="255"/>
        <v>2</v>
      </c>
      <c r="CAU52">
        <f t="shared" si="255"/>
        <v>2</v>
      </c>
      <c r="CAV52">
        <f t="shared" si="255"/>
        <v>2</v>
      </c>
      <c r="CAW52">
        <f t="shared" si="255"/>
        <v>2</v>
      </c>
      <c r="CAX52">
        <f t="shared" si="255"/>
        <v>2</v>
      </c>
      <c r="CAY52">
        <f t="shared" si="255"/>
        <v>2</v>
      </c>
      <c r="CAZ52">
        <f t="shared" si="255"/>
        <v>2</v>
      </c>
      <c r="CBA52">
        <f t="shared" si="255"/>
        <v>2</v>
      </c>
      <c r="CBB52">
        <f t="shared" si="255"/>
        <v>2</v>
      </c>
      <c r="CBC52">
        <f t="shared" si="255"/>
        <v>2</v>
      </c>
      <c r="CBD52">
        <f t="shared" si="255"/>
        <v>2</v>
      </c>
      <c r="CBE52">
        <f t="shared" si="255"/>
        <v>2</v>
      </c>
      <c r="CBF52">
        <f t="shared" si="255"/>
        <v>2</v>
      </c>
      <c r="CBG52">
        <f t="shared" ref="CBG52:CDR52" si="256">COUNTBLANK(CBG2:CBG5)</f>
        <v>2</v>
      </c>
      <c r="CBH52">
        <f t="shared" si="256"/>
        <v>2</v>
      </c>
      <c r="CBI52">
        <f t="shared" si="256"/>
        <v>2</v>
      </c>
      <c r="CBJ52">
        <f t="shared" si="256"/>
        <v>2</v>
      </c>
      <c r="CBK52">
        <f t="shared" si="256"/>
        <v>2</v>
      </c>
      <c r="CBL52">
        <f t="shared" si="256"/>
        <v>2</v>
      </c>
      <c r="CBM52">
        <f t="shared" si="256"/>
        <v>2</v>
      </c>
      <c r="CBN52">
        <f t="shared" si="256"/>
        <v>2</v>
      </c>
      <c r="CBO52">
        <f t="shared" si="256"/>
        <v>2</v>
      </c>
      <c r="CBP52">
        <f t="shared" si="256"/>
        <v>2</v>
      </c>
      <c r="CBQ52">
        <f t="shared" si="256"/>
        <v>2</v>
      </c>
      <c r="CBR52">
        <f t="shared" si="256"/>
        <v>2</v>
      </c>
      <c r="CBS52">
        <f t="shared" si="256"/>
        <v>2</v>
      </c>
      <c r="CBT52">
        <f t="shared" si="256"/>
        <v>2</v>
      </c>
      <c r="CBU52">
        <f t="shared" si="256"/>
        <v>2</v>
      </c>
      <c r="CBV52">
        <f t="shared" si="256"/>
        <v>2</v>
      </c>
      <c r="CBW52">
        <f t="shared" si="256"/>
        <v>2</v>
      </c>
      <c r="CBX52">
        <f t="shared" si="256"/>
        <v>2</v>
      </c>
      <c r="CBY52">
        <f t="shared" si="256"/>
        <v>2</v>
      </c>
      <c r="CBZ52">
        <f t="shared" si="256"/>
        <v>2</v>
      </c>
      <c r="CCA52">
        <f t="shared" si="256"/>
        <v>2</v>
      </c>
      <c r="CCB52">
        <f t="shared" si="256"/>
        <v>2</v>
      </c>
      <c r="CCC52">
        <f t="shared" si="256"/>
        <v>2</v>
      </c>
      <c r="CCD52">
        <f t="shared" si="256"/>
        <v>2</v>
      </c>
      <c r="CCE52">
        <f t="shared" si="256"/>
        <v>2</v>
      </c>
      <c r="CCF52">
        <f t="shared" si="256"/>
        <v>2</v>
      </c>
      <c r="CCG52">
        <f t="shared" si="256"/>
        <v>2</v>
      </c>
      <c r="CCH52">
        <f t="shared" si="256"/>
        <v>2</v>
      </c>
      <c r="CCI52">
        <f t="shared" si="256"/>
        <v>3</v>
      </c>
      <c r="CCJ52">
        <f t="shared" si="256"/>
        <v>3</v>
      </c>
      <c r="CCK52">
        <f t="shared" si="256"/>
        <v>3</v>
      </c>
      <c r="CCL52">
        <f t="shared" si="256"/>
        <v>3</v>
      </c>
      <c r="CCM52">
        <f t="shared" si="256"/>
        <v>3</v>
      </c>
      <c r="CCN52">
        <f t="shared" si="256"/>
        <v>3</v>
      </c>
      <c r="CCO52">
        <f t="shared" si="256"/>
        <v>3</v>
      </c>
      <c r="CCP52">
        <f t="shared" si="256"/>
        <v>3</v>
      </c>
      <c r="CCQ52">
        <f t="shared" si="256"/>
        <v>3</v>
      </c>
      <c r="CCR52">
        <f t="shared" si="256"/>
        <v>3</v>
      </c>
      <c r="CCS52">
        <f t="shared" si="256"/>
        <v>3</v>
      </c>
      <c r="CCT52">
        <f t="shared" si="256"/>
        <v>3</v>
      </c>
      <c r="CCU52">
        <f t="shared" si="256"/>
        <v>3</v>
      </c>
      <c r="CCV52">
        <f t="shared" si="256"/>
        <v>3</v>
      </c>
      <c r="CCW52">
        <f t="shared" si="256"/>
        <v>3</v>
      </c>
      <c r="CCX52">
        <f t="shared" si="256"/>
        <v>3</v>
      </c>
      <c r="CCY52">
        <f t="shared" si="256"/>
        <v>3</v>
      </c>
      <c r="CCZ52">
        <f t="shared" si="256"/>
        <v>3</v>
      </c>
      <c r="CDA52">
        <f t="shared" si="256"/>
        <v>3</v>
      </c>
      <c r="CDB52">
        <f t="shared" si="256"/>
        <v>3</v>
      </c>
      <c r="CDC52">
        <f t="shared" si="256"/>
        <v>3</v>
      </c>
      <c r="CDD52">
        <f t="shared" si="256"/>
        <v>3</v>
      </c>
      <c r="CDE52">
        <f t="shared" si="256"/>
        <v>3</v>
      </c>
      <c r="CDF52">
        <f t="shared" si="256"/>
        <v>3</v>
      </c>
      <c r="CDG52">
        <f t="shared" si="256"/>
        <v>3</v>
      </c>
      <c r="CDH52">
        <f t="shared" si="256"/>
        <v>3</v>
      </c>
      <c r="CDI52">
        <f t="shared" si="256"/>
        <v>3</v>
      </c>
      <c r="CDJ52">
        <f t="shared" si="256"/>
        <v>3</v>
      </c>
      <c r="CDK52">
        <f t="shared" si="256"/>
        <v>3</v>
      </c>
      <c r="CDL52">
        <f t="shared" si="256"/>
        <v>3</v>
      </c>
      <c r="CDM52">
        <f t="shared" si="256"/>
        <v>3</v>
      </c>
      <c r="CDN52">
        <f t="shared" si="256"/>
        <v>3</v>
      </c>
      <c r="CDO52">
        <f t="shared" si="256"/>
        <v>3</v>
      </c>
      <c r="CDP52">
        <f t="shared" si="256"/>
        <v>3</v>
      </c>
      <c r="CDQ52">
        <f t="shared" si="256"/>
        <v>3</v>
      </c>
      <c r="CDR52">
        <f t="shared" si="256"/>
        <v>3</v>
      </c>
      <c r="CDS52">
        <f t="shared" ref="CDS52:CGD52" si="257">COUNTBLANK(CDS2:CDS5)</f>
        <v>3</v>
      </c>
      <c r="CDT52">
        <f t="shared" si="257"/>
        <v>3</v>
      </c>
      <c r="CDU52">
        <f t="shared" si="257"/>
        <v>3</v>
      </c>
      <c r="CDV52">
        <f t="shared" si="257"/>
        <v>3</v>
      </c>
      <c r="CDW52">
        <f t="shared" si="257"/>
        <v>3</v>
      </c>
      <c r="CDX52">
        <f t="shared" si="257"/>
        <v>3</v>
      </c>
      <c r="CDY52">
        <f t="shared" si="257"/>
        <v>3</v>
      </c>
      <c r="CDZ52">
        <f t="shared" si="257"/>
        <v>3</v>
      </c>
      <c r="CEA52">
        <f t="shared" si="257"/>
        <v>3</v>
      </c>
      <c r="CEB52">
        <f t="shared" si="257"/>
        <v>3</v>
      </c>
      <c r="CEC52">
        <f t="shared" si="257"/>
        <v>3</v>
      </c>
      <c r="CED52">
        <f t="shared" si="257"/>
        <v>3</v>
      </c>
      <c r="CEE52">
        <f t="shared" si="257"/>
        <v>3</v>
      </c>
      <c r="CEF52">
        <f t="shared" si="257"/>
        <v>3</v>
      </c>
      <c r="CEG52">
        <f t="shared" si="257"/>
        <v>3</v>
      </c>
      <c r="CEH52">
        <f t="shared" si="257"/>
        <v>3</v>
      </c>
      <c r="CEI52">
        <f t="shared" si="257"/>
        <v>3</v>
      </c>
      <c r="CEJ52">
        <f t="shared" si="257"/>
        <v>3</v>
      </c>
      <c r="CEK52">
        <f t="shared" si="257"/>
        <v>3</v>
      </c>
      <c r="CEL52">
        <f t="shared" si="257"/>
        <v>3</v>
      </c>
      <c r="CEM52">
        <f t="shared" si="257"/>
        <v>3</v>
      </c>
      <c r="CEN52">
        <f t="shared" si="257"/>
        <v>3</v>
      </c>
      <c r="CEO52">
        <f t="shared" si="257"/>
        <v>3</v>
      </c>
      <c r="CEP52">
        <f t="shared" si="257"/>
        <v>3</v>
      </c>
      <c r="CEQ52">
        <f t="shared" si="257"/>
        <v>3</v>
      </c>
      <c r="CER52">
        <f t="shared" si="257"/>
        <v>3</v>
      </c>
      <c r="CES52">
        <f t="shared" si="257"/>
        <v>3</v>
      </c>
      <c r="CET52">
        <f t="shared" si="257"/>
        <v>3</v>
      </c>
      <c r="CEU52">
        <f t="shared" si="257"/>
        <v>3</v>
      </c>
      <c r="CEV52">
        <f t="shared" si="257"/>
        <v>3</v>
      </c>
      <c r="CEW52">
        <f t="shared" si="257"/>
        <v>3</v>
      </c>
      <c r="CEX52">
        <f t="shared" si="257"/>
        <v>3</v>
      </c>
      <c r="CEY52">
        <f t="shared" si="257"/>
        <v>3</v>
      </c>
      <c r="CEZ52">
        <f t="shared" si="257"/>
        <v>3</v>
      </c>
      <c r="CFA52">
        <f t="shared" si="257"/>
        <v>3</v>
      </c>
      <c r="CFB52">
        <f t="shared" si="257"/>
        <v>3</v>
      </c>
      <c r="CFC52">
        <f t="shared" si="257"/>
        <v>3</v>
      </c>
      <c r="CFD52">
        <f t="shared" si="257"/>
        <v>3</v>
      </c>
      <c r="CFE52">
        <f t="shared" si="257"/>
        <v>3</v>
      </c>
      <c r="CFF52">
        <f t="shared" si="257"/>
        <v>3</v>
      </c>
      <c r="CFG52">
        <f t="shared" si="257"/>
        <v>3</v>
      </c>
      <c r="CFH52">
        <f t="shared" si="257"/>
        <v>3</v>
      </c>
      <c r="CFI52">
        <f t="shared" si="257"/>
        <v>3</v>
      </c>
      <c r="CFJ52">
        <f t="shared" si="257"/>
        <v>3</v>
      </c>
      <c r="CFK52">
        <f t="shared" si="257"/>
        <v>3</v>
      </c>
      <c r="CFL52">
        <f t="shared" si="257"/>
        <v>3</v>
      </c>
      <c r="CFM52">
        <f t="shared" si="257"/>
        <v>3</v>
      </c>
      <c r="CFN52">
        <f t="shared" si="257"/>
        <v>3</v>
      </c>
      <c r="CFO52">
        <f t="shared" si="257"/>
        <v>3</v>
      </c>
      <c r="CFP52">
        <f t="shared" si="257"/>
        <v>3</v>
      </c>
      <c r="CFQ52">
        <f t="shared" si="257"/>
        <v>3</v>
      </c>
      <c r="CFR52">
        <f t="shared" si="257"/>
        <v>3</v>
      </c>
      <c r="CFS52">
        <f t="shared" si="257"/>
        <v>3</v>
      </c>
      <c r="CFT52">
        <f t="shared" si="257"/>
        <v>3</v>
      </c>
      <c r="CFU52">
        <f t="shared" si="257"/>
        <v>3</v>
      </c>
      <c r="CFV52">
        <f t="shared" si="257"/>
        <v>3</v>
      </c>
      <c r="CFW52">
        <f t="shared" si="257"/>
        <v>3</v>
      </c>
      <c r="CFX52">
        <f t="shared" si="257"/>
        <v>3</v>
      </c>
      <c r="CFY52">
        <f t="shared" si="257"/>
        <v>3</v>
      </c>
      <c r="CFZ52">
        <f t="shared" si="257"/>
        <v>3</v>
      </c>
      <c r="CGA52">
        <f t="shared" si="257"/>
        <v>2</v>
      </c>
      <c r="CGB52">
        <f t="shared" si="257"/>
        <v>2</v>
      </c>
      <c r="CGC52">
        <f t="shared" si="257"/>
        <v>2</v>
      </c>
      <c r="CGD52">
        <f t="shared" si="257"/>
        <v>2</v>
      </c>
      <c r="CGE52">
        <f t="shared" ref="CGE52:CIP52" si="258">COUNTBLANK(CGE2:CGE5)</f>
        <v>2</v>
      </c>
      <c r="CGF52">
        <f t="shared" si="258"/>
        <v>2</v>
      </c>
      <c r="CGG52">
        <f t="shared" si="258"/>
        <v>2</v>
      </c>
      <c r="CGH52">
        <f t="shared" si="258"/>
        <v>2</v>
      </c>
      <c r="CGI52">
        <f t="shared" si="258"/>
        <v>2</v>
      </c>
      <c r="CGJ52">
        <f t="shared" si="258"/>
        <v>2</v>
      </c>
      <c r="CGK52">
        <f t="shared" si="258"/>
        <v>2</v>
      </c>
      <c r="CGL52">
        <f t="shared" si="258"/>
        <v>2</v>
      </c>
      <c r="CGM52">
        <f t="shared" si="258"/>
        <v>2</v>
      </c>
      <c r="CGN52">
        <f t="shared" si="258"/>
        <v>2</v>
      </c>
      <c r="CGO52">
        <f t="shared" si="258"/>
        <v>2</v>
      </c>
      <c r="CGP52">
        <f t="shared" si="258"/>
        <v>2</v>
      </c>
      <c r="CGQ52">
        <f t="shared" si="258"/>
        <v>2</v>
      </c>
      <c r="CGR52">
        <f t="shared" si="258"/>
        <v>2</v>
      </c>
      <c r="CGS52">
        <f t="shared" si="258"/>
        <v>2</v>
      </c>
      <c r="CGT52">
        <f t="shared" si="258"/>
        <v>2</v>
      </c>
      <c r="CGU52">
        <f t="shared" si="258"/>
        <v>2</v>
      </c>
      <c r="CGV52">
        <f t="shared" si="258"/>
        <v>2</v>
      </c>
      <c r="CGW52">
        <f t="shared" si="258"/>
        <v>2</v>
      </c>
      <c r="CGX52">
        <f t="shared" si="258"/>
        <v>2</v>
      </c>
      <c r="CGY52">
        <f t="shared" si="258"/>
        <v>2</v>
      </c>
      <c r="CGZ52">
        <f t="shared" si="258"/>
        <v>2</v>
      </c>
      <c r="CHA52">
        <f t="shared" si="258"/>
        <v>2</v>
      </c>
      <c r="CHB52">
        <f t="shared" si="258"/>
        <v>2</v>
      </c>
      <c r="CHC52">
        <f t="shared" si="258"/>
        <v>2</v>
      </c>
      <c r="CHD52">
        <f t="shared" si="258"/>
        <v>2</v>
      </c>
      <c r="CHE52">
        <f t="shared" si="258"/>
        <v>2</v>
      </c>
      <c r="CHF52">
        <f t="shared" si="258"/>
        <v>2</v>
      </c>
      <c r="CHG52">
        <f t="shared" si="258"/>
        <v>2</v>
      </c>
      <c r="CHH52">
        <f t="shared" si="258"/>
        <v>2</v>
      </c>
      <c r="CHI52">
        <f t="shared" si="258"/>
        <v>2</v>
      </c>
      <c r="CHJ52">
        <f t="shared" si="258"/>
        <v>2</v>
      </c>
      <c r="CHK52">
        <f t="shared" si="258"/>
        <v>2</v>
      </c>
      <c r="CHL52">
        <f t="shared" si="258"/>
        <v>2</v>
      </c>
      <c r="CHM52">
        <f t="shared" si="258"/>
        <v>2</v>
      </c>
      <c r="CHN52">
        <f t="shared" si="258"/>
        <v>3</v>
      </c>
      <c r="CHO52">
        <f t="shared" si="258"/>
        <v>3</v>
      </c>
      <c r="CHP52">
        <f t="shared" si="258"/>
        <v>3</v>
      </c>
      <c r="CHQ52">
        <f t="shared" si="258"/>
        <v>3</v>
      </c>
      <c r="CHR52">
        <f t="shared" si="258"/>
        <v>3</v>
      </c>
      <c r="CHS52">
        <f t="shared" si="258"/>
        <v>3</v>
      </c>
      <c r="CHT52">
        <f t="shared" si="258"/>
        <v>3</v>
      </c>
      <c r="CHU52">
        <f t="shared" si="258"/>
        <v>3</v>
      </c>
      <c r="CHV52">
        <f t="shared" si="258"/>
        <v>3</v>
      </c>
      <c r="CHW52">
        <f t="shared" si="258"/>
        <v>3</v>
      </c>
      <c r="CHX52">
        <f t="shared" si="258"/>
        <v>3</v>
      </c>
      <c r="CHY52">
        <f t="shared" si="258"/>
        <v>3</v>
      </c>
      <c r="CHZ52">
        <f t="shared" si="258"/>
        <v>3</v>
      </c>
      <c r="CIA52">
        <f t="shared" si="258"/>
        <v>3</v>
      </c>
      <c r="CIB52">
        <f t="shared" si="258"/>
        <v>3</v>
      </c>
      <c r="CIC52">
        <f t="shared" si="258"/>
        <v>3</v>
      </c>
      <c r="CID52">
        <f t="shared" si="258"/>
        <v>3</v>
      </c>
      <c r="CIE52">
        <f t="shared" si="258"/>
        <v>3</v>
      </c>
      <c r="CIF52">
        <f t="shared" si="258"/>
        <v>3</v>
      </c>
      <c r="CIG52">
        <f t="shared" si="258"/>
        <v>3</v>
      </c>
      <c r="CIH52">
        <f t="shared" si="258"/>
        <v>3</v>
      </c>
      <c r="CII52">
        <f t="shared" si="258"/>
        <v>3</v>
      </c>
      <c r="CIJ52">
        <f t="shared" si="258"/>
        <v>3</v>
      </c>
      <c r="CIK52">
        <f t="shared" si="258"/>
        <v>3</v>
      </c>
      <c r="CIL52">
        <f t="shared" si="258"/>
        <v>3</v>
      </c>
      <c r="CIM52">
        <f t="shared" si="258"/>
        <v>3</v>
      </c>
      <c r="CIN52">
        <f t="shared" si="258"/>
        <v>3</v>
      </c>
      <c r="CIO52">
        <f t="shared" si="258"/>
        <v>3</v>
      </c>
      <c r="CIP52">
        <f t="shared" si="258"/>
        <v>3</v>
      </c>
      <c r="CIQ52">
        <f t="shared" ref="CIQ52:CLB52" si="259">COUNTBLANK(CIQ2:CIQ5)</f>
        <v>3</v>
      </c>
      <c r="CIR52">
        <f t="shared" si="259"/>
        <v>3</v>
      </c>
      <c r="CIS52">
        <f t="shared" si="259"/>
        <v>3</v>
      </c>
      <c r="CIT52">
        <f t="shared" si="259"/>
        <v>3</v>
      </c>
      <c r="CIU52">
        <f t="shared" si="259"/>
        <v>3</v>
      </c>
      <c r="CIV52">
        <f t="shared" si="259"/>
        <v>3</v>
      </c>
      <c r="CIW52">
        <f t="shared" si="259"/>
        <v>3</v>
      </c>
      <c r="CIX52">
        <f t="shared" si="259"/>
        <v>3</v>
      </c>
      <c r="CIY52">
        <f t="shared" si="259"/>
        <v>3</v>
      </c>
      <c r="CIZ52">
        <f t="shared" si="259"/>
        <v>3</v>
      </c>
      <c r="CJA52">
        <f t="shared" si="259"/>
        <v>3</v>
      </c>
      <c r="CJB52">
        <f t="shared" si="259"/>
        <v>3</v>
      </c>
      <c r="CJC52">
        <f t="shared" si="259"/>
        <v>3</v>
      </c>
      <c r="CJD52">
        <f t="shared" si="259"/>
        <v>3</v>
      </c>
      <c r="CJE52">
        <f t="shared" si="259"/>
        <v>3</v>
      </c>
      <c r="CJF52">
        <f t="shared" si="259"/>
        <v>3</v>
      </c>
      <c r="CJG52">
        <f t="shared" si="259"/>
        <v>3</v>
      </c>
      <c r="CJH52">
        <f t="shared" si="259"/>
        <v>3</v>
      </c>
      <c r="CJI52">
        <f t="shared" si="259"/>
        <v>3</v>
      </c>
      <c r="CJJ52">
        <f t="shared" si="259"/>
        <v>3</v>
      </c>
      <c r="CJK52">
        <f t="shared" si="259"/>
        <v>3</v>
      </c>
      <c r="CJL52">
        <f t="shared" si="259"/>
        <v>3</v>
      </c>
      <c r="CJM52">
        <f t="shared" si="259"/>
        <v>3</v>
      </c>
      <c r="CJN52">
        <f t="shared" si="259"/>
        <v>3</v>
      </c>
      <c r="CJO52">
        <f t="shared" si="259"/>
        <v>3</v>
      </c>
      <c r="CJP52">
        <f t="shared" si="259"/>
        <v>3</v>
      </c>
      <c r="CJQ52">
        <f t="shared" si="259"/>
        <v>3</v>
      </c>
      <c r="CJR52">
        <f t="shared" si="259"/>
        <v>3</v>
      </c>
      <c r="CJS52">
        <f t="shared" si="259"/>
        <v>3</v>
      </c>
      <c r="CJT52">
        <f t="shared" si="259"/>
        <v>3</v>
      </c>
      <c r="CJU52">
        <f t="shared" si="259"/>
        <v>3</v>
      </c>
      <c r="CJV52">
        <f t="shared" si="259"/>
        <v>3</v>
      </c>
      <c r="CJW52">
        <f t="shared" si="259"/>
        <v>3</v>
      </c>
      <c r="CJX52">
        <f t="shared" si="259"/>
        <v>3</v>
      </c>
      <c r="CJY52">
        <f t="shared" si="259"/>
        <v>3</v>
      </c>
      <c r="CJZ52">
        <f t="shared" si="259"/>
        <v>3</v>
      </c>
      <c r="CKA52">
        <f t="shared" si="259"/>
        <v>3</v>
      </c>
      <c r="CKB52">
        <f t="shared" si="259"/>
        <v>2</v>
      </c>
      <c r="CKC52">
        <f t="shared" si="259"/>
        <v>2</v>
      </c>
      <c r="CKD52">
        <f t="shared" si="259"/>
        <v>2</v>
      </c>
      <c r="CKE52">
        <f t="shared" si="259"/>
        <v>2</v>
      </c>
      <c r="CKF52">
        <f t="shared" si="259"/>
        <v>2</v>
      </c>
      <c r="CKG52">
        <f t="shared" si="259"/>
        <v>2</v>
      </c>
      <c r="CKH52">
        <f t="shared" si="259"/>
        <v>2</v>
      </c>
      <c r="CKI52">
        <f t="shared" si="259"/>
        <v>2</v>
      </c>
      <c r="CKJ52">
        <f t="shared" si="259"/>
        <v>2</v>
      </c>
      <c r="CKK52">
        <f t="shared" si="259"/>
        <v>2</v>
      </c>
      <c r="CKL52">
        <f t="shared" si="259"/>
        <v>2</v>
      </c>
      <c r="CKM52">
        <f t="shared" si="259"/>
        <v>2</v>
      </c>
      <c r="CKN52">
        <f t="shared" si="259"/>
        <v>2</v>
      </c>
      <c r="CKO52">
        <f t="shared" si="259"/>
        <v>2</v>
      </c>
      <c r="CKP52">
        <f t="shared" si="259"/>
        <v>2</v>
      </c>
      <c r="CKQ52">
        <f t="shared" si="259"/>
        <v>2</v>
      </c>
      <c r="CKR52">
        <f t="shared" si="259"/>
        <v>2</v>
      </c>
      <c r="CKS52">
        <f t="shared" si="259"/>
        <v>2</v>
      </c>
      <c r="CKT52">
        <f t="shared" si="259"/>
        <v>2</v>
      </c>
      <c r="CKU52">
        <f t="shared" si="259"/>
        <v>2</v>
      </c>
      <c r="CKV52">
        <f t="shared" si="259"/>
        <v>2</v>
      </c>
      <c r="CKW52">
        <f t="shared" si="259"/>
        <v>2</v>
      </c>
      <c r="CKX52">
        <f t="shared" si="259"/>
        <v>2</v>
      </c>
      <c r="CKY52">
        <f t="shared" si="259"/>
        <v>2</v>
      </c>
      <c r="CKZ52">
        <f t="shared" si="259"/>
        <v>2</v>
      </c>
      <c r="CLA52">
        <f t="shared" si="259"/>
        <v>2</v>
      </c>
      <c r="CLB52">
        <f t="shared" si="259"/>
        <v>2</v>
      </c>
      <c r="CLC52">
        <f t="shared" ref="CLC52:CNN52" si="260">COUNTBLANK(CLC2:CLC5)</f>
        <v>2</v>
      </c>
      <c r="CLD52">
        <f t="shared" si="260"/>
        <v>2</v>
      </c>
      <c r="CLE52">
        <f t="shared" si="260"/>
        <v>2</v>
      </c>
      <c r="CLF52">
        <f t="shared" si="260"/>
        <v>2</v>
      </c>
      <c r="CLG52">
        <f t="shared" si="260"/>
        <v>2</v>
      </c>
      <c r="CLH52">
        <f t="shared" si="260"/>
        <v>2</v>
      </c>
      <c r="CLI52">
        <f t="shared" si="260"/>
        <v>2</v>
      </c>
      <c r="CLJ52">
        <f t="shared" si="260"/>
        <v>2</v>
      </c>
      <c r="CLK52">
        <f t="shared" si="260"/>
        <v>2</v>
      </c>
      <c r="CLL52">
        <f t="shared" si="260"/>
        <v>2</v>
      </c>
      <c r="CLM52">
        <f t="shared" si="260"/>
        <v>2</v>
      </c>
      <c r="CLN52">
        <f t="shared" si="260"/>
        <v>2</v>
      </c>
      <c r="CLO52">
        <f t="shared" si="260"/>
        <v>2</v>
      </c>
      <c r="CLP52">
        <f t="shared" si="260"/>
        <v>2</v>
      </c>
      <c r="CLQ52">
        <f t="shared" si="260"/>
        <v>2</v>
      </c>
      <c r="CLR52">
        <f t="shared" si="260"/>
        <v>2</v>
      </c>
      <c r="CLS52">
        <f t="shared" si="260"/>
        <v>2</v>
      </c>
      <c r="CLT52">
        <f t="shared" si="260"/>
        <v>2</v>
      </c>
      <c r="CLU52">
        <f t="shared" si="260"/>
        <v>2</v>
      </c>
      <c r="CLV52">
        <f t="shared" si="260"/>
        <v>2</v>
      </c>
      <c r="CLW52">
        <f t="shared" si="260"/>
        <v>2</v>
      </c>
      <c r="CLX52">
        <f t="shared" si="260"/>
        <v>2</v>
      </c>
      <c r="CLY52">
        <f t="shared" si="260"/>
        <v>2</v>
      </c>
      <c r="CLZ52">
        <f t="shared" si="260"/>
        <v>2</v>
      </c>
      <c r="CMA52">
        <f t="shared" si="260"/>
        <v>2</v>
      </c>
      <c r="CMB52">
        <f t="shared" si="260"/>
        <v>2</v>
      </c>
      <c r="CMC52">
        <f t="shared" si="260"/>
        <v>2</v>
      </c>
      <c r="CMD52">
        <f t="shared" si="260"/>
        <v>2</v>
      </c>
      <c r="CME52">
        <f t="shared" si="260"/>
        <v>2</v>
      </c>
      <c r="CMF52">
        <f t="shared" si="260"/>
        <v>3</v>
      </c>
      <c r="CMG52">
        <f t="shared" si="260"/>
        <v>3</v>
      </c>
      <c r="CMH52">
        <f t="shared" si="260"/>
        <v>3</v>
      </c>
      <c r="CMI52">
        <f t="shared" si="260"/>
        <v>3</v>
      </c>
      <c r="CMJ52">
        <f t="shared" si="260"/>
        <v>3</v>
      </c>
      <c r="CMK52">
        <f t="shared" si="260"/>
        <v>3</v>
      </c>
      <c r="CML52">
        <f t="shared" si="260"/>
        <v>3</v>
      </c>
      <c r="CMM52">
        <f t="shared" si="260"/>
        <v>3</v>
      </c>
      <c r="CMN52">
        <f t="shared" si="260"/>
        <v>3</v>
      </c>
      <c r="CMO52">
        <f t="shared" si="260"/>
        <v>3</v>
      </c>
      <c r="CMP52">
        <f t="shared" si="260"/>
        <v>3</v>
      </c>
      <c r="CMQ52">
        <f t="shared" si="260"/>
        <v>3</v>
      </c>
      <c r="CMR52">
        <f t="shared" si="260"/>
        <v>3</v>
      </c>
      <c r="CMS52">
        <f t="shared" si="260"/>
        <v>3</v>
      </c>
      <c r="CMT52">
        <f t="shared" si="260"/>
        <v>3</v>
      </c>
      <c r="CMU52">
        <f t="shared" si="260"/>
        <v>3</v>
      </c>
      <c r="CMV52">
        <f t="shared" si="260"/>
        <v>3</v>
      </c>
      <c r="CMW52">
        <f t="shared" si="260"/>
        <v>3</v>
      </c>
      <c r="CMX52">
        <f t="shared" si="260"/>
        <v>3</v>
      </c>
      <c r="CMY52">
        <f t="shared" si="260"/>
        <v>3</v>
      </c>
      <c r="CMZ52">
        <f t="shared" si="260"/>
        <v>3</v>
      </c>
      <c r="CNA52">
        <f t="shared" si="260"/>
        <v>3</v>
      </c>
      <c r="CNB52">
        <f t="shared" si="260"/>
        <v>3</v>
      </c>
      <c r="CNC52">
        <f t="shared" si="260"/>
        <v>3</v>
      </c>
      <c r="CND52">
        <f t="shared" si="260"/>
        <v>3</v>
      </c>
      <c r="CNE52">
        <f t="shared" si="260"/>
        <v>3</v>
      </c>
      <c r="CNF52">
        <f t="shared" si="260"/>
        <v>3</v>
      </c>
      <c r="CNG52">
        <f t="shared" si="260"/>
        <v>3</v>
      </c>
      <c r="CNH52">
        <f t="shared" si="260"/>
        <v>3</v>
      </c>
      <c r="CNI52">
        <f t="shared" si="260"/>
        <v>3</v>
      </c>
      <c r="CNJ52">
        <f t="shared" si="260"/>
        <v>3</v>
      </c>
      <c r="CNK52">
        <f t="shared" si="260"/>
        <v>3</v>
      </c>
      <c r="CNL52">
        <f t="shared" si="260"/>
        <v>3</v>
      </c>
      <c r="CNM52">
        <f t="shared" si="260"/>
        <v>3</v>
      </c>
      <c r="CNN52">
        <f t="shared" si="260"/>
        <v>3</v>
      </c>
      <c r="CNO52">
        <f t="shared" ref="CNO52:CPZ52" si="261">COUNTBLANK(CNO2:CNO5)</f>
        <v>3</v>
      </c>
      <c r="CNP52">
        <f t="shared" si="261"/>
        <v>3</v>
      </c>
      <c r="CNQ52">
        <f t="shared" si="261"/>
        <v>3</v>
      </c>
      <c r="CNR52">
        <f t="shared" si="261"/>
        <v>3</v>
      </c>
      <c r="CNS52">
        <f t="shared" si="261"/>
        <v>3</v>
      </c>
      <c r="CNT52">
        <f t="shared" si="261"/>
        <v>3</v>
      </c>
      <c r="CNU52">
        <f t="shared" si="261"/>
        <v>3</v>
      </c>
      <c r="CNV52">
        <f t="shared" si="261"/>
        <v>3</v>
      </c>
      <c r="CNW52">
        <f t="shared" si="261"/>
        <v>2</v>
      </c>
      <c r="CNX52">
        <f t="shared" si="261"/>
        <v>2</v>
      </c>
      <c r="CNY52">
        <f t="shared" si="261"/>
        <v>2</v>
      </c>
      <c r="CNZ52">
        <f t="shared" si="261"/>
        <v>2</v>
      </c>
      <c r="COA52">
        <f t="shared" si="261"/>
        <v>2</v>
      </c>
      <c r="COB52">
        <f t="shared" si="261"/>
        <v>2</v>
      </c>
      <c r="COC52">
        <f t="shared" si="261"/>
        <v>2</v>
      </c>
      <c r="COD52">
        <f t="shared" si="261"/>
        <v>2</v>
      </c>
      <c r="COE52">
        <f t="shared" si="261"/>
        <v>2</v>
      </c>
      <c r="COF52">
        <f t="shared" si="261"/>
        <v>2</v>
      </c>
      <c r="COG52">
        <f t="shared" si="261"/>
        <v>2</v>
      </c>
      <c r="COH52">
        <f t="shared" si="261"/>
        <v>2</v>
      </c>
      <c r="COI52">
        <f t="shared" si="261"/>
        <v>2</v>
      </c>
      <c r="COJ52">
        <f t="shared" si="261"/>
        <v>2</v>
      </c>
      <c r="COK52">
        <f t="shared" si="261"/>
        <v>2</v>
      </c>
      <c r="COL52">
        <f t="shared" si="261"/>
        <v>2</v>
      </c>
      <c r="COM52">
        <f t="shared" si="261"/>
        <v>2</v>
      </c>
      <c r="CON52">
        <f t="shared" si="261"/>
        <v>2</v>
      </c>
      <c r="COO52">
        <f t="shared" si="261"/>
        <v>2</v>
      </c>
      <c r="COP52">
        <f t="shared" si="261"/>
        <v>2</v>
      </c>
      <c r="COQ52">
        <f t="shared" si="261"/>
        <v>2</v>
      </c>
      <c r="COR52">
        <f t="shared" si="261"/>
        <v>2</v>
      </c>
      <c r="COS52">
        <f t="shared" si="261"/>
        <v>2</v>
      </c>
      <c r="COT52">
        <f t="shared" si="261"/>
        <v>2</v>
      </c>
      <c r="COU52">
        <f t="shared" si="261"/>
        <v>2</v>
      </c>
      <c r="COV52">
        <f t="shared" si="261"/>
        <v>2</v>
      </c>
      <c r="COW52">
        <f t="shared" si="261"/>
        <v>2</v>
      </c>
      <c r="COX52">
        <f t="shared" si="261"/>
        <v>2</v>
      </c>
      <c r="COY52">
        <f t="shared" si="261"/>
        <v>2</v>
      </c>
      <c r="COZ52">
        <f t="shared" si="261"/>
        <v>2</v>
      </c>
      <c r="CPA52">
        <f t="shared" si="261"/>
        <v>2</v>
      </c>
      <c r="CPB52">
        <f t="shared" si="261"/>
        <v>2</v>
      </c>
      <c r="CPC52">
        <f t="shared" si="261"/>
        <v>2</v>
      </c>
      <c r="CPD52">
        <f t="shared" si="261"/>
        <v>2</v>
      </c>
      <c r="CPE52">
        <f t="shared" si="261"/>
        <v>2</v>
      </c>
      <c r="CPF52">
        <f t="shared" si="261"/>
        <v>2</v>
      </c>
      <c r="CPG52">
        <f t="shared" si="261"/>
        <v>2</v>
      </c>
      <c r="CPH52">
        <f t="shared" si="261"/>
        <v>3</v>
      </c>
      <c r="CPI52">
        <f t="shared" si="261"/>
        <v>3</v>
      </c>
      <c r="CPJ52">
        <f t="shared" si="261"/>
        <v>3</v>
      </c>
      <c r="CPK52">
        <f t="shared" si="261"/>
        <v>3</v>
      </c>
      <c r="CPL52">
        <f t="shared" si="261"/>
        <v>3</v>
      </c>
      <c r="CPM52">
        <f t="shared" si="261"/>
        <v>3</v>
      </c>
      <c r="CPN52">
        <f t="shared" si="261"/>
        <v>3</v>
      </c>
      <c r="CPO52">
        <f t="shared" si="261"/>
        <v>3</v>
      </c>
      <c r="CPP52">
        <f t="shared" si="261"/>
        <v>3</v>
      </c>
      <c r="CPQ52">
        <f t="shared" si="261"/>
        <v>3</v>
      </c>
      <c r="CPR52">
        <f t="shared" si="261"/>
        <v>3</v>
      </c>
      <c r="CPS52">
        <f t="shared" si="261"/>
        <v>3</v>
      </c>
      <c r="CPT52">
        <f t="shared" si="261"/>
        <v>3</v>
      </c>
      <c r="CPU52">
        <f t="shared" si="261"/>
        <v>3</v>
      </c>
      <c r="CPV52">
        <f t="shared" si="261"/>
        <v>3</v>
      </c>
      <c r="CPW52">
        <f t="shared" si="261"/>
        <v>3</v>
      </c>
      <c r="CPX52">
        <f t="shared" si="261"/>
        <v>3</v>
      </c>
      <c r="CPY52">
        <f t="shared" si="261"/>
        <v>3</v>
      </c>
      <c r="CPZ52">
        <f t="shared" si="261"/>
        <v>3</v>
      </c>
      <c r="CQA52">
        <f t="shared" ref="CQA52:CSL52" si="262">COUNTBLANK(CQA2:CQA5)</f>
        <v>3</v>
      </c>
      <c r="CQB52">
        <f t="shared" si="262"/>
        <v>3</v>
      </c>
      <c r="CQC52">
        <f t="shared" si="262"/>
        <v>3</v>
      </c>
      <c r="CQD52">
        <f t="shared" si="262"/>
        <v>3</v>
      </c>
      <c r="CQE52">
        <f t="shared" si="262"/>
        <v>3</v>
      </c>
      <c r="CQF52">
        <f t="shared" si="262"/>
        <v>3</v>
      </c>
      <c r="CQG52">
        <f t="shared" si="262"/>
        <v>3</v>
      </c>
      <c r="CQH52">
        <f t="shared" si="262"/>
        <v>3</v>
      </c>
      <c r="CQI52">
        <f t="shared" si="262"/>
        <v>3</v>
      </c>
      <c r="CQJ52">
        <f t="shared" si="262"/>
        <v>3</v>
      </c>
      <c r="CQK52">
        <f t="shared" si="262"/>
        <v>3</v>
      </c>
      <c r="CQL52">
        <f t="shared" si="262"/>
        <v>3</v>
      </c>
      <c r="CQM52">
        <f t="shared" si="262"/>
        <v>3</v>
      </c>
      <c r="CQN52">
        <f t="shared" si="262"/>
        <v>3</v>
      </c>
      <c r="CQO52">
        <f t="shared" si="262"/>
        <v>3</v>
      </c>
      <c r="CQP52">
        <f t="shared" si="262"/>
        <v>3</v>
      </c>
      <c r="CQQ52">
        <f t="shared" si="262"/>
        <v>3</v>
      </c>
      <c r="CQR52">
        <f t="shared" si="262"/>
        <v>3</v>
      </c>
      <c r="CQS52">
        <f t="shared" si="262"/>
        <v>3</v>
      </c>
      <c r="CQT52">
        <f t="shared" si="262"/>
        <v>3</v>
      </c>
      <c r="CQU52">
        <f t="shared" si="262"/>
        <v>3</v>
      </c>
      <c r="CQV52">
        <f t="shared" si="262"/>
        <v>3</v>
      </c>
      <c r="CQW52">
        <f t="shared" si="262"/>
        <v>3</v>
      </c>
      <c r="CQX52">
        <f t="shared" si="262"/>
        <v>3</v>
      </c>
      <c r="CQY52">
        <f t="shared" si="262"/>
        <v>3</v>
      </c>
      <c r="CQZ52">
        <f t="shared" si="262"/>
        <v>3</v>
      </c>
      <c r="CRA52">
        <f t="shared" si="262"/>
        <v>3</v>
      </c>
      <c r="CRB52">
        <f t="shared" si="262"/>
        <v>3</v>
      </c>
      <c r="CRC52">
        <f t="shared" si="262"/>
        <v>3</v>
      </c>
      <c r="CRD52">
        <f t="shared" si="262"/>
        <v>3</v>
      </c>
      <c r="CRE52">
        <f t="shared" si="262"/>
        <v>3</v>
      </c>
      <c r="CRF52">
        <f t="shared" si="262"/>
        <v>3</v>
      </c>
      <c r="CRG52">
        <f t="shared" si="262"/>
        <v>3</v>
      </c>
      <c r="CRH52">
        <f t="shared" si="262"/>
        <v>3</v>
      </c>
      <c r="CRI52">
        <f t="shared" si="262"/>
        <v>3</v>
      </c>
      <c r="CRJ52">
        <f t="shared" si="262"/>
        <v>3</v>
      </c>
      <c r="CRK52">
        <f t="shared" si="262"/>
        <v>3</v>
      </c>
      <c r="CRL52">
        <f t="shared" si="262"/>
        <v>3</v>
      </c>
      <c r="CRM52">
        <f t="shared" si="262"/>
        <v>3</v>
      </c>
      <c r="CRN52">
        <f t="shared" si="262"/>
        <v>3</v>
      </c>
      <c r="CRO52">
        <f t="shared" si="262"/>
        <v>3</v>
      </c>
      <c r="CRP52">
        <f t="shared" si="262"/>
        <v>3</v>
      </c>
      <c r="CRQ52">
        <f t="shared" si="262"/>
        <v>3</v>
      </c>
      <c r="CRR52">
        <f t="shared" si="262"/>
        <v>3</v>
      </c>
      <c r="CRS52">
        <f t="shared" si="262"/>
        <v>3</v>
      </c>
      <c r="CRT52">
        <f t="shared" si="262"/>
        <v>3</v>
      </c>
      <c r="CRU52">
        <f t="shared" si="262"/>
        <v>3</v>
      </c>
      <c r="CRV52">
        <f t="shared" si="262"/>
        <v>3</v>
      </c>
      <c r="CRW52">
        <f t="shared" si="262"/>
        <v>3</v>
      </c>
      <c r="CRX52">
        <f t="shared" si="262"/>
        <v>3</v>
      </c>
      <c r="CRY52">
        <f t="shared" si="262"/>
        <v>3</v>
      </c>
      <c r="CRZ52">
        <f t="shared" si="262"/>
        <v>3</v>
      </c>
      <c r="CSA52">
        <f t="shared" si="262"/>
        <v>3</v>
      </c>
      <c r="CSB52">
        <f t="shared" si="262"/>
        <v>3</v>
      </c>
      <c r="CSC52">
        <f t="shared" si="262"/>
        <v>3</v>
      </c>
      <c r="CSD52">
        <f t="shared" si="262"/>
        <v>3</v>
      </c>
      <c r="CSE52">
        <f t="shared" si="262"/>
        <v>3</v>
      </c>
      <c r="CSF52">
        <f t="shared" si="262"/>
        <v>3</v>
      </c>
      <c r="CSG52">
        <f t="shared" si="262"/>
        <v>3</v>
      </c>
      <c r="CSH52">
        <f t="shared" si="262"/>
        <v>3</v>
      </c>
      <c r="CSI52">
        <f t="shared" si="262"/>
        <v>3</v>
      </c>
      <c r="CSJ52">
        <f t="shared" si="262"/>
        <v>3</v>
      </c>
      <c r="CSK52">
        <f t="shared" si="262"/>
        <v>3</v>
      </c>
      <c r="CSL52">
        <f t="shared" si="262"/>
        <v>3</v>
      </c>
      <c r="CSM52">
        <f t="shared" ref="CSM52:CUX52" si="263">COUNTBLANK(CSM2:CSM5)</f>
        <v>3</v>
      </c>
      <c r="CSN52">
        <f t="shared" si="263"/>
        <v>3</v>
      </c>
      <c r="CSO52">
        <f t="shared" si="263"/>
        <v>3</v>
      </c>
      <c r="CSP52">
        <f t="shared" si="263"/>
        <v>3</v>
      </c>
      <c r="CSQ52">
        <f t="shared" si="263"/>
        <v>3</v>
      </c>
      <c r="CSR52">
        <f t="shared" si="263"/>
        <v>3</v>
      </c>
      <c r="CSS52">
        <f t="shared" si="263"/>
        <v>3</v>
      </c>
      <c r="CST52">
        <f t="shared" si="263"/>
        <v>3</v>
      </c>
      <c r="CSU52">
        <f t="shared" si="263"/>
        <v>3</v>
      </c>
      <c r="CSV52">
        <f t="shared" si="263"/>
        <v>3</v>
      </c>
      <c r="CSW52">
        <f t="shared" si="263"/>
        <v>3</v>
      </c>
      <c r="CSX52">
        <f t="shared" si="263"/>
        <v>3</v>
      </c>
      <c r="CSY52">
        <f t="shared" si="263"/>
        <v>3</v>
      </c>
      <c r="CSZ52">
        <f t="shared" si="263"/>
        <v>3</v>
      </c>
      <c r="CTA52">
        <f t="shared" si="263"/>
        <v>3</v>
      </c>
      <c r="CTB52">
        <f t="shared" si="263"/>
        <v>3</v>
      </c>
      <c r="CTC52">
        <f t="shared" si="263"/>
        <v>3</v>
      </c>
      <c r="CTD52">
        <f t="shared" si="263"/>
        <v>3</v>
      </c>
      <c r="CTE52">
        <f t="shared" si="263"/>
        <v>3</v>
      </c>
      <c r="CTF52">
        <f t="shared" si="263"/>
        <v>3</v>
      </c>
      <c r="CTG52">
        <f t="shared" si="263"/>
        <v>3</v>
      </c>
      <c r="CTH52">
        <f t="shared" si="263"/>
        <v>3</v>
      </c>
      <c r="CTI52">
        <f t="shared" si="263"/>
        <v>3</v>
      </c>
      <c r="CTJ52">
        <f t="shared" si="263"/>
        <v>3</v>
      </c>
      <c r="CTK52">
        <f t="shared" si="263"/>
        <v>3</v>
      </c>
      <c r="CTL52">
        <f t="shared" si="263"/>
        <v>3</v>
      </c>
      <c r="CTM52">
        <f t="shared" si="263"/>
        <v>3</v>
      </c>
      <c r="CTN52">
        <f t="shared" si="263"/>
        <v>2</v>
      </c>
      <c r="CTO52">
        <f t="shared" si="263"/>
        <v>2</v>
      </c>
      <c r="CTP52">
        <f t="shared" si="263"/>
        <v>2</v>
      </c>
      <c r="CTQ52">
        <f t="shared" si="263"/>
        <v>2</v>
      </c>
      <c r="CTR52">
        <f t="shared" si="263"/>
        <v>2</v>
      </c>
      <c r="CTS52">
        <f t="shared" si="263"/>
        <v>2</v>
      </c>
      <c r="CTT52">
        <f t="shared" si="263"/>
        <v>2</v>
      </c>
      <c r="CTU52">
        <f t="shared" si="263"/>
        <v>2</v>
      </c>
      <c r="CTV52">
        <f t="shared" si="263"/>
        <v>2</v>
      </c>
      <c r="CTW52">
        <f t="shared" si="263"/>
        <v>2</v>
      </c>
      <c r="CTX52">
        <f t="shared" si="263"/>
        <v>2</v>
      </c>
      <c r="CTY52">
        <f t="shared" si="263"/>
        <v>3</v>
      </c>
      <c r="CTZ52">
        <f t="shared" si="263"/>
        <v>3</v>
      </c>
      <c r="CUA52">
        <f t="shared" si="263"/>
        <v>3</v>
      </c>
      <c r="CUB52">
        <f t="shared" si="263"/>
        <v>3</v>
      </c>
      <c r="CUC52">
        <f t="shared" si="263"/>
        <v>3</v>
      </c>
      <c r="CUD52">
        <f t="shared" si="263"/>
        <v>3</v>
      </c>
      <c r="CUE52">
        <f t="shared" si="263"/>
        <v>3</v>
      </c>
      <c r="CUF52">
        <f t="shared" si="263"/>
        <v>3</v>
      </c>
      <c r="CUG52">
        <f t="shared" si="263"/>
        <v>3</v>
      </c>
      <c r="CUH52">
        <f t="shared" si="263"/>
        <v>3</v>
      </c>
      <c r="CUI52">
        <f t="shared" si="263"/>
        <v>3</v>
      </c>
      <c r="CUJ52">
        <f t="shared" si="263"/>
        <v>3</v>
      </c>
      <c r="CUK52">
        <f t="shared" si="263"/>
        <v>3</v>
      </c>
      <c r="CUL52">
        <f t="shared" si="263"/>
        <v>3</v>
      </c>
      <c r="CUM52">
        <f t="shared" si="263"/>
        <v>3</v>
      </c>
      <c r="CUN52">
        <f t="shared" si="263"/>
        <v>3</v>
      </c>
      <c r="CUO52">
        <f t="shared" si="263"/>
        <v>3</v>
      </c>
      <c r="CUP52">
        <f t="shared" si="263"/>
        <v>3</v>
      </c>
      <c r="CUQ52">
        <f t="shared" si="263"/>
        <v>3</v>
      </c>
      <c r="CUR52">
        <f t="shared" si="263"/>
        <v>3</v>
      </c>
      <c r="CUS52">
        <f t="shared" si="263"/>
        <v>3</v>
      </c>
      <c r="CUT52">
        <f t="shared" si="263"/>
        <v>3</v>
      </c>
      <c r="CUU52">
        <f t="shared" si="263"/>
        <v>3</v>
      </c>
      <c r="CUV52">
        <f t="shared" si="263"/>
        <v>3</v>
      </c>
      <c r="CUW52">
        <f t="shared" si="263"/>
        <v>3</v>
      </c>
      <c r="CUX52">
        <f t="shared" si="263"/>
        <v>3</v>
      </c>
      <c r="CUY52">
        <f t="shared" ref="CUY52:CXJ52" si="264">COUNTBLANK(CUY2:CUY5)</f>
        <v>3</v>
      </c>
      <c r="CUZ52">
        <f t="shared" si="264"/>
        <v>3</v>
      </c>
      <c r="CVA52">
        <f t="shared" si="264"/>
        <v>3</v>
      </c>
      <c r="CVB52">
        <f t="shared" si="264"/>
        <v>3</v>
      </c>
      <c r="CVC52">
        <f t="shared" si="264"/>
        <v>3</v>
      </c>
      <c r="CVD52">
        <f t="shared" si="264"/>
        <v>3</v>
      </c>
      <c r="CVE52">
        <f t="shared" si="264"/>
        <v>3</v>
      </c>
      <c r="CVF52">
        <f t="shared" si="264"/>
        <v>3</v>
      </c>
      <c r="CVG52">
        <f t="shared" si="264"/>
        <v>3</v>
      </c>
      <c r="CVH52">
        <f t="shared" si="264"/>
        <v>3</v>
      </c>
      <c r="CVI52">
        <f t="shared" si="264"/>
        <v>3</v>
      </c>
      <c r="CVJ52">
        <f t="shared" si="264"/>
        <v>3</v>
      </c>
      <c r="CVK52">
        <f t="shared" si="264"/>
        <v>3</v>
      </c>
      <c r="CVL52">
        <f t="shared" si="264"/>
        <v>3</v>
      </c>
      <c r="CVM52">
        <f t="shared" si="264"/>
        <v>3</v>
      </c>
      <c r="CVN52">
        <f t="shared" si="264"/>
        <v>3</v>
      </c>
      <c r="CVO52">
        <f t="shared" si="264"/>
        <v>3</v>
      </c>
      <c r="CVP52">
        <f t="shared" si="264"/>
        <v>3</v>
      </c>
      <c r="CVQ52">
        <f t="shared" si="264"/>
        <v>3</v>
      </c>
      <c r="CVR52">
        <f t="shared" si="264"/>
        <v>3</v>
      </c>
      <c r="CVS52">
        <f t="shared" si="264"/>
        <v>3</v>
      </c>
      <c r="CVT52">
        <f t="shared" si="264"/>
        <v>3</v>
      </c>
      <c r="CVU52">
        <f t="shared" si="264"/>
        <v>3</v>
      </c>
      <c r="CVV52">
        <f t="shared" si="264"/>
        <v>3</v>
      </c>
      <c r="CVW52">
        <f t="shared" si="264"/>
        <v>3</v>
      </c>
      <c r="CVX52">
        <f t="shared" si="264"/>
        <v>3</v>
      </c>
      <c r="CVY52">
        <f t="shared" si="264"/>
        <v>3</v>
      </c>
      <c r="CVZ52">
        <f t="shared" si="264"/>
        <v>3</v>
      </c>
      <c r="CWA52">
        <f t="shared" si="264"/>
        <v>3</v>
      </c>
      <c r="CWB52">
        <f t="shared" si="264"/>
        <v>3</v>
      </c>
      <c r="CWC52">
        <f t="shared" si="264"/>
        <v>3</v>
      </c>
      <c r="CWD52">
        <f t="shared" si="264"/>
        <v>3</v>
      </c>
      <c r="CWE52">
        <f t="shared" si="264"/>
        <v>3</v>
      </c>
      <c r="CWF52">
        <f t="shared" si="264"/>
        <v>3</v>
      </c>
      <c r="CWG52">
        <f t="shared" si="264"/>
        <v>3</v>
      </c>
      <c r="CWH52">
        <f t="shared" si="264"/>
        <v>3</v>
      </c>
      <c r="CWI52">
        <f t="shared" si="264"/>
        <v>3</v>
      </c>
      <c r="CWJ52">
        <f t="shared" si="264"/>
        <v>3</v>
      </c>
      <c r="CWK52">
        <f t="shared" si="264"/>
        <v>3</v>
      </c>
      <c r="CWL52">
        <f t="shared" si="264"/>
        <v>3</v>
      </c>
      <c r="CWM52">
        <f t="shared" si="264"/>
        <v>3</v>
      </c>
      <c r="CWN52">
        <f t="shared" si="264"/>
        <v>3</v>
      </c>
      <c r="CWO52">
        <f t="shared" si="264"/>
        <v>3</v>
      </c>
      <c r="CWP52">
        <f t="shared" si="264"/>
        <v>3</v>
      </c>
      <c r="CWQ52">
        <f t="shared" si="264"/>
        <v>3</v>
      </c>
      <c r="CWR52">
        <f t="shared" si="264"/>
        <v>3</v>
      </c>
      <c r="CWS52">
        <f t="shared" si="264"/>
        <v>3</v>
      </c>
      <c r="CWT52">
        <f t="shared" si="264"/>
        <v>3</v>
      </c>
      <c r="CWU52">
        <f t="shared" si="264"/>
        <v>3</v>
      </c>
      <c r="CWV52">
        <f t="shared" si="264"/>
        <v>3</v>
      </c>
      <c r="CWW52">
        <f t="shared" si="264"/>
        <v>3</v>
      </c>
      <c r="CWX52">
        <f t="shared" si="264"/>
        <v>3</v>
      </c>
      <c r="CWY52">
        <f t="shared" si="264"/>
        <v>3</v>
      </c>
      <c r="CWZ52">
        <f t="shared" si="264"/>
        <v>3</v>
      </c>
      <c r="CXA52">
        <f t="shared" si="264"/>
        <v>3</v>
      </c>
      <c r="CXB52">
        <f t="shared" si="264"/>
        <v>3</v>
      </c>
      <c r="CXC52">
        <f t="shared" si="264"/>
        <v>3</v>
      </c>
      <c r="CXD52">
        <f t="shared" si="264"/>
        <v>3</v>
      </c>
      <c r="CXE52">
        <f t="shared" si="264"/>
        <v>3</v>
      </c>
      <c r="CXF52">
        <f t="shared" si="264"/>
        <v>3</v>
      </c>
      <c r="CXG52">
        <f t="shared" si="264"/>
        <v>3</v>
      </c>
      <c r="CXH52">
        <f t="shared" si="264"/>
        <v>3</v>
      </c>
      <c r="CXI52">
        <f t="shared" si="264"/>
        <v>3</v>
      </c>
      <c r="CXJ52">
        <f t="shared" si="264"/>
        <v>3</v>
      </c>
      <c r="CXK52">
        <f t="shared" ref="CXK52:CZV52" si="265">COUNTBLANK(CXK2:CXK5)</f>
        <v>3</v>
      </c>
      <c r="CXL52">
        <f t="shared" si="265"/>
        <v>3</v>
      </c>
      <c r="CXM52">
        <f t="shared" si="265"/>
        <v>3</v>
      </c>
      <c r="CXN52">
        <f t="shared" si="265"/>
        <v>3</v>
      </c>
      <c r="CXO52">
        <f t="shared" si="265"/>
        <v>3</v>
      </c>
      <c r="CXP52">
        <f t="shared" si="265"/>
        <v>3</v>
      </c>
      <c r="CXQ52">
        <f t="shared" si="265"/>
        <v>3</v>
      </c>
      <c r="CXR52">
        <f t="shared" si="265"/>
        <v>3</v>
      </c>
      <c r="CXS52">
        <f t="shared" si="265"/>
        <v>3</v>
      </c>
      <c r="CXT52">
        <f t="shared" si="265"/>
        <v>3</v>
      </c>
      <c r="CXU52">
        <f t="shared" si="265"/>
        <v>3</v>
      </c>
      <c r="CXV52">
        <f t="shared" si="265"/>
        <v>3</v>
      </c>
      <c r="CXW52">
        <f t="shared" si="265"/>
        <v>3</v>
      </c>
      <c r="CXX52">
        <f t="shared" si="265"/>
        <v>3</v>
      </c>
      <c r="CXY52">
        <f t="shared" si="265"/>
        <v>3</v>
      </c>
      <c r="CXZ52">
        <f t="shared" si="265"/>
        <v>3</v>
      </c>
      <c r="CYA52">
        <f t="shared" si="265"/>
        <v>3</v>
      </c>
      <c r="CYB52">
        <f t="shared" si="265"/>
        <v>3</v>
      </c>
      <c r="CYC52">
        <f t="shared" si="265"/>
        <v>3</v>
      </c>
      <c r="CYD52">
        <f t="shared" si="265"/>
        <v>3</v>
      </c>
      <c r="CYE52">
        <f t="shared" si="265"/>
        <v>3</v>
      </c>
      <c r="CYF52">
        <f t="shared" si="265"/>
        <v>3</v>
      </c>
      <c r="CYG52">
        <f t="shared" si="265"/>
        <v>3</v>
      </c>
      <c r="CYH52">
        <f t="shared" si="265"/>
        <v>3</v>
      </c>
      <c r="CYI52">
        <f t="shared" si="265"/>
        <v>3</v>
      </c>
      <c r="CYJ52">
        <f t="shared" si="265"/>
        <v>3</v>
      </c>
      <c r="CYK52">
        <f t="shared" si="265"/>
        <v>3</v>
      </c>
      <c r="CYL52">
        <f t="shared" si="265"/>
        <v>3</v>
      </c>
      <c r="CYM52">
        <f t="shared" si="265"/>
        <v>3</v>
      </c>
      <c r="CYN52">
        <f t="shared" si="265"/>
        <v>3</v>
      </c>
      <c r="CYO52">
        <f t="shared" si="265"/>
        <v>3</v>
      </c>
      <c r="CYP52">
        <f t="shared" si="265"/>
        <v>3</v>
      </c>
      <c r="CYQ52">
        <f t="shared" si="265"/>
        <v>3</v>
      </c>
      <c r="CYR52">
        <f t="shared" si="265"/>
        <v>3</v>
      </c>
      <c r="CYS52">
        <f t="shared" si="265"/>
        <v>3</v>
      </c>
      <c r="CYT52">
        <f t="shared" si="265"/>
        <v>3</v>
      </c>
      <c r="CYU52">
        <f t="shared" si="265"/>
        <v>3</v>
      </c>
      <c r="CYV52">
        <f t="shared" si="265"/>
        <v>3</v>
      </c>
      <c r="CYW52">
        <f t="shared" si="265"/>
        <v>3</v>
      </c>
      <c r="CYX52">
        <f t="shared" si="265"/>
        <v>3</v>
      </c>
      <c r="CYY52">
        <f t="shared" si="265"/>
        <v>3</v>
      </c>
      <c r="CYZ52">
        <f t="shared" si="265"/>
        <v>3</v>
      </c>
      <c r="CZA52">
        <f t="shared" si="265"/>
        <v>3</v>
      </c>
      <c r="CZB52">
        <f t="shared" si="265"/>
        <v>3</v>
      </c>
      <c r="CZC52">
        <f t="shared" si="265"/>
        <v>3</v>
      </c>
      <c r="CZD52">
        <f t="shared" si="265"/>
        <v>3</v>
      </c>
      <c r="CZE52">
        <f t="shared" si="265"/>
        <v>3</v>
      </c>
      <c r="CZF52">
        <f t="shared" si="265"/>
        <v>3</v>
      </c>
      <c r="CZG52">
        <f t="shared" si="265"/>
        <v>3</v>
      </c>
      <c r="CZH52">
        <f t="shared" si="265"/>
        <v>3</v>
      </c>
      <c r="CZI52">
        <f t="shared" si="265"/>
        <v>3</v>
      </c>
      <c r="CZJ52">
        <f t="shared" si="265"/>
        <v>3</v>
      </c>
      <c r="CZK52">
        <f t="shared" si="265"/>
        <v>3</v>
      </c>
      <c r="CZL52">
        <f t="shared" si="265"/>
        <v>3</v>
      </c>
      <c r="CZM52">
        <f t="shared" si="265"/>
        <v>3</v>
      </c>
      <c r="CZN52">
        <f t="shared" si="265"/>
        <v>3</v>
      </c>
      <c r="CZO52">
        <f t="shared" si="265"/>
        <v>3</v>
      </c>
      <c r="CZP52">
        <f t="shared" si="265"/>
        <v>3</v>
      </c>
      <c r="CZQ52">
        <f t="shared" si="265"/>
        <v>3</v>
      </c>
      <c r="CZR52">
        <f t="shared" si="265"/>
        <v>3</v>
      </c>
      <c r="CZS52">
        <f t="shared" si="265"/>
        <v>3</v>
      </c>
      <c r="CZT52">
        <f t="shared" si="265"/>
        <v>3</v>
      </c>
      <c r="CZU52">
        <f t="shared" si="265"/>
        <v>3</v>
      </c>
      <c r="CZV52">
        <f t="shared" si="265"/>
        <v>2</v>
      </c>
      <c r="CZW52">
        <f t="shared" ref="CZW52:DCH52" si="266">COUNTBLANK(CZW2:CZW5)</f>
        <v>2</v>
      </c>
      <c r="CZX52">
        <f t="shared" si="266"/>
        <v>2</v>
      </c>
      <c r="CZY52">
        <f t="shared" si="266"/>
        <v>2</v>
      </c>
      <c r="CZZ52">
        <f t="shared" si="266"/>
        <v>2</v>
      </c>
      <c r="DAA52">
        <f t="shared" si="266"/>
        <v>2</v>
      </c>
      <c r="DAB52">
        <f t="shared" si="266"/>
        <v>2</v>
      </c>
      <c r="DAC52">
        <f t="shared" si="266"/>
        <v>2</v>
      </c>
      <c r="DAD52">
        <f t="shared" si="266"/>
        <v>2</v>
      </c>
      <c r="DAE52">
        <f t="shared" si="266"/>
        <v>2</v>
      </c>
      <c r="DAF52">
        <f t="shared" si="266"/>
        <v>2</v>
      </c>
      <c r="DAG52">
        <f t="shared" si="266"/>
        <v>2</v>
      </c>
      <c r="DAH52">
        <f t="shared" si="266"/>
        <v>2</v>
      </c>
      <c r="DAI52">
        <f t="shared" si="266"/>
        <v>2</v>
      </c>
      <c r="DAJ52">
        <f t="shared" si="266"/>
        <v>2</v>
      </c>
      <c r="DAK52">
        <f t="shared" si="266"/>
        <v>2</v>
      </c>
      <c r="DAL52">
        <f t="shared" si="266"/>
        <v>2</v>
      </c>
      <c r="DAM52">
        <f t="shared" si="266"/>
        <v>2</v>
      </c>
      <c r="DAN52">
        <f t="shared" si="266"/>
        <v>2</v>
      </c>
      <c r="DAO52">
        <f t="shared" si="266"/>
        <v>2</v>
      </c>
      <c r="DAP52">
        <f t="shared" si="266"/>
        <v>2</v>
      </c>
      <c r="DAQ52">
        <f t="shared" si="266"/>
        <v>2</v>
      </c>
      <c r="DAR52">
        <f t="shared" si="266"/>
        <v>2</v>
      </c>
      <c r="DAS52">
        <f t="shared" si="266"/>
        <v>2</v>
      </c>
      <c r="DAT52">
        <f t="shared" si="266"/>
        <v>2</v>
      </c>
      <c r="DAU52">
        <f t="shared" si="266"/>
        <v>2</v>
      </c>
      <c r="DAV52">
        <f t="shared" si="266"/>
        <v>2</v>
      </c>
      <c r="DAW52">
        <f t="shared" si="266"/>
        <v>2</v>
      </c>
      <c r="DAX52">
        <f t="shared" si="266"/>
        <v>2</v>
      </c>
      <c r="DAY52">
        <f t="shared" si="266"/>
        <v>3</v>
      </c>
      <c r="DAZ52">
        <f t="shared" si="266"/>
        <v>3</v>
      </c>
      <c r="DBA52">
        <f t="shared" si="266"/>
        <v>3</v>
      </c>
      <c r="DBB52">
        <f t="shared" si="266"/>
        <v>3</v>
      </c>
      <c r="DBC52">
        <f t="shared" si="266"/>
        <v>3</v>
      </c>
      <c r="DBD52">
        <f t="shared" si="266"/>
        <v>3</v>
      </c>
      <c r="DBE52">
        <f t="shared" si="266"/>
        <v>3</v>
      </c>
      <c r="DBF52">
        <f t="shared" si="266"/>
        <v>3</v>
      </c>
      <c r="DBG52">
        <f t="shared" si="266"/>
        <v>3</v>
      </c>
      <c r="DBH52">
        <f t="shared" si="266"/>
        <v>3</v>
      </c>
      <c r="DBI52">
        <f t="shared" si="266"/>
        <v>3</v>
      </c>
      <c r="DBJ52">
        <f t="shared" si="266"/>
        <v>3</v>
      </c>
      <c r="DBK52">
        <f t="shared" si="266"/>
        <v>3</v>
      </c>
      <c r="DBL52">
        <f t="shared" si="266"/>
        <v>3</v>
      </c>
      <c r="DBM52">
        <f t="shared" si="266"/>
        <v>3</v>
      </c>
      <c r="DBN52">
        <f t="shared" si="266"/>
        <v>3</v>
      </c>
      <c r="DBO52">
        <f t="shared" si="266"/>
        <v>3</v>
      </c>
      <c r="DBP52">
        <f t="shared" si="266"/>
        <v>3</v>
      </c>
      <c r="DBQ52">
        <f t="shared" si="266"/>
        <v>3</v>
      </c>
      <c r="DBR52">
        <f t="shared" si="266"/>
        <v>3</v>
      </c>
      <c r="DBS52">
        <f t="shared" si="266"/>
        <v>3</v>
      </c>
      <c r="DBT52">
        <f t="shared" si="266"/>
        <v>3</v>
      </c>
      <c r="DBU52">
        <f t="shared" si="266"/>
        <v>3</v>
      </c>
      <c r="DBV52">
        <f t="shared" si="266"/>
        <v>3</v>
      </c>
      <c r="DBW52">
        <f t="shared" si="266"/>
        <v>3</v>
      </c>
      <c r="DBX52">
        <f t="shared" si="266"/>
        <v>3</v>
      </c>
      <c r="DBY52">
        <f t="shared" si="266"/>
        <v>3</v>
      </c>
      <c r="DBZ52">
        <f t="shared" si="266"/>
        <v>3</v>
      </c>
      <c r="DCA52">
        <f t="shared" si="266"/>
        <v>3</v>
      </c>
      <c r="DCB52">
        <f t="shared" si="266"/>
        <v>3</v>
      </c>
      <c r="DCC52">
        <f t="shared" si="266"/>
        <v>3</v>
      </c>
      <c r="DCD52">
        <f t="shared" si="266"/>
        <v>3</v>
      </c>
      <c r="DCE52">
        <f t="shared" si="266"/>
        <v>3</v>
      </c>
      <c r="DCF52">
        <f t="shared" si="266"/>
        <v>3</v>
      </c>
      <c r="DCG52">
        <f t="shared" si="266"/>
        <v>3</v>
      </c>
      <c r="DCH52">
        <f t="shared" si="266"/>
        <v>3</v>
      </c>
      <c r="DCI52">
        <f t="shared" ref="DCI52:DET52" si="267">COUNTBLANK(DCI2:DCI5)</f>
        <v>3</v>
      </c>
      <c r="DCJ52">
        <f t="shared" si="267"/>
        <v>3</v>
      </c>
      <c r="DCK52">
        <f t="shared" si="267"/>
        <v>3</v>
      </c>
      <c r="DCL52">
        <f t="shared" si="267"/>
        <v>3</v>
      </c>
      <c r="DCM52">
        <f t="shared" si="267"/>
        <v>3</v>
      </c>
      <c r="DCN52">
        <f t="shared" si="267"/>
        <v>3</v>
      </c>
      <c r="DCO52">
        <f t="shared" si="267"/>
        <v>3</v>
      </c>
      <c r="DCP52">
        <f t="shared" si="267"/>
        <v>3</v>
      </c>
      <c r="DCQ52">
        <f t="shared" si="267"/>
        <v>3</v>
      </c>
      <c r="DCR52">
        <f t="shared" si="267"/>
        <v>3</v>
      </c>
      <c r="DCS52">
        <f t="shared" si="267"/>
        <v>3</v>
      </c>
      <c r="DCT52">
        <f t="shared" si="267"/>
        <v>3</v>
      </c>
      <c r="DCU52">
        <f t="shared" si="267"/>
        <v>3</v>
      </c>
      <c r="DCV52">
        <f t="shared" si="267"/>
        <v>3</v>
      </c>
      <c r="DCW52">
        <f t="shared" si="267"/>
        <v>3</v>
      </c>
      <c r="DCX52">
        <f t="shared" si="267"/>
        <v>3</v>
      </c>
      <c r="DCY52">
        <f t="shared" si="267"/>
        <v>3</v>
      </c>
      <c r="DCZ52">
        <f t="shared" si="267"/>
        <v>3</v>
      </c>
      <c r="DDA52">
        <f t="shared" si="267"/>
        <v>3</v>
      </c>
      <c r="DDB52">
        <f t="shared" si="267"/>
        <v>3</v>
      </c>
      <c r="DDC52">
        <f t="shared" si="267"/>
        <v>3</v>
      </c>
      <c r="DDD52">
        <f t="shared" si="267"/>
        <v>3</v>
      </c>
      <c r="DDE52">
        <f t="shared" si="267"/>
        <v>3</v>
      </c>
      <c r="DDF52">
        <f t="shared" si="267"/>
        <v>3</v>
      </c>
      <c r="DDG52">
        <f t="shared" si="267"/>
        <v>3</v>
      </c>
      <c r="DDH52">
        <f t="shared" si="267"/>
        <v>3</v>
      </c>
      <c r="DDI52">
        <f t="shared" si="267"/>
        <v>3</v>
      </c>
      <c r="DDJ52">
        <f t="shared" si="267"/>
        <v>3</v>
      </c>
      <c r="DDK52">
        <f t="shared" si="267"/>
        <v>3</v>
      </c>
      <c r="DDL52">
        <f t="shared" si="267"/>
        <v>3</v>
      </c>
      <c r="DDM52">
        <f t="shared" si="267"/>
        <v>3</v>
      </c>
      <c r="DDN52">
        <f t="shared" si="267"/>
        <v>3</v>
      </c>
      <c r="DDO52">
        <f t="shared" si="267"/>
        <v>3</v>
      </c>
      <c r="DDP52">
        <f t="shared" si="267"/>
        <v>3</v>
      </c>
      <c r="DDQ52">
        <f t="shared" si="267"/>
        <v>3</v>
      </c>
      <c r="DDR52">
        <f t="shared" si="267"/>
        <v>3</v>
      </c>
      <c r="DDS52">
        <f t="shared" si="267"/>
        <v>3</v>
      </c>
      <c r="DDT52">
        <f t="shared" si="267"/>
        <v>3</v>
      </c>
      <c r="DDU52">
        <f t="shared" si="267"/>
        <v>3</v>
      </c>
      <c r="DDV52">
        <f t="shared" si="267"/>
        <v>3</v>
      </c>
      <c r="DDW52">
        <f t="shared" si="267"/>
        <v>3</v>
      </c>
      <c r="DDX52">
        <f t="shared" si="267"/>
        <v>3</v>
      </c>
      <c r="DDY52">
        <f t="shared" si="267"/>
        <v>3</v>
      </c>
      <c r="DDZ52">
        <f t="shared" si="267"/>
        <v>3</v>
      </c>
      <c r="DEA52">
        <f t="shared" si="267"/>
        <v>3</v>
      </c>
      <c r="DEB52">
        <f t="shared" si="267"/>
        <v>3</v>
      </c>
      <c r="DEC52">
        <f t="shared" si="267"/>
        <v>3</v>
      </c>
      <c r="DED52">
        <f t="shared" si="267"/>
        <v>3</v>
      </c>
      <c r="DEE52">
        <f t="shared" si="267"/>
        <v>3</v>
      </c>
      <c r="DEF52">
        <f t="shared" si="267"/>
        <v>3</v>
      </c>
      <c r="DEG52">
        <f t="shared" si="267"/>
        <v>3</v>
      </c>
      <c r="DEH52">
        <f t="shared" si="267"/>
        <v>3</v>
      </c>
      <c r="DEI52">
        <f t="shared" si="267"/>
        <v>3</v>
      </c>
      <c r="DEJ52">
        <f t="shared" si="267"/>
        <v>3</v>
      </c>
      <c r="DEK52">
        <f t="shared" si="267"/>
        <v>3</v>
      </c>
      <c r="DEL52">
        <f t="shared" si="267"/>
        <v>2</v>
      </c>
      <c r="DEM52">
        <f t="shared" si="267"/>
        <v>2</v>
      </c>
      <c r="DEN52">
        <f t="shared" si="267"/>
        <v>2</v>
      </c>
      <c r="DEO52">
        <f t="shared" si="267"/>
        <v>2</v>
      </c>
      <c r="DEP52">
        <f t="shared" si="267"/>
        <v>2</v>
      </c>
      <c r="DEQ52">
        <f t="shared" si="267"/>
        <v>2</v>
      </c>
      <c r="DER52">
        <f t="shared" si="267"/>
        <v>2</v>
      </c>
      <c r="DES52">
        <f t="shared" si="267"/>
        <v>2</v>
      </c>
      <c r="DET52">
        <f t="shared" si="267"/>
        <v>2</v>
      </c>
      <c r="DEU52">
        <f t="shared" ref="DEU52:DHF52" si="268">COUNTBLANK(DEU2:DEU5)</f>
        <v>2</v>
      </c>
      <c r="DEV52">
        <f t="shared" si="268"/>
        <v>2</v>
      </c>
      <c r="DEW52">
        <f t="shared" si="268"/>
        <v>2</v>
      </c>
      <c r="DEX52">
        <f t="shared" si="268"/>
        <v>2</v>
      </c>
      <c r="DEY52">
        <f t="shared" si="268"/>
        <v>2</v>
      </c>
      <c r="DEZ52">
        <f t="shared" si="268"/>
        <v>2</v>
      </c>
      <c r="DFA52">
        <f t="shared" si="268"/>
        <v>2</v>
      </c>
      <c r="DFB52">
        <f t="shared" si="268"/>
        <v>2</v>
      </c>
      <c r="DFC52">
        <f t="shared" si="268"/>
        <v>2</v>
      </c>
      <c r="DFD52">
        <f t="shared" si="268"/>
        <v>2</v>
      </c>
      <c r="DFE52">
        <f t="shared" si="268"/>
        <v>2</v>
      </c>
      <c r="DFF52">
        <f t="shared" si="268"/>
        <v>2</v>
      </c>
      <c r="DFG52">
        <f t="shared" si="268"/>
        <v>2</v>
      </c>
      <c r="DFH52">
        <f t="shared" si="268"/>
        <v>2</v>
      </c>
      <c r="DFI52">
        <f t="shared" si="268"/>
        <v>2</v>
      </c>
      <c r="DFJ52">
        <f t="shared" si="268"/>
        <v>2</v>
      </c>
      <c r="DFK52">
        <f t="shared" si="268"/>
        <v>2</v>
      </c>
      <c r="DFL52">
        <f t="shared" si="268"/>
        <v>2</v>
      </c>
      <c r="DFM52">
        <f t="shared" si="268"/>
        <v>2</v>
      </c>
      <c r="DFN52">
        <f t="shared" si="268"/>
        <v>2</v>
      </c>
      <c r="DFO52">
        <f t="shared" si="268"/>
        <v>2</v>
      </c>
      <c r="DFP52">
        <f t="shared" si="268"/>
        <v>2</v>
      </c>
      <c r="DFQ52">
        <f t="shared" si="268"/>
        <v>2</v>
      </c>
      <c r="DFR52">
        <f t="shared" si="268"/>
        <v>2</v>
      </c>
      <c r="DFS52">
        <f t="shared" si="268"/>
        <v>2</v>
      </c>
      <c r="DFT52">
        <f t="shared" si="268"/>
        <v>2</v>
      </c>
      <c r="DFU52">
        <f t="shared" si="268"/>
        <v>2</v>
      </c>
      <c r="DFV52">
        <f t="shared" si="268"/>
        <v>2</v>
      </c>
      <c r="DFW52">
        <f t="shared" si="268"/>
        <v>2</v>
      </c>
      <c r="DFX52">
        <f t="shared" si="268"/>
        <v>2</v>
      </c>
      <c r="DFY52">
        <f t="shared" si="268"/>
        <v>2</v>
      </c>
      <c r="DFZ52">
        <f t="shared" si="268"/>
        <v>2</v>
      </c>
      <c r="DGA52">
        <f t="shared" si="268"/>
        <v>2</v>
      </c>
      <c r="DGB52">
        <f t="shared" si="268"/>
        <v>2</v>
      </c>
      <c r="DGC52">
        <f t="shared" si="268"/>
        <v>2</v>
      </c>
      <c r="DGD52">
        <f t="shared" si="268"/>
        <v>2</v>
      </c>
      <c r="DGE52">
        <f t="shared" si="268"/>
        <v>2</v>
      </c>
      <c r="DGF52">
        <f t="shared" si="268"/>
        <v>2</v>
      </c>
      <c r="DGG52">
        <f t="shared" si="268"/>
        <v>2</v>
      </c>
      <c r="DGH52">
        <f t="shared" si="268"/>
        <v>2</v>
      </c>
      <c r="DGI52">
        <f t="shared" si="268"/>
        <v>2</v>
      </c>
      <c r="DGJ52">
        <f t="shared" si="268"/>
        <v>2</v>
      </c>
      <c r="DGK52">
        <f t="shared" si="268"/>
        <v>2</v>
      </c>
      <c r="DGL52">
        <f t="shared" si="268"/>
        <v>2</v>
      </c>
      <c r="DGM52">
        <f t="shared" si="268"/>
        <v>2</v>
      </c>
      <c r="DGN52">
        <f t="shared" si="268"/>
        <v>2</v>
      </c>
      <c r="DGO52">
        <f t="shared" si="268"/>
        <v>2</v>
      </c>
      <c r="DGP52">
        <f t="shared" si="268"/>
        <v>2</v>
      </c>
      <c r="DGQ52">
        <f t="shared" si="268"/>
        <v>2</v>
      </c>
      <c r="DGR52">
        <f t="shared" si="268"/>
        <v>2</v>
      </c>
      <c r="DGS52">
        <f t="shared" si="268"/>
        <v>2</v>
      </c>
      <c r="DGT52">
        <f t="shared" si="268"/>
        <v>2</v>
      </c>
      <c r="DGU52">
        <f t="shared" si="268"/>
        <v>2</v>
      </c>
      <c r="DGV52">
        <f t="shared" si="268"/>
        <v>2</v>
      </c>
      <c r="DGW52">
        <f t="shared" si="268"/>
        <v>2</v>
      </c>
      <c r="DGX52">
        <f t="shared" si="268"/>
        <v>2</v>
      </c>
      <c r="DGY52">
        <f t="shared" si="268"/>
        <v>2</v>
      </c>
      <c r="DGZ52">
        <f t="shared" si="268"/>
        <v>2</v>
      </c>
      <c r="DHA52">
        <f t="shared" si="268"/>
        <v>2</v>
      </c>
      <c r="DHB52">
        <f t="shared" si="268"/>
        <v>2</v>
      </c>
      <c r="DHC52">
        <f t="shared" si="268"/>
        <v>2</v>
      </c>
      <c r="DHD52">
        <f t="shared" si="268"/>
        <v>2</v>
      </c>
      <c r="DHE52">
        <f t="shared" si="268"/>
        <v>2</v>
      </c>
      <c r="DHF52">
        <f t="shared" si="268"/>
        <v>2</v>
      </c>
      <c r="DHG52">
        <f t="shared" ref="DHG52:DJR52" si="269">COUNTBLANK(DHG2:DHG5)</f>
        <v>2</v>
      </c>
      <c r="DHH52">
        <f t="shared" si="269"/>
        <v>2</v>
      </c>
      <c r="DHI52">
        <f t="shared" si="269"/>
        <v>2</v>
      </c>
      <c r="DHJ52">
        <f t="shared" si="269"/>
        <v>2</v>
      </c>
      <c r="DHK52">
        <f t="shared" si="269"/>
        <v>2</v>
      </c>
      <c r="DHL52">
        <f t="shared" si="269"/>
        <v>2</v>
      </c>
      <c r="DHM52">
        <f t="shared" si="269"/>
        <v>2</v>
      </c>
      <c r="DHN52">
        <f t="shared" si="269"/>
        <v>2</v>
      </c>
      <c r="DHO52">
        <f t="shared" si="269"/>
        <v>2</v>
      </c>
      <c r="DHP52">
        <f t="shared" si="269"/>
        <v>2</v>
      </c>
      <c r="DHQ52">
        <f t="shared" si="269"/>
        <v>2</v>
      </c>
      <c r="DHR52">
        <f t="shared" si="269"/>
        <v>2</v>
      </c>
      <c r="DHS52">
        <f t="shared" si="269"/>
        <v>2</v>
      </c>
      <c r="DHT52">
        <f t="shared" si="269"/>
        <v>2</v>
      </c>
      <c r="DHU52">
        <f t="shared" si="269"/>
        <v>2</v>
      </c>
      <c r="DHV52">
        <f t="shared" si="269"/>
        <v>2</v>
      </c>
      <c r="DHW52">
        <f t="shared" si="269"/>
        <v>2</v>
      </c>
      <c r="DHX52">
        <f t="shared" si="269"/>
        <v>2</v>
      </c>
      <c r="DHY52">
        <f t="shared" si="269"/>
        <v>2</v>
      </c>
      <c r="DHZ52">
        <f t="shared" si="269"/>
        <v>2</v>
      </c>
      <c r="DIA52">
        <f t="shared" si="269"/>
        <v>2</v>
      </c>
      <c r="DIB52">
        <f t="shared" si="269"/>
        <v>2</v>
      </c>
      <c r="DIC52">
        <f t="shared" si="269"/>
        <v>2</v>
      </c>
      <c r="DID52">
        <f t="shared" si="269"/>
        <v>2</v>
      </c>
      <c r="DIE52">
        <f t="shared" si="269"/>
        <v>2</v>
      </c>
      <c r="DIF52">
        <f t="shared" si="269"/>
        <v>2</v>
      </c>
      <c r="DIG52">
        <f t="shared" si="269"/>
        <v>2</v>
      </c>
      <c r="DIH52">
        <f t="shared" si="269"/>
        <v>2</v>
      </c>
      <c r="DII52">
        <f t="shared" si="269"/>
        <v>2</v>
      </c>
      <c r="DIJ52">
        <f t="shared" si="269"/>
        <v>2</v>
      </c>
      <c r="DIK52">
        <f t="shared" si="269"/>
        <v>2</v>
      </c>
      <c r="DIL52">
        <f t="shared" si="269"/>
        <v>2</v>
      </c>
      <c r="DIM52">
        <f t="shared" si="269"/>
        <v>2</v>
      </c>
      <c r="DIN52">
        <f t="shared" si="269"/>
        <v>2</v>
      </c>
      <c r="DIO52">
        <f t="shared" si="269"/>
        <v>2</v>
      </c>
      <c r="DIP52">
        <f t="shared" si="269"/>
        <v>2</v>
      </c>
      <c r="DIQ52">
        <f t="shared" si="269"/>
        <v>2</v>
      </c>
      <c r="DIR52">
        <f t="shared" si="269"/>
        <v>2</v>
      </c>
      <c r="DIS52">
        <f t="shared" si="269"/>
        <v>2</v>
      </c>
      <c r="DIT52">
        <f t="shared" si="269"/>
        <v>2</v>
      </c>
      <c r="DIU52">
        <f t="shared" si="269"/>
        <v>2</v>
      </c>
      <c r="DIV52">
        <f t="shared" si="269"/>
        <v>2</v>
      </c>
      <c r="DIW52">
        <f t="shared" si="269"/>
        <v>2</v>
      </c>
      <c r="DIX52">
        <f t="shared" si="269"/>
        <v>2</v>
      </c>
      <c r="DIY52">
        <f t="shared" si="269"/>
        <v>2</v>
      </c>
      <c r="DIZ52">
        <f t="shared" si="269"/>
        <v>2</v>
      </c>
      <c r="DJA52">
        <f t="shared" si="269"/>
        <v>2</v>
      </c>
      <c r="DJB52">
        <f t="shared" si="269"/>
        <v>2</v>
      </c>
      <c r="DJC52">
        <f t="shared" si="269"/>
        <v>2</v>
      </c>
      <c r="DJD52">
        <f t="shared" si="269"/>
        <v>2</v>
      </c>
      <c r="DJE52">
        <f t="shared" si="269"/>
        <v>3</v>
      </c>
      <c r="DJF52">
        <f t="shared" si="269"/>
        <v>3</v>
      </c>
      <c r="DJG52">
        <f t="shared" si="269"/>
        <v>3</v>
      </c>
      <c r="DJH52">
        <f t="shared" si="269"/>
        <v>3</v>
      </c>
      <c r="DJI52">
        <f t="shared" si="269"/>
        <v>3</v>
      </c>
      <c r="DJJ52">
        <f t="shared" si="269"/>
        <v>3</v>
      </c>
      <c r="DJK52">
        <f t="shared" si="269"/>
        <v>3</v>
      </c>
      <c r="DJL52">
        <f t="shared" si="269"/>
        <v>3</v>
      </c>
      <c r="DJM52">
        <f t="shared" si="269"/>
        <v>3</v>
      </c>
      <c r="DJN52">
        <f t="shared" si="269"/>
        <v>3</v>
      </c>
      <c r="DJO52">
        <f t="shared" si="269"/>
        <v>3</v>
      </c>
      <c r="DJP52">
        <f t="shared" si="269"/>
        <v>3</v>
      </c>
      <c r="DJQ52">
        <f t="shared" si="269"/>
        <v>3</v>
      </c>
      <c r="DJR52">
        <f t="shared" si="269"/>
        <v>3</v>
      </c>
      <c r="DJS52">
        <f t="shared" ref="DJS52:DMD52" si="270">COUNTBLANK(DJS2:DJS5)</f>
        <v>3</v>
      </c>
      <c r="DJT52">
        <f t="shared" si="270"/>
        <v>3</v>
      </c>
      <c r="DJU52">
        <f t="shared" si="270"/>
        <v>3</v>
      </c>
      <c r="DJV52">
        <f t="shared" si="270"/>
        <v>3</v>
      </c>
      <c r="DJW52">
        <f t="shared" si="270"/>
        <v>3</v>
      </c>
      <c r="DJX52">
        <f t="shared" si="270"/>
        <v>3</v>
      </c>
      <c r="DJY52">
        <f t="shared" si="270"/>
        <v>3</v>
      </c>
      <c r="DJZ52">
        <f t="shared" si="270"/>
        <v>3</v>
      </c>
      <c r="DKA52">
        <f t="shared" si="270"/>
        <v>3</v>
      </c>
      <c r="DKB52">
        <f t="shared" si="270"/>
        <v>3</v>
      </c>
      <c r="DKC52">
        <f t="shared" si="270"/>
        <v>3</v>
      </c>
      <c r="DKD52">
        <f t="shared" si="270"/>
        <v>3</v>
      </c>
      <c r="DKE52">
        <f t="shared" si="270"/>
        <v>3</v>
      </c>
      <c r="DKF52">
        <f t="shared" si="270"/>
        <v>3</v>
      </c>
      <c r="DKG52">
        <f t="shared" si="270"/>
        <v>3</v>
      </c>
      <c r="DKH52">
        <f t="shared" si="270"/>
        <v>3</v>
      </c>
      <c r="DKI52">
        <f t="shared" si="270"/>
        <v>3</v>
      </c>
      <c r="DKJ52">
        <f t="shared" si="270"/>
        <v>3</v>
      </c>
      <c r="DKK52">
        <f t="shared" si="270"/>
        <v>3</v>
      </c>
      <c r="DKL52">
        <f t="shared" si="270"/>
        <v>3</v>
      </c>
      <c r="DKM52">
        <f t="shared" si="270"/>
        <v>3</v>
      </c>
      <c r="DKN52">
        <f t="shared" si="270"/>
        <v>3</v>
      </c>
      <c r="DKO52">
        <f t="shared" si="270"/>
        <v>3</v>
      </c>
      <c r="DKP52">
        <f t="shared" si="270"/>
        <v>3</v>
      </c>
      <c r="DKQ52">
        <f t="shared" si="270"/>
        <v>3</v>
      </c>
      <c r="DKR52">
        <f t="shared" si="270"/>
        <v>3</v>
      </c>
      <c r="DKS52">
        <f t="shared" si="270"/>
        <v>3</v>
      </c>
      <c r="DKT52">
        <f t="shared" si="270"/>
        <v>3</v>
      </c>
      <c r="DKU52">
        <f t="shared" si="270"/>
        <v>3</v>
      </c>
      <c r="DKV52">
        <f t="shared" si="270"/>
        <v>3</v>
      </c>
      <c r="DKW52">
        <f t="shared" si="270"/>
        <v>2</v>
      </c>
      <c r="DKX52">
        <f t="shared" si="270"/>
        <v>2</v>
      </c>
      <c r="DKY52">
        <f t="shared" si="270"/>
        <v>2</v>
      </c>
      <c r="DKZ52">
        <f t="shared" si="270"/>
        <v>2</v>
      </c>
      <c r="DLA52">
        <f t="shared" si="270"/>
        <v>2</v>
      </c>
      <c r="DLB52">
        <f t="shared" si="270"/>
        <v>2</v>
      </c>
      <c r="DLC52">
        <f t="shared" si="270"/>
        <v>2</v>
      </c>
      <c r="DLD52">
        <f t="shared" si="270"/>
        <v>2</v>
      </c>
      <c r="DLE52">
        <f t="shared" si="270"/>
        <v>2</v>
      </c>
      <c r="DLF52">
        <f t="shared" si="270"/>
        <v>2</v>
      </c>
      <c r="DLG52">
        <f t="shared" si="270"/>
        <v>2</v>
      </c>
      <c r="DLH52">
        <f t="shared" si="270"/>
        <v>2</v>
      </c>
      <c r="DLI52">
        <f t="shared" si="270"/>
        <v>2</v>
      </c>
      <c r="DLJ52">
        <f t="shared" si="270"/>
        <v>2</v>
      </c>
      <c r="DLK52">
        <f t="shared" si="270"/>
        <v>2</v>
      </c>
      <c r="DLL52">
        <f t="shared" si="270"/>
        <v>2</v>
      </c>
      <c r="DLM52">
        <f t="shared" si="270"/>
        <v>2</v>
      </c>
      <c r="DLN52">
        <f t="shared" si="270"/>
        <v>2</v>
      </c>
      <c r="DLO52">
        <f t="shared" si="270"/>
        <v>2</v>
      </c>
      <c r="DLP52">
        <f t="shared" si="270"/>
        <v>2</v>
      </c>
      <c r="DLQ52">
        <f t="shared" si="270"/>
        <v>2</v>
      </c>
      <c r="DLR52">
        <f t="shared" si="270"/>
        <v>2</v>
      </c>
      <c r="DLS52">
        <f t="shared" si="270"/>
        <v>2</v>
      </c>
      <c r="DLT52">
        <f t="shared" si="270"/>
        <v>2</v>
      </c>
      <c r="DLU52">
        <f t="shared" si="270"/>
        <v>2</v>
      </c>
      <c r="DLV52">
        <f t="shared" si="270"/>
        <v>2</v>
      </c>
      <c r="DLW52">
        <f t="shared" si="270"/>
        <v>2</v>
      </c>
      <c r="DLX52">
        <f t="shared" si="270"/>
        <v>2</v>
      </c>
      <c r="DLY52">
        <f t="shared" si="270"/>
        <v>2</v>
      </c>
      <c r="DLZ52">
        <f t="shared" si="270"/>
        <v>2</v>
      </c>
      <c r="DMA52">
        <f t="shared" si="270"/>
        <v>2</v>
      </c>
      <c r="DMB52">
        <f t="shared" si="270"/>
        <v>2</v>
      </c>
      <c r="DMC52">
        <f t="shared" si="270"/>
        <v>2</v>
      </c>
      <c r="DMD52">
        <f t="shared" si="270"/>
        <v>2</v>
      </c>
      <c r="DME52">
        <f t="shared" ref="DME52:DOP52" si="271">COUNTBLANK(DME2:DME5)</f>
        <v>2</v>
      </c>
      <c r="DMF52">
        <f t="shared" si="271"/>
        <v>2</v>
      </c>
      <c r="DMG52">
        <f t="shared" si="271"/>
        <v>2</v>
      </c>
      <c r="DMH52">
        <f t="shared" si="271"/>
        <v>2</v>
      </c>
      <c r="DMI52">
        <f t="shared" si="271"/>
        <v>2</v>
      </c>
      <c r="DMJ52">
        <f t="shared" si="271"/>
        <v>2</v>
      </c>
      <c r="DMK52">
        <f t="shared" si="271"/>
        <v>2</v>
      </c>
      <c r="DML52">
        <f t="shared" si="271"/>
        <v>2</v>
      </c>
      <c r="DMM52">
        <f t="shared" si="271"/>
        <v>2</v>
      </c>
      <c r="DMN52">
        <f t="shared" si="271"/>
        <v>2</v>
      </c>
      <c r="DMO52">
        <f t="shared" si="271"/>
        <v>2</v>
      </c>
      <c r="DMP52">
        <f t="shared" si="271"/>
        <v>2</v>
      </c>
      <c r="DMQ52">
        <f t="shared" si="271"/>
        <v>2</v>
      </c>
      <c r="DMR52">
        <f t="shared" si="271"/>
        <v>2</v>
      </c>
      <c r="DMS52">
        <f t="shared" si="271"/>
        <v>2</v>
      </c>
      <c r="DMT52">
        <f t="shared" si="271"/>
        <v>2</v>
      </c>
      <c r="DMU52">
        <f t="shared" si="271"/>
        <v>2</v>
      </c>
      <c r="DMV52">
        <f t="shared" si="271"/>
        <v>2</v>
      </c>
      <c r="DMW52">
        <f t="shared" si="271"/>
        <v>2</v>
      </c>
      <c r="DMX52">
        <f t="shared" si="271"/>
        <v>3</v>
      </c>
      <c r="DMY52">
        <f t="shared" si="271"/>
        <v>3</v>
      </c>
      <c r="DMZ52">
        <f t="shared" si="271"/>
        <v>3</v>
      </c>
      <c r="DNA52">
        <f t="shared" si="271"/>
        <v>3</v>
      </c>
      <c r="DNB52">
        <f t="shared" si="271"/>
        <v>3</v>
      </c>
      <c r="DNC52">
        <f t="shared" si="271"/>
        <v>3</v>
      </c>
      <c r="DND52">
        <f t="shared" si="271"/>
        <v>3</v>
      </c>
      <c r="DNE52">
        <f t="shared" si="271"/>
        <v>3</v>
      </c>
      <c r="DNF52">
        <f t="shared" si="271"/>
        <v>3</v>
      </c>
      <c r="DNG52">
        <f t="shared" si="271"/>
        <v>3</v>
      </c>
      <c r="DNH52">
        <f t="shared" si="271"/>
        <v>3</v>
      </c>
      <c r="DNI52">
        <f t="shared" si="271"/>
        <v>3</v>
      </c>
      <c r="DNJ52">
        <f t="shared" si="271"/>
        <v>3</v>
      </c>
      <c r="DNK52">
        <f t="shared" si="271"/>
        <v>3</v>
      </c>
      <c r="DNL52">
        <f t="shared" si="271"/>
        <v>3</v>
      </c>
      <c r="DNM52">
        <f t="shared" si="271"/>
        <v>3</v>
      </c>
      <c r="DNN52">
        <f t="shared" si="271"/>
        <v>3</v>
      </c>
      <c r="DNO52">
        <f t="shared" si="271"/>
        <v>3</v>
      </c>
      <c r="DNP52">
        <f t="shared" si="271"/>
        <v>3</v>
      </c>
      <c r="DNQ52">
        <f t="shared" si="271"/>
        <v>3</v>
      </c>
      <c r="DNR52">
        <f t="shared" si="271"/>
        <v>3</v>
      </c>
      <c r="DNS52">
        <f t="shared" si="271"/>
        <v>3</v>
      </c>
      <c r="DNT52">
        <f t="shared" si="271"/>
        <v>3</v>
      </c>
      <c r="DNU52">
        <f t="shared" si="271"/>
        <v>3</v>
      </c>
      <c r="DNV52">
        <f t="shared" si="271"/>
        <v>3</v>
      </c>
      <c r="DNW52">
        <f t="shared" si="271"/>
        <v>3</v>
      </c>
      <c r="DNX52">
        <f t="shared" si="271"/>
        <v>3</v>
      </c>
      <c r="DNY52">
        <f t="shared" si="271"/>
        <v>3</v>
      </c>
      <c r="DNZ52">
        <f t="shared" si="271"/>
        <v>3</v>
      </c>
      <c r="DOA52">
        <f t="shared" si="271"/>
        <v>3</v>
      </c>
      <c r="DOB52">
        <f t="shared" si="271"/>
        <v>3</v>
      </c>
      <c r="DOC52">
        <f t="shared" si="271"/>
        <v>3</v>
      </c>
      <c r="DOD52">
        <f t="shared" si="271"/>
        <v>3</v>
      </c>
      <c r="DOE52">
        <f t="shared" si="271"/>
        <v>3</v>
      </c>
      <c r="DOF52">
        <f t="shared" si="271"/>
        <v>3</v>
      </c>
      <c r="DOG52">
        <f t="shared" si="271"/>
        <v>3</v>
      </c>
      <c r="DOH52">
        <f t="shared" si="271"/>
        <v>3</v>
      </c>
      <c r="DOI52">
        <f t="shared" si="271"/>
        <v>3</v>
      </c>
      <c r="DOJ52">
        <f t="shared" si="271"/>
        <v>3</v>
      </c>
      <c r="DOK52">
        <f t="shared" si="271"/>
        <v>3</v>
      </c>
      <c r="DOL52">
        <f t="shared" si="271"/>
        <v>3</v>
      </c>
      <c r="DOM52">
        <f t="shared" si="271"/>
        <v>3</v>
      </c>
      <c r="DON52">
        <f t="shared" si="271"/>
        <v>3</v>
      </c>
      <c r="DOO52">
        <f t="shared" si="271"/>
        <v>3</v>
      </c>
      <c r="DOP52">
        <f t="shared" si="271"/>
        <v>3</v>
      </c>
      <c r="DOQ52">
        <f t="shared" ref="DOQ52:DRB52" si="272">COUNTBLANK(DOQ2:DOQ5)</f>
        <v>3</v>
      </c>
      <c r="DOR52">
        <f t="shared" si="272"/>
        <v>3</v>
      </c>
      <c r="DOS52">
        <f t="shared" si="272"/>
        <v>3</v>
      </c>
      <c r="DOT52">
        <f t="shared" si="272"/>
        <v>3</v>
      </c>
      <c r="DOU52">
        <f t="shared" si="272"/>
        <v>3</v>
      </c>
      <c r="DOV52">
        <f t="shared" si="272"/>
        <v>3</v>
      </c>
      <c r="DOW52">
        <f t="shared" si="272"/>
        <v>3</v>
      </c>
      <c r="DOX52">
        <f t="shared" si="272"/>
        <v>3</v>
      </c>
      <c r="DOY52">
        <f t="shared" si="272"/>
        <v>3</v>
      </c>
      <c r="DOZ52">
        <f t="shared" si="272"/>
        <v>3</v>
      </c>
      <c r="DPA52">
        <f t="shared" si="272"/>
        <v>3</v>
      </c>
      <c r="DPB52">
        <f t="shared" si="272"/>
        <v>3</v>
      </c>
      <c r="DPC52">
        <f t="shared" si="272"/>
        <v>3</v>
      </c>
      <c r="DPD52">
        <f t="shared" si="272"/>
        <v>3</v>
      </c>
      <c r="DPE52">
        <f t="shared" si="272"/>
        <v>3</v>
      </c>
      <c r="DPF52">
        <f t="shared" si="272"/>
        <v>3</v>
      </c>
      <c r="DPG52">
        <f t="shared" si="272"/>
        <v>3</v>
      </c>
      <c r="DPH52">
        <f t="shared" si="272"/>
        <v>3</v>
      </c>
      <c r="DPI52">
        <f t="shared" si="272"/>
        <v>3</v>
      </c>
      <c r="DPJ52">
        <f t="shared" si="272"/>
        <v>3</v>
      </c>
      <c r="DPK52">
        <f t="shared" si="272"/>
        <v>3</v>
      </c>
      <c r="DPL52">
        <f t="shared" si="272"/>
        <v>3</v>
      </c>
      <c r="DPM52">
        <f t="shared" si="272"/>
        <v>3</v>
      </c>
      <c r="DPN52">
        <f t="shared" si="272"/>
        <v>3</v>
      </c>
      <c r="DPO52">
        <f t="shared" si="272"/>
        <v>3</v>
      </c>
      <c r="DPP52">
        <f t="shared" si="272"/>
        <v>3</v>
      </c>
      <c r="DPQ52">
        <f t="shared" si="272"/>
        <v>3</v>
      </c>
      <c r="DPR52">
        <f t="shared" si="272"/>
        <v>3</v>
      </c>
      <c r="DPS52">
        <f t="shared" si="272"/>
        <v>3</v>
      </c>
      <c r="DPT52">
        <f t="shared" si="272"/>
        <v>3</v>
      </c>
      <c r="DPU52">
        <f t="shared" si="272"/>
        <v>3</v>
      </c>
      <c r="DPV52">
        <f t="shared" si="272"/>
        <v>3</v>
      </c>
      <c r="DPW52">
        <f t="shared" si="272"/>
        <v>3</v>
      </c>
      <c r="DPX52">
        <f t="shared" si="272"/>
        <v>3</v>
      </c>
      <c r="DPY52">
        <f t="shared" si="272"/>
        <v>3</v>
      </c>
      <c r="DPZ52">
        <f t="shared" si="272"/>
        <v>3</v>
      </c>
      <c r="DQA52">
        <f t="shared" si="272"/>
        <v>3</v>
      </c>
      <c r="DQB52">
        <f t="shared" si="272"/>
        <v>3</v>
      </c>
      <c r="DQC52">
        <f t="shared" si="272"/>
        <v>3</v>
      </c>
      <c r="DQD52">
        <f t="shared" si="272"/>
        <v>3</v>
      </c>
      <c r="DQE52">
        <f t="shared" si="272"/>
        <v>3</v>
      </c>
      <c r="DQF52">
        <f t="shared" si="272"/>
        <v>3</v>
      </c>
      <c r="DQG52">
        <f t="shared" si="272"/>
        <v>3</v>
      </c>
      <c r="DQH52">
        <f t="shared" si="272"/>
        <v>3</v>
      </c>
      <c r="DQI52">
        <f t="shared" si="272"/>
        <v>3</v>
      </c>
      <c r="DQJ52">
        <f t="shared" si="272"/>
        <v>3</v>
      </c>
      <c r="DQK52">
        <f t="shared" si="272"/>
        <v>3</v>
      </c>
      <c r="DQL52">
        <f t="shared" si="272"/>
        <v>3</v>
      </c>
      <c r="DQM52">
        <f t="shared" si="272"/>
        <v>3</v>
      </c>
      <c r="DQN52">
        <f t="shared" si="272"/>
        <v>3</v>
      </c>
      <c r="DQO52">
        <f t="shared" si="272"/>
        <v>3</v>
      </c>
      <c r="DQP52">
        <f t="shared" si="272"/>
        <v>3</v>
      </c>
      <c r="DQQ52">
        <f t="shared" si="272"/>
        <v>3</v>
      </c>
      <c r="DQR52">
        <f t="shared" si="272"/>
        <v>3</v>
      </c>
      <c r="DQS52">
        <f t="shared" si="272"/>
        <v>3</v>
      </c>
      <c r="DQT52">
        <f t="shared" si="272"/>
        <v>3</v>
      </c>
      <c r="DQU52">
        <f t="shared" si="272"/>
        <v>3</v>
      </c>
      <c r="DQV52">
        <f t="shared" si="272"/>
        <v>3</v>
      </c>
      <c r="DQW52">
        <f t="shared" si="272"/>
        <v>3</v>
      </c>
      <c r="DQX52">
        <f t="shared" si="272"/>
        <v>3</v>
      </c>
      <c r="DQY52">
        <f t="shared" si="272"/>
        <v>3</v>
      </c>
      <c r="DQZ52">
        <f t="shared" si="272"/>
        <v>3</v>
      </c>
      <c r="DRA52">
        <f t="shared" si="272"/>
        <v>3</v>
      </c>
      <c r="DRB52">
        <f t="shared" si="272"/>
        <v>3</v>
      </c>
      <c r="DRC52">
        <f t="shared" ref="DRC52:DTN52" si="273">COUNTBLANK(DRC2:DRC5)</f>
        <v>3</v>
      </c>
      <c r="DRD52">
        <f t="shared" si="273"/>
        <v>3</v>
      </c>
      <c r="DRE52">
        <f t="shared" si="273"/>
        <v>3</v>
      </c>
      <c r="DRF52">
        <f t="shared" si="273"/>
        <v>3</v>
      </c>
      <c r="DRG52">
        <f t="shared" si="273"/>
        <v>3</v>
      </c>
      <c r="DRH52">
        <f t="shared" si="273"/>
        <v>3</v>
      </c>
      <c r="DRI52">
        <f t="shared" si="273"/>
        <v>3</v>
      </c>
      <c r="DRJ52">
        <f t="shared" si="273"/>
        <v>3</v>
      </c>
      <c r="DRK52">
        <f t="shared" si="273"/>
        <v>3</v>
      </c>
      <c r="DRL52">
        <f t="shared" si="273"/>
        <v>3</v>
      </c>
      <c r="DRM52">
        <f t="shared" si="273"/>
        <v>3</v>
      </c>
      <c r="DRN52">
        <f t="shared" si="273"/>
        <v>3</v>
      </c>
      <c r="DRO52">
        <f t="shared" si="273"/>
        <v>3</v>
      </c>
      <c r="DRP52">
        <f t="shared" si="273"/>
        <v>2</v>
      </c>
      <c r="DRQ52">
        <f t="shared" si="273"/>
        <v>2</v>
      </c>
      <c r="DRR52">
        <f t="shared" si="273"/>
        <v>2</v>
      </c>
      <c r="DRS52">
        <f t="shared" si="273"/>
        <v>2</v>
      </c>
      <c r="DRT52">
        <f t="shared" si="273"/>
        <v>2</v>
      </c>
      <c r="DRU52">
        <f t="shared" si="273"/>
        <v>2</v>
      </c>
      <c r="DRV52">
        <f t="shared" si="273"/>
        <v>2</v>
      </c>
      <c r="DRW52">
        <f t="shared" si="273"/>
        <v>2</v>
      </c>
      <c r="DRX52">
        <f t="shared" si="273"/>
        <v>2</v>
      </c>
      <c r="DRY52">
        <f t="shared" si="273"/>
        <v>2</v>
      </c>
      <c r="DRZ52">
        <f t="shared" si="273"/>
        <v>2</v>
      </c>
      <c r="DSA52">
        <f t="shared" si="273"/>
        <v>2</v>
      </c>
      <c r="DSB52">
        <f t="shared" si="273"/>
        <v>2</v>
      </c>
      <c r="DSC52">
        <f t="shared" si="273"/>
        <v>2</v>
      </c>
      <c r="DSD52">
        <f t="shared" si="273"/>
        <v>2</v>
      </c>
      <c r="DSE52">
        <f t="shared" si="273"/>
        <v>2</v>
      </c>
      <c r="DSF52">
        <f t="shared" si="273"/>
        <v>2</v>
      </c>
      <c r="DSG52">
        <f t="shared" si="273"/>
        <v>2</v>
      </c>
      <c r="DSH52">
        <f t="shared" si="273"/>
        <v>2</v>
      </c>
      <c r="DSI52">
        <f t="shared" si="273"/>
        <v>2</v>
      </c>
      <c r="DSJ52">
        <f t="shared" si="273"/>
        <v>2</v>
      </c>
      <c r="DSK52">
        <f t="shared" si="273"/>
        <v>2</v>
      </c>
      <c r="DSL52">
        <f t="shared" si="273"/>
        <v>2</v>
      </c>
      <c r="DSM52">
        <f t="shared" si="273"/>
        <v>2</v>
      </c>
      <c r="DSN52">
        <f t="shared" si="273"/>
        <v>2</v>
      </c>
      <c r="DSO52">
        <f t="shared" si="273"/>
        <v>2</v>
      </c>
      <c r="DSP52">
        <f t="shared" si="273"/>
        <v>2</v>
      </c>
      <c r="DSQ52">
        <f t="shared" si="273"/>
        <v>2</v>
      </c>
      <c r="DSR52">
        <f t="shared" si="273"/>
        <v>2</v>
      </c>
      <c r="DSS52">
        <f t="shared" si="273"/>
        <v>2</v>
      </c>
      <c r="DST52">
        <f t="shared" si="273"/>
        <v>2</v>
      </c>
      <c r="DSU52">
        <f t="shared" si="273"/>
        <v>2</v>
      </c>
      <c r="DSV52">
        <f t="shared" si="273"/>
        <v>2</v>
      </c>
      <c r="DSW52">
        <f t="shared" si="273"/>
        <v>2</v>
      </c>
      <c r="DSX52">
        <f t="shared" si="273"/>
        <v>2</v>
      </c>
      <c r="DSY52">
        <f t="shared" si="273"/>
        <v>2</v>
      </c>
      <c r="DSZ52">
        <f t="shared" si="273"/>
        <v>2</v>
      </c>
      <c r="DTA52">
        <f t="shared" si="273"/>
        <v>2</v>
      </c>
      <c r="DTB52">
        <f t="shared" si="273"/>
        <v>2</v>
      </c>
      <c r="DTC52">
        <f t="shared" si="273"/>
        <v>2</v>
      </c>
      <c r="DTD52">
        <f t="shared" si="273"/>
        <v>2</v>
      </c>
      <c r="DTE52">
        <f t="shared" si="273"/>
        <v>2</v>
      </c>
      <c r="DTF52">
        <f t="shared" si="273"/>
        <v>2</v>
      </c>
      <c r="DTG52">
        <f t="shared" si="273"/>
        <v>2</v>
      </c>
      <c r="DTH52">
        <f t="shared" si="273"/>
        <v>2</v>
      </c>
      <c r="DTI52">
        <f t="shared" si="273"/>
        <v>2</v>
      </c>
      <c r="DTJ52">
        <f t="shared" si="273"/>
        <v>2</v>
      </c>
      <c r="DTK52">
        <f t="shared" si="273"/>
        <v>2</v>
      </c>
      <c r="DTL52">
        <f t="shared" si="273"/>
        <v>2</v>
      </c>
      <c r="DTM52">
        <f t="shared" si="273"/>
        <v>2</v>
      </c>
      <c r="DTN52">
        <f t="shared" si="273"/>
        <v>3</v>
      </c>
      <c r="DTO52">
        <f t="shared" ref="DTO52:DVZ52" si="274">COUNTBLANK(DTO2:DTO5)</f>
        <v>3</v>
      </c>
      <c r="DTP52">
        <f t="shared" si="274"/>
        <v>3</v>
      </c>
      <c r="DTQ52">
        <f t="shared" si="274"/>
        <v>3</v>
      </c>
      <c r="DTR52">
        <f t="shared" si="274"/>
        <v>3</v>
      </c>
      <c r="DTS52">
        <f t="shared" si="274"/>
        <v>3</v>
      </c>
      <c r="DTT52">
        <f t="shared" si="274"/>
        <v>3</v>
      </c>
      <c r="DTU52">
        <f t="shared" si="274"/>
        <v>3</v>
      </c>
      <c r="DTV52">
        <f t="shared" si="274"/>
        <v>3</v>
      </c>
      <c r="DTW52">
        <f t="shared" si="274"/>
        <v>3</v>
      </c>
      <c r="DTX52">
        <f t="shared" si="274"/>
        <v>3</v>
      </c>
      <c r="DTY52">
        <f t="shared" si="274"/>
        <v>3</v>
      </c>
      <c r="DTZ52">
        <f t="shared" si="274"/>
        <v>3</v>
      </c>
      <c r="DUA52">
        <f t="shared" si="274"/>
        <v>3</v>
      </c>
      <c r="DUB52">
        <f t="shared" si="274"/>
        <v>3</v>
      </c>
      <c r="DUC52">
        <f t="shared" si="274"/>
        <v>3</v>
      </c>
      <c r="DUD52">
        <f t="shared" si="274"/>
        <v>3</v>
      </c>
      <c r="DUE52">
        <f t="shared" si="274"/>
        <v>3</v>
      </c>
      <c r="DUF52">
        <f t="shared" si="274"/>
        <v>3</v>
      </c>
      <c r="DUG52">
        <f t="shared" si="274"/>
        <v>3</v>
      </c>
      <c r="DUH52">
        <f t="shared" si="274"/>
        <v>3</v>
      </c>
      <c r="DUI52">
        <f t="shared" si="274"/>
        <v>3</v>
      </c>
      <c r="DUJ52">
        <f t="shared" si="274"/>
        <v>3</v>
      </c>
      <c r="DUK52">
        <f t="shared" si="274"/>
        <v>3</v>
      </c>
      <c r="DUL52">
        <f t="shared" si="274"/>
        <v>3</v>
      </c>
      <c r="DUM52">
        <f t="shared" si="274"/>
        <v>3</v>
      </c>
      <c r="DUN52">
        <f t="shared" si="274"/>
        <v>3</v>
      </c>
      <c r="DUO52">
        <f t="shared" si="274"/>
        <v>3</v>
      </c>
      <c r="DUP52">
        <f t="shared" si="274"/>
        <v>3</v>
      </c>
      <c r="DUQ52">
        <f t="shared" si="274"/>
        <v>3</v>
      </c>
      <c r="DUR52">
        <f t="shared" si="274"/>
        <v>3</v>
      </c>
      <c r="DUS52">
        <f t="shared" si="274"/>
        <v>3</v>
      </c>
      <c r="DUT52">
        <f t="shared" si="274"/>
        <v>3</v>
      </c>
      <c r="DUU52">
        <f t="shared" si="274"/>
        <v>3</v>
      </c>
      <c r="DUV52">
        <f t="shared" si="274"/>
        <v>3</v>
      </c>
      <c r="DUW52">
        <f t="shared" si="274"/>
        <v>3</v>
      </c>
      <c r="DUX52">
        <f t="shared" si="274"/>
        <v>3</v>
      </c>
      <c r="DUY52">
        <f t="shared" si="274"/>
        <v>3</v>
      </c>
      <c r="DUZ52">
        <f t="shared" si="274"/>
        <v>3</v>
      </c>
      <c r="DVA52">
        <f t="shared" si="274"/>
        <v>3</v>
      </c>
      <c r="DVB52">
        <f t="shared" si="274"/>
        <v>3</v>
      </c>
      <c r="DVC52">
        <f t="shared" si="274"/>
        <v>3</v>
      </c>
      <c r="DVD52">
        <f t="shared" si="274"/>
        <v>3</v>
      </c>
      <c r="DVE52">
        <f t="shared" si="274"/>
        <v>3</v>
      </c>
      <c r="DVF52">
        <f t="shared" si="274"/>
        <v>3</v>
      </c>
      <c r="DVG52">
        <f t="shared" si="274"/>
        <v>3</v>
      </c>
      <c r="DVH52">
        <f t="shared" si="274"/>
        <v>3</v>
      </c>
      <c r="DVI52">
        <f t="shared" si="274"/>
        <v>3</v>
      </c>
      <c r="DVJ52">
        <f t="shared" si="274"/>
        <v>3</v>
      </c>
      <c r="DVK52">
        <f t="shared" si="274"/>
        <v>3</v>
      </c>
      <c r="DVL52">
        <f t="shared" si="274"/>
        <v>3</v>
      </c>
      <c r="DVM52">
        <f t="shared" si="274"/>
        <v>3</v>
      </c>
      <c r="DVN52">
        <f t="shared" si="274"/>
        <v>3</v>
      </c>
      <c r="DVO52">
        <f t="shared" si="274"/>
        <v>3</v>
      </c>
      <c r="DVP52">
        <f t="shared" si="274"/>
        <v>3</v>
      </c>
      <c r="DVQ52">
        <f t="shared" si="274"/>
        <v>3</v>
      </c>
      <c r="DVR52">
        <f t="shared" si="274"/>
        <v>3</v>
      </c>
      <c r="DVS52">
        <f t="shared" si="274"/>
        <v>3</v>
      </c>
      <c r="DVT52">
        <f t="shared" si="274"/>
        <v>3</v>
      </c>
      <c r="DVU52">
        <f t="shared" si="274"/>
        <v>3</v>
      </c>
      <c r="DVV52">
        <f t="shared" si="274"/>
        <v>3</v>
      </c>
      <c r="DVW52">
        <f t="shared" si="274"/>
        <v>3</v>
      </c>
      <c r="DVX52">
        <f t="shared" si="274"/>
        <v>3</v>
      </c>
      <c r="DVY52">
        <f t="shared" si="274"/>
        <v>3</v>
      </c>
      <c r="DVZ52">
        <f t="shared" si="274"/>
        <v>3</v>
      </c>
      <c r="DWA52">
        <f t="shared" ref="DWA52:DYL52" si="275">COUNTBLANK(DWA2:DWA5)</f>
        <v>3</v>
      </c>
      <c r="DWB52">
        <f t="shared" si="275"/>
        <v>3</v>
      </c>
      <c r="DWC52">
        <f t="shared" si="275"/>
        <v>3</v>
      </c>
      <c r="DWD52">
        <f t="shared" si="275"/>
        <v>3</v>
      </c>
      <c r="DWE52">
        <f t="shared" si="275"/>
        <v>3</v>
      </c>
      <c r="DWF52">
        <f t="shared" si="275"/>
        <v>3</v>
      </c>
      <c r="DWG52">
        <f t="shared" si="275"/>
        <v>3</v>
      </c>
      <c r="DWH52">
        <f t="shared" si="275"/>
        <v>3</v>
      </c>
      <c r="DWI52">
        <f t="shared" si="275"/>
        <v>3</v>
      </c>
      <c r="DWJ52">
        <f t="shared" si="275"/>
        <v>3</v>
      </c>
      <c r="DWK52">
        <f t="shared" si="275"/>
        <v>3</v>
      </c>
      <c r="DWL52">
        <f t="shared" si="275"/>
        <v>3</v>
      </c>
      <c r="DWM52">
        <f t="shared" si="275"/>
        <v>3</v>
      </c>
      <c r="DWN52">
        <f t="shared" si="275"/>
        <v>3</v>
      </c>
      <c r="DWO52">
        <f t="shared" si="275"/>
        <v>3</v>
      </c>
      <c r="DWP52">
        <f t="shared" si="275"/>
        <v>3</v>
      </c>
      <c r="DWQ52">
        <f t="shared" si="275"/>
        <v>3</v>
      </c>
      <c r="DWR52">
        <f t="shared" si="275"/>
        <v>3</v>
      </c>
      <c r="DWS52">
        <f t="shared" si="275"/>
        <v>3</v>
      </c>
      <c r="DWT52">
        <f t="shared" si="275"/>
        <v>3</v>
      </c>
      <c r="DWU52">
        <f t="shared" si="275"/>
        <v>3</v>
      </c>
      <c r="DWV52">
        <f t="shared" si="275"/>
        <v>3</v>
      </c>
      <c r="DWW52">
        <f t="shared" si="275"/>
        <v>3</v>
      </c>
      <c r="DWX52">
        <f t="shared" si="275"/>
        <v>3</v>
      </c>
      <c r="DWY52">
        <f t="shared" si="275"/>
        <v>3</v>
      </c>
      <c r="DWZ52">
        <f t="shared" si="275"/>
        <v>3</v>
      </c>
      <c r="DXA52">
        <f t="shared" si="275"/>
        <v>3</v>
      </c>
      <c r="DXB52">
        <f t="shared" si="275"/>
        <v>3</v>
      </c>
      <c r="DXC52">
        <f t="shared" si="275"/>
        <v>3</v>
      </c>
      <c r="DXD52">
        <f t="shared" si="275"/>
        <v>3</v>
      </c>
      <c r="DXE52">
        <f t="shared" si="275"/>
        <v>3</v>
      </c>
      <c r="DXF52">
        <f t="shared" si="275"/>
        <v>3</v>
      </c>
      <c r="DXG52">
        <f t="shared" si="275"/>
        <v>3</v>
      </c>
      <c r="DXH52">
        <f t="shared" si="275"/>
        <v>3</v>
      </c>
      <c r="DXI52">
        <f t="shared" si="275"/>
        <v>3</v>
      </c>
      <c r="DXJ52">
        <f t="shared" si="275"/>
        <v>3</v>
      </c>
      <c r="DXK52">
        <f t="shared" si="275"/>
        <v>3</v>
      </c>
      <c r="DXL52">
        <f t="shared" si="275"/>
        <v>3</v>
      </c>
      <c r="DXM52">
        <f t="shared" si="275"/>
        <v>3</v>
      </c>
      <c r="DXN52">
        <f t="shared" si="275"/>
        <v>3</v>
      </c>
      <c r="DXO52">
        <f t="shared" si="275"/>
        <v>3</v>
      </c>
      <c r="DXP52">
        <f t="shared" si="275"/>
        <v>3</v>
      </c>
      <c r="DXQ52">
        <f t="shared" si="275"/>
        <v>3</v>
      </c>
      <c r="DXR52">
        <f t="shared" si="275"/>
        <v>3</v>
      </c>
      <c r="DXS52">
        <f t="shared" si="275"/>
        <v>3</v>
      </c>
      <c r="DXT52">
        <f t="shared" si="275"/>
        <v>3</v>
      </c>
      <c r="DXU52">
        <f t="shared" si="275"/>
        <v>3</v>
      </c>
      <c r="DXV52">
        <f t="shared" si="275"/>
        <v>3</v>
      </c>
      <c r="DXW52">
        <f t="shared" si="275"/>
        <v>3</v>
      </c>
      <c r="DXX52">
        <f t="shared" si="275"/>
        <v>3</v>
      </c>
      <c r="DXY52">
        <f t="shared" si="275"/>
        <v>3</v>
      </c>
      <c r="DXZ52">
        <f t="shared" si="275"/>
        <v>3</v>
      </c>
      <c r="DYA52">
        <f t="shared" si="275"/>
        <v>3</v>
      </c>
      <c r="DYB52">
        <f t="shared" si="275"/>
        <v>3</v>
      </c>
      <c r="DYC52">
        <f t="shared" si="275"/>
        <v>3</v>
      </c>
      <c r="DYD52">
        <f t="shared" si="275"/>
        <v>3</v>
      </c>
      <c r="DYE52">
        <f t="shared" si="275"/>
        <v>3</v>
      </c>
      <c r="DYF52">
        <f t="shared" si="275"/>
        <v>3</v>
      </c>
      <c r="DYG52">
        <f t="shared" si="275"/>
        <v>3</v>
      </c>
      <c r="DYH52">
        <f t="shared" si="275"/>
        <v>3</v>
      </c>
      <c r="DYI52">
        <f t="shared" si="275"/>
        <v>3</v>
      </c>
      <c r="DYJ52">
        <f t="shared" si="275"/>
        <v>3</v>
      </c>
      <c r="DYK52">
        <f t="shared" si="275"/>
        <v>3</v>
      </c>
      <c r="DYL52">
        <f t="shared" si="275"/>
        <v>3</v>
      </c>
      <c r="DYM52">
        <f t="shared" ref="DYM52:EAX52" si="276">COUNTBLANK(DYM2:DYM5)</f>
        <v>3</v>
      </c>
      <c r="DYN52">
        <f t="shared" si="276"/>
        <v>3</v>
      </c>
      <c r="DYO52">
        <f t="shared" si="276"/>
        <v>3</v>
      </c>
      <c r="DYP52">
        <f t="shared" si="276"/>
        <v>3</v>
      </c>
      <c r="DYQ52">
        <f t="shared" si="276"/>
        <v>3</v>
      </c>
      <c r="DYR52">
        <f t="shared" si="276"/>
        <v>3</v>
      </c>
      <c r="DYS52">
        <f t="shared" si="276"/>
        <v>3</v>
      </c>
      <c r="DYT52">
        <f t="shared" si="276"/>
        <v>3</v>
      </c>
      <c r="DYU52">
        <f t="shared" si="276"/>
        <v>3</v>
      </c>
      <c r="DYV52">
        <f t="shared" si="276"/>
        <v>3</v>
      </c>
      <c r="DYW52">
        <f t="shared" si="276"/>
        <v>3</v>
      </c>
      <c r="DYX52">
        <f t="shared" si="276"/>
        <v>3</v>
      </c>
      <c r="DYY52">
        <f t="shared" si="276"/>
        <v>3</v>
      </c>
      <c r="DYZ52">
        <f t="shared" si="276"/>
        <v>3</v>
      </c>
      <c r="DZA52">
        <f t="shared" si="276"/>
        <v>3</v>
      </c>
      <c r="DZB52">
        <f t="shared" si="276"/>
        <v>3</v>
      </c>
      <c r="DZC52">
        <f t="shared" si="276"/>
        <v>3</v>
      </c>
      <c r="DZD52">
        <f t="shared" si="276"/>
        <v>3</v>
      </c>
      <c r="DZE52">
        <f t="shared" si="276"/>
        <v>3</v>
      </c>
      <c r="DZF52">
        <f t="shared" si="276"/>
        <v>3</v>
      </c>
      <c r="DZG52">
        <f t="shared" si="276"/>
        <v>3</v>
      </c>
      <c r="DZH52">
        <f t="shared" si="276"/>
        <v>3</v>
      </c>
      <c r="DZI52">
        <f t="shared" si="276"/>
        <v>3</v>
      </c>
      <c r="DZJ52">
        <f t="shared" si="276"/>
        <v>3</v>
      </c>
      <c r="DZK52">
        <f t="shared" si="276"/>
        <v>3</v>
      </c>
      <c r="DZL52">
        <f t="shared" si="276"/>
        <v>3</v>
      </c>
      <c r="DZM52">
        <f t="shared" si="276"/>
        <v>3</v>
      </c>
      <c r="DZN52">
        <f t="shared" si="276"/>
        <v>3</v>
      </c>
      <c r="DZO52">
        <f t="shared" si="276"/>
        <v>3</v>
      </c>
      <c r="DZP52">
        <f t="shared" si="276"/>
        <v>3</v>
      </c>
      <c r="DZQ52">
        <f t="shared" si="276"/>
        <v>3</v>
      </c>
      <c r="DZR52">
        <f t="shared" si="276"/>
        <v>3</v>
      </c>
      <c r="DZS52">
        <f t="shared" si="276"/>
        <v>3</v>
      </c>
      <c r="DZT52">
        <f t="shared" si="276"/>
        <v>3</v>
      </c>
      <c r="DZU52">
        <f t="shared" si="276"/>
        <v>3</v>
      </c>
      <c r="DZV52">
        <f t="shared" si="276"/>
        <v>3</v>
      </c>
      <c r="DZW52">
        <f t="shared" si="276"/>
        <v>2</v>
      </c>
      <c r="DZX52">
        <f t="shared" si="276"/>
        <v>2</v>
      </c>
      <c r="DZY52">
        <f t="shared" si="276"/>
        <v>2</v>
      </c>
      <c r="DZZ52">
        <f t="shared" si="276"/>
        <v>2</v>
      </c>
      <c r="EAA52">
        <f t="shared" si="276"/>
        <v>2</v>
      </c>
      <c r="EAB52">
        <f t="shared" si="276"/>
        <v>2</v>
      </c>
      <c r="EAC52">
        <f t="shared" si="276"/>
        <v>2</v>
      </c>
      <c r="EAD52">
        <f t="shared" si="276"/>
        <v>2</v>
      </c>
      <c r="EAE52">
        <f t="shared" si="276"/>
        <v>2</v>
      </c>
      <c r="EAF52">
        <f t="shared" si="276"/>
        <v>2</v>
      </c>
      <c r="EAG52">
        <f t="shared" si="276"/>
        <v>2</v>
      </c>
      <c r="EAH52">
        <f t="shared" si="276"/>
        <v>2</v>
      </c>
      <c r="EAI52">
        <f t="shared" si="276"/>
        <v>2</v>
      </c>
      <c r="EAJ52">
        <f t="shared" si="276"/>
        <v>2</v>
      </c>
      <c r="EAK52">
        <f t="shared" si="276"/>
        <v>2</v>
      </c>
      <c r="EAL52">
        <f t="shared" si="276"/>
        <v>2</v>
      </c>
      <c r="EAM52">
        <f t="shared" si="276"/>
        <v>2</v>
      </c>
      <c r="EAN52">
        <f t="shared" si="276"/>
        <v>2</v>
      </c>
      <c r="EAO52">
        <f t="shared" si="276"/>
        <v>2</v>
      </c>
      <c r="EAP52">
        <f t="shared" si="276"/>
        <v>2</v>
      </c>
      <c r="EAQ52">
        <f t="shared" si="276"/>
        <v>2</v>
      </c>
      <c r="EAR52">
        <f t="shared" si="276"/>
        <v>2</v>
      </c>
      <c r="EAS52">
        <f t="shared" si="276"/>
        <v>2</v>
      </c>
      <c r="EAT52">
        <f t="shared" si="276"/>
        <v>2</v>
      </c>
      <c r="EAU52">
        <f t="shared" si="276"/>
        <v>2</v>
      </c>
      <c r="EAV52">
        <f t="shared" si="276"/>
        <v>2</v>
      </c>
      <c r="EAW52">
        <f t="shared" si="276"/>
        <v>2</v>
      </c>
      <c r="EAX52">
        <f t="shared" si="276"/>
        <v>2</v>
      </c>
      <c r="EAY52">
        <f t="shared" ref="EAY52:EDJ52" si="277">COUNTBLANK(EAY2:EAY5)</f>
        <v>2</v>
      </c>
      <c r="EAZ52">
        <f t="shared" si="277"/>
        <v>2</v>
      </c>
      <c r="EBA52">
        <f t="shared" si="277"/>
        <v>2</v>
      </c>
      <c r="EBB52">
        <f t="shared" si="277"/>
        <v>2</v>
      </c>
      <c r="EBC52">
        <f t="shared" si="277"/>
        <v>2</v>
      </c>
      <c r="EBD52">
        <f t="shared" si="277"/>
        <v>2</v>
      </c>
      <c r="EBE52">
        <f t="shared" si="277"/>
        <v>2</v>
      </c>
      <c r="EBF52">
        <f t="shared" si="277"/>
        <v>2</v>
      </c>
      <c r="EBG52">
        <f t="shared" si="277"/>
        <v>2</v>
      </c>
      <c r="EBH52">
        <f t="shared" si="277"/>
        <v>2</v>
      </c>
      <c r="EBI52">
        <f t="shared" si="277"/>
        <v>2</v>
      </c>
      <c r="EBJ52">
        <f t="shared" si="277"/>
        <v>2</v>
      </c>
      <c r="EBK52">
        <f t="shared" si="277"/>
        <v>2</v>
      </c>
      <c r="EBL52">
        <f t="shared" si="277"/>
        <v>2</v>
      </c>
      <c r="EBM52">
        <f t="shared" si="277"/>
        <v>2</v>
      </c>
      <c r="EBN52">
        <f t="shared" si="277"/>
        <v>2</v>
      </c>
      <c r="EBO52">
        <f t="shared" si="277"/>
        <v>2</v>
      </c>
      <c r="EBP52">
        <f t="shared" si="277"/>
        <v>2</v>
      </c>
      <c r="EBQ52">
        <f t="shared" si="277"/>
        <v>2</v>
      </c>
      <c r="EBR52">
        <f t="shared" si="277"/>
        <v>2</v>
      </c>
      <c r="EBS52">
        <f t="shared" si="277"/>
        <v>2</v>
      </c>
      <c r="EBT52">
        <f t="shared" si="277"/>
        <v>2</v>
      </c>
      <c r="EBU52">
        <f t="shared" si="277"/>
        <v>2</v>
      </c>
      <c r="EBV52">
        <f t="shared" si="277"/>
        <v>2</v>
      </c>
      <c r="EBW52">
        <f t="shared" si="277"/>
        <v>2</v>
      </c>
      <c r="EBX52">
        <f t="shared" si="277"/>
        <v>2</v>
      </c>
      <c r="EBY52">
        <f t="shared" si="277"/>
        <v>2</v>
      </c>
      <c r="EBZ52">
        <f t="shared" si="277"/>
        <v>2</v>
      </c>
      <c r="ECA52">
        <f t="shared" si="277"/>
        <v>2</v>
      </c>
      <c r="ECB52">
        <f t="shared" si="277"/>
        <v>2</v>
      </c>
      <c r="ECC52">
        <f t="shared" si="277"/>
        <v>2</v>
      </c>
      <c r="ECD52">
        <f t="shared" si="277"/>
        <v>2</v>
      </c>
      <c r="ECE52">
        <f t="shared" si="277"/>
        <v>2</v>
      </c>
      <c r="ECF52">
        <f t="shared" si="277"/>
        <v>2</v>
      </c>
      <c r="ECG52">
        <f t="shared" si="277"/>
        <v>2</v>
      </c>
      <c r="ECH52">
        <f t="shared" si="277"/>
        <v>2</v>
      </c>
      <c r="ECI52">
        <f t="shared" si="277"/>
        <v>2</v>
      </c>
      <c r="ECJ52">
        <f t="shared" si="277"/>
        <v>2</v>
      </c>
      <c r="ECK52">
        <f t="shared" si="277"/>
        <v>2</v>
      </c>
      <c r="ECL52">
        <f t="shared" si="277"/>
        <v>2</v>
      </c>
      <c r="ECM52">
        <f t="shared" si="277"/>
        <v>2</v>
      </c>
      <c r="ECN52">
        <f t="shared" si="277"/>
        <v>2</v>
      </c>
      <c r="ECO52">
        <f t="shared" si="277"/>
        <v>2</v>
      </c>
      <c r="ECP52">
        <f t="shared" si="277"/>
        <v>2</v>
      </c>
      <c r="ECQ52">
        <f t="shared" si="277"/>
        <v>2</v>
      </c>
      <c r="ECR52">
        <f t="shared" si="277"/>
        <v>3</v>
      </c>
      <c r="ECS52">
        <f t="shared" si="277"/>
        <v>3</v>
      </c>
      <c r="ECT52">
        <f t="shared" si="277"/>
        <v>3</v>
      </c>
      <c r="ECU52">
        <f t="shared" si="277"/>
        <v>3</v>
      </c>
      <c r="ECV52">
        <f t="shared" si="277"/>
        <v>3</v>
      </c>
      <c r="ECW52">
        <f t="shared" si="277"/>
        <v>3</v>
      </c>
      <c r="ECX52">
        <f t="shared" si="277"/>
        <v>3</v>
      </c>
      <c r="ECY52">
        <f t="shared" si="277"/>
        <v>3</v>
      </c>
      <c r="ECZ52">
        <f t="shared" si="277"/>
        <v>3</v>
      </c>
      <c r="EDA52">
        <f t="shared" si="277"/>
        <v>3</v>
      </c>
      <c r="EDB52">
        <f t="shared" si="277"/>
        <v>3</v>
      </c>
      <c r="EDC52">
        <f t="shared" si="277"/>
        <v>3</v>
      </c>
      <c r="EDD52">
        <f t="shared" si="277"/>
        <v>3</v>
      </c>
      <c r="EDE52">
        <f t="shared" si="277"/>
        <v>3</v>
      </c>
      <c r="EDF52">
        <f t="shared" si="277"/>
        <v>3</v>
      </c>
      <c r="EDG52">
        <f t="shared" si="277"/>
        <v>3</v>
      </c>
      <c r="EDH52">
        <f t="shared" si="277"/>
        <v>3</v>
      </c>
      <c r="EDI52">
        <f t="shared" si="277"/>
        <v>3</v>
      </c>
      <c r="EDJ52">
        <f t="shared" si="277"/>
        <v>3</v>
      </c>
      <c r="EDK52">
        <f t="shared" ref="EDK52:EFV52" si="278">COUNTBLANK(EDK2:EDK5)</f>
        <v>3</v>
      </c>
      <c r="EDL52">
        <f t="shared" si="278"/>
        <v>3</v>
      </c>
      <c r="EDM52">
        <f t="shared" si="278"/>
        <v>3</v>
      </c>
      <c r="EDN52">
        <f t="shared" si="278"/>
        <v>3</v>
      </c>
      <c r="EDO52">
        <f t="shared" si="278"/>
        <v>3</v>
      </c>
      <c r="EDP52">
        <f t="shared" si="278"/>
        <v>3</v>
      </c>
      <c r="EDQ52">
        <f t="shared" si="278"/>
        <v>3</v>
      </c>
      <c r="EDR52">
        <f t="shared" si="278"/>
        <v>3</v>
      </c>
      <c r="EDS52">
        <f t="shared" si="278"/>
        <v>3</v>
      </c>
      <c r="EDT52">
        <f t="shared" si="278"/>
        <v>3</v>
      </c>
      <c r="EDU52">
        <f t="shared" si="278"/>
        <v>3</v>
      </c>
      <c r="EDV52">
        <f t="shared" si="278"/>
        <v>3</v>
      </c>
      <c r="EDW52">
        <f t="shared" si="278"/>
        <v>3</v>
      </c>
      <c r="EDX52">
        <f t="shared" si="278"/>
        <v>3</v>
      </c>
      <c r="EDY52">
        <f t="shared" si="278"/>
        <v>3</v>
      </c>
      <c r="EDZ52">
        <f t="shared" si="278"/>
        <v>3</v>
      </c>
      <c r="EEA52">
        <f t="shared" si="278"/>
        <v>3</v>
      </c>
      <c r="EEB52">
        <f t="shared" si="278"/>
        <v>3</v>
      </c>
      <c r="EEC52">
        <f t="shared" si="278"/>
        <v>3</v>
      </c>
      <c r="EED52">
        <f t="shared" si="278"/>
        <v>3</v>
      </c>
      <c r="EEE52">
        <f t="shared" si="278"/>
        <v>3</v>
      </c>
      <c r="EEF52">
        <f t="shared" si="278"/>
        <v>3</v>
      </c>
      <c r="EEG52">
        <f t="shared" si="278"/>
        <v>3</v>
      </c>
      <c r="EEH52">
        <f t="shared" si="278"/>
        <v>3</v>
      </c>
      <c r="EEI52">
        <f t="shared" si="278"/>
        <v>3</v>
      </c>
      <c r="EEJ52">
        <f t="shared" si="278"/>
        <v>3</v>
      </c>
      <c r="EEK52">
        <f t="shared" si="278"/>
        <v>3</v>
      </c>
      <c r="EEL52">
        <f t="shared" si="278"/>
        <v>3</v>
      </c>
      <c r="EEM52">
        <f t="shared" si="278"/>
        <v>3</v>
      </c>
      <c r="EEN52">
        <f t="shared" si="278"/>
        <v>3</v>
      </c>
      <c r="EEO52">
        <f t="shared" si="278"/>
        <v>3</v>
      </c>
      <c r="EEP52">
        <f t="shared" si="278"/>
        <v>3</v>
      </c>
      <c r="EEQ52">
        <f t="shared" si="278"/>
        <v>3</v>
      </c>
      <c r="EER52">
        <f t="shared" si="278"/>
        <v>3</v>
      </c>
      <c r="EES52">
        <f t="shared" si="278"/>
        <v>3</v>
      </c>
      <c r="EET52">
        <f t="shared" si="278"/>
        <v>3</v>
      </c>
      <c r="EEU52">
        <f t="shared" si="278"/>
        <v>3</v>
      </c>
      <c r="EEV52">
        <f t="shared" si="278"/>
        <v>3</v>
      </c>
      <c r="EEW52">
        <f t="shared" si="278"/>
        <v>3</v>
      </c>
      <c r="EEX52">
        <f t="shared" si="278"/>
        <v>3</v>
      </c>
      <c r="EEY52">
        <f t="shared" si="278"/>
        <v>3</v>
      </c>
      <c r="EEZ52">
        <f t="shared" si="278"/>
        <v>3</v>
      </c>
      <c r="EFA52">
        <f t="shared" si="278"/>
        <v>3</v>
      </c>
      <c r="EFB52">
        <f t="shared" si="278"/>
        <v>3</v>
      </c>
      <c r="EFC52">
        <f t="shared" si="278"/>
        <v>3</v>
      </c>
      <c r="EFD52">
        <f t="shared" si="278"/>
        <v>3</v>
      </c>
      <c r="EFE52">
        <f t="shared" si="278"/>
        <v>3</v>
      </c>
      <c r="EFF52">
        <f t="shared" si="278"/>
        <v>3</v>
      </c>
      <c r="EFG52">
        <f t="shared" si="278"/>
        <v>3</v>
      </c>
      <c r="EFH52">
        <f t="shared" si="278"/>
        <v>3</v>
      </c>
      <c r="EFI52">
        <f t="shared" si="278"/>
        <v>3</v>
      </c>
      <c r="EFJ52">
        <f t="shared" si="278"/>
        <v>3</v>
      </c>
      <c r="EFK52">
        <f t="shared" si="278"/>
        <v>3</v>
      </c>
      <c r="EFL52">
        <f t="shared" si="278"/>
        <v>3</v>
      </c>
      <c r="EFM52">
        <f t="shared" si="278"/>
        <v>3</v>
      </c>
      <c r="EFN52">
        <f t="shared" si="278"/>
        <v>3</v>
      </c>
      <c r="EFO52">
        <f t="shared" si="278"/>
        <v>3</v>
      </c>
      <c r="EFP52">
        <f t="shared" si="278"/>
        <v>3</v>
      </c>
      <c r="EFQ52">
        <f t="shared" si="278"/>
        <v>3</v>
      </c>
      <c r="EFR52">
        <f t="shared" si="278"/>
        <v>3</v>
      </c>
      <c r="EFS52">
        <f t="shared" si="278"/>
        <v>3</v>
      </c>
      <c r="EFT52">
        <f t="shared" si="278"/>
        <v>3</v>
      </c>
      <c r="EFU52">
        <f t="shared" si="278"/>
        <v>3</v>
      </c>
      <c r="EFV52">
        <f t="shared" si="278"/>
        <v>3</v>
      </c>
      <c r="EFW52">
        <f t="shared" ref="EFW52:EIH52" si="279">COUNTBLANK(EFW2:EFW5)</f>
        <v>3</v>
      </c>
      <c r="EFX52">
        <f t="shared" si="279"/>
        <v>3</v>
      </c>
      <c r="EFY52">
        <f t="shared" si="279"/>
        <v>3</v>
      </c>
      <c r="EFZ52">
        <f t="shared" si="279"/>
        <v>3</v>
      </c>
      <c r="EGA52">
        <f t="shared" si="279"/>
        <v>3</v>
      </c>
      <c r="EGB52">
        <f t="shared" si="279"/>
        <v>3</v>
      </c>
      <c r="EGC52">
        <f t="shared" si="279"/>
        <v>3</v>
      </c>
      <c r="EGD52">
        <f t="shared" si="279"/>
        <v>3</v>
      </c>
      <c r="EGE52">
        <f t="shared" si="279"/>
        <v>3</v>
      </c>
      <c r="EGF52">
        <f t="shared" si="279"/>
        <v>3</v>
      </c>
      <c r="EGG52">
        <f t="shared" si="279"/>
        <v>3</v>
      </c>
      <c r="EGH52">
        <f t="shared" si="279"/>
        <v>3</v>
      </c>
      <c r="EGI52">
        <f t="shared" si="279"/>
        <v>3</v>
      </c>
      <c r="EGJ52">
        <f t="shared" si="279"/>
        <v>3</v>
      </c>
      <c r="EGK52">
        <f t="shared" si="279"/>
        <v>3</v>
      </c>
      <c r="EGL52">
        <f t="shared" si="279"/>
        <v>3</v>
      </c>
      <c r="EGM52">
        <f t="shared" si="279"/>
        <v>3</v>
      </c>
      <c r="EGN52">
        <f t="shared" si="279"/>
        <v>3</v>
      </c>
      <c r="EGO52">
        <f t="shared" si="279"/>
        <v>3</v>
      </c>
      <c r="EGP52">
        <f t="shared" si="279"/>
        <v>3</v>
      </c>
      <c r="EGQ52">
        <f t="shared" si="279"/>
        <v>3</v>
      </c>
      <c r="EGR52">
        <f t="shared" si="279"/>
        <v>3</v>
      </c>
      <c r="EGS52">
        <f t="shared" si="279"/>
        <v>3</v>
      </c>
      <c r="EGT52">
        <f t="shared" si="279"/>
        <v>3</v>
      </c>
      <c r="EGU52">
        <f t="shared" si="279"/>
        <v>3</v>
      </c>
      <c r="EGV52">
        <f t="shared" si="279"/>
        <v>3</v>
      </c>
      <c r="EGW52">
        <f t="shared" si="279"/>
        <v>3</v>
      </c>
      <c r="EGX52">
        <f t="shared" si="279"/>
        <v>3</v>
      </c>
      <c r="EGY52">
        <f t="shared" si="279"/>
        <v>3</v>
      </c>
      <c r="EGZ52">
        <f t="shared" si="279"/>
        <v>2</v>
      </c>
      <c r="EHA52">
        <f t="shared" si="279"/>
        <v>2</v>
      </c>
      <c r="EHB52">
        <f t="shared" si="279"/>
        <v>2</v>
      </c>
      <c r="EHC52">
        <f t="shared" si="279"/>
        <v>2</v>
      </c>
      <c r="EHD52">
        <f t="shared" si="279"/>
        <v>2</v>
      </c>
      <c r="EHE52">
        <f t="shared" si="279"/>
        <v>2</v>
      </c>
      <c r="EHF52">
        <f t="shared" si="279"/>
        <v>2</v>
      </c>
      <c r="EHG52">
        <f t="shared" si="279"/>
        <v>2</v>
      </c>
      <c r="EHH52">
        <f t="shared" si="279"/>
        <v>2</v>
      </c>
      <c r="EHI52">
        <f t="shared" si="279"/>
        <v>2</v>
      </c>
      <c r="EHJ52">
        <f t="shared" si="279"/>
        <v>2</v>
      </c>
      <c r="EHK52">
        <f t="shared" si="279"/>
        <v>2</v>
      </c>
      <c r="EHL52">
        <f t="shared" si="279"/>
        <v>2</v>
      </c>
      <c r="EHM52">
        <f t="shared" si="279"/>
        <v>2</v>
      </c>
      <c r="EHN52">
        <f t="shared" si="279"/>
        <v>2</v>
      </c>
      <c r="EHO52">
        <f t="shared" si="279"/>
        <v>2</v>
      </c>
      <c r="EHP52">
        <f t="shared" si="279"/>
        <v>2</v>
      </c>
      <c r="EHQ52">
        <f t="shared" si="279"/>
        <v>2</v>
      </c>
      <c r="EHR52">
        <f t="shared" si="279"/>
        <v>2</v>
      </c>
      <c r="EHS52">
        <f t="shared" si="279"/>
        <v>3</v>
      </c>
      <c r="EHT52">
        <f t="shared" si="279"/>
        <v>3</v>
      </c>
      <c r="EHU52">
        <f t="shared" si="279"/>
        <v>3</v>
      </c>
      <c r="EHV52">
        <f t="shared" si="279"/>
        <v>3</v>
      </c>
      <c r="EHW52">
        <f t="shared" si="279"/>
        <v>3</v>
      </c>
      <c r="EHX52">
        <f t="shared" si="279"/>
        <v>3</v>
      </c>
      <c r="EHY52">
        <f t="shared" si="279"/>
        <v>3</v>
      </c>
      <c r="EHZ52">
        <f t="shared" si="279"/>
        <v>3</v>
      </c>
      <c r="EIA52">
        <f t="shared" si="279"/>
        <v>3</v>
      </c>
      <c r="EIB52">
        <f t="shared" si="279"/>
        <v>3</v>
      </c>
      <c r="EIC52">
        <f t="shared" si="279"/>
        <v>3</v>
      </c>
      <c r="EID52">
        <f t="shared" si="279"/>
        <v>3</v>
      </c>
      <c r="EIE52">
        <f t="shared" si="279"/>
        <v>3</v>
      </c>
      <c r="EIF52">
        <f t="shared" si="279"/>
        <v>3</v>
      </c>
      <c r="EIG52">
        <f t="shared" si="279"/>
        <v>3</v>
      </c>
      <c r="EIH52">
        <f t="shared" si="279"/>
        <v>3</v>
      </c>
      <c r="EII52">
        <f t="shared" ref="EII52:EKT52" si="280">COUNTBLANK(EII2:EII5)</f>
        <v>3</v>
      </c>
      <c r="EIJ52">
        <f t="shared" si="280"/>
        <v>3</v>
      </c>
      <c r="EIK52">
        <f t="shared" si="280"/>
        <v>3</v>
      </c>
      <c r="EIL52">
        <f t="shared" si="280"/>
        <v>3</v>
      </c>
      <c r="EIM52">
        <f t="shared" si="280"/>
        <v>3</v>
      </c>
      <c r="EIN52">
        <f t="shared" si="280"/>
        <v>3</v>
      </c>
      <c r="EIO52">
        <f t="shared" si="280"/>
        <v>3</v>
      </c>
      <c r="EIP52">
        <f t="shared" si="280"/>
        <v>3</v>
      </c>
      <c r="EIQ52">
        <f t="shared" si="280"/>
        <v>3</v>
      </c>
      <c r="EIR52">
        <f t="shared" si="280"/>
        <v>3</v>
      </c>
      <c r="EIS52">
        <f t="shared" si="280"/>
        <v>3</v>
      </c>
      <c r="EIT52">
        <f t="shared" si="280"/>
        <v>3</v>
      </c>
      <c r="EIU52">
        <f t="shared" si="280"/>
        <v>3</v>
      </c>
      <c r="EIV52">
        <f t="shared" si="280"/>
        <v>3</v>
      </c>
      <c r="EIW52">
        <f t="shared" si="280"/>
        <v>3</v>
      </c>
      <c r="EIX52">
        <f t="shared" si="280"/>
        <v>3</v>
      </c>
      <c r="EIY52">
        <f t="shared" si="280"/>
        <v>3</v>
      </c>
      <c r="EIZ52">
        <f t="shared" si="280"/>
        <v>3</v>
      </c>
      <c r="EJA52">
        <f t="shared" si="280"/>
        <v>3</v>
      </c>
      <c r="EJB52">
        <f t="shared" si="280"/>
        <v>3</v>
      </c>
      <c r="EJC52">
        <f t="shared" si="280"/>
        <v>3</v>
      </c>
      <c r="EJD52">
        <f t="shared" si="280"/>
        <v>3</v>
      </c>
      <c r="EJE52">
        <f t="shared" si="280"/>
        <v>3</v>
      </c>
      <c r="EJF52">
        <f t="shared" si="280"/>
        <v>3</v>
      </c>
      <c r="EJG52">
        <f t="shared" si="280"/>
        <v>3</v>
      </c>
      <c r="EJH52">
        <f t="shared" si="280"/>
        <v>3</v>
      </c>
      <c r="EJI52">
        <f t="shared" si="280"/>
        <v>3</v>
      </c>
      <c r="EJJ52">
        <f t="shared" si="280"/>
        <v>3</v>
      </c>
      <c r="EJK52">
        <f t="shared" si="280"/>
        <v>3</v>
      </c>
      <c r="EJL52">
        <f t="shared" si="280"/>
        <v>3</v>
      </c>
      <c r="EJM52">
        <f t="shared" si="280"/>
        <v>3</v>
      </c>
      <c r="EJN52">
        <f t="shared" si="280"/>
        <v>3</v>
      </c>
      <c r="EJO52">
        <f t="shared" si="280"/>
        <v>3</v>
      </c>
      <c r="EJP52">
        <f t="shared" si="280"/>
        <v>3</v>
      </c>
      <c r="EJQ52">
        <f t="shared" si="280"/>
        <v>3</v>
      </c>
      <c r="EJR52">
        <f t="shared" si="280"/>
        <v>3</v>
      </c>
      <c r="EJS52">
        <f t="shared" si="280"/>
        <v>3</v>
      </c>
      <c r="EJT52">
        <f t="shared" si="280"/>
        <v>3</v>
      </c>
      <c r="EJU52">
        <f t="shared" si="280"/>
        <v>3</v>
      </c>
      <c r="EJV52">
        <f t="shared" si="280"/>
        <v>3</v>
      </c>
      <c r="EJW52">
        <f t="shared" si="280"/>
        <v>3</v>
      </c>
      <c r="EJX52">
        <f t="shared" si="280"/>
        <v>3</v>
      </c>
      <c r="EJY52">
        <f t="shared" si="280"/>
        <v>3</v>
      </c>
      <c r="EJZ52">
        <f t="shared" si="280"/>
        <v>3</v>
      </c>
      <c r="EKA52">
        <f t="shared" si="280"/>
        <v>3</v>
      </c>
      <c r="EKB52">
        <f t="shared" si="280"/>
        <v>3</v>
      </c>
      <c r="EKC52">
        <f t="shared" si="280"/>
        <v>3</v>
      </c>
      <c r="EKD52">
        <f t="shared" si="280"/>
        <v>3</v>
      </c>
      <c r="EKE52">
        <f t="shared" si="280"/>
        <v>3</v>
      </c>
      <c r="EKF52">
        <f t="shared" si="280"/>
        <v>3</v>
      </c>
      <c r="EKG52">
        <f t="shared" si="280"/>
        <v>3</v>
      </c>
      <c r="EKH52">
        <f t="shared" si="280"/>
        <v>3</v>
      </c>
      <c r="EKI52">
        <f t="shared" si="280"/>
        <v>3</v>
      </c>
      <c r="EKJ52">
        <f t="shared" si="280"/>
        <v>3</v>
      </c>
      <c r="EKK52">
        <f t="shared" si="280"/>
        <v>3</v>
      </c>
      <c r="EKL52">
        <f t="shared" si="280"/>
        <v>3</v>
      </c>
      <c r="EKM52">
        <f t="shared" si="280"/>
        <v>3</v>
      </c>
      <c r="EKN52">
        <f t="shared" si="280"/>
        <v>3</v>
      </c>
      <c r="EKO52">
        <f t="shared" si="280"/>
        <v>3</v>
      </c>
      <c r="EKP52">
        <f t="shared" si="280"/>
        <v>3</v>
      </c>
      <c r="EKQ52">
        <f t="shared" si="280"/>
        <v>3</v>
      </c>
      <c r="EKR52">
        <f t="shared" si="280"/>
        <v>3</v>
      </c>
      <c r="EKS52">
        <f t="shared" si="280"/>
        <v>3</v>
      </c>
      <c r="EKT52">
        <f t="shared" si="280"/>
        <v>3</v>
      </c>
      <c r="EKU52">
        <f t="shared" ref="EKU52:ENF52" si="281">COUNTBLANK(EKU2:EKU5)</f>
        <v>3</v>
      </c>
      <c r="EKV52">
        <f t="shared" si="281"/>
        <v>3</v>
      </c>
      <c r="EKW52">
        <f t="shared" si="281"/>
        <v>3</v>
      </c>
      <c r="EKX52">
        <f t="shared" si="281"/>
        <v>3</v>
      </c>
      <c r="EKY52">
        <f t="shared" si="281"/>
        <v>3</v>
      </c>
      <c r="EKZ52">
        <f t="shared" si="281"/>
        <v>3</v>
      </c>
      <c r="ELA52">
        <f t="shared" si="281"/>
        <v>3</v>
      </c>
      <c r="ELB52">
        <f t="shared" si="281"/>
        <v>3</v>
      </c>
      <c r="ELC52">
        <f t="shared" si="281"/>
        <v>3</v>
      </c>
      <c r="ELD52">
        <f t="shared" si="281"/>
        <v>3</v>
      </c>
      <c r="ELE52">
        <f t="shared" si="281"/>
        <v>3</v>
      </c>
      <c r="ELF52">
        <f t="shared" si="281"/>
        <v>3</v>
      </c>
      <c r="ELG52">
        <f t="shared" si="281"/>
        <v>3</v>
      </c>
      <c r="ELH52">
        <f t="shared" si="281"/>
        <v>3</v>
      </c>
      <c r="ELI52">
        <f t="shared" si="281"/>
        <v>3</v>
      </c>
      <c r="ELJ52">
        <f t="shared" si="281"/>
        <v>3</v>
      </c>
      <c r="ELK52">
        <f t="shared" si="281"/>
        <v>3</v>
      </c>
      <c r="ELL52">
        <f t="shared" si="281"/>
        <v>3</v>
      </c>
      <c r="ELM52">
        <f t="shared" si="281"/>
        <v>3</v>
      </c>
      <c r="ELN52">
        <f t="shared" si="281"/>
        <v>3</v>
      </c>
      <c r="ELO52">
        <f t="shared" si="281"/>
        <v>3</v>
      </c>
      <c r="ELP52">
        <f t="shared" si="281"/>
        <v>3</v>
      </c>
      <c r="ELQ52">
        <f t="shared" si="281"/>
        <v>3</v>
      </c>
      <c r="ELR52">
        <f t="shared" si="281"/>
        <v>3</v>
      </c>
      <c r="ELS52">
        <f t="shared" si="281"/>
        <v>3</v>
      </c>
      <c r="ELT52">
        <f t="shared" si="281"/>
        <v>3</v>
      </c>
      <c r="ELU52">
        <f t="shared" si="281"/>
        <v>3</v>
      </c>
      <c r="ELV52">
        <f t="shared" si="281"/>
        <v>3</v>
      </c>
      <c r="ELW52">
        <f t="shared" si="281"/>
        <v>3</v>
      </c>
      <c r="ELX52">
        <f t="shared" si="281"/>
        <v>3</v>
      </c>
      <c r="ELY52">
        <f t="shared" si="281"/>
        <v>3</v>
      </c>
      <c r="ELZ52">
        <f t="shared" si="281"/>
        <v>3</v>
      </c>
      <c r="EMA52">
        <f t="shared" si="281"/>
        <v>3</v>
      </c>
      <c r="EMB52">
        <f t="shared" si="281"/>
        <v>3</v>
      </c>
      <c r="EMC52">
        <f t="shared" si="281"/>
        <v>3</v>
      </c>
      <c r="EMD52">
        <f t="shared" si="281"/>
        <v>3</v>
      </c>
      <c r="EME52">
        <f t="shared" si="281"/>
        <v>3</v>
      </c>
      <c r="EMF52">
        <f t="shared" si="281"/>
        <v>3</v>
      </c>
      <c r="EMG52">
        <f t="shared" si="281"/>
        <v>3</v>
      </c>
      <c r="EMH52">
        <f t="shared" si="281"/>
        <v>3</v>
      </c>
      <c r="EMI52">
        <f t="shared" si="281"/>
        <v>3</v>
      </c>
      <c r="EMJ52">
        <f t="shared" si="281"/>
        <v>3</v>
      </c>
      <c r="EMK52">
        <f t="shared" si="281"/>
        <v>3</v>
      </c>
      <c r="EML52">
        <f t="shared" si="281"/>
        <v>3</v>
      </c>
      <c r="EMM52">
        <f t="shared" si="281"/>
        <v>3</v>
      </c>
      <c r="EMN52">
        <f t="shared" si="281"/>
        <v>3</v>
      </c>
      <c r="EMO52">
        <f t="shared" si="281"/>
        <v>3</v>
      </c>
      <c r="EMP52">
        <f t="shared" si="281"/>
        <v>3</v>
      </c>
      <c r="EMQ52">
        <f t="shared" si="281"/>
        <v>3</v>
      </c>
      <c r="EMR52">
        <f t="shared" si="281"/>
        <v>3</v>
      </c>
      <c r="EMS52">
        <f t="shared" si="281"/>
        <v>3</v>
      </c>
      <c r="EMT52">
        <f t="shared" si="281"/>
        <v>3</v>
      </c>
      <c r="EMU52">
        <f t="shared" si="281"/>
        <v>3</v>
      </c>
      <c r="EMV52">
        <f t="shared" si="281"/>
        <v>3</v>
      </c>
      <c r="EMW52">
        <f t="shared" si="281"/>
        <v>3</v>
      </c>
      <c r="EMX52">
        <f t="shared" si="281"/>
        <v>3</v>
      </c>
      <c r="EMY52">
        <f t="shared" si="281"/>
        <v>3</v>
      </c>
      <c r="EMZ52">
        <f t="shared" si="281"/>
        <v>3</v>
      </c>
      <c r="ENA52">
        <f t="shared" si="281"/>
        <v>3</v>
      </c>
      <c r="ENB52">
        <f t="shared" si="281"/>
        <v>3</v>
      </c>
      <c r="ENC52">
        <f t="shared" si="281"/>
        <v>3</v>
      </c>
      <c r="END52">
        <f t="shared" si="281"/>
        <v>3</v>
      </c>
      <c r="ENE52">
        <f t="shared" si="281"/>
        <v>3</v>
      </c>
      <c r="ENF52">
        <f t="shared" si="281"/>
        <v>3</v>
      </c>
      <c r="ENG52">
        <f t="shared" ref="ENG52:EPR52" si="282">COUNTBLANK(ENG2:ENG5)</f>
        <v>3</v>
      </c>
      <c r="ENH52">
        <f t="shared" si="282"/>
        <v>3</v>
      </c>
      <c r="ENI52">
        <f t="shared" si="282"/>
        <v>3</v>
      </c>
      <c r="ENJ52">
        <f t="shared" si="282"/>
        <v>3</v>
      </c>
      <c r="ENK52">
        <f t="shared" si="282"/>
        <v>3</v>
      </c>
      <c r="ENL52">
        <f t="shared" si="282"/>
        <v>3</v>
      </c>
      <c r="ENM52">
        <f t="shared" si="282"/>
        <v>3</v>
      </c>
      <c r="ENN52">
        <f t="shared" si="282"/>
        <v>3</v>
      </c>
      <c r="ENO52">
        <f t="shared" si="282"/>
        <v>3</v>
      </c>
      <c r="ENP52">
        <f t="shared" si="282"/>
        <v>3</v>
      </c>
      <c r="ENQ52">
        <f t="shared" si="282"/>
        <v>3</v>
      </c>
      <c r="ENR52">
        <f t="shared" si="282"/>
        <v>3</v>
      </c>
      <c r="ENS52">
        <f t="shared" si="282"/>
        <v>3</v>
      </c>
      <c r="ENT52">
        <f t="shared" si="282"/>
        <v>3</v>
      </c>
      <c r="ENU52">
        <f t="shared" si="282"/>
        <v>3</v>
      </c>
      <c r="ENV52">
        <f t="shared" si="282"/>
        <v>3</v>
      </c>
      <c r="ENW52">
        <f t="shared" si="282"/>
        <v>3</v>
      </c>
      <c r="ENX52">
        <f t="shared" si="282"/>
        <v>3</v>
      </c>
      <c r="ENY52">
        <f t="shared" si="282"/>
        <v>3</v>
      </c>
      <c r="ENZ52">
        <f t="shared" si="282"/>
        <v>3</v>
      </c>
      <c r="EOA52">
        <f t="shared" si="282"/>
        <v>3</v>
      </c>
      <c r="EOB52">
        <f t="shared" si="282"/>
        <v>3</v>
      </c>
      <c r="EOC52">
        <f t="shared" si="282"/>
        <v>3</v>
      </c>
      <c r="EOD52">
        <f t="shared" si="282"/>
        <v>3</v>
      </c>
      <c r="EOE52">
        <f t="shared" si="282"/>
        <v>3</v>
      </c>
      <c r="EOF52">
        <f t="shared" si="282"/>
        <v>3</v>
      </c>
      <c r="EOG52">
        <f t="shared" si="282"/>
        <v>3</v>
      </c>
      <c r="EOH52">
        <f t="shared" si="282"/>
        <v>3</v>
      </c>
      <c r="EOI52">
        <f t="shared" si="282"/>
        <v>3</v>
      </c>
      <c r="EOJ52">
        <f t="shared" si="282"/>
        <v>3</v>
      </c>
      <c r="EOK52">
        <f t="shared" si="282"/>
        <v>3</v>
      </c>
      <c r="EOL52">
        <f t="shared" si="282"/>
        <v>3</v>
      </c>
      <c r="EOM52">
        <f t="shared" si="282"/>
        <v>3</v>
      </c>
      <c r="EON52">
        <f t="shared" si="282"/>
        <v>3</v>
      </c>
      <c r="EOO52">
        <f t="shared" si="282"/>
        <v>3</v>
      </c>
      <c r="EOP52">
        <f t="shared" si="282"/>
        <v>3</v>
      </c>
      <c r="EOQ52">
        <f t="shared" si="282"/>
        <v>3</v>
      </c>
      <c r="EOR52">
        <f t="shared" si="282"/>
        <v>3</v>
      </c>
      <c r="EOS52">
        <f t="shared" si="282"/>
        <v>3</v>
      </c>
      <c r="EOT52">
        <f t="shared" si="282"/>
        <v>3</v>
      </c>
      <c r="EOU52">
        <f t="shared" si="282"/>
        <v>3</v>
      </c>
      <c r="EOV52">
        <f t="shared" si="282"/>
        <v>3</v>
      </c>
      <c r="EOW52">
        <f t="shared" si="282"/>
        <v>3</v>
      </c>
      <c r="EOX52">
        <f t="shared" si="282"/>
        <v>3</v>
      </c>
      <c r="EOY52">
        <f t="shared" si="282"/>
        <v>3</v>
      </c>
      <c r="EOZ52">
        <f t="shared" si="282"/>
        <v>3</v>
      </c>
      <c r="EPA52">
        <f t="shared" si="282"/>
        <v>3</v>
      </c>
      <c r="EPB52">
        <f t="shared" si="282"/>
        <v>3</v>
      </c>
      <c r="EPC52">
        <f t="shared" si="282"/>
        <v>3</v>
      </c>
      <c r="EPD52">
        <f t="shared" si="282"/>
        <v>3</v>
      </c>
      <c r="EPE52">
        <f t="shared" si="282"/>
        <v>3</v>
      </c>
      <c r="EPF52">
        <f t="shared" si="282"/>
        <v>3</v>
      </c>
      <c r="EPG52">
        <f t="shared" si="282"/>
        <v>3</v>
      </c>
      <c r="EPH52">
        <f t="shared" si="282"/>
        <v>3</v>
      </c>
      <c r="EPI52">
        <f t="shared" si="282"/>
        <v>3</v>
      </c>
      <c r="EPJ52">
        <f t="shared" si="282"/>
        <v>3</v>
      </c>
      <c r="EPK52">
        <f t="shared" si="282"/>
        <v>3</v>
      </c>
      <c r="EPL52">
        <f t="shared" si="282"/>
        <v>3</v>
      </c>
      <c r="EPM52">
        <f t="shared" si="282"/>
        <v>3</v>
      </c>
      <c r="EPN52">
        <f t="shared" si="282"/>
        <v>3</v>
      </c>
      <c r="EPO52">
        <f t="shared" si="282"/>
        <v>3</v>
      </c>
      <c r="EPP52">
        <f t="shared" si="282"/>
        <v>3</v>
      </c>
      <c r="EPQ52">
        <f t="shared" si="282"/>
        <v>3</v>
      </c>
      <c r="EPR52">
        <f t="shared" si="282"/>
        <v>3</v>
      </c>
      <c r="EPS52">
        <f t="shared" ref="EPS52:ESD52" si="283">COUNTBLANK(EPS2:EPS5)</f>
        <v>3</v>
      </c>
      <c r="EPT52">
        <f t="shared" si="283"/>
        <v>3</v>
      </c>
      <c r="EPU52">
        <f t="shared" si="283"/>
        <v>3</v>
      </c>
      <c r="EPV52">
        <f t="shared" si="283"/>
        <v>3</v>
      </c>
      <c r="EPW52">
        <f t="shared" si="283"/>
        <v>3</v>
      </c>
      <c r="EPX52">
        <f t="shared" si="283"/>
        <v>3</v>
      </c>
      <c r="EPY52">
        <f t="shared" si="283"/>
        <v>3</v>
      </c>
      <c r="EPZ52">
        <f t="shared" si="283"/>
        <v>3</v>
      </c>
      <c r="EQA52">
        <f t="shared" si="283"/>
        <v>3</v>
      </c>
      <c r="EQB52">
        <f t="shared" si="283"/>
        <v>3</v>
      </c>
      <c r="EQC52">
        <f t="shared" si="283"/>
        <v>3</v>
      </c>
      <c r="EQD52">
        <f t="shared" si="283"/>
        <v>3</v>
      </c>
      <c r="EQE52">
        <f t="shared" si="283"/>
        <v>3</v>
      </c>
      <c r="EQF52">
        <f t="shared" si="283"/>
        <v>2</v>
      </c>
      <c r="EQG52">
        <f t="shared" si="283"/>
        <v>2</v>
      </c>
      <c r="EQH52">
        <f t="shared" si="283"/>
        <v>2</v>
      </c>
      <c r="EQI52">
        <f t="shared" si="283"/>
        <v>2</v>
      </c>
      <c r="EQJ52">
        <f t="shared" si="283"/>
        <v>2</v>
      </c>
      <c r="EQK52">
        <f t="shared" si="283"/>
        <v>2</v>
      </c>
      <c r="EQL52">
        <f t="shared" si="283"/>
        <v>2</v>
      </c>
      <c r="EQM52">
        <f t="shared" si="283"/>
        <v>2</v>
      </c>
      <c r="EQN52">
        <f t="shared" si="283"/>
        <v>2</v>
      </c>
      <c r="EQO52">
        <f t="shared" si="283"/>
        <v>2</v>
      </c>
      <c r="EQP52">
        <f t="shared" si="283"/>
        <v>2</v>
      </c>
      <c r="EQQ52">
        <f t="shared" si="283"/>
        <v>3</v>
      </c>
      <c r="EQR52">
        <f t="shared" si="283"/>
        <v>3</v>
      </c>
      <c r="EQS52">
        <f t="shared" si="283"/>
        <v>3</v>
      </c>
      <c r="EQT52">
        <f t="shared" si="283"/>
        <v>3</v>
      </c>
      <c r="EQU52">
        <f t="shared" si="283"/>
        <v>3</v>
      </c>
      <c r="EQV52">
        <f t="shared" si="283"/>
        <v>3</v>
      </c>
      <c r="EQW52">
        <f t="shared" si="283"/>
        <v>3</v>
      </c>
      <c r="EQX52">
        <f t="shared" si="283"/>
        <v>3</v>
      </c>
      <c r="EQY52">
        <f t="shared" si="283"/>
        <v>3</v>
      </c>
      <c r="EQZ52">
        <f t="shared" si="283"/>
        <v>3</v>
      </c>
      <c r="ERA52">
        <f t="shared" si="283"/>
        <v>3</v>
      </c>
      <c r="ERB52">
        <f t="shared" si="283"/>
        <v>3</v>
      </c>
      <c r="ERC52">
        <f t="shared" si="283"/>
        <v>3</v>
      </c>
      <c r="ERD52">
        <f t="shared" si="283"/>
        <v>3</v>
      </c>
      <c r="ERE52">
        <f t="shared" si="283"/>
        <v>3</v>
      </c>
      <c r="ERF52">
        <f t="shared" si="283"/>
        <v>3</v>
      </c>
      <c r="ERG52">
        <f t="shared" si="283"/>
        <v>3</v>
      </c>
      <c r="ERH52">
        <f t="shared" si="283"/>
        <v>3</v>
      </c>
      <c r="ERI52">
        <f t="shared" si="283"/>
        <v>3</v>
      </c>
      <c r="ERJ52">
        <f t="shared" si="283"/>
        <v>3</v>
      </c>
      <c r="ERK52">
        <f t="shared" si="283"/>
        <v>3</v>
      </c>
      <c r="ERL52">
        <f t="shared" si="283"/>
        <v>3</v>
      </c>
      <c r="ERM52">
        <f t="shared" si="283"/>
        <v>3</v>
      </c>
      <c r="ERN52">
        <f t="shared" si="283"/>
        <v>3</v>
      </c>
      <c r="ERO52">
        <f t="shared" si="283"/>
        <v>3</v>
      </c>
      <c r="ERP52">
        <f t="shared" si="283"/>
        <v>3</v>
      </c>
      <c r="ERQ52">
        <f t="shared" si="283"/>
        <v>3</v>
      </c>
      <c r="ERR52">
        <f t="shared" si="283"/>
        <v>3</v>
      </c>
      <c r="ERS52">
        <f t="shared" si="283"/>
        <v>3</v>
      </c>
      <c r="ERT52">
        <f t="shared" si="283"/>
        <v>3</v>
      </c>
      <c r="ERU52">
        <f t="shared" si="283"/>
        <v>3</v>
      </c>
      <c r="ERV52">
        <f t="shared" si="283"/>
        <v>3</v>
      </c>
      <c r="ERW52">
        <f t="shared" si="283"/>
        <v>3</v>
      </c>
      <c r="ERX52">
        <f t="shared" si="283"/>
        <v>3</v>
      </c>
      <c r="ERY52">
        <f t="shared" si="283"/>
        <v>3</v>
      </c>
      <c r="ERZ52">
        <f t="shared" si="283"/>
        <v>3</v>
      </c>
      <c r="ESA52">
        <f t="shared" si="283"/>
        <v>3</v>
      </c>
      <c r="ESB52">
        <f t="shared" si="283"/>
        <v>3</v>
      </c>
      <c r="ESC52">
        <f t="shared" si="283"/>
        <v>3</v>
      </c>
      <c r="ESD52">
        <f t="shared" si="283"/>
        <v>3</v>
      </c>
      <c r="ESE52">
        <f t="shared" ref="ESE52:EUP52" si="284">COUNTBLANK(ESE2:ESE5)</f>
        <v>3</v>
      </c>
      <c r="ESF52">
        <f t="shared" si="284"/>
        <v>3</v>
      </c>
      <c r="ESG52">
        <f t="shared" si="284"/>
        <v>3</v>
      </c>
      <c r="ESH52">
        <f t="shared" si="284"/>
        <v>3</v>
      </c>
      <c r="ESI52">
        <f t="shared" si="284"/>
        <v>3</v>
      </c>
      <c r="ESJ52">
        <f t="shared" si="284"/>
        <v>3</v>
      </c>
      <c r="ESK52">
        <f t="shared" si="284"/>
        <v>3</v>
      </c>
      <c r="ESL52">
        <f t="shared" si="284"/>
        <v>3</v>
      </c>
      <c r="ESM52">
        <f t="shared" si="284"/>
        <v>3</v>
      </c>
      <c r="ESN52">
        <f t="shared" si="284"/>
        <v>3</v>
      </c>
      <c r="ESO52">
        <f t="shared" si="284"/>
        <v>3</v>
      </c>
      <c r="ESP52">
        <f t="shared" si="284"/>
        <v>3</v>
      </c>
      <c r="ESQ52">
        <f t="shared" si="284"/>
        <v>3</v>
      </c>
      <c r="ESR52">
        <f t="shared" si="284"/>
        <v>3</v>
      </c>
      <c r="ESS52">
        <f t="shared" si="284"/>
        <v>3</v>
      </c>
      <c r="EST52">
        <f t="shared" si="284"/>
        <v>3</v>
      </c>
      <c r="ESU52">
        <f t="shared" si="284"/>
        <v>3</v>
      </c>
      <c r="ESV52">
        <f t="shared" si="284"/>
        <v>3</v>
      </c>
      <c r="ESW52">
        <f t="shared" si="284"/>
        <v>3</v>
      </c>
      <c r="ESX52">
        <f t="shared" si="284"/>
        <v>3</v>
      </c>
      <c r="ESY52">
        <f t="shared" si="284"/>
        <v>3</v>
      </c>
      <c r="ESZ52">
        <f t="shared" si="284"/>
        <v>3</v>
      </c>
      <c r="ETA52">
        <f t="shared" si="284"/>
        <v>3</v>
      </c>
      <c r="ETB52">
        <f t="shared" si="284"/>
        <v>3</v>
      </c>
      <c r="ETC52">
        <f t="shared" si="284"/>
        <v>3</v>
      </c>
      <c r="ETD52">
        <f t="shared" si="284"/>
        <v>3</v>
      </c>
      <c r="ETE52">
        <f t="shared" si="284"/>
        <v>3</v>
      </c>
      <c r="ETF52">
        <f t="shared" si="284"/>
        <v>3</v>
      </c>
      <c r="ETG52">
        <f t="shared" si="284"/>
        <v>3</v>
      </c>
      <c r="ETH52">
        <f t="shared" si="284"/>
        <v>3</v>
      </c>
      <c r="ETI52">
        <f t="shared" si="284"/>
        <v>3</v>
      </c>
      <c r="ETJ52">
        <f t="shared" si="284"/>
        <v>3</v>
      </c>
      <c r="ETK52">
        <f t="shared" si="284"/>
        <v>3</v>
      </c>
      <c r="ETL52">
        <f t="shared" si="284"/>
        <v>3</v>
      </c>
      <c r="ETM52">
        <f t="shared" si="284"/>
        <v>3</v>
      </c>
      <c r="ETN52">
        <f t="shared" si="284"/>
        <v>3</v>
      </c>
      <c r="ETO52">
        <f t="shared" si="284"/>
        <v>3</v>
      </c>
      <c r="ETP52">
        <f t="shared" si="284"/>
        <v>3</v>
      </c>
      <c r="ETQ52">
        <f t="shared" si="284"/>
        <v>3</v>
      </c>
      <c r="ETR52">
        <f t="shared" si="284"/>
        <v>3</v>
      </c>
      <c r="ETS52">
        <f t="shared" si="284"/>
        <v>3</v>
      </c>
      <c r="ETT52">
        <f t="shared" si="284"/>
        <v>3</v>
      </c>
      <c r="ETU52">
        <f t="shared" si="284"/>
        <v>3</v>
      </c>
      <c r="ETV52">
        <f t="shared" si="284"/>
        <v>3</v>
      </c>
      <c r="ETW52">
        <f t="shared" si="284"/>
        <v>3</v>
      </c>
      <c r="ETX52">
        <f t="shared" si="284"/>
        <v>3</v>
      </c>
      <c r="ETY52">
        <f t="shared" si="284"/>
        <v>3</v>
      </c>
      <c r="ETZ52">
        <f t="shared" si="284"/>
        <v>3</v>
      </c>
      <c r="EUA52">
        <f t="shared" si="284"/>
        <v>3</v>
      </c>
      <c r="EUB52">
        <f t="shared" si="284"/>
        <v>3</v>
      </c>
      <c r="EUC52">
        <f t="shared" si="284"/>
        <v>3</v>
      </c>
      <c r="EUD52">
        <f t="shared" si="284"/>
        <v>3</v>
      </c>
      <c r="EUE52">
        <f t="shared" si="284"/>
        <v>3</v>
      </c>
      <c r="EUF52">
        <f t="shared" si="284"/>
        <v>3</v>
      </c>
      <c r="EUG52">
        <f t="shared" si="284"/>
        <v>3</v>
      </c>
      <c r="EUH52">
        <f t="shared" si="284"/>
        <v>3</v>
      </c>
      <c r="EUI52">
        <f t="shared" si="284"/>
        <v>3</v>
      </c>
      <c r="EUJ52">
        <f t="shared" si="284"/>
        <v>3</v>
      </c>
      <c r="EUK52">
        <f t="shared" si="284"/>
        <v>3</v>
      </c>
      <c r="EUL52">
        <f t="shared" si="284"/>
        <v>3</v>
      </c>
      <c r="EUM52">
        <f t="shared" si="284"/>
        <v>3</v>
      </c>
      <c r="EUN52">
        <f t="shared" si="284"/>
        <v>3</v>
      </c>
      <c r="EUO52">
        <f t="shared" si="284"/>
        <v>3</v>
      </c>
      <c r="EUP52">
        <f t="shared" si="284"/>
        <v>3</v>
      </c>
      <c r="EUQ52">
        <f t="shared" ref="EUQ52:EXB52" si="285">COUNTBLANK(EUQ2:EUQ5)</f>
        <v>3</v>
      </c>
      <c r="EUR52">
        <f t="shared" si="285"/>
        <v>3</v>
      </c>
      <c r="EUS52">
        <f t="shared" si="285"/>
        <v>3</v>
      </c>
      <c r="EUT52">
        <f t="shared" si="285"/>
        <v>3</v>
      </c>
      <c r="EUU52">
        <f t="shared" si="285"/>
        <v>3</v>
      </c>
      <c r="EUV52">
        <f t="shared" si="285"/>
        <v>2</v>
      </c>
      <c r="EUW52">
        <f t="shared" si="285"/>
        <v>2</v>
      </c>
      <c r="EUX52">
        <f t="shared" si="285"/>
        <v>2</v>
      </c>
      <c r="EUY52">
        <f t="shared" si="285"/>
        <v>2</v>
      </c>
      <c r="EUZ52">
        <f t="shared" si="285"/>
        <v>2</v>
      </c>
      <c r="EVA52">
        <f t="shared" si="285"/>
        <v>2</v>
      </c>
      <c r="EVB52">
        <f t="shared" si="285"/>
        <v>2</v>
      </c>
      <c r="EVC52">
        <f t="shared" si="285"/>
        <v>2</v>
      </c>
      <c r="EVD52">
        <f t="shared" si="285"/>
        <v>2</v>
      </c>
      <c r="EVE52">
        <f t="shared" si="285"/>
        <v>2</v>
      </c>
      <c r="EVF52">
        <f t="shared" si="285"/>
        <v>2</v>
      </c>
      <c r="EVG52">
        <f t="shared" si="285"/>
        <v>2</v>
      </c>
      <c r="EVH52">
        <f t="shared" si="285"/>
        <v>2</v>
      </c>
      <c r="EVI52">
        <f t="shared" si="285"/>
        <v>2</v>
      </c>
      <c r="EVJ52">
        <f t="shared" si="285"/>
        <v>2</v>
      </c>
      <c r="EVK52">
        <f t="shared" si="285"/>
        <v>2</v>
      </c>
      <c r="EVL52">
        <f t="shared" si="285"/>
        <v>2</v>
      </c>
      <c r="EVM52">
        <f t="shared" si="285"/>
        <v>2</v>
      </c>
      <c r="EVN52">
        <f t="shared" si="285"/>
        <v>2</v>
      </c>
      <c r="EVO52">
        <f t="shared" si="285"/>
        <v>2</v>
      </c>
      <c r="EVP52">
        <f t="shared" si="285"/>
        <v>2</v>
      </c>
      <c r="EVQ52">
        <f t="shared" si="285"/>
        <v>2</v>
      </c>
      <c r="EVR52">
        <f t="shared" si="285"/>
        <v>2</v>
      </c>
      <c r="EVS52">
        <f t="shared" si="285"/>
        <v>2</v>
      </c>
      <c r="EVT52">
        <f t="shared" si="285"/>
        <v>2</v>
      </c>
      <c r="EVU52">
        <f t="shared" si="285"/>
        <v>2</v>
      </c>
      <c r="EVV52">
        <f t="shared" si="285"/>
        <v>2</v>
      </c>
      <c r="EVW52">
        <f t="shared" si="285"/>
        <v>2</v>
      </c>
      <c r="EVX52">
        <f t="shared" si="285"/>
        <v>2</v>
      </c>
      <c r="EVY52">
        <f t="shared" si="285"/>
        <v>2</v>
      </c>
      <c r="EVZ52">
        <f t="shared" si="285"/>
        <v>2</v>
      </c>
      <c r="EWA52">
        <f t="shared" si="285"/>
        <v>2</v>
      </c>
      <c r="EWB52">
        <f t="shared" si="285"/>
        <v>2</v>
      </c>
      <c r="EWC52">
        <f t="shared" si="285"/>
        <v>2</v>
      </c>
      <c r="EWD52">
        <f t="shared" si="285"/>
        <v>2</v>
      </c>
      <c r="EWE52">
        <f t="shared" si="285"/>
        <v>2</v>
      </c>
      <c r="EWF52">
        <f t="shared" si="285"/>
        <v>2</v>
      </c>
      <c r="EWG52">
        <f t="shared" si="285"/>
        <v>2</v>
      </c>
      <c r="EWH52">
        <f t="shared" si="285"/>
        <v>2</v>
      </c>
      <c r="EWI52">
        <f t="shared" si="285"/>
        <v>2</v>
      </c>
      <c r="EWJ52">
        <f t="shared" si="285"/>
        <v>2</v>
      </c>
      <c r="EWK52">
        <f t="shared" si="285"/>
        <v>2</v>
      </c>
      <c r="EWL52">
        <f t="shared" si="285"/>
        <v>2</v>
      </c>
      <c r="EWM52">
        <f t="shared" si="285"/>
        <v>2</v>
      </c>
      <c r="EWN52">
        <f t="shared" si="285"/>
        <v>2</v>
      </c>
      <c r="EWO52">
        <f t="shared" si="285"/>
        <v>2</v>
      </c>
      <c r="EWP52">
        <f t="shared" si="285"/>
        <v>2</v>
      </c>
      <c r="EWQ52">
        <f t="shared" si="285"/>
        <v>2</v>
      </c>
      <c r="EWR52">
        <f t="shared" si="285"/>
        <v>2</v>
      </c>
      <c r="EWS52">
        <f t="shared" si="285"/>
        <v>2</v>
      </c>
      <c r="EWT52">
        <f t="shared" si="285"/>
        <v>2</v>
      </c>
      <c r="EWU52">
        <f t="shared" si="285"/>
        <v>2</v>
      </c>
      <c r="EWV52">
        <f t="shared" si="285"/>
        <v>2</v>
      </c>
      <c r="EWW52">
        <f t="shared" si="285"/>
        <v>2</v>
      </c>
      <c r="EWX52">
        <f t="shared" si="285"/>
        <v>2</v>
      </c>
      <c r="EWY52">
        <f t="shared" si="285"/>
        <v>2</v>
      </c>
      <c r="EWZ52">
        <f t="shared" si="285"/>
        <v>2</v>
      </c>
      <c r="EXA52">
        <f t="shared" si="285"/>
        <v>2</v>
      </c>
      <c r="EXB52">
        <f t="shared" si="285"/>
        <v>2</v>
      </c>
      <c r="EXC52">
        <f t="shared" ref="EXC52:EZN52" si="286">COUNTBLANK(EXC2:EXC5)</f>
        <v>2</v>
      </c>
      <c r="EXD52">
        <f t="shared" si="286"/>
        <v>2</v>
      </c>
      <c r="EXE52">
        <f t="shared" si="286"/>
        <v>2</v>
      </c>
      <c r="EXF52">
        <f t="shared" si="286"/>
        <v>3</v>
      </c>
      <c r="EXG52">
        <f t="shared" si="286"/>
        <v>3</v>
      </c>
      <c r="EXH52">
        <f t="shared" si="286"/>
        <v>3</v>
      </c>
      <c r="EXI52">
        <f t="shared" si="286"/>
        <v>3</v>
      </c>
      <c r="EXJ52">
        <f t="shared" si="286"/>
        <v>3</v>
      </c>
      <c r="EXK52">
        <f t="shared" si="286"/>
        <v>3</v>
      </c>
      <c r="EXL52">
        <f t="shared" si="286"/>
        <v>3</v>
      </c>
      <c r="EXM52">
        <f t="shared" si="286"/>
        <v>3</v>
      </c>
      <c r="EXN52">
        <f t="shared" si="286"/>
        <v>3</v>
      </c>
      <c r="EXO52">
        <f t="shared" si="286"/>
        <v>3</v>
      </c>
      <c r="EXP52">
        <f t="shared" si="286"/>
        <v>3</v>
      </c>
      <c r="EXQ52">
        <f t="shared" si="286"/>
        <v>3</v>
      </c>
      <c r="EXR52">
        <f t="shared" si="286"/>
        <v>3</v>
      </c>
      <c r="EXS52">
        <f t="shared" si="286"/>
        <v>3</v>
      </c>
      <c r="EXT52">
        <f t="shared" si="286"/>
        <v>3</v>
      </c>
      <c r="EXU52">
        <f t="shared" si="286"/>
        <v>3</v>
      </c>
      <c r="EXV52">
        <f t="shared" si="286"/>
        <v>3</v>
      </c>
      <c r="EXW52">
        <f t="shared" si="286"/>
        <v>3</v>
      </c>
      <c r="EXX52">
        <f t="shared" si="286"/>
        <v>3</v>
      </c>
      <c r="EXY52">
        <f t="shared" si="286"/>
        <v>3</v>
      </c>
      <c r="EXZ52">
        <f t="shared" si="286"/>
        <v>3</v>
      </c>
      <c r="EYA52">
        <f t="shared" si="286"/>
        <v>3</v>
      </c>
      <c r="EYB52">
        <f t="shared" si="286"/>
        <v>3</v>
      </c>
      <c r="EYC52">
        <f t="shared" si="286"/>
        <v>3</v>
      </c>
      <c r="EYD52">
        <f t="shared" si="286"/>
        <v>3</v>
      </c>
      <c r="EYE52">
        <f t="shared" si="286"/>
        <v>3</v>
      </c>
      <c r="EYF52">
        <f t="shared" si="286"/>
        <v>3</v>
      </c>
      <c r="EYG52">
        <f t="shared" si="286"/>
        <v>3</v>
      </c>
      <c r="EYH52">
        <f t="shared" si="286"/>
        <v>3</v>
      </c>
      <c r="EYI52">
        <f t="shared" si="286"/>
        <v>3</v>
      </c>
      <c r="EYJ52">
        <f t="shared" si="286"/>
        <v>3</v>
      </c>
      <c r="EYK52">
        <f t="shared" si="286"/>
        <v>3</v>
      </c>
      <c r="EYL52">
        <f t="shared" si="286"/>
        <v>3</v>
      </c>
      <c r="EYM52">
        <f t="shared" si="286"/>
        <v>3</v>
      </c>
      <c r="EYN52">
        <f t="shared" si="286"/>
        <v>3</v>
      </c>
      <c r="EYO52">
        <f t="shared" si="286"/>
        <v>3</v>
      </c>
      <c r="EYP52">
        <f t="shared" si="286"/>
        <v>3</v>
      </c>
      <c r="EYQ52">
        <f t="shared" si="286"/>
        <v>3</v>
      </c>
      <c r="EYR52">
        <f t="shared" si="286"/>
        <v>3</v>
      </c>
      <c r="EYS52">
        <f t="shared" si="286"/>
        <v>3</v>
      </c>
      <c r="EYT52">
        <f t="shared" si="286"/>
        <v>3</v>
      </c>
      <c r="EYU52">
        <f t="shared" si="286"/>
        <v>3</v>
      </c>
      <c r="EYV52">
        <f t="shared" si="286"/>
        <v>3</v>
      </c>
      <c r="EYW52">
        <f t="shared" si="286"/>
        <v>3</v>
      </c>
      <c r="EYX52">
        <f t="shared" si="286"/>
        <v>3</v>
      </c>
      <c r="EYY52">
        <f t="shared" si="286"/>
        <v>3</v>
      </c>
      <c r="EYZ52">
        <f t="shared" si="286"/>
        <v>3</v>
      </c>
      <c r="EZA52">
        <f t="shared" si="286"/>
        <v>3</v>
      </c>
      <c r="EZB52">
        <f t="shared" si="286"/>
        <v>3</v>
      </c>
      <c r="EZC52">
        <f t="shared" si="286"/>
        <v>3</v>
      </c>
      <c r="EZD52">
        <f t="shared" si="286"/>
        <v>3</v>
      </c>
      <c r="EZE52">
        <f t="shared" si="286"/>
        <v>3</v>
      </c>
      <c r="EZF52">
        <f t="shared" si="286"/>
        <v>3</v>
      </c>
      <c r="EZG52">
        <f t="shared" si="286"/>
        <v>3</v>
      </c>
      <c r="EZH52">
        <f t="shared" si="286"/>
        <v>3</v>
      </c>
      <c r="EZI52">
        <f t="shared" si="286"/>
        <v>3</v>
      </c>
      <c r="EZJ52">
        <f t="shared" si="286"/>
        <v>3</v>
      </c>
      <c r="EZK52">
        <f t="shared" si="286"/>
        <v>3</v>
      </c>
      <c r="EZL52">
        <f t="shared" si="286"/>
        <v>3</v>
      </c>
      <c r="EZM52">
        <f t="shared" si="286"/>
        <v>3</v>
      </c>
      <c r="EZN52">
        <f t="shared" si="286"/>
        <v>3</v>
      </c>
      <c r="EZO52">
        <f t="shared" ref="EZO52:FBZ52" si="287">COUNTBLANK(EZO2:EZO5)</f>
        <v>3</v>
      </c>
      <c r="EZP52">
        <f t="shared" si="287"/>
        <v>3</v>
      </c>
      <c r="EZQ52">
        <f t="shared" si="287"/>
        <v>3</v>
      </c>
      <c r="EZR52">
        <f t="shared" si="287"/>
        <v>3</v>
      </c>
      <c r="EZS52">
        <f t="shared" si="287"/>
        <v>3</v>
      </c>
      <c r="EZT52">
        <f t="shared" si="287"/>
        <v>3</v>
      </c>
      <c r="EZU52">
        <f t="shared" si="287"/>
        <v>3</v>
      </c>
      <c r="EZV52">
        <f t="shared" si="287"/>
        <v>3</v>
      </c>
      <c r="EZW52">
        <f t="shared" si="287"/>
        <v>3</v>
      </c>
      <c r="EZX52">
        <f t="shared" si="287"/>
        <v>3</v>
      </c>
      <c r="EZY52">
        <f t="shared" si="287"/>
        <v>3</v>
      </c>
      <c r="EZZ52">
        <f t="shared" si="287"/>
        <v>3</v>
      </c>
      <c r="FAA52">
        <f t="shared" si="287"/>
        <v>3</v>
      </c>
      <c r="FAB52">
        <f t="shared" si="287"/>
        <v>3</v>
      </c>
      <c r="FAC52">
        <f t="shared" si="287"/>
        <v>3</v>
      </c>
      <c r="FAD52">
        <f t="shared" si="287"/>
        <v>3</v>
      </c>
      <c r="FAE52">
        <f t="shared" si="287"/>
        <v>3</v>
      </c>
      <c r="FAF52">
        <f t="shared" si="287"/>
        <v>3</v>
      </c>
      <c r="FAG52">
        <f t="shared" si="287"/>
        <v>3</v>
      </c>
      <c r="FAH52">
        <f t="shared" si="287"/>
        <v>3</v>
      </c>
      <c r="FAI52">
        <f t="shared" si="287"/>
        <v>3</v>
      </c>
      <c r="FAJ52">
        <f t="shared" si="287"/>
        <v>3</v>
      </c>
      <c r="FAK52">
        <f t="shared" si="287"/>
        <v>3</v>
      </c>
      <c r="FAL52">
        <f t="shared" si="287"/>
        <v>3</v>
      </c>
      <c r="FAM52">
        <f t="shared" si="287"/>
        <v>3</v>
      </c>
      <c r="FAN52">
        <f t="shared" si="287"/>
        <v>3</v>
      </c>
      <c r="FAO52">
        <f t="shared" si="287"/>
        <v>3</v>
      </c>
      <c r="FAP52">
        <f t="shared" si="287"/>
        <v>3</v>
      </c>
      <c r="FAQ52">
        <f t="shared" si="287"/>
        <v>3</v>
      </c>
      <c r="FAR52">
        <f t="shared" si="287"/>
        <v>3</v>
      </c>
      <c r="FAS52">
        <f t="shared" si="287"/>
        <v>3</v>
      </c>
      <c r="FAT52">
        <f t="shared" si="287"/>
        <v>3</v>
      </c>
      <c r="FAU52">
        <f t="shared" si="287"/>
        <v>3</v>
      </c>
      <c r="FAV52">
        <f t="shared" si="287"/>
        <v>3</v>
      </c>
      <c r="FAW52">
        <f t="shared" si="287"/>
        <v>3</v>
      </c>
      <c r="FAX52">
        <f t="shared" si="287"/>
        <v>3</v>
      </c>
      <c r="FAY52">
        <f t="shared" si="287"/>
        <v>3</v>
      </c>
      <c r="FAZ52">
        <f t="shared" si="287"/>
        <v>3</v>
      </c>
      <c r="FBA52">
        <f t="shared" si="287"/>
        <v>3</v>
      </c>
      <c r="FBB52">
        <f t="shared" si="287"/>
        <v>3</v>
      </c>
      <c r="FBC52">
        <f t="shared" si="287"/>
        <v>3</v>
      </c>
      <c r="FBD52">
        <f t="shared" si="287"/>
        <v>3</v>
      </c>
      <c r="FBE52">
        <f t="shared" si="287"/>
        <v>3</v>
      </c>
      <c r="FBF52">
        <f t="shared" si="287"/>
        <v>3</v>
      </c>
      <c r="FBG52">
        <f t="shared" si="287"/>
        <v>3</v>
      </c>
      <c r="FBH52">
        <f t="shared" si="287"/>
        <v>3</v>
      </c>
      <c r="FBI52">
        <f t="shared" si="287"/>
        <v>3</v>
      </c>
      <c r="FBJ52">
        <f t="shared" si="287"/>
        <v>3</v>
      </c>
      <c r="FBK52">
        <f t="shared" si="287"/>
        <v>3</v>
      </c>
      <c r="FBL52">
        <f t="shared" si="287"/>
        <v>3</v>
      </c>
      <c r="FBM52">
        <f t="shared" si="287"/>
        <v>3</v>
      </c>
      <c r="FBN52">
        <f t="shared" si="287"/>
        <v>3</v>
      </c>
      <c r="FBO52">
        <f t="shared" si="287"/>
        <v>3</v>
      </c>
      <c r="FBP52">
        <f t="shared" si="287"/>
        <v>3</v>
      </c>
      <c r="FBQ52">
        <f t="shared" si="287"/>
        <v>3</v>
      </c>
      <c r="FBR52">
        <f t="shared" si="287"/>
        <v>3</v>
      </c>
      <c r="FBS52">
        <f t="shared" si="287"/>
        <v>3</v>
      </c>
      <c r="FBT52">
        <f t="shared" si="287"/>
        <v>3</v>
      </c>
      <c r="FBU52">
        <f t="shared" si="287"/>
        <v>3</v>
      </c>
      <c r="FBV52">
        <f t="shared" si="287"/>
        <v>3</v>
      </c>
      <c r="FBW52">
        <f t="shared" si="287"/>
        <v>3</v>
      </c>
      <c r="FBX52">
        <f t="shared" si="287"/>
        <v>3</v>
      </c>
      <c r="FBY52">
        <f t="shared" si="287"/>
        <v>3</v>
      </c>
      <c r="FBZ52">
        <f t="shared" si="287"/>
        <v>3</v>
      </c>
      <c r="FCA52">
        <f t="shared" ref="FCA52:FEL52" si="288">COUNTBLANK(FCA2:FCA5)</f>
        <v>3</v>
      </c>
      <c r="FCB52">
        <f t="shared" si="288"/>
        <v>3</v>
      </c>
      <c r="FCC52">
        <f t="shared" si="288"/>
        <v>3</v>
      </c>
      <c r="FCD52">
        <f t="shared" si="288"/>
        <v>3</v>
      </c>
      <c r="FCE52">
        <f t="shared" si="288"/>
        <v>3</v>
      </c>
      <c r="FCF52">
        <f t="shared" si="288"/>
        <v>3</v>
      </c>
      <c r="FCG52">
        <f t="shared" si="288"/>
        <v>3</v>
      </c>
      <c r="FCH52">
        <f t="shared" si="288"/>
        <v>3</v>
      </c>
      <c r="FCI52">
        <f t="shared" si="288"/>
        <v>3</v>
      </c>
      <c r="FCJ52">
        <f t="shared" si="288"/>
        <v>3</v>
      </c>
      <c r="FCK52">
        <f t="shared" si="288"/>
        <v>3</v>
      </c>
      <c r="FCL52">
        <f t="shared" si="288"/>
        <v>3</v>
      </c>
      <c r="FCM52">
        <f t="shared" si="288"/>
        <v>3</v>
      </c>
      <c r="FCN52">
        <f t="shared" si="288"/>
        <v>3</v>
      </c>
      <c r="FCO52">
        <f t="shared" si="288"/>
        <v>3</v>
      </c>
      <c r="FCP52">
        <f t="shared" si="288"/>
        <v>3</v>
      </c>
      <c r="FCQ52">
        <f t="shared" si="288"/>
        <v>3</v>
      </c>
      <c r="FCR52">
        <f t="shared" si="288"/>
        <v>3</v>
      </c>
      <c r="FCS52">
        <f t="shared" si="288"/>
        <v>3</v>
      </c>
      <c r="FCT52">
        <f t="shared" si="288"/>
        <v>3</v>
      </c>
      <c r="FCU52">
        <f t="shared" si="288"/>
        <v>3</v>
      </c>
      <c r="FCV52">
        <f t="shared" si="288"/>
        <v>3</v>
      </c>
      <c r="FCW52">
        <f t="shared" si="288"/>
        <v>3</v>
      </c>
      <c r="FCX52">
        <f t="shared" si="288"/>
        <v>3</v>
      </c>
      <c r="FCY52">
        <f t="shared" si="288"/>
        <v>3</v>
      </c>
      <c r="FCZ52">
        <f t="shared" si="288"/>
        <v>3</v>
      </c>
      <c r="FDA52">
        <f t="shared" si="288"/>
        <v>3</v>
      </c>
      <c r="FDB52">
        <f t="shared" si="288"/>
        <v>3</v>
      </c>
      <c r="FDC52">
        <f t="shared" si="288"/>
        <v>3</v>
      </c>
      <c r="FDD52">
        <f t="shared" si="288"/>
        <v>3</v>
      </c>
      <c r="FDE52">
        <f t="shared" si="288"/>
        <v>3</v>
      </c>
      <c r="FDF52">
        <f t="shared" si="288"/>
        <v>3</v>
      </c>
      <c r="FDG52">
        <f t="shared" si="288"/>
        <v>3</v>
      </c>
      <c r="FDH52">
        <f t="shared" si="288"/>
        <v>3</v>
      </c>
      <c r="FDI52">
        <f t="shared" si="288"/>
        <v>3</v>
      </c>
      <c r="FDJ52">
        <f t="shared" si="288"/>
        <v>3</v>
      </c>
      <c r="FDK52">
        <f t="shared" si="288"/>
        <v>3</v>
      </c>
      <c r="FDL52">
        <f t="shared" si="288"/>
        <v>3</v>
      </c>
      <c r="FDM52">
        <f t="shared" si="288"/>
        <v>3</v>
      </c>
      <c r="FDN52">
        <f t="shared" si="288"/>
        <v>3</v>
      </c>
      <c r="FDO52">
        <f t="shared" si="288"/>
        <v>3</v>
      </c>
      <c r="FDP52">
        <f t="shared" si="288"/>
        <v>3</v>
      </c>
      <c r="FDQ52">
        <f t="shared" si="288"/>
        <v>3</v>
      </c>
      <c r="FDR52">
        <f t="shared" si="288"/>
        <v>3</v>
      </c>
      <c r="FDS52">
        <f t="shared" si="288"/>
        <v>3</v>
      </c>
      <c r="FDT52">
        <f t="shared" si="288"/>
        <v>3</v>
      </c>
      <c r="FDU52">
        <f t="shared" si="288"/>
        <v>3</v>
      </c>
      <c r="FDV52">
        <f t="shared" si="288"/>
        <v>3</v>
      </c>
      <c r="FDW52">
        <f t="shared" si="288"/>
        <v>3</v>
      </c>
      <c r="FDX52">
        <f t="shared" si="288"/>
        <v>3</v>
      </c>
      <c r="FDY52">
        <f t="shared" si="288"/>
        <v>3</v>
      </c>
      <c r="FDZ52">
        <f t="shared" si="288"/>
        <v>3</v>
      </c>
      <c r="FEA52">
        <f t="shared" si="288"/>
        <v>3</v>
      </c>
      <c r="FEB52">
        <f t="shared" si="288"/>
        <v>3</v>
      </c>
      <c r="FEC52">
        <f t="shared" si="288"/>
        <v>3</v>
      </c>
      <c r="FED52">
        <f t="shared" si="288"/>
        <v>3</v>
      </c>
      <c r="FEE52">
        <f t="shared" si="288"/>
        <v>3</v>
      </c>
      <c r="FEF52">
        <f t="shared" si="288"/>
        <v>3</v>
      </c>
      <c r="FEG52">
        <f t="shared" si="288"/>
        <v>3</v>
      </c>
      <c r="FEH52">
        <f t="shared" si="288"/>
        <v>3</v>
      </c>
      <c r="FEI52">
        <f t="shared" si="288"/>
        <v>3</v>
      </c>
      <c r="FEJ52">
        <f t="shared" si="288"/>
        <v>3</v>
      </c>
      <c r="FEK52">
        <f t="shared" si="288"/>
        <v>3</v>
      </c>
      <c r="FEL52">
        <f t="shared" si="288"/>
        <v>3</v>
      </c>
      <c r="FEM52">
        <f t="shared" ref="FEM52:FGX52" si="289">COUNTBLANK(FEM2:FEM5)</f>
        <v>3</v>
      </c>
      <c r="FEN52">
        <f t="shared" si="289"/>
        <v>3</v>
      </c>
      <c r="FEO52">
        <f t="shared" si="289"/>
        <v>3</v>
      </c>
      <c r="FEP52">
        <f t="shared" si="289"/>
        <v>3</v>
      </c>
      <c r="FEQ52">
        <f t="shared" si="289"/>
        <v>3</v>
      </c>
      <c r="FER52">
        <f t="shared" si="289"/>
        <v>3</v>
      </c>
      <c r="FES52">
        <f t="shared" si="289"/>
        <v>3</v>
      </c>
      <c r="FET52">
        <f t="shared" si="289"/>
        <v>3</v>
      </c>
      <c r="FEU52">
        <f t="shared" si="289"/>
        <v>3</v>
      </c>
      <c r="FEV52">
        <f t="shared" si="289"/>
        <v>3</v>
      </c>
      <c r="FEW52">
        <f t="shared" si="289"/>
        <v>3</v>
      </c>
      <c r="FEX52">
        <f t="shared" si="289"/>
        <v>3</v>
      </c>
      <c r="FEY52">
        <f t="shared" si="289"/>
        <v>3</v>
      </c>
      <c r="FEZ52">
        <f t="shared" si="289"/>
        <v>3</v>
      </c>
      <c r="FFA52">
        <f t="shared" si="289"/>
        <v>3</v>
      </c>
      <c r="FFB52">
        <f t="shared" si="289"/>
        <v>3</v>
      </c>
      <c r="FFC52">
        <f t="shared" si="289"/>
        <v>3</v>
      </c>
      <c r="FFD52">
        <f t="shared" si="289"/>
        <v>3</v>
      </c>
      <c r="FFE52">
        <f t="shared" si="289"/>
        <v>3</v>
      </c>
      <c r="FFF52">
        <f t="shared" si="289"/>
        <v>3</v>
      </c>
      <c r="FFG52">
        <f t="shared" si="289"/>
        <v>3</v>
      </c>
      <c r="FFH52">
        <f t="shared" si="289"/>
        <v>3</v>
      </c>
      <c r="FFI52">
        <f t="shared" si="289"/>
        <v>3</v>
      </c>
      <c r="FFJ52">
        <f t="shared" si="289"/>
        <v>3</v>
      </c>
      <c r="FFK52">
        <f t="shared" si="289"/>
        <v>3</v>
      </c>
      <c r="FFL52">
        <f t="shared" si="289"/>
        <v>3</v>
      </c>
      <c r="FFM52">
        <f t="shared" si="289"/>
        <v>3</v>
      </c>
      <c r="FFN52">
        <f t="shared" si="289"/>
        <v>3</v>
      </c>
      <c r="FFO52">
        <f t="shared" si="289"/>
        <v>3</v>
      </c>
      <c r="FFP52">
        <f t="shared" si="289"/>
        <v>3</v>
      </c>
      <c r="FFQ52">
        <f t="shared" si="289"/>
        <v>3</v>
      </c>
      <c r="FFR52">
        <f t="shared" si="289"/>
        <v>3</v>
      </c>
      <c r="FFS52">
        <f t="shared" si="289"/>
        <v>3</v>
      </c>
      <c r="FFT52">
        <f t="shared" si="289"/>
        <v>3</v>
      </c>
      <c r="FFU52">
        <f t="shared" si="289"/>
        <v>3</v>
      </c>
      <c r="FFV52">
        <f t="shared" si="289"/>
        <v>3</v>
      </c>
      <c r="FFW52">
        <f t="shared" si="289"/>
        <v>3</v>
      </c>
      <c r="FFX52">
        <f t="shared" si="289"/>
        <v>3</v>
      </c>
      <c r="FFY52">
        <f t="shared" si="289"/>
        <v>3</v>
      </c>
      <c r="FFZ52">
        <f t="shared" si="289"/>
        <v>3</v>
      </c>
      <c r="FGA52">
        <f t="shared" si="289"/>
        <v>3</v>
      </c>
      <c r="FGB52">
        <f t="shared" si="289"/>
        <v>3</v>
      </c>
      <c r="FGC52">
        <f t="shared" si="289"/>
        <v>3</v>
      </c>
      <c r="FGD52">
        <f t="shared" si="289"/>
        <v>3</v>
      </c>
      <c r="FGE52">
        <f t="shared" si="289"/>
        <v>3</v>
      </c>
      <c r="FGF52">
        <f t="shared" si="289"/>
        <v>3</v>
      </c>
      <c r="FGG52">
        <f t="shared" si="289"/>
        <v>3</v>
      </c>
      <c r="FGH52">
        <f t="shared" si="289"/>
        <v>3</v>
      </c>
      <c r="FGI52">
        <f t="shared" si="289"/>
        <v>3</v>
      </c>
      <c r="FGJ52">
        <f t="shared" si="289"/>
        <v>3</v>
      </c>
      <c r="FGK52">
        <f t="shared" si="289"/>
        <v>3</v>
      </c>
      <c r="FGL52">
        <f t="shared" si="289"/>
        <v>3</v>
      </c>
      <c r="FGM52">
        <f t="shared" si="289"/>
        <v>3</v>
      </c>
      <c r="FGN52">
        <f t="shared" si="289"/>
        <v>3</v>
      </c>
      <c r="FGO52">
        <f t="shared" si="289"/>
        <v>3</v>
      </c>
      <c r="FGP52">
        <f t="shared" si="289"/>
        <v>3</v>
      </c>
      <c r="FGQ52">
        <f t="shared" si="289"/>
        <v>3</v>
      </c>
      <c r="FGR52">
        <f t="shared" si="289"/>
        <v>3</v>
      </c>
      <c r="FGS52">
        <f t="shared" si="289"/>
        <v>3</v>
      </c>
      <c r="FGT52">
        <f t="shared" si="289"/>
        <v>3</v>
      </c>
      <c r="FGU52">
        <f t="shared" si="289"/>
        <v>3</v>
      </c>
      <c r="FGV52">
        <f t="shared" si="289"/>
        <v>3</v>
      </c>
      <c r="FGW52">
        <f t="shared" si="289"/>
        <v>3</v>
      </c>
      <c r="FGX52">
        <f t="shared" si="289"/>
        <v>3</v>
      </c>
      <c r="FGY52">
        <f t="shared" ref="FGY52:FJJ52" si="290">COUNTBLANK(FGY2:FGY5)</f>
        <v>3</v>
      </c>
      <c r="FGZ52">
        <f t="shared" si="290"/>
        <v>3</v>
      </c>
      <c r="FHA52">
        <f t="shared" si="290"/>
        <v>3</v>
      </c>
      <c r="FHB52">
        <f t="shared" si="290"/>
        <v>3</v>
      </c>
      <c r="FHC52">
        <f t="shared" si="290"/>
        <v>3</v>
      </c>
      <c r="FHD52">
        <f t="shared" si="290"/>
        <v>3</v>
      </c>
      <c r="FHE52">
        <f t="shared" si="290"/>
        <v>3</v>
      </c>
      <c r="FHF52">
        <f t="shared" si="290"/>
        <v>3</v>
      </c>
      <c r="FHG52">
        <f t="shared" si="290"/>
        <v>3</v>
      </c>
      <c r="FHH52">
        <f t="shared" si="290"/>
        <v>3</v>
      </c>
      <c r="FHI52">
        <f t="shared" si="290"/>
        <v>3</v>
      </c>
      <c r="FHJ52">
        <f t="shared" si="290"/>
        <v>3</v>
      </c>
      <c r="FHK52">
        <f t="shared" si="290"/>
        <v>3</v>
      </c>
      <c r="FHL52">
        <f t="shared" si="290"/>
        <v>3</v>
      </c>
      <c r="FHM52">
        <f t="shared" si="290"/>
        <v>3</v>
      </c>
      <c r="FHN52">
        <f t="shared" si="290"/>
        <v>3</v>
      </c>
      <c r="FHO52">
        <f t="shared" si="290"/>
        <v>3</v>
      </c>
      <c r="FHP52">
        <f t="shared" si="290"/>
        <v>3</v>
      </c>
      <c r="FHQ52">
        <f t="shared" si="290"/>
        <v>3</v>
      </c>
      <c r="FHR52">
        <f t="shared" si="290"/>
        <v>3</v>
      </c>
      <c r="FHS52">
        <f t="shared" si="290"/>
        <v>3</v>
      </c>
      <c r="FHT52">
        <f t="shared" si="290"/>
        <v>3</v>
      </c>
      <c r="FHU52">
        <f t="shared" si="290"/>
        <v>3</v>
      </c>
      <c r="FHV52">
        <f t="shared" si="290"/>
        <v>3</v>
      </c>
      <c r="FHW52">
        <f t="shared" si="290"/>
        <v>3</v>
      </c>
      <c r="FHX52">
        <f t="shared" si="290"/>
        <v>3</v>
      </c>
      <c r="FHY52">
        <f t="shared" si="290"/>
        <v>3</v>
      </c>
      <c r="FHZ52">
        <f t="shared" si="290"/>
        <v>3</v>
      </c>
      <c r="FIA52">
        <f t="shared" si="290"/>
        <v>3</v>
      </c>
      <c r="FIB52">
        <f t="shared" si="290"/>
        <v>3</v>
      </c>
      <c r="FIC52">
        <f t="shared" si="290"/>
        <v>3</v>
      </c>
      <c r="FID52">
        <f t="shared" si="290"/>
        <v>3</v>
      </c>
      <c r="FIE52">
        <f t="shared" si="290"/>
        <v>3</v>
      </c>
      <c r="FIF52">
        <f t="shared" si="290"/>
        <v>3</v>
      </c>
      <c r="FIG52">
        <f t="shared" si="290"/>
        <v>3</v>
      </c>
      <c r="FIH52">
        <f t="shared" si="290"/>
        <v>3</v>
      </c>
      <c r="FII52">
        <f t="shared" si="290"/>
        <v>3</v>
      </c>
      <c r="FIJ52">
        <f t="shared" si="290"/>
        <v>3</v>
      </c>
      <c r="FIK52">
        <f t="shared" si="290"/>
        <v>3</v>
      </c>
      <c r="FIL52">
        <f t="shared" si="290"/>
        <v>3</v>
      </c>
      <c r="FIM52">
        <f t="shared" si="290"/>
        <v>3</v>
      </c>
      <c r="FIN52">
        <f t="shared" si="290"/>
        <v>3</v>
      </c>
      <c r="FIO52">
        <f t="shared" si="290"/>
        <v>3</v>
      </c>
      <c r="FIP52">
        <f t="shared" si="290"/>
        <v>3</v>
      </c>
      <c r="FIQ52">
        <f t="shared" si="290"/>
        <v>3</v>
      </c>
      <c r="FIR52">
        <f t="shared" si="290"/>
        <v>3</v>
      </c>
      <c r="FIS52">
        <f t="shared" si="290"/>
        <v>3</v>
      </c>
      <c r="FIT52">
        <f t="shared" si="290"/>
        <v>3</v>
      </c>
      <c r="FIU52">
        <f t="shared" si="290"/>
        <v>3</v>
      </c>
      <c r="FIV52">
        <f t="shared" si="290"/>
        <v>3</v>
      </c>
      <c r="FIW52">
        <f t="shared" si="290"/>
        <v>3</v>
      </c>
      <c r="FIX52">
        <f t="shared" si="290"/>
        <v>3</v>
      </c>
      <c r="FIY52">
        <f t="shared" si="290"/>
        <v>3</v>
      </c>
      <c r="FIZ52">
        <f t="shared" si="290"/>
        <v>3</v>
      </c>
      <c r="FJA52">
        <f t="shared" si="290"/>
        <v>3</v>
      </c>
      <c r="FJB52">
        <f t="shared" si="290"/>
        <v>3</v>
      </c>
      <c r="FJC52">
        <f t="shared" si="290"/>
        <v>3</v>
      </c>
      <c r="FJD52">
        <f t="shared" si="290"/>
        <v>3</v>
      </c>
      <c r="FJE52">
        <f t="shared" si="290"/>
        <v>3</v>
      </c>
      <c r="FJF52">
        <f t="shared" si="290"/>
        <v>3</v>
      </c>
      <c r="FJG52">
        <f t="shared" si="290"/>
        <v>3</v>
      </c>
      <c r="FJH52">
        <f t="shared" si="290"/>
        <v>3</v>
      </c>
      <c r="FJI52">
        <f t="shared" si="290"/>
        <v>3</v>
      </c>
      <c r="FJJ52">
        <f t="shared" si="290"/>
        <v>3</v>
      </c>
      <c r="FJK52">
        <f t="shared" ref="FJK52:FLV52" si="291">COUNTBLANK(FJK2:FJK5)</f>
        <v>3</v>
      </c>
      <c r="FJL52">
        <f t="shared" si="291"/>
        <v>3</v>
      </c>
      <c r="FJM52">
        <f t="shared" si="291"/>
        <v>3</v>
      </c>
      <c r="FJN52">
        <f t="shared" si="291"/>
        <v>3</v>
      </c>
      <c r="FJO52">
        <f t="shared" si="291"/>
        <v>3</v>
      </c>
      <c r="FJP52">
        <f t="shared" si="291"/>
        <v>3</v>
      </c>
      <c r="FJQ52">
        <f t="shared" si="291"/>
        <v>3</v>
      </c>
      <c r="FJR52">
        <f t="shared" si="291"/>
        <v>3</v>
      </c>
      <c r="FJS52">
        <f t="shared" si="291"/>
        <v>3</v>
      </c>
      <c r="FJT52">
        <f t="shared" si="291"/>
        <v>3</v>
      </c>
      <c r="FJU52">
        <f t="shared" si="291"/>
        <v>3</v>
      </c>
      <c r="FJV52">
        <f t="shared" si="291"/>
        <v>3</v>
      </c>
      <c r="FJW52">
        <f t="shared" si="291"/>
        <v>3</v>
      </c>
      <c r="FJX52">
        <f t="shared" si="291"/>
        <v>3</v>
      </c>
      <c r="FJY52">
        <f t="shared" si="291"/>
        <v>3</v>
      </c>
      <c r="FJZ52">
        <f t="shared" si="291"/>
        <v>3</v>
      </c>
      <c r="FKA52">
        <f t="shared" si="291"/>
        <v>3</v>
      </c>
      <c r="FKB52">
        <f t="shared" si="291"/>
        <v>3</v>
      </c>
      <c r="FKC52">
        <f t="shared" si="291"/>
        <v>3</v>
      </c>
      <c r="FKD52">
        <f t="shared" si="291"/>
        <v>3</v>
      </c>
      <c r="FKE52">
        <f t="shared" si="291"/>
        <v>3</v>
      </c>
      <c r="FKF52">
        <f t="shared" si="291"/>
        <v>3</v>
      </c>
      <c r="FKG52">
        <f t="shared" si="291"/>
        <v>3</v>
      </c>
      <c r="FKH52">
        <f t="shared" si="291"/>
        <v>3</v>
      </c>
      <c r="FKI52">
        <f t="shared" si="291"/>
        <v>3</v>
      </c>
      <c r="FKJ52">
        <f t="shared" si="291"/>
        <v>3</v>
      </c>
      <c r="FKK52">
        <f t="shared" si="291"/>
        <v>3</v>
      </c>
      <c r="FKL52">
        <f t="shared" si="291"/>
        <v>3</v>
      </c>
      <c r="FKM52">
        <f t="shared" si="291"/>
        <v>3</v>
      </c>
      <c r="FKN52">
        <f t="shared" si="291"/>
        <v>3</v>
      </c>
      <c r="FKO52">
        <f t="shared" si="291"/>
        <v>3</v>
      </c>
      <c r="FKP52">
        <f t="shared" si="291"/>
        <v>3</v>
      </c>
      <c r="FKQ52">
        <f t="shared" si="291"/>
        <v>3</v>
      </c>
      <c r="FKR52">
        <f t="shared" si="291"/>
        <v>3</v>
      </c>
      <c r="FKS52">
        <f t="shared" si="291"/>
        <v>3</v>
      </c>
      <c r="FKT52">
        <f t="shared" si="291"/>
        <v>3</v>
      </c>
      <c r="FKU52">
        <f t="shared" si="291"/>
        <v>3</v>
      </c>
      <c r="FKV52">
        <f t="shared" si="291"/>
        <v>3</v>
      </c>
      <c r="FKW52">
        <f t="shared" si="291"/>
        <v>3</v>
      </c>
      <c r="FKX52">
        <f t="shared" si="291"/>
        <v>3</v>
      </c>
      <c r="FKY52">
        <f t="shared" si="291"/>
        <v>3</v>
      </c>
      <c r="FKZ52">
        <f t="shared" si="291"/>
        <v>3</v>
      </c>
      <c r="FLA52">
        <f t="shared" si="291"/>
        <v>3</v>
      </c>
      <c r="FLB52">
        <f t="shared" si="291"/>
        <v>3</v>
      </c>
      <c r="FLC52">
        <f t="shared" si="291"/>
        <v>3</v>
      </c>
      <c r="FLD52">
        <f t="shared" si="291"/>
        <v>3</v>
      </c>
      <c r="FLE52">
        <f t="shared" si="291"/>
        <v>3</v>
      </c>
      <c r="FLF52">
        <f t="shared" si="291"/>
        <v>3</v>
      </c>
      <c r="FLG52">
        <f t="shared" si="291"/>
        <v>3</v>
      </c>
      <c r="FLH52">
        <f t="shared" si="291"/>
        <v>3</v>
      </c>
      <c r="FLI52">
        <f t="shared" si="291"/>
        <v>3</v>
      </c>
      <c r="FLJ52">
        <f t="shared" si="291"/>
        <v>3</v>
      </c>
      <c r="FLK52">
        <f t="shared" si="291"/>
        <v>3</v>
      </c>
      <c r="FLL52">
        <f t="shared" si="291"/>
        <v>3</v>
      </c>
      <c r="FLM52">
        <f t="shared" si="291"/>
        <v>3</v>
      </c>
      <c r="FLN52">
        <f t="shared" si="291"/>
        <v>3</v>
      </c>
      <c r="FLO52">
        <f t="shared" si="291"/>
        <v>3</v>
      </c>
      <c r="FLP52">
        <f t="shared" si="291"/>
        <v>3</v>
      </c>
      <c r="FLQ52">
        <f t="shared" si="291"/>
        <v>3</v>
      </c>
      <c r="FLR52">
        <f t="shared" si="291"/>
        <v>3</v>
      </c>
      <c r="FLS52">
        <f t="shared" si="291"/>
        <v>3</v>
      </c>
      <c r="FLT52">
        <f t="shared" si="291"/>
        <v>3</v>
      </c>
      <c r="FLU52">
        <f t="shared" si="291"/>
        <v>3</v>
      </c>
      <c r="FLV52">
        <f t="shared" si="291"/>
        <v>3</v>
      </c>
      <c r="FLW52">
        <f t="shared" ref="FLW52:FOH52" si="292">COUNTBLANK(FLW2:FLW5)</f>
        <v>3</v>
      </c>
      <c r="FLX52">
        <f t="shared" si="292"/>
        <v>3</v>
      </c>
      <c r="FLY52">
        <f t="shared" si="292"/>
        <v>3</v>
      </c>
      <c r="FLZ52">
        <f t="shared" si="292"/>
        <v>3</v>
      </c>
      <c r="FMA52">
        <f t="shared" si="292"/>
        <v>3</v>
      </c>
      <c r="FMB52">
        <f t="shared" si="292"/>
        <v>3</v>
      </c>
      <c r="FMC52">
        <f t="shared" si="292"/>
        <v>3</v>
      </c>
      <c r="FMD52">
        <f t="shared" si="292"/>
        <v>3</v>
      </c>
      <c r="FME52">
        <f t="shared" si="292"/>
        <v>3</v>
      </c>
      <c r="FMF52">
        <f t="shared" si="292"/>
        <v>3</v>
      </c>
      <c r="FMG52">
        <f t="shared" si="292"/>
        <v>3</v>
      </c>
      <c r="FMH52">
        <f t="shared" si="292"/>
        <v>3</v>
      </c>
      <c r="FMI52">
        <f t="shared" si="292"/>
        <v>3</v>
      </c>
      <c r="FMJ52">
        <f t="shared" si="292"/>
        <v>3</v>
      </c>
      <c r="FMK52">
        <f t="shared" si="292"/>
        <v>3</v>
      </c>
      <c r="FML52">
        <f t="shared" si="292"/>
        <v>3</v>
      </c>
      <c r="FMM52">
        <f t="shared" si="292"/>
        <v>3</v>
      </c>
      <c r="FMN52">
        <f t="shared" si="292"/>
        <v>3</v>
      </c>
      <c r="FMO52">
        <f t="shared" si="292"/>
        <v>3</v>
      </c>
      <c r="FMP52">
        <f t="shared" si="292"/>
        <v>3</v>
      </c>
      <c r="FMQ52">
        <f t="shared" si="292"/>
        <v>3</v>
      </c>
      <c r="FMR52">
        <f t="shared" si="292"/>
        <v>3</v>
      </c>
      <c r="FMS52">
        <f t="shared" si="292"/>
        <v>3</v>
      </c>
      <c r="FMT52">
        <f t="shared" si="292"/>
        <v>3</v>
      </c>
      <c r="FMU52">
        <f t="shared" si="292"/>
        <v>3</v>
      </c>
      <c r="FMV52">
        <f t="shared" si="292"/>
        <v>3</v>
      </c>
      <c r="FMW52">
        <f t="shared" si="292"/>
        <v>3</v>
      </c>
      <c r="FMX52">
        <f t="shared" si="292"/>
        <v>3</v>
      </c>
      <c r="FMY52">
        <f t="shared" si="292"/>
        <v>3</v>
      </c>
      <c r="FMZ52">
        <f t="shared" si="292"/>
        <v>3</v>
      </c>
      <c r="FNA52">
        <f t="shared" si="292"/>
        <v>3</v>
      </c>
      <c r="FNB52">
        <f t="shared" si="292"/>
        <v>3</v>
      </c>
      <c r="FNC52">
        <f t="shared" si="292"/>
        <v>3</v>
      </c>
      <c r="FND52">
        <f t="shared" si="292"/>
        <v>3</v>
      </c>
      <c r="FNE52">
        <f t="shared" si="292"/>
        <v>3</v>
      </c>
      <c r="FNF52">
        <f t="shared" si="292"/>
        <v>3</v>
      </c>
      <c r="FNG52">
        <f t="shared" si="292"/>
        <v>3</v>
      </c>
      <c r="FNH52">
        <f t="shared" si="292"/>
        <v>3</v>
      </c>
      <c r="FNI52">
        <f t="shared" si="292"/>
        <v>3</v>
      </c>
      <c r="FNJ52">
        <f t="shared" si="292"/>
        <v>3</v>
      </c>
      <c r="FNK52">
        <f t="shared" si="292"/>
        <v>3</v>
      </c>
      <c r="FNL52">
        <f t="shared" si="292"/>
        <v>3</v>
      </c>
      <c r="FNM52">
        <f t="shared" si="292"/>
        <v>3</v>
      </c>
      <c r="FNN52">
        <f t="shared" si="292"/>
        <v>3</v>
      </c>
      <c r="FNO52">
        <f t="shared" si="292"/>
        <v>3</v>
      </c>
      <c r="FNP52">
        <f t="shared" si="292"/>
        <v>3</v>
      </c>
      <c r="FNQ52">
        <f t="shared" si="292"/>
        <v>3</v>
      </c>
      <c r="FNR52">
        <f t="shared" si="292"/>
        <v>3</v>
      </c>
      <c r="FNS52">
        <f t="shared" si="292"/>
        <v>3</v>
      </c>
      <c r="FNT52">
        <f t="shared" si="292"/>
        <v>3</v>
      </c>
      <c r="FNU52">
        <f t="shared" si="292"/>
        <v>3</v>
      </c>
      <c r="FNV52">
        <f t="shared" si="292"/>
        <v>3</v>
      </c>
      <c r="FNW52">
        <f t="shared" si="292"/>
        <v>3</v>
      </c>
      <c r="FNX52">
        <f t="shared" si="292"/>
        <v>3</v>
      </c>
      <c r="FNY52">
        <f t="shared" si="292"/>
        <v>3</v>
      </c>
      <c r="FNZ52">
        <f t="shared" si="292"/>
        <v>3</v>
      </c>
      <c r="FOA52">
        <f t="shared" si="292"/>
        <v>3</v>
      </c>
      <c r="FOB52">
        <f t="shared" si="292"/>
        <v>3</v>
      </c>
      <c r="FOC52">
        <f t="shared" si="292"/>
        <v>3</v>
      </c>
      <c r="FOD52">
        <f t="shared" si="292"/>
        <v>3</v>
      </c>
      <c r="FOE52">
        <f t="shared" si="292"/>
        <v>3</v>
      </c>
      <c r="FOF52">
        <f t="shared" si="292"/>
        <v>3</v>
      </c>
      <c r="FOG52">
        <f t="shared" si="292"/>
        <v>3</v>
      </c>
      <c r="FOH52">
        <f t="shared" si="292"/>
        <v>2</v>
      </c>
      <c r="FOI52">
        <f t="shared" ref="FOI52:FQT52" si="293">COUNTBLANK(FOI2:FOI5)</f>
        <v>2</v>
      </c>
      <c r="FOJ52">
        <f t="shared" si="293"/>
        <v>2</v>
      </c>
      <c r="FOK52">
        <f t="shared" si="293"/>
        <v>2</v>
      </c>
      <c r="FOL52">
        <f t="shared" si="293"/>
        <v>2</v>
      </c>
      <c r="FOM52">
        <f t="shared" si="293"/>
        <v>2</v>
      </c>
      <c r="FON52">
        <f t="shared" si="293"/>
        <v>2</v>
      </c>
      <c r="FOO52">
        <f t="shared" si="293"/>
        <v>2</v>
      </c>
      <c r="FOP52">
        <f t="shared" si="293"/>
        <v>2</v>
      </c>
      <c r="FOQ52">
        <f t="shared" si="293"/>
        <v>2</v>
      </c>
      <c r="FOR52">
        <f t="shared" si="293"/>
        <v>2</v>
      </c>
      <c r="FOS52">
        <f t="shared" si="293"/>
        <v>2</v>
      </c>
      <c r="FOT52">
        <f t="shared" si="293"/>
        <v>2</v>
      </c>
      <c r="FOU52">
        <f t="shared" si="293"/>
        <v>2</v>
      </c>
      <c r="FOV52">
        <f t="shared" si="293"/>
        <v>3</v>
      </c>
      <c r="FOW52">
        <f t="shared" si="293"/>
        <v>3</v>
      </c>
      <c r="FOX52">
        <f t="shared" si="293"/>
        <v>3</v>
      </c>
      <c r="FOY52">
        <f t="shared" si="293"/>
        <v>3</v>
      </c>
      <c r="FOZ52">
        <f t="shared" si="293"/>
        <v>3</v>
      </c>
      <c r="FPA52">
        <f t="shared" si="293"/>
        <v>3</v>
      </c>
      <c r="FPB52">
        <f t="shared" si="293"/>
        <v>3</v>
      </c>
      <c r="FPC52">
        <f t="shared" si="293"/>
        <v>3</v>
      </c>
      <c r="FPD52">
        <f t="shared" si="293"/>
        <v>3</v>
      </c>
      <c r="FPE52">
        <f t="shared" si="293"/>
        <v>3</v>
      </c>
      <c r="FPF52">
        <f t="shared" si="293"/>
        <v>3</v>
      </c>
      <c r="FPG52">
        <f t="shared" si="293"/>
        <v>3</v>
      </c>
      <c r="FPH52">
        <f t="shared" si="293"/>
        <v>3</v>
      </c>
      <c r="FPI52">
        <f t="shared" si="293"/>
        <v>3</v>
      </c>
      <c r="FPJ52">
        <f t="shared" si="293"/>
        <v>3</v>
      </c>
      <c r="FPK52">
        <f t="shared" si="293"/>
        <v>3</v>
      </c>
      <c r="FPL52">
        <f t="shared" si="293"/>
        <v>3</v>
      </c>
      <c r="FPM52">
        <f t="shared" si="293"/>
        <v>3</v>
      </c>
      <c r="FPN52">
        <f t="shared" si="293"/>
        <v>3</v>
      </c>
      <c r="FPO52">
        <f t="shared" si="293"/>
        <v>3</v>
      </c>
      <c r="FPP52">
        <f t="shared" si="293"/>
        <v>3</v>
      </c>
      <c r="FPQ52">
        <f t="shared" si="293"/>
        <v>3</v>
      </c>
      <c r="FPR52">
        <f t="shared" si="293"/>
        <v>3</v>
      </c>
      <c r="FPS52">
        <f t="shared" si="293"/>
        <v>3</v>
      </c>
      <c r="FPT52">
        <f t="shared" si="293"/>
        <v>3</v>
      </c>
      <c r="FPU52">
        <f t="shared" si="293"/>
        <v>3</v>
      </c>
      <c r="FPV52">
        <f t="shared" si="293"/>
        <v>3</v>
      </c>
      <c r="FPW52">
        <f t="shared" si="293"/>
        <v>3</v>
      </c>
      <c r="FPX52">
        <f t="shared" si="293"/>
        <v>3</v>
      </c>
      <c r="FPY52">
        <f t="shared" si="293"/>
        <v>3</v>
      </c>
      <c r="FPZ52">
        <f t="shared" si="293"/>
        <v>3</v>
      </c>
      <c r="FQA52">
        <f t="shared" si="293"/>
        <v>3</v>
      </c>
      <c r="FQB52">
        <f t="shared" si="293"/>
        <v>3</v>
      </c>
      <c r="FQC52">
        <f t="shared" si="293"/>
        <v>3</v>
      </c>
      <c r="FQD52">
        <f t="shared" si="293"/>
        <v>3</v>
      </c>
      <c r="FQE52">
        <f t="shared" si="293"/>
        <v>3</v>
      </c>
      <c r="FQF52">
        <f t="shared" si="293"/>
        <v>3</v>
      </c>
      <c r="FQG52">
        <f t="shared" si="293"/>
        <v>3</v>
      </c>
      <c r="FQH52">
        <f t="shared" si="293"/>
        <v>3</v>
      </c>
      <c r="FQI52">
        <f t="shared" si="293"/>
        <v>3</v>
      </c>
      <c r="FQJ52">
        <f t="shared" si="293"/>
        <v>3</v>
      </c>
      <c r="FQK52">
        <f t="shared" si="293"/>
        <v>3</v>
      </c>
      <c r="FQL52">
        <f t="shared" si="293"/>
        <v>3</v>
      </c>
      <c r="FQM52">
        <f t="shared" si="293"/>
        <v>3</v>
      </c>
      <c r="FQN52">
        <f t="shared" si="293"/>
        <v>3</v>
      </c>
      <c r="FQO52">
        <f t="shared" si="293"/>
        <v>3</v>
      </c>
      <c r="FQP52">
        <f t="shared" si="293"/>
        <v>3</v>
      </c>
      <c r="FQQ52">
        <f t="shared" si="293"/>
        <v>3</v>
      </c>
      <c r="FQR52">
        <f t="shared" si="293"/>
        <v>3</v>
      </c>
      <c r="FQS52">
        <f t="shared" si="293"/>
        <v>3</v>
      </c>
      <c r="FQT52">
        <f t="shared" si="293"/>
        <v>3</v>
      </c>
      <c r="FQU52">
        <f t="shared" ref="FQU52:FTF52" si="294">COUNTBLANK(FQU2:FQU5)</f>
        <v>3</v>
      </c>
      <c r="FQV52">
        <f t="shared" si="294"/>
        <v>3</v>
      </c>
      <c r="FQW52">
        <f t="shared" si="294"/>
        <v>3</v>
      </c>
      <c r="FQX52">
        <f t="shared" si="294"/>
        <v>3</v>
      </c>
      <c r="FQY52">
        <f t="shared" si="294"/>
        <v>3</v>
      </c>
      <c r="FQZ52">
        <f t="shared" si="294"/>
        <v>3</v>
      </c>
      <c r="FRA52">
        <f t="shared" si="294"/>
        <v>3</v>
      </c>
      <c r="FRB52">
        <f t="shared" si="294"/>
        <v>3</v>
      </c>
      <c r="FRC52">
        <f t="shared" si="294"/>
        <v>3</v>
      </c>
      <c r="FRD52">
        <f t="shared" si="294"/>
        <v>3</v>
      </c>
      <c r="FRE52">
        <f t="shared" si="294"/>
        <v>3</v>
      </c>
      <c r="FRF52">
        <f t="shared" si="294"/>
        <v>3</v>
      </c>
      <c r="FRG52">
        <f t="shared" si="294"/>
        <v>3</v>
      </c>
      <c r="FRH52">
        <f t="shared" si="294"/>
        <v>3</v>
      </c>
      <c r="FRI52">
        <f t="shared" si="294"/>
        <v>3</v>
      </c>
      <c r="FRJ52">
        <f t="shared" si="294"/>
        <v>3</v>
      </c>
      <c r="FRK52">
        <f t="shared" si="294"/>
        <v>3</v>
      </c>
      <c r="FRL52">
        <f t="shared" si="294"/>
        <v>3</v>
      </c>
      <c r="FRM52">
        <f t="shared" si="294"/>
        <v>3</v>
      </c>
      <c r="FRN52">
        <f t="shared" si="294"/>
        <v>3</v>
      </c>
      <c r="FRO52">
        <f t="shared" si="294"/>
        <v>3</v>
      </c>
      <c r="FRP52">
        <f t="shared" si="294"/>
        <v>3</v>
      </c>
      <c r="FRQ52">
        <f t="shared" si="294"/>
        <v>3</v>
      </c>
      <c r="FRR52">
        <f t="shared" si="294"/>
        <v>3</v>
      </c>
      <c r="FRS52">
        <f t="shared" si="294"/>
        <v>3</v>
      </c>
      <c r="FRT52">
        <f t="shared" si="294"/>
        <v>3</v>
      </c>
      <c r="FRU52">
        <f t="shared" si="294"/>
        <v>3</v>
      </c>
      <c r="FRV52">
        <f t="shared" si="294"/>
        <v>3</v>
      </c>
      <c r="FRW52">
        <f t="shared" si="294"/>
        <v>3</v>
      </c>
      <c r="FRX52">
        <f t="shared" si="294"/>
        <v>3</v>
      </c>
      <c r="FRY52">
        <f t="shared" si="294"/>
        <v>3</v>
      </c>
      <c r="FRZ52">
        <f t="shared" si="294"/>
        <v>3</v>
      </c>
      <c r="FSA52">
        <f t="shared" si="294"/>
        <v>3</v>
      </c>
      <c r="FSB52">
        <f t="shared" si="294"/>
        <v>3</v>
      </c>
      <c r="FSC52">
        <f t="shared" si="294"/>
        <v>3</v>
      </c>
      <c r="FSD52">
        <f t="shared" si="294"/>
        <v>3</v>
      </c>
      <c r="FSE52">
        <f t="shared" si="294"/>
        <v>3</v>
      </c>
      <c r="FSF52">
        <f t="shared" si="294"/>
        <v>3</v>
      </c>
      <c r="FSG52">
        <f t="shared" si="294"/>
        <v>3</v>
      </c>
      <c r="FSH52">
        <f t="shared" si="294"/>
        <v>3</v>
      </c>
      <c r="FSI52">
        <f t="shared" si="294"/>
        <v>3</v>
      </c>
      <c r="FSJ52">
        <f t="shared" si="294"/>
        <v>3</v>
      </c>
      <c r="FSK52">
        <f t="shared" si="294"/>
        <v>3</v>
      </c>
      <c r="FSL52">
        <f t="shared" si="294"/>
        <v>3</v>
      </c>
      <c r="FSM52">
        <f t="shared" si="294"/>
        <v>3</v>
      </c>
      <c r="FSN52">
        <f t="shared" si="294"/>
        <v>3</v>
      </c>
      <c r="FSO52">
        <f t="shared" si="294"/>
        <v>3</v>
      </c>
      <c r="FSP52">
        <f t="shared" si="294"/>
        <v>3</v>
      </c>
      <c r="FSQ52">
        <f t="shared" si="294"/>
        <v>3</v>
      </c>
      <c r="FSR52">
        <f t="shared" si="294"/>
        <v>3</v>
      </c>
      <c r="FSS52">
        <f t="shared" si="294"/>
        <v>3</v>
      </c>
      <c r="FST52">
        <f t="shared" si="294"/>
        <v>3</v>
      </c>
      <c r="FSU52">
        <f t="shared" si="294"/>
        <v>3</v>
      </c>
      <c r="FSV52">
        <f t="shared" si="294"/>
        <v>3</v>
      </c>
      <c r="FSW52">
        <f t="shared" si="294"/>
        <v>3</v>
      </c>
      <c r="FSX52">
        <f t="shared" si="294"/>
        <v>3</v>
      </c>
      <c r="FSY52">
        <f t="shared" si="294"/>
        <v>3</v>
      </c>
      <c r="FSZ52">
        <f t="shared" si="294"/>
        <v>3</v>
      </c>
      <c r="FTA52">
        <f t="shared" si="294"/>
        <v>3</v>
      </c>
      <c r="FTB52">
        <f t="shared" si="294"/>
        <v>3</v>
      </c>
      <c r="FTC52">
        <f t="shared" si="294"/>
        <v>3</v>
      </c>
      <c r="FTD52">
        <f t="shared" si="294"/>
        <v>3</v>
      </c>
      <c r="FTE52">
        <f t="shared" si="294"/>
        <v>3</v>
      </c>
      <c r="FTF52">
        <f t="shared" si="294"/>
        <v>3</v>
      </c>
      <c r="FTG52">
        <f t="shared" ref="FTG52:FVR52" si="295">COUNTBLANK(FTG2:FTG5)</f>
        <v>3</v>
      </c>
      <c r="FTH52">
        <f t="shared" si="295"/>
        <v>3</v>
      </c>
      <c r="FTI52">
        <f t="shared" si="295"/>
        <v>3</v>
      </c>
      <c r="FTJ52">
        <f t="shared" si="295"/>
        <v>3</v>
      </c>
      <c r="FTK52">
        <f t="shared" si="295"/>
        <v>3</v>
      </c>
      <c r="FTL52">
        <f t="shared" si="295"/>
        <v>3</v>
      </c>
      <c r="FTM52">
        <f t="shared" si="295"/>
        <v>3</v>
      </c>
      <c r="FTN52">
        <f t="shared" si="295"/>
        <v>3</v>
      </c>
      <c r="FTO52">
        <f t="shared" si="295"/>
        <v>3</v>
      </c>
      <c r="FTP52">
        <f t="shared" si="295"/>
        <v>3</v>
      </c>
      <c r="FTQ52">
        <f t="shared" si="295"/>
        <v>3</v>
      </c>
      <c r="FTR52">
        <f t="shared" si="295"/>
        <v>3</v>
      </c>
      <c r="FTS52">
        <f t="shared" si="295"/>
        <v>3</v>
      </c>
      <c r="FTT52">
        <f t="shared" si="295"/>
        <v>3</v>
      </c>
      <c r="FTU52">
        <f t="shared" si="295"/>
        <v>3</v>
      </c>
      <c r="FTV52">
        <f t="shared" si="295"/>
        <v>3</v>
      </c>
      <c r="FTW52">
        <f t="shared" si="295"/>
        <v>3</v>
      </c>
      <c r="FTX52">
        <f t="shared" si="295"/>
        <v>3</v>
      </c>
      <c r="FTY52">
        <f t="shared" si="295"/>
        <v>3</v>
      </c>
      <c r="FTZ52">
        <f t="shared" si="295"/>
        <v>3</v>
      </c>
      <c r="FUA52">
        <f t="shared" si="295"/>
        <v>3</v>
      </c>
      <c r="FUB52">
        <f t="shared" si="295"/>
        <v>3</v>
      </c>
      <c r="FUC52">
        <f t="shared" si="295"/>
        <v>3</v>
      </c>
      <c r="FUD52">
        <f t="shared" si="295"/>
        <v>3</v>
      </c>
      <c r="FUE52">
        <f t="shared" si="295"/>
        <v>3</v>
      </c>
      <c r="FUF52">
        <f t="shared" si="295"/>
        <v>3</v>
      </c>
      <c r="FUG52">
        <f t="shared" si="295"/>
        <v>3</v>
      </c>
      <c r="FUH52">
        <f t="shared" si="295"/>
        <v>3</v>
      </c>
      <c r="FUI52">
        <f t="shared" si="295"/>
        <v>3</v>
      </c>
      <c r="FUJ52">
        <f t="shared" si="295"/>
        <v>3</v>
      </c>
      <c r="FUK52">
        <f t="shared" si="295"/>
        <v>3</v>
      </c>
      <c r="FUL52">
        <f t="shared" si="295"/>
        <v>3</v>
      </c>
      <c r="FUM52">
        <f t="shared" si="295"/>
        <v>3</v>
      </c>
      <c r="FUN52">
        <f t="shared" si="295"/>
        <v>3</v>
      </c>
      <c r="FUO52">
        <f t="shared" si="295"/>
        <v>3</v>
      </c>
      <c r="FUP52">
        <f t="shared" si="295"/>
        <v>3</v>
      </c>
      <c r="FUQ52">
        <f t="shared" si="295"/>
        <v>3</v>
      </c>
      <c r="FUR52">
        <f t="shared" si="295"/>
        <v>3</v>
      </c>
      <c r="FUS52">
        <f t="shared" si="295"/>
        <v>3</v>
      </c>
      <c r="FUT52">
        <f t="shared" si="295"/>
        <v>3</v>
      </c>
      <c r="FUU52">
        <f t="shared" si="295"/>
        <v>3</v>
      </c>
      <c r="FUV52">
        <f t="shared" si="295"/>
        <v>3</v>
      </c>
      <c r="FUW52">
        <f t="shared" si="295"/>
        <v>3</v>
      </c>
      <c r="FUX52">
        <f t="shared" si="295"/>
        <v>3</v>
      </c>
      <c r="FUY52">
        <f t="shared" si="295"/>
        <v>3</v>
      </c>
      <c r="FUZ52">
        <f t="shared" si="295"/>
        <v>3</v>
      </c>
      <c r="FVA52">
        <f t="shared" si="295"/>
        <v>3</v>
      </c>
      <c r="FVB52">
        <f t="shared" si="295"/>
        <v>3</v>
      </c>
      <c r="FVC52">
        <f t="shared" si="295"/>
        <v>3</v>
      </c>
      <c r="FVD52">
        <f t="shared" si="295"/>
        <v>3</v>
      </c>
      <c r="FVE52">
        <f t="shared" si="295"/>
        <v>3</v>
      </c>
      <c r="FVF52">
        <f t="shared" si="295"/>
        <v>3</v>
      </c>
      <c r="FVG52">
        <f t="shared" si="295"/>
        <v>3</v>
      </c>
      <c r="FVH52">
        <f t="shared" si="295"/>
        <v>3</v>
      </c>
      <c r="FVI52">
        <f t="shared" si="295"/>
        <v>3</v>
      </c>
      <c r="FVJ52">
        <f t="shared" si="295"/>
        <v>3</v>
      </c>
      <c r="FVK52">
        <f t="shared" si="295"/>
        <v>3</v>
      </c>
      <c r="FVL52">
        <f t="shared" si="295"/>
        <v>3</v>
      </c>
      <c r="FVM52">
        <f t="shared" si="295"/>
        <v>3</v>
      </c>
      <c r="FVN52">
        <f t="shared" si="295"/>
        <v>3</v>
      </c>
      <c r="FVO52">
        <f t="shared" si="295"/>
        <v>3</v>
      </c>
      <c r="FVP52">
        <f t="shared" si="295"/>
        <v>3</v>
      </c>
      <c r="FVQ52">
        <f t="shared" si="295"/>
        <v>3</v>
      </c>
      <c r="FVR52">
        <f t="shared" si="295"/>
        <v>3</v>
      </c>
      <c r="FVS52">
        <f t="shared" ref="FVS52:FYD52" si="296">COUNTBLANK(FVS2:FVS5)</f>
        <v>3</v>
      </c>
      <c r="FVT52">
        <f t="shared" si="296"/>
        <v>3</v>
      </c>
      <c r="FVU52">
        <f t="shared" si="296"/>
        <v>3</v>
      </c>
      <c r="FVV52">
        <f t="shared" si="296"/>
        <v>3</v>
      </c>
      <c r="FVW52">
        <f t="shared" si="296"/>
        <v>3</v>
      </c>
      <c r="FVX52">
        <f t="shared" si="296"/>
        <v>3</v>
      </c>
      <c r="FVY52">
        <f t="shared" si="296"/>
        <v>3</v>
      </c>
      <c r="FVZ52">
        <f t="shared" si="296"/>
        <v>3</v>
      </c>
      <c r="FWA52">
        <f t="shared" si="296"/>
        <v>3</v>
      </c>
      <c r="FWB52">
        <f t="shared" si="296"/>
        <v>3</v>
      </c>
      <c r="FWC52">
        <f t="shared" si="296"/>
        <v>3</v>
      </c>
      <c r="FWD52">
        <f t="shared" si="296"/>
        <v>3</v>
      </c>
      <c r="FWE52">
        <f t="shared" si="296"/>
        <v>3</v>
      </c>
      <c r="FWF52">
        <f t="shared" si="296"/>
        <v>3</v>
      </c>
      <c r="FWG52">
        <f t="shared" si="296"/>
        <v>3</v>
      </c>
      <c r="FWH52">
        <f t="shared" si="296"/>
        <v>3</v>
      </c>
      <c r="FWI52">
        <f t="shared" si="296"/>
        <v>3</v>
      </c>
      <c r="FWJ52">
        <f t="shared" si="296"/>
        <v>3</v>
      </c>
      <c r="FWK52">
        <f t="shared" si="296"/>
        <v>3</v>
      </c>
      <c r="FWL52">
        <f t="shared" si="296"/>
        <v>3</v>
      </c>
      <c r="FWM52">
        <f t="shared" si="296"/>
        <v>3</v>
      </c>
      <c r="FWN52">
        <f t="shared" si="296"/>
        <v>3</v>
      </c>
      <c r="FWO52">
        <f t="shared" si="296"/>
        <v>3</v>
      </c>
      <c r="FWP52">
        <f t="shared" si="296"/>
        <v>3</v>
      </c>
      <c r="FWQ52">
        <f t="shared" si="296"/>
        <v>3</v>
      </c>
      <c r="FWR52">
        <f t="shared" si="296"/>
        <v>3</v>
      </c>
      <c r="FWS52">
        <f t="shared" si="296"/>
        <v>3</v>
      </c>
      <c r="FWT52">
        <f t="shared" si="296"/>
        <v>3</v>
      </c>
      <c r="FWU52">
        <f t="shared" si="296"/>
        <v>3</v>
      </c>
      <c r="FWV52">
        <f t="shared" si="296"/>
        <v>3</v>
      </c>
      <c r="FWW52">
        <f t="shared" si="296"/>
        <v>3</v>
      </c>
      <c r="FWX52">
        <f t="shared" si="296"/>
        <v>3</v>
      </c>
      <c r="FWY52">
        <f t="shared" si="296"/>
        <v>3</v>
      </c>
      <c r="FWZ52">
        <f t="shared" si="296"/>
        <v>3</v>
      </c>
      <c r="FXA52">
        <f t="shared" si="296"/>
        <v>3</v>
      </c>
      <c r="FXB52">
        <f t="shared" si="296"/>
        <v>3</v>
      </c>
      <c r="FXC52">
        <f t="shared" si="296"/>
        <v>3</v>
      </c>
      <c r="FXD52">
        <f t="shared" si="296"/>
        <v>3</v>
      </c>
      <c r="FXE52">
        <f t="shared" si="296"/>
        <v>3</v>
      </c>
      <c r="FXF52">
        <f t="shared" si="296"/>
        <v>3</v>
      </c>
      <c r="FXG52">
        <f t="shared" si="296"/>
        <v>3</v>
      </c>
      <c r="FXH52">
        <f t="shared" si="296"/>
        <v>3</v>
      </c>
      <c r="FXI52">
        <f t="shared" si="296"/>
        <v>3</v>
      </c>
      <c r="FXJ52">
        <f t="shared" si="296"/>
        <v>3</v>
      </c>
      <c r="FXK52">
        <f t="shared" si="296"/>
        <v>3</v>
      </c>
      <c r="FXL52">
        <f t="shared" si="296"/>
        <v>3</v>
      </c>
      <c r="FXM52">
        <f t="shared" si="296"/>
        <v>3</v>
      </c>
      <c r="FXN52">
        <f t="shared" si="296"/>
        <v>3</v>
      </c>
      <c r="FXO52">
        <f t="shared" si="296"/>
        <v>3</v>
      </c>
      <c r="FXP52">
        <f t="shared" si="296"/>
        <v>3</v>
      </c>
      <c r="FXQ52">
        <f t="shared" si="296"/>
        <v>3</v>
      </c>
      <c r="FXR52">
        <f t="shared" si="296"/>
        <v>3</v>
      </c>
      <c r="FXS52">
        <f t="shared" si="296"/>
        <v>3</v>
      </c>
      <c r="FXT52">
        <f t="shared" si="296"/>
        <v>3</v>
      </c>
      <c r="FXU52">
        <f t="shared" si="296"/>
        <v>3</v>
      </c>
      <c r="FXV52">
        <f t="shared" si="296"/>
        <v>3</v>
      </c>
      <c r="FXW52">
        <f t="shared" si="296"/>
        <v>3</v>
      </c>
      <c r="FXX52">
        <f t="shared" si="296"/>
        <v>3</v>
      </c>
      <c r="FXY52">
        <f t="shared" si="296"/>
        <v>3</v>
      </c>
      <c r="FXZ52">
        <f t="shared" si="296"/>
        <v>3</v>
      </c>
      <c r="FYA52">
        <f t="shared" si="296"/>
        <v>3</v>
      </c>
      <c r="FYB52">
        <f t="shared" si="296"/>
        <v>3</v>
      </c>
      <c r="FYC52">
        <f t="shared" si="296"/>
        <v>3</v>
      </c>
      <c r="FYD52">
        <f t="shared" si="296"/>
        <v>3</v>
      </c>
      <c r="FYE52">
        <f t="shared" ref="FYE52:GAP52" si="297">COUNTBLANK(FYE2:FYE5)</f>
        <v>3</v>
      </c>
      <c r="FYF52">
        <f t="shared" si="297"/>
        <v>3</v>
      </c>
      <c r="FYG52">
        <f t="shared" si="297"/>
        <v>3</v>
      </c>
      <c r="FYH52">
        <f t="shared" si="297"/>
        <v>3</v>
      </c>
      <c r="FYI52">
        <f t="shared" si="297"/>
        <v>3</v>
      </c>
      <c r="FYJ52">
        <f t="shared" si="297"/>
        <v>3</v>
      </c>
      <c r="FYK52">
        <f t="shared" si="297"/>
        <v>3</v>
      </c>
      <c r="FYL52">
        <f t="shared" si="297"/>
        <v>3</v>
      </c>
      <c r="FYM52">
        <f t="shared" si="297"/>
        <v>3</v>
      </c>
      <c r="FYN52">
        <f t="shared" si="297"/>
        <v>3</v>
      </c>
      <c r="FYO52">
        <f t="shared" si="297"/>
        <v>3</v>
      </c>
      <c r="FYP52">
        <f t="shared" si="297"/>
        <v>3</v>
      </c>
      <c r="FYQ52">
        <f t="shared" si="297"/>
        <v>3</v>
      </c>
      <c r="FYR52">
        <f t="shared" si="297"/>
        <v>3</v>
      </c>
      <c r="FYS52">
        <f t="shared" si="297"/>
        <v>3</v>
      </c>
      <c r="FYT52">
        <f t="shared" si="297"/>
        <v>3</v>
      </c>
      <c r="FYU52">
        <f t="shared" si="297"/>
        <v>3</v>
      </c>
      <c r="FYV52">
        <f t="shared" si="297"/>
        <v>3</v>
      </c>
      <c r="FYW52">
        <f t="shared" si="297"/>
        <v>3</v>
      </c>
      <c r="FYX52">
        <f t="shared" si="297"/>
        <v>3</v>
      </c>
      <c r="FYY52">
        <f t="shared" si="297"/>
        <v>3</v>
      </c>
      <c r="FYZ52">
        <f t="shared" si="297"/>
        <v>2</v>
      </c>
      <c r="FZA52">
        <f t="shared" si="297"/>
        <v>2</v>
      </c>
      <c r="FZB52">
        <f t="shared" si="297"/>
        <v>2</v>
      </c>
      <c r="FZC52">
        <f t="shared" si="297"/>
        <v>2</v>
      </c>
      <c r="FZD52">
        <f t="shared" si="297"/>
        <v>2</v>
      </c>
      <c r="FZE52">
        <f t="shared" si="297"/>
        <v>2</v>
      </c>
      <c r="FZF52">
        <f t="shared" si="297"/>
        <v>2</v>
      </c>
      <c r="FZG52">
        <f t="shared" si="297"/>
        <v>2</v>
      </c>
      <c r="FZH52">
        <f t="shared" si="297"/>
        <v>2</v>
      </c>
      <c r="FZI52">
        <f t="shared" si="297"/>
        <v>2</v>
      </c>
      <c r="FZJ52">
        <f t="shared" si="297"/>
        <v>2</v>
      </c>
      <c r="FZK52">
        <f t="shared" si="297"/>
        <v>2</v>
      </c>
      <c r="FZL52">
        <f t="shared" si="297"/>
        <v>2</v>
      </c>
      <c r="FZM52">
        <f t="shared" si="297"/>
        <v>2</v>
      </c>
      <c r="FZN52">
        <f t="shared" si="297"/>
        <v>2</v>
      </c>
      <c r="FZO52">
        <f t="shared" si="297"/>
        <v>2</v>
      </c>
      <c r="FZP52">
        <f t="shared" si="297"/>
        <v>2</v>
      </c>
      <c r="FZQ52">
        <f t="shared" si="297"/>
        <v>2</v>
      </c>
      <c r="FZR52">
        <f t="shared" si="297"/>
        <v>2</v>
      </c>
      <c r="FZS52">
        <f t="shared" si="297"/>
        <v>2</v>
      </c>
      <c r="FZT52">
        <f t="shared" si="297"/>
        <v>2</v>
      </c>
      <c r="FZU52">
        <f t="shared" si="297"/>
        <v>2</v>
      </c>
      <c r="FZV52">
        <f t="shared" si="297"/>
        <v>2</v>
      </c>
      <c r="FZW52">
        <f t="shared" si="297"/>
        <v>2</v>
      </c>
      <c r="FZX52">
        <f t="shared" si="297"/>
        <v>2</v>
      </c>
      <c r="FZY52">
        <f t="shared" si="297"/>
        <v>2</v>
      </c>
      <c r="FZZ52">
        <f t="shared" si="297"/>
        <v>2</v>
      </c>
      <c r="GAA52">
        <f t="shared" si="297"/>
        <v>2</v>
      </c>
      <c r="GAB52">
        <f t="shared" si="297"/>
        <v>3</v>
      </c>
      <c r="GAC52">
        <f t="shared" si="297"/>
        <v>3</v>
      </c>
      <c r="GAD52">
        <f t="shared" si="297"/>
        <v>3</v>
      </c>
      <c r="GAE52">
        <f t="shared" si="297"/>
        <v>3</v>
      </c>
      <c r="GAF52">
        <f t="shared" si="297"/>
        <v>3</v>
      </c>
      <c r="GAG52">
        <f t="shared" si="297"/>
        <v>3</v>
      </c>
      <c r="GAH52">
        <f t="shared" si="297"/>
        <v>3</v>
      </c>
      <c r="GAI52">
        <f t="shared" si="297"/>
        <v>3</v>
      </c>
      <c r="GAJ52">
        <f t="shared" si="297"/>
        <v>3</v>
      </c>
      <c r="GAK52">
        <f t="shared" si="297"/>
        <v>3</v>
      </c>
      <c r="GAL52">
        <f t="shared" si="297"/>
        <v>3</v>
      </c>
      <c r="GAM52">
        <f t="shared" si="297"/>
        <v>3</v>
      </c>
      <c r="GAN52">
        <f t="shared" si="297"/>
        <v>3</v>
      </c>
      <c r="GAO52">
        <f t="shared" si="297"/>
        <v>3</v>
      </c>
      <c r="GAP52">
        <f t="shared" si="297"/>
        <v>3</v>
      </c>
      <c r="GAQ52">
        <f t="shared" ref="GAQ52:GDB52" si="298">COUNTBLANK(GAQ2:GAQ5)</f>
        <v>3</v>
      </c>
      <c r="GAR52">
        <f t="shared" si="298"/>
        <v>3</v>
      </c>
      <c r="GAS52">
        <f t="shared" si="298"/>
        <v>3</v>
      </c>
      <c r="GAT52">
        <f t="shared" si="298"/>
        <v>3</v>
      </c>
      <c r="GAU52">
        <f t="shared" si="298"/>
        <v>3</v>
      </c>
      <c r="GAV52">
        <f t="shared" si="298"/>
        <v>3</v>
      </c>
      <c r="GAW52">
        <f t="shared" si="298"/>
        <v>3</v>
      </c>
      <c r="GAX52">
        <f t="shared" si="298"/>
        <v>3</v>
      </c>
      <c r="GAY52">
        <f t="shared" si="298"/>
        <v>3</v>
      </c>
      <c r="GAZ52">
        <f t="shared" si="298"/>
        <v>3</v>
      </c>
      <c r="GBA52">
        <f t="shared" si="298"/>
        <v>3</v>
      </c>
      <c r="GBB52">
        <f t="shared" si="298"/>
        <v>3</v>
      </c>
      <c r="GBC52">
        <f t="shared" si="298"/>
        <v>3</v>
      </c>
      <c r="GBD52">
        <f t="shared" si="298"/>
        <v>3</v>
      </c>
      <c r="GBE52">
        <f t="shared" si="298"/>
        <v>3</v>
      </c>
      <c r="GBF52">
        <f t="shared" si="298"/>
        <v>3</v>
      </c>
      <c r="GBG52">
        <f t="shared" si="298"/>
        <v>3</v>
      </c>
      <c r="GBH52">
        <f t="shared" si="298"/>
        <v>3</v>
      </c>
      <c r="GBI52">
        <f t="shared" si="298"/>
        <v>3</v>
      </c>
      <c r="GBJ52">
        <f t="shared" si="298"/>
        <v>3</v>
      </c>
      <c r="GBK52">
        <f t="shared" si="298"/>
        <v>3</v>
      </c>
      <c r="GBL52">
        <f t="shared" si="298"/>
        <v>3</v>
      </c>
      <c r="GBM52">
        <f t="shared" si="298"/>
        <v>3</v>
      </c>
      <c r="GBN52">
        <f t="shared" si="298"/>
        <v>3</v>
      </c>
      <c r="GBO52">
        <f t="shared" si="298"/>
        <v>3</v>
      </c>
      <c r="GBP52">
        <f t="shared" si="298"/>
        <v>3</v>
      </c>
      <c r="GBQ52">
        <f t="shared" si="298"/>
        <v>3</v>
      </c>
      <c r="GBR52">
        <f t="shared" si="298"/>
        <v>3</v>
      </c>
      <c r="GBS52">
        <f t="shared" si="298"/>
        <v>3</v>
      </c>
      <c r="GBT52">
        <f t="shared" si="298"/>
        <v>3</v>
      </c>
      <c r="GBU52">
        <f t="shared" si="298"/>
        <v>3</v>
      </c>
      <c r="GBV52">
        <f t="shared" si="298"/>
        <v>3</v>
      </c>
      <c r="GBW52">
        <f t="shared" si="298"/>
        <v>3</v>
      </c>
      <c r="GBX52">
        <f t="shared" si="298"/>
        <v>3</v>
      </c>
      <c r="GBY52">
        <f t="shared" si="298"/>
        <v>3</v>
      </c>
      <c r="GBZ52">
        <f t="shared" si="298"/>
        <v>3</v>
      </c>
      <c r="GCA52">
        <f t="shared" si="298"/>
        <v>3</v>
      </c>
      <c r="GCB52">
        <f t="shared" si="298"/>
        <v>3</v>
      </c>
      <c r="GCC52">
        <f t="shared" si="298"/>
        <v>3</v>
      </c>
      <c r="GCD52">
        <f t="shared" si="298"/>
        <v>3</v>
      </c>
      <c r="GCE52">
        <f t="shared" si="298"/>
        <v>3</v>
      </c>
      <c r="GCF52">
        <f t="shared" si="298"/>
        <v>3</v>
      </c>
      <c r="GCG52">
        <f t="shared" si="298"/>
        <v>3</v>
      </c>
      <c r="GCH52">
        <f t="shared" si="298"/>
        <v>3</v>
      </c>
      <c r="GCI52">
        <f t="shared" si="298"/>
        <v>3</v>
      </c>
      <c r="GCJ52">
        <f t="shared" si="298"/>
        <v>3</v>
      </c>
      <c r="GCK52">
        <f t="shared" si="298"/>
        <v>3</v>
      </c>
      <c r="GCL52">
        <f t="shared" si="298"/>
        <v>3</v>
      </c>
      <c r="GCM52">
        <f t="shared" si="298"/>
        <v>3</v>
      </c>
      <c r="GCN52">
        <f t="shared" si="298"/>
        <v>3</v>
      </c>
      <c r="GCO52">
        <f t="shared" si="298"/>
        <v>3</v>
      </c>
      <c r="GCP52">
        <f t="shared" si="298"/>
        <v>3</v>
      </c>
      <c r="GCQ52">
        <f t="shared" si="298"/>
        <v>3</v>
      </c>
      <c r="GCR52">
        <f t="shared" si="298"/>
        <v>3</v>
      </c>
      <c r="GCS52">
        <f t="shared" si="298"/>
        <v>3</v>
      </c>
      <c r="GCT52">
        <f t="shared" si="298"/>
        <v>3</v>
      </c>
      <c r="GCU52">
        <f t="shared" si="298"/>
        <v>3</v>
      </c>
      <c r="GCV52">
        <f t="shared" si="298"/>
        <v>3</v>
      </c>
      <c r="GCW52">
        <f t="shared" si="298"/>
        <v>3</v>
      </c>
      <c r="GCX52">
        <f t="shared" si="298"/>
        <v>3</v>
      </c>
      <c r="GCY52">
        <f t="shared" si="298"/>
        <v>3</v>
      </c>
      <c r="GCZ52">
        <f t="shared" si="298"/>
        <v>3</v>
      </c>
      <c r="GDA52">
        <f t="shared" si="298"/>
        <v>3</v>
      </c>
      <c r="GDB52">
        <f t="shared" si="298"/>
        <v>3</v>
      </c>
      <c r="GDC52">
        <f t="shared" ref="GDC52:GFN52" si="299">COUNTBLANK(GDC2:GDC5)</f>
        <v>3</v>
      </c>
      <c r="GDD52">
        <f t="shared" si="299"/>
        <v>3</v>
      </c>
      <c r="GDE52">
        <f t="shared" si="299"/>
        <v>3</v>
      </c>
      <c r="GDF52">
        <f t="shared" si="299"/>
        <v>3</v>
      </c>
      <c r="GDG52">
        <f t="shared" si="299"/>
        <v>3</v>
      </c>
      <c r="GDH52">
        <f t="shared" si="299"/>
        <v>3</v>
      </c>
      <c r="GDI52">
        <f t="shared" si="299"/>
        <v>3</v>
      </c>
      <c r="GDJ52">
        <f t="shared" si="299"/>
        <v>3</v>
      </c>
      <c r="GDK52">
        <f t="shared" si="299"/>
        <v>3</v>
      </c>
      <c r="GDL52">
        <f t="shared" si="299"/>
        <v>3</v>
      </c>
      <c r="GDM52">
        <f t="shared" si="299"/>
        <v>3</v>
      </c>
      <c r="GDN52">
        <f t="shared" si="299"/>
        <v>3</v>
      </c>
      <c r="GDO52">
        <f t="shared" si="299"/>
        <v>3</v>
      </c>
      <c r="GDP52">
        <f t="shared" si="299"/>
        <v>3</v>
      </c>
      <c r="GDQ52">
        <f t="shared" si="299"/>
        <v>3</v>
      </c>
      <c r="GDR52">
        <f t="shared" si="299"/>
        <v>3</v>
      </c>
      <c r="GDS52">
        <f t="shared" si="299"/>
        <v>3</v>
      </c>
      <c r="GDT52">
        <f t="shared" si="299"/>
        <v>3</v>
      </c>
      <c r="GDU52">
        <f t="shared" si="299"/>
        <v>3</v>
      </c>
      <c r="GDV52">
        <f t="shared" si="299"/>
        <v>3</v>
      </c>
      <c r="GDW52">
        <f t="shared" si="299"/>
        <v>3</v>
      </c>
      <c r="GDX52">
        <f t="shared" si="299"/>
        <v>3</v>
      </c>
      <c r="GDY52">
        <f t="shared" si="299"/>
        <v>3</v>
      </c>
      <c r="GDZ52">
        <f t="shared" si="299"/>
        <v>3</v>
      </c>
      <c r="GEA52">
        <f t="shared" si="299"/>
        <v>3</v>
      </c>
      <c r="GEB52">
        <f t="shared" si="299"/>
        <v>3</v>
      </c>
      <c r="GEC52">
        <f t="shared" si="299"/>
        <v>3</v>
      </c>
      <c r="GED52">
        <f t="shared" si="299"/>
        <v>3</v>
      </c>
      <c r="GEE52">
        <f t="shared" si="299"/>
        <v>3</v>
      </c>
      <c r="GEF52">
        <f t="shared" si="299"/>
        <v>3</v>
      </c>
      <c r="GEG52">
        <f t="shared" si="299"/>
        <v>3</v>
      </c>
      <c r="GEH52">
        <f t="shared" si="299"/>
        <v>3</v>
      </c>
      <c r="GEI52">
        <f t="shared" si="299"/>
        <v>3</v>
      </c>
      <c r="GEJ52">
        <f t="shared" si="299"/>
        <v>3</v>
      </c>
      <c r="GEK52">
        <f t="shared" si="299"/>
        <v>3</v>
      </c>
      <c r="GEL52">
        <f t="shared" si="299"/>
        <v>3</v>
      </c>
      <c r="GEM52">
        <f t="shared" si="299"/>
        <v>3</v>
      </c>
      <c r="GEN52">
        <f t="shared" si="299"/>
        <v>3</v>
      </c>
      <c r="GEO52">
        <f t="shared" si="299"/>
        <v>3</v>
      </c>
      <c r="GEP52">
        <f t="shared" si="299"/>
        <v>3</v>
      </c>
      <c r="GEQ52">
        <f t="shared" si="299"/>
        <v>3</v>
      </c>
      <c r="GER52">
        <f t="shared" si="299"/>
        <v>3</v>
      </c>
      <c r="GES52">
        <f t="shared" si="299"/>
        <v>3</v>
      </c>
      <c r="GET52">
        <f t="shared" si="299"/>
        <v>3</v>
      </c>
      <c r="GEU52">
        <f t="shared" si="299"/>
        <v>3</v>
      </c>
      <c r="GEV52">
        <f t="shared" si="299"/>
        <v>3</v>
      </c>
      <c r="GEW52">
        <f t="shared" si="299"/>
        <v>3</v>
      </c>
      <c r="GEX52">
        <f t="shared" si="299"/>
        <v>3</v>
      </c>
      <c r="GEY52">
        <f t="shared" si="299"/>
        <v>3</v>
      </c>
      <c r="GEZ52">
        <f t="shared" si="299"/>
        <v>3</v>
      </c>
      <c r="GFA52">
        <f t="shared" si="299"/>
        <v>3</v>
      </c>
      <c r="GFB52">
        <f t="shared" si="299"/>
        <v>3</v>
      </c>
      <c r="GFC52">
        <f t="shared" si="299"/>
        <v>3</v>
      </c>
      <c r="GFD52">
        <f t="shared" si="299"/>
        <v>3</v>
      </c>
      <c r="GFE52">
        <f t="shared" si="299"/>
        <v>3</v>
      </c>
      <c r="GFF52">
        <f t="shared" si="299"/>
        <v>3</v>
      </c>
      <c r="GFG52">
        <f t="shared" si="299"/>
        <v>3</v>
      </c>
      <c r="GFH52">
        <f t="shared" si="299"/>
        <v>3</v>
      </c>
      <c r="GFI52">
        <f t="shared" si="299"/>
        <v>3</v>
      </c>
      <c r="GFJ52">
        <f t="shared" si="299"/>
        <v>3</v>
      </c>
      <c r="GFK52">
        <f t="shared" si="299"/>
        <v>3</v>
      </c>
      <c r="GFL52">
        <f t="shared" si="299"/>
        <v>3</v>
      </c>
      <c r="GFM52">
        <f t="shared" si="299"/>
        <v>3</v>
      </c>
      <c r="GFN52">
        <f t="shared" si="299"/>
        <v>3</v>
      </c>
      <c r="GFO52">
        <f t="shared" ref="GFO52:GHZ52" si="300">COUNTBLANK(GFO2:GFO5)</f>
        <v>3</v>
      </c>
      <c r="GFP52">
        <f t="shared" si="300"/>
        <v>3</v>
      </c>
      <c r="GFQ52">
        <f t="shared" si="300"/>
        <v>3</v>
      </c>
      <c r="GFR52">
        <f t="shared" si="300"/>
        <v>3</v>
      </c>
      <c r="GFS52">
        <f t="shared" si="300"/>
        <v>3</v>
      </c>
      <c r="GFT52">
        <f t="shared" si="300"/>
        <v>3</v>
      </c>
      <c r="GFU52">
        <f t="shared" si="300"/>
        <v>3</v>
      </c>
      <c r="GFV52">
        <f t="shared" si="300"/>
        <v>3</v>
      </c>
      <c r="GFW52">
        <f t="shared" si="300"/>
        <v>3</v>
      </c>
      <c r="GFX52">
        <f t="shared" si="300"/>
        <v>3</v>
      </c>
      <c r="GFY52">
        <f t="shared" si="300"/>
        <v>3</v>
      </c>
      <c r="GFZ52">
        <f t="shared" si="300"/>
        <v>3</v>
      </c>
      <c r="GGA52">
        <f t="shared" si="300"/>
        <v>3</v>
      </c>
      <c r="GGB52">
        <f t="shared" si="300"/>
        <v>3</v>
      </c>
      <c r="GGC52">
        <f t="shared" si="300"/>
        <v>3</v>
      </c>
      <c r="GGD52">
        <f t="shared" si="300"/>
        <v>3</v>
      </c>
      <c r="GGE52">
        <f t="shared" si="300"/>
        <v>3</v>
      </c>
      <c r="GGF52">
        <f t="shared" si="300"/>
        <v>3</v>
      </c>
      <c r="GGG52">
        <f t="shared" si="300"/>
        <v>3</v>
      </c>
      <c r="GGH52">
        <f t="shared" si="300"/>
        <v>3</v>
      </c>
      <c r="GGI52">
        <f t="shared" si="300"/>
        <v>3</v>
      </c>
      <c r="GGJ52">
        <f t="shared" si="300"/>
        <v>3</v>
      </c>
      <c r="GGK52">
        <f t="shared" si="300"/>
        <v>3</v>
      </c>
      <c r="GGL52">
        <f t="shared" si="300"/>
        <v>3</v>
      </c>
      <c r="GGM52">
        <f t="shared" si="300"/>
        <v>3</v>
      </c>
      <c r="GGN52">
        <f t="shared" si="300"/>
        <v>3</v>
      </c>
      <c r="GGO52">
        <f t="shared" si="300"/>
        <v>3</v>
      </c>
      <c r="GGP52">
        <f t="shared" si="300"/>
        <v>3</v>
      </c>
      <c r="GGQ52">
        <f t="shared" si="300"/>
        <v>3</v>
      </c>
      <c r="GGR52">
        <f t="shared" si="300"/>
        <v>3</v>
      </c>
      <c r="GGS52">
        <f t="shared" si="300"/>
        <v>3</v>
      </c>
      <c r="GGT52">
        <f t="shared" si="300"/>
        <v>3</v>
      </c>
      <c r="GGU52">
        <f t="shared" si="300"/>
        <v>3</v>
      </c>
      <c r="GGV52">
        <f t="shared" si="300"/>
        <v>3</v>
      </c>
      <c r="GGW52">
        <f t="shared" si="300"/>
        <v>3</v>
      </c>
      <c r="GGX52">
        <f t="shared" si="300"/>
        <v>3</v>
      </c>
      <c r="GGY52">
        <f t="shared" si="300"/>
        <v>3</v>
      </c>
      <c r="GGZ52">
        <f t="shared" si="300"/>
        <v>2</v>
      </c>
      <c r="GHA52">
        <f t="shared" si="300"/>
        <v>2</v>
      </c>
      <c r="GHB52">
        <f t="shared" si="300"/>
        <v>2</v>
      </c>
      <c r="GHC52">
        <f t="shared" si="300"/>
        <v>2</v>
      </c>
      <c r="GHD52">
        <f t="shared" si="300"/>
        <v>2</v>
      </c>
      <c r="GHE52">
        <f t="shared" si="300"/>
        <v>2</v>
      </c>
      <c r="GHF52">
        <f t="shared" si="300"/>
        <v>2</v>
      </c>
      <c r="GHG52">
        <f t="shared" si="300"/>
        <v>2</v>
      </c>
      <c r="GHH52">
        <f t="shared" si="300"/>
        <v>2</v>
      </c>
      <c r="GHI52">
        <f t="shared" si="300"/>
        <v>2</v>
      </c>
      <c r="GHJ52">
        <f t="shared" si="300"/>
        <v>2</v>
      </c>
      <c r="GHK52">
        <f t="shared" si="300"/>
        <v>2</v>
      </c>
      <c r="GHL52">
        <f t="shared" si="300"/>
        <v>2</v>
      </c>
      <c r="GHM52">
        <f t="shared" si="300"/>
        <v>2</v>
      </c>
      <c r="GHN52">
        <f t="shared" si="300"/>
        <v>2</v>
      </c>
      <c r="GHO52">
        <f t="shared" si="300"/>
        <v>2</v>
      </c>
      <c r="GHP52">
        <f t="shared" si="300"/>
        <v>2</v>
      </c>
      <c r="GHQ52">
        <f t="shared" si="300"/>
        <v>2</v>
      </c>
      <c r="GHR52">
        <f t="shared" si="300"/>
        <v>2</v>
      </c>
      <c r="GHS52">
        <f t="shared" si="300"/>
        <v>2</v>
      </c>
      <c r="GHT52">
        <f t="shared" si="300"/>
        <v>2</v>
      </c>
      <c r="GHU52">
        <f t="shared" si="300"/>
        <v>2</v>
      </c>
      <c r="GHV52">
        <f t="shared" si="300"/>
        <v>2</v>
      </c>
      <c r="GHW52">
        <f t="shared" si="300"/>
        <v>2</v>
      </c>
      <c r="GHX52">
        <f t="shared" si="300"/>
        <v>2</v>
      </c>
      <c r="GHY52">
        <f t="shared" si="300"/>
        <v>2</v>
      </c>
      <c r="GHZ52">
        <f t="shared" si="300"/>
        <v>2</v>
      </c>
      <c r="GIA52">
        <f t="shared" ref="GIA52:GKL52" si="301">COUNTBLANK(GIA2:GIA5)</f>
        <v>2</v>
      </c>
      <c r="GIB52">
        <f t="shared" si="301"/>
        <v>2</v>
      </c>
      <c r="GIC52">
        <f t="shared" si="301"/>
        <v>2</v>
      </c>
      <c r="GID52">
        <f t="shared" si="301"/>
        <v>2</v>
      </c>
      <c r="GIE52">
        <f t="shared" si="301"/>
        <v>2</v>
      </c>
      <c r="GIF52">
        <f t="shared" si="301"/>
        <v>2</v>
      </c>
      <c r="GIG52">
        <f t="shared" si="301"/>
        <v>2</v>
      </c>
      <c r="GIH52">
        <f t="shared" si="301"/>
        <v>2</v>
      </c>
      <c r="GII52">
        <f t="shared" si="301"/>
        <v>2</v>
      </c>
      <c r="GIJ52">
        <f t="shared" si="301"/>
        <v>2</v>
      </c>
      <c r="GIK52">
        <f t="shared" si="301"/>
        <v>2</v>
      </c>
      <c r="GIL52">
        <f t="shared" si="301"/>
        <v>2</v>
      </c>
      <c r="GIM52">
        <f t="shared" si="301"/>
        <v>2</v>
      </c>
      <c r="GIN52">
        <f t="shared" si="301"/>
        <v>2</v>
      </c>
      <c r="GIO52">
        <f t="shared" si="301"/>
        <v>2</v>
      </c>
      <c r="GIP52">
        <f t="shared" si="301"/>
        <v>2</v>
      </c>
      <c r="GIQ52">
        <f t="shared" si="301"/>
        <v>2</v>
      </c>
      <c r="GIR52">
        <f t="shared" si="301"/>
        <v>2</v>
      </c>
      <c r="GIS52">
        <f t="shared" si="301"/>
        <v>2</v>
      </c>
      <c r="GIT52">
        <f t="shared" si="301"/>
        <v>2</v>
      </c>
      <c r="GIU52">
        <f t="shared" si="301"/>
        <v>2</v>
      </c>
      <c r="GIV52">
        <f t="shared" si="301"/>
        <v>2</v>
      </c>
      <c r="GIW52">
        <f t="shared" si="301"/>
        <v>2</v>
      </c>
      <c r="GIX52">
        <f t="shared" si="301"/>
        <v>2</v>
      </c>
      <c r="GIY52">
        <f t="shared" si="301"/>
        <v>2</v>
      </c>
      <c r="GIZ52">
        <f t="shared" si="301"/>
        <v>2</v>
      </c>
      <c r="GJA52">
        <f t="shared" si="301"/>
        <v>2</v>
      </c>
      <c r="GJB52">
        <f t="shared" si="301"/>
        <v>2</v>
      </c>
      <c r="GJC52">
        <f t="shared" si="301"/>
        <v>2</v>
      </c>
      <c r="GJD52">
        <f t="shared" si="301"/>
        <v>2</v>
      </c>
      <c r="GJE52">
        <f t="shared" si="301"/>
        <v>2</v>
      </c>
      <c r="GJF52">
        <f t="shared" si="301"/>
        <v>2</v>
      </c>
      <c r="GJG52">
        <f t="shared" si="301"/>
        <v>2</v>
      </c>
      <c r="GJH52">
        <f t="shared" si="301"/>
        <v>2</v>
      </c>
      <c r="GJI52">
        <f t="shared" si="301"/>
        <v>2</v>
      </c>
      <c r="GJJ52">
        <f t="shared" si="301"/>
        <v>2</v>
      </c>
      <c r="GJK52">
        <f t="shared" si="301"/>
        <v>2</v>
      </c>
      <c r="GJL52">
        <f t="shared" si="301"/>
        <v>2</v>
      </c>
      <c r="GJM52">
        <f t="shared" si="301"/>
        <v>3</v>
      </c>
      <c r="GJN52">
        <f t="shared" si="301"/>
        <v>3</v>
      </c>
      <c r="GJO52">
        <f t="shared" si="301"/>
        <v>3</v>
      </c>
      <c r="GJP52">
        <f t="shared" si="301"/>
        <v>3</v>
      </c>
      <c r="GJQ52">
        <f t="shared" si="301"/>
        <v>3</v>
      </c>
      <c r="GJR52">
        <f t="shared" si="301"/>
        <v>3</v>
      </c>
      <c r="GJS52">
        <f t="shared" si="301"/>
        <v>3</v>
      </c>
      <c r="GJT52">
        <f t="shared" si="301"/>
        <v>3</v>
      </c>
      <c r="GJU52">
        <f t="shared" si="301"/>
        <v>3</v>
      </c>
      <c r="GJV52">
        <f t="shared" si="301"/>
        <v>3</v>
      </c>
      <c r="GJW52">
        <f t="shared" si="301"/>
        <v>3</v>
      </c>
      <c r="GJX52">
        <f t="shared" si="301"/>
        <v>3</v>
      </c>
      <c r="GJY52">
        <f t="shared" si="301"/>
        <v>3</v>
      </c>
      <c r="GJZ52">
        <f t="shared" si="301"/>
        <v>3</v>
      </c>
      <c r="GKA52">
        <f t="shared" si="301"/>
        <v>3</v>
      </c>
      <c r="GKB52">
        <f t="shared" si="301"/>
        <v>3</v>
      </c>
      <c r="GKC52">
        <f t="shared" si="301"/>
        <v>3</v>
      </c>
      <c r="GKD52">
        <f t="shared" si="301"/>
        <v>3</v>
      </c>
      <c r="GKE52">
        <f t="shared" si="301"/>
        <v>3</v>
      </c>
      <c r="GKF52">
        <f t="shared" si="301"/>
        <v>3</v>
      </c>
      <c r="GKG52">
        <f t="shared" si="301"/>
        <v>3</v>
      </c>
      <c r="GKH52">
        <f t="shared" si="301"/>
        <v>3</v>
      </c>
      <c r="GKI52">
        <f t="shared" si="301"/>
        <v>3</v>
      </c>
      <c r="GKJ52">
        <f t="shared" si="301"/>
        <v>3</v>
      </c>
      <c r="GKK52">
        <f t="shared" si="301"/>
        <v>3</v>
      </c>
      <c r="GKL52">
        <f t="shared" si="301"/>
        <v>3</v>
      </c>
      <c r="GKM52">
        <f t="shared" ref="GKM52:GMX52" si="302">COUNTBLANK(GKM2:GKM5)</f>
        <v>3</v>
      </c>
      <c r="GKN52">
        <f t="shared" si="302"/>
        <v>3</v>
      </c>
      <c r="GKO52">
        <f t="shared" si="302"/>
        <v>3</v>
      </c>
      <c r="GKP52">
        <f t="shared" si="302"/>
        <v>3</v>
      </c>
      <c r="GKQ52">
        <f t="shared" si="302"/>
        <v>3</v>
      </c>
      <c r="GKR52">
        <f t="shared" si="302"/>
        <v>3</v>
      </c>
      <c r="GKS52">
        <f t="shared" si="302"/>
        <v>3</v>
      </c>
      <c r="GKT52">
        <f t="shared" si="302"/>
        <v>3</v>
      </c>
      <c r="GKU52">
        <f t="shared" si="302"/>
        <v>3</v>
      </c>
      <c r="GKV52">
        <f t="shared" si="302"/>
        <v>3</v>
      </c>
      <c r="GKW52">
        <f t="shared" si="302"/>
        <v>3</v>
      </c>
      <c r="GKX52">
        <f t="shared" si="302"/>
        <v>3</v>
      </c>
      <c r="GKY52">
        <f t="shared" si="302"/>
        <v>3</v>
      </c>
      <c r="GKZ52">
        <f t="shared" si="302"/>
        <v>3</v>
      </c>
      <c r="GLA52">
        <f t="shared" si="302"/>
        <v>3</v>
      </c>
      <c r="GLB52">
        <f t="shared" si="302"/>
        <v>3</v>
      </c>
      <c r="GLC52">
        <f t="shared" si="302"/>
        <v>3</v>
      </c>
      <c r="GLD52">
        <f t="shared" si="302"/>
        <v>3</v>
      </c>
      <c r="GLE52">
        <f t="shared" si="302"/>
        <v>3</v>
      </c>
      <c r="GLF52">
        <f t="shared" si="302"/>
        <v>3</v>
      </c>
      <c r="GLG52">
        <f t="shared" si="302"/>
        <v>3</v>
      </c>
      <c r="GLH52">
        <f t="shared" si="302"/>
        <v>3</v>
      </c>
      <c r="GLI52">
        <f t="shared" si="302"/>
        <v>3</v>
      </c>
      <c r="GLJ52">
        <f t="shared" si="302"/>
        <v>3</v>
      </c>
      <c r="GLK52">
        <f t="shared" si="302"/>
        <v>3</v>
      </c>
      <c r="GLL52">
        <f t="shared" si="302"/>
        <v>3</v>
      </c>
      <c r="GLM52">
        <f t="shared" si="302"/>
        <v>3</v>
      </c>
      <c r="GLN52">
        <f t="shared" si="302"/>
        <v>3</v>
      </c>
      <c r="GLO52">
        <f t="shared" si="302"/>
        <v>3</v>
      </c>
      <c r="GLP52">
        <f t="shared" si="302"/>
        <v>3</v>
      </c>
      <c r="GLQ52">
        <f t="shared" si="302"/>
        <v>3</v>
      </c>
      <c r="GLR52">
        <f t="shared" si="302"/>
        <v>3</v>
      </c>
      <c r="GLS52">
        <f t="shared" si="302"/>
        <v>3</v>
      </c>
      <c r="GLT52">
        <f t="shared" si="302"/>
        <v>3</v>
      </c>
      <c r="GLU52">
        <f t="shared" si="302"/>
        <v>3</v>
      </c>
      <c r="GLV52">
        <f t="shared" si="302"/>
        <v>3</v>
      </c>
      <c r="GLW52">
        <f t="shared" si="302"/>
        <v>3</v>
      </c>
      <c r="GLX52">
        <f t="shared" si="302"/>
        <v>3</v>
      </c>
      <c r="GLY52">
        <f t="shared" si="302"/>
        <v>3</v>
      </c>
      <c r="GLZ52">
        <f t="shared" si="302"/>
        <v>3</v>
      </c>
      <c r="GMA52">
        <f t="shared" si="302"/>
        <v>3</v>
      </c>
      <c r="GMB52">
        <f t="shared" si="302"/>
        <v>3</v>
      </c>
      <c r="GMC52">
        <f t="shared" si="302"/>
        <v>3</v>
      </c>
      <c r="GMD52">
        <f t="shared" si="302"/>
        <v>3</v>
      </c>
      <c r="GME52">
        <f t="shared" si="302"/>
        <v>3</v>
      </c>
      <c r="GMF52">
        <f t="shared" si="302"/>
        <v>3</v>
      </c>
      <c r="GMG52">
        <f t="shared" si="302"/>
        <v>3</v>
      </c>
      <c r="GMH52">
        <f t="shared" si="302"/>
        <v>3</v>
      </c>
      <c r="GMI52">
        <f t="shared" si="302"/>
        <v>3</v>
      </c>
      <c r="GMJ52">
        <f t="shared" si="302"/>
        <v>3</v>
      </c>
      <c r="GMK52">
        <f t="shared" si="302"/>
        <v>3</v>
      </c>
      <c r="GML52">
        <f t="shared" si="302"/>
        <v>3</v>
      </c>
      <c r="GMM52">
        <f t="shared" si="302"/>
        <v>3</v>
      </c>
      <c r="GMN52">
        <f t="shared" si="302"/>
        <v>3</v>
      </c>
      <c r="GMO52">
        <f t="shared" si="302"/>
        <v>3</v>
      </c>
      <c r="GMP52">
        <f t="shared" si="302"/>
        <v>3</v>
      </c>
      <c r="GMQ52">
        <f t="shared" si="302"/>
        <v>3</v>
      </c>
      <c r="GMR52">
        <f t="shared" si="302"/>
        <v>3</v>
      </c>
      <c r="GMS52">
        <f t="shared" si="302"/>
        <v>3</v>
      </c>
      <c r="GMT52">
        <f t="shared" si="302"/>
        <v>3</v>
      </c>
      <c r="GMU52">
        <f t="shared" si="302"/>
        <v>3</v>
      </c>
      <c r="GMV52">
        <f t="shared" si="302"/>
        <v>3</v>
      </c>
      <c r="GMW52">
        <f t="shared" si="302"/>
        <v>3</v>
      </c>
      <c r="GMX52">
        <f t="shared" si="302"/>
        <v>3</v>
      </c>
      <c r="GMY52">
        <f t="shared" ref="GMY52:GPJ52" si="303">COUNTBLANK(GMY2:GMY5)</f>
        <v>3</v>
      </c>
      <c r="GMZ52">
        <f t="shared" si="303"/>
        <v>3</v>
      </c>
      <c r="GNA52">
        <f t="shared" si="303"/>
        <v>3</v>
      </c>
      <c r="GNB52">
        <f t="shared" si="303"/>
        <v>3</v>
      </c>
      <c r="GNC52">
        <f t="shared" si="303"/>
        <v>3</v>
      </c>
      <c r="GND52">
        <f t="shared" si="303"/>
        <v>3</v>
      </c>
      <c r="GNE52">
        <f t="shared" si="303"/>
        <v>3</v>
      </c>
      <c r="GNF52">
        <f t="shared" si="303"/>
        <v>3</v>
      </c>
      <c r="GNG52">
        <f t="shared" si="303"/>
        <v>3</v>
      </c>
      <c r="GNH52">
        <f t="shared" si="303"/>
        <v>3</v>
      </c>
      <c r="GNI52">
        <f t="shared" si="303"/>
        <v>3</v>
      </c>
      <c r="GNJ52">
        <f t="shared" si="303"/>
        <v>3</v>
      </c>
      <c r="GNK52">
        <f t="shared" si="303"/>
        <v>3</v>
      </c>
      <c r="GNL52">
        <f t="shared" si="303"/>
        <v>3</v>
      </c>
      <c r="GNM52">
        <f t="shared" si="303"/>
        <v>3</v>
      </c>
      <c r="GNN52">
        <f t="shared" si="303"/>
        <v>3</v>
      </c>
      <c r="GNO52">
        <f t="shared" si="303"/>
        <v>3</v>
      </c>
      <c r="GNP52">
        <f t="shared" si="303"/>
        <v>3</v>
      </c>
      <c r="GNQ52">
        <f t="shared" si="303"/>
        <v>3</v>
      </c>
      <c r="GNR52">
        <f t="shared" si="303"/>
        <v>3</v>
      </c>
      <c r="GNS52">
        <f t="shared" si="303"/>
        <v>3</v>
      </c>
      <c r="GNT52">
        <f t="shared" si="303"/>
        <v>3</v>
      </c>
      <c r="GNU52">
        <f t="shared" si="303"/>
        <v>3</v>
      </c>
      <c r="GNV52">
        <f t="shared" si="303"/>
        <v>3</v>
      </c>
      <c r="GNW52">
        <f t="shared" si="303"/>
        <v>3</v>
      </c>
      <c r="GNX52">
        <f t="shared" si="303"/>
        <v>3</v>
      </c>
      <c r="GNY52">
        <f t="shared" si="303"/>
        <v>3</v>
      </c>
      <c r="GNZ52">
        <f t="shared" si="303"/>
        <v>3</v>
      </c>
      <c r="GOA52">
        <f t="shared" si="303"/>
        <v>3</v>
      </c>
      <c r="GOB52">
        <f t="shared" si="303"/>
        <v>3</v>
      </c>
      <c r="GOC52">
        <f t="shared" si="303"/>
        <v>3</v>
      </c>
      <c r="GOD52">
        <f t="shared" si="303"/>
        <v>3</v>
      </c>
      <c r="GOE52">
        <f t="shared" si="303"/>
        <v>3</v>
      </c>
      <c r="GOF52">
        <f t="shared" si="303"/>
        <v>3</v>
      </c>
      <c r="GOG52">
        <f t="shared" si="303"/>
        <v>3</v>
      </c>
      <c r="GOH52">
        <f t="shared" si="303"/>
        <v>3</v>
      </c>
      <c r="GOI52">
        <f t="shared" si="303"/>
        <v>3</v>
      </c>
      <c r="GOJ52">
        <f t="shared" si="303"/>
        <v>3</v>
      </c>
      <c r="GOK52">
        <f t="shared" si="303"/>
        <v>3</v>
      </c>
      <c r="GOL52">
        <f t="shared" si="303"/>
        <v>3</v>
      </c>
      <c r="GOM52">
        <f t="shared" si="303"/>
        <v>3</v>
      </c>
      <c r="GON52">
        <f t="shared" si="303"/>
        <v>3</v>
      </c>
      <c r="GOO52">
        <f t="shared" si="303"/>
        <v>2</v>
      </c>
      <c r="GOP52">
        <f t="shared" si="303"/>
        <v>2</v>
      </c>
      <c r="GOQ52">
        <f t="shared" si="303"/>
        <v>2</v>
      </c>
      <c r="GOR52">
        <f t="shared" si="303"/>
        <v>2</v>
      </c>
      <c r="GOS52">
        <f t="shared" si="303"/>
        <v>2</v>
      </c>
      <c r="GOT52">
        <f t="shared" si="303"/>
        <v>2</v>
      </c>
      <c r="GOU52">
        <f t="shared" si="303"/>
        <v>2</v>
      </c>
      <c r="GOV52">
        <f t="shared" si="303"/>
        <v>2</v>
      </c>
      <c r="GOW52">
        <f t="shared" si="303"/>
        <v>2</v>
      </c>
      <c r="GOX52">
        <f t="shared" si="303"/>
        <v>2</v>
      </c>
      <c r="GOY52">
        <f t="shared" si="303"/>
        <v>2</v>
      </c>
      <c r="GOZ52">
        <f t="shared" si="303"/>
        <v>2</v>
      </c>
      <c r="GPA52">
        <f t="shared" si="303"/>
        <v>2</v>
      </c>
      <c r="GPB52">
        <f t="shared" si="303"/>
        <v>2</v>
      </c>
      <c r="GPC52">
        <f t="shared" si="303"/>
        <v>2</v>
      </c>
      <c r="GPD52">
        <f t="shared" si="303"/>
        <v>2</v>
      </c>
      <c r="GPE52">
        <f t="shared" si="303"/>
        <v>2</v>
      </c>
      <c r="GPF52">
        <f t="shared" si="303"/>
        <v>2</v>
      </c>
      <c r="GPG52">
        <f t="shared" si="303"/>
        <v>2</v>
      </c>
      <c r="GPH52">
        <f t="shared" si="303"/>
        <v>2</v>
      </c>
      <c r="GPI52">
        <f t="shared" si="303"/>
        <v>2</v>
      </c>
      <c r="GPJ52">
        <f t="shared" si="303"/>
        <v>2</v>
      </c>
      <c r="GPK52">
        <f t="shared" ref="GPK52:GRV52" si="304">COUNTBLANK(GPK2:GPK5)</f>
        <v>2</v>
      </c>
      <c r="GPL52">
        <f t="shared" si="304"/>
        <v>2</v>
      </c>
      <c r="GPM52">
        <f t="shared" si="304"/>
        <v>2</v>
      </c>
      <c r="GPN52">
        <f t="shared" si="304"/>
        <v>2</v>
      </c>
      <c r="GPO52">
        <f t="shared" si="304"/>
        <v>2</v>
      </c>
      <c r="GPP52">
        <f t="shared" si="304"/>
        <v>2</v>
      </c>
      <c r="GPQ52">
        <f t="shared" si="304"/>
        <v>2</v>
      </c>
      <c r="GPR52">
        <f t="shared" si="304"/>
        <v>2</v>
      </c>
      <c r="GPS52">
        <f t="shared" si="304"/>
        <v>2</v>
      </c>
      <c r="GPT52">
        <f t="shared" si="304"/>
        <v>2</v>
      </c>
      <c r="GPU52">
        <f t="shared" si="304"/>
        <v>2</v>
      </c>
      <c r="GPV52">
        <f t="shared" si="304"/>
        <v>2</v>
      </c>
      <c r="GPW52">
        <f t="shared" si="304"/>
        <v>2</v>
      </c>
      <c r="GPX52">
        <f t="shared" si="304"/>
        <v>2</v>
      </c>
      <c r="GPY52">
        <f t="shared" si="304"/>
        <v>2</v>
      </c>
      <c r="GPZ52">
        <f t="shared" si="304"/>
        <v>2</v>
      </c>
      <c r="GQA52">
        <f t="shared" si="304"/>
        <v>2</v>
      </c>
      <c r="GQB52">
        <f t="shared" si="304"/>
        <v>2</v>
      </c>
      <c r="GQC52">
        <f t="shared" si="304"/>
        <v>2</v>
      </c>
      <c r="GQD52">
        <f t="shared" si="304"/>
        <v>2</v>
      </c>
      <c r="GQE52">
        <f t="shared" si="304"/>
        <v>2</v>
      </c>
      <c r="GQF52">
        <f t="shared" si="304"/>
        <v>2</v>
      </c>
      <c r="GQG52">
        <f t="shared" si="304"/>
        <v>2</v>
      </c>
      <c r="GQH52">
        <f t="shared" si="304"/>
        <v>2</v>
      </c>
      <c r="GQI52">
        <f t="shared" si="304"/>
        <v>2</v>
      </c>
      <c r="GQJ52">
        <f t="shared" si="304"/>
        <v>2</v>
      </c>
      <c r="GQK52">
        <f t="shared" si="304"/>
        <v>2</v>
      </c>
      <c r="GQL52">
        <f t="shared" si="304"/>
        <v>2</v>
      </c>
      <c r="GQM52">
        <f t="shared" si="304"/>
        <v>2</v>
      </c>
      <c r="GQN52">
        <f t="shared" si="304"/>
        <v>2</v>
      </c>
      <c r="GQO52">
        <f t="shared" si="304"/>
        <v>2</v>
      </c>
      <c r="GQP52">
        <f t="shared" si="304"/>
        <v>3</v>
      </c>
      <c r="GQQ52">
        <f t="shared" si="304"/>
        <v>3</v>
      </c>
      <c r="GQR52">
        <f t="shared" si="304"/>
        <v>3</v>
      </c>
      <c r="GQS52">
        <f t="shared" si="304"/>
        <v>3</v>
      </c>
      <c r="GQT52">
        <f t="shared" si="304"/>
        <v>3</v>
      </c>
      <c r="GQU52">
        <f t="shared" si="304"/>
        <v>3</v>
      </c>
      <c r="GQV52">
        <f t="shared" si="304"/>
        <v>3</v>
      </c>
      <c r="GQW52">
        <f t="shared" si="304"/>
        <v>3</v>
      </c>
      <c r="GQX52">
        <f t="shared" si="304"/>
        <v>3</v>
      </c>
      <c r="GQY52">
        <f t="shared" si="304"/>
        <v>3</v>
      </c>
      <c r="GQZ52">
        <f t="shared" si="304"/>
        <v>3</v>
      </c>
      <c r="GRA52">
        <f t="shared" si="304"/>
        <v>3</v>
      </c>
      <c r="GRB52">
        <f t="shared" si="304"/>
        <v>3</v>
      </c>
      <c r="GRC52">
        <f t="shared" si="304"/>
        <v>3</v>
      </c>
      <c r="GRD52">
        <f t="shared" si="304"/>
        <v>3</v>
      </c>
      <c r="GRE52">
        <f t="shared" si="304"/>
        <v>3</v>
      </c>
      <c r="GRF52">
        <f t="shared" si="304"/>
        <v>3</v>
      </c>
      <c r="GRG52">
        <f t="shared" si="304"/>
        <v>3</v>
      </c>
      <c r="GRH52">
        <f t="shared" si="304"/>
        <v>3</v>
      </c>
      <c r="GRI52">
        <f t="shared" si="304"/>
        <v>3</v>
      </c>
      <c r="GRJ52">
        <f t="shared" si="304"/>
        <v>3</v>
      </c>
      <c r="GRK52">
        <f t="shared" si="304"/>
        <v>3</v>
      </c>
      <c r="GRL52">
        <f t="shared" si="304"/>
        <v>3</v>
      </c>
      <c r="GRM52">
        <f t="shared" si="304"/>
        <v>3</v>
      </c>
      <c r="GRN52">
        <f t="shared" si="304"/>
        <v>3</v>
      </c>
      <c r="GRO52">
        <f t="shared" si="304"/>
        <v>3</v>
      </c>
      <c r="GRP52">
        <f t="shared" si="304"/>
        <v>3</v>
      </c>
      <c r="GRQ52">
        <f t="shared" si="304"/>
        <v>3</v>
      </c>
      <c r="GRR52">
        <f t="shared" si="304"/>
        <v>3</v>
      </c>
      <c r="GRS52">
        <f t="shared" si="304"/>
        <v>3</v>
      </c>
      <c r="GRT52">
        <f t="shared" si="304"/>
        <v>3</v>
      </c>
      <c r="GRU52">
        <f t="shared" si="304"/>
        <v>3</v>
      </c>
      <c r="GRV52">
        <f t="shared" si="304"/>
        <v>3</v>
      </c>
      <c r="GRW52">
        <f t="shared" ref="GRW52:GUH52" si="305">COUNTBLANK(GRW2:GRW5)</f>
        <v>3</v>
      </c>
      <c r="GRX52">
        <f t="shared" si="305"/>
        <v>3</v>
      </c>
      <c r="GRY52">
        <f t="shared" si="305"/>
        <v>3</v>
      </c>
      <c r="GRZ52">
        <f t="shared" si="305"/>
        <v>3</v>
      </c>
      <c r="GSA52">
        <f t="shared" si="305"/>
        <v>3</v>
      </c>
      <c r="GSB52">
        <f t="shared" si="305"/>
        <v>3</v>
      </c>
      <c r="GSC52">
        <f t="shared" si="305"/>
        <v>3</v>
      </c>
      <c r="GSD52">
        <f t="shared" si="305"/>
        <v>3</v>
      </c>
      <c r="GSE52">
        <f t="shared" si="305"/>
        <v>3</v>
      </c>
      <c r="GSF52">
        <f t="shared" si="305"/>
        <v>3</v>
      </c>
      <c r="GSG52">
        <f t="shared" si="305"/>
        <v>3</v>
      </c>
      <c r="GSH52">
        <f t="shared" si="305"/>
        <v>3</v>
      </c>
      <c r="GSI52">
        <f t="shared" si="305"/>
        <v>3</v>
      </c>
      <c r="GSJ52">
        <f t="shared" si="305"/>
        <v>3</v>
      </c>
      <c r="GSK52">
        <f t="shared" si="305"/>
        <v>3</v>
      </c>
      <c r="GSL52">
        <f t="shared" si="305"/>
        <v>3</v>
      </c>
      <c r="GSM52">
        <f t="shared" si="305"/>
        <v>3</v>
      </c>
      <c r="GSN52">
        <f t="shared" si="305"/>
        <v>3</v>
      </c>
      <c r="GSO52">
        <f t="shared" si="305"/>
        <v>3</v>
      </c>
      <c r="GSP52">
        <f t="shared" si="305"/>
        <v>3</v>
      </c>
      <c r="GSQ52">
        <f t="shared" si="305"/>
        <v>3</v>
      </c>
      <c r="GSR52">
        <f t="shared" si="305"/>
        <v>3</v>
      </c>
      <c r="GSS52">
        <f t="shared" si="305"/>
        <v>3</v>
      </c>
      <c r="GST52">
        <f t="shared" si="305"/>
        <v>3</v>
      </c>
      <c r="GSU52">
        <f t="shared" si="305"/>
        <v>3</v>
      </c>
      <c r="GSV52">
        <f t="shared" si="305"/>
        <v>3</v>
      </c>
      <c r="GSW52">
        <f t="shared" si="305"/>
        <v>3</v>
      </c>
      <c r="GSX52">
        <f t="shared" si="305"/>
        <v>3</v>
      </c>
      <c r="GSY52">
        <f t="shared" si="305"/>
        <v>3</v>
      </c>
      <c r="GSZ52">
        <f t="shared" si="305"/>
        <v>3</v>
      </c>
      <c r="GTA52">
        <f t="shared" si="305"/>
        <v>3</v>
      </c>
      <c r="GTB52">
        <f t="shared" si="305"/>
        <v>3</v>
      </c>
      <c r="GTC52">
        <f t="shared" si="305"/>
        <v>3</v>
      </c>
      <c r="GTD52">
        <f t="shared" si="305"/>
        <v>3</v>
      </c>
      <c r="GTE52">
        <f t="shared" si="305"/>
        <v>3</v>
      </c>
      <c r="GTF52">
        <f t="shared" si="305"/>
        <v>3</v>
      </c>
      <c r="GTG52">
        <f t="shared" si="305"/>
        <v>3</v>
      </c>
      <c r="GTH52">
        <f t="shared" si="305"/>
        <v>3</v>
      </c>
      <c r="GTI52">
        <f t="shared" si="305"/>
        <v>3</v>
      </c>
      <c r="GTJ52">
        <f t="shared" si="305"/>
        <v>3</v>
      </c>
      <c r="GTK52">
        <f t="shared" si="305"/>
        <v>3</v>
      </c>
      <c r="GTL52">
        <f t="shared" si="305"/>
        <v>3</v>
      </c>
      <c r="GTM52">
        <f t="shared" si="305"/>
        <v>3</v>
      </c>
      <c r="GTN52">
        <f t="shared" si="305"/>
        <v>3</v>
      </c>
      <c r="GTO52">
        <f t="shared" si="305"/>
        <v>3</v>
      </c>
      <c r="GTP52">
        <f t="shared" si="305"/>
        <v>3</v>
      </c>
      <c r="GTQ52">
        <f t="shared" si="305"/>
        <v>3</v>
      </c>
      <c r="GTR52">
        <f t="shared" si="305"/>
        <v>3</v>
      </c>
      <c r="GTS52">
        <f t="shared" si="305"/>
        <v>3</v>
      </c>
      <c r="GTT52">
        <f t="shared" si="305"/>
        <v>3</v>
      </c>
      <c r="GTU52">
        <f t="shared" si="305"/>
        <v>3</v>
      </c>
      <c r="GTV52">
        <f t="shared" si="305"/>
        <v>3</v>
      </c>
      <c r="GTW52">
        <f t="shared" si="305"/>
        <v>3</v>
      </c>
      <c r="GTX52">
        <f t="shared" si="305"/>
        <v>3</v>
      </c>
      <c r="GTY52">
        <f t="shared" si="305"/>
        <v>3</v>
      </c>
      <c r="GTZ52">
        <f t="shared" si="305"/>
        <v>3</v>
      </c>
      <c r="GUA52">
        <f t="shared" si="305"/>
        <v>3</v>
      </c>
      <c r="GUB52">
        <f t="shared" si="305"/>
        <v>3</v>
      </c>
      <c r="GUC52">
        <f t="shared" si="305"/>
        <v>3</v>
      </c>
      <c r="GUD52">
        <f t="shared" si="305"/>
        <v>3</v>
      </c>
      <c r="GUE52">
        <f t="shared" si="305"/>
        <v>3</v>
      </c>
      <c r="GUF52">
        <f t="shared" si="305"/>
        <v>3</v>
      </c>
      <c r="GUG52">
        <f t="shared" si="305"/>
        <v>3</v>
      </c>
      <c r="GUH52">
        <f t="shared" si="305"/>
        <v>3</v>
      </c>
      <c r="GUI52">
        <f t="shared" ref="GUI52:GWT52" si="306">COUNTBLANK(GUI2:GUI5)</f>
        <v>3</v>
      </c>
      <c r="GUJ52">
        <f t="shared" si="306"/>
        <v>3</v>
      </c>
      <c r="GUK52">
        <f t="shared" si="306"/>
        <v>3</v>
      </c>
      <c r="GUL52">
        <f t="shared" si="306"/>
        <v>3</v>
      </c>
      <c r="GUM52">
        <f t="shared" si="306"/>
        <v>3</v>
      </c>
      <c r="GUN52">
        <f t="shared" si="306"/>
        <v>3</v>
      </c>
      <c r="GUO52">
        <f t="shared" si="306"/>
        <v>3</v>
      </c>
      <c r="GUP52">
        <f t="shared" si="306"/>
        <v>3</v>
      </c>
      <c r="GUQ52">
        <f t="shared" si="306"/>
        <v>3</v>
      </c>
      <c r="GUR52">
        <f t="shared" si="306"/>
        <v>3</v>
      </c>
      <c r="GUS52">
        <f t="shared" si="306"/>
        <v>3</v>
      </c>
      <c r="GUT52">
        <f t="shared" si="306"/>
        <v>3</v>
      </c>
      <c r="GUU52">
        <f t="shared" si="306"/>
        <v>3</v>
      </c>
      <c r="GUV52">
        <f t="shared" si="306"/>
        <v>3</v>
      </c>
      <c r="GUW52">
        <f t="shared" si="306"/>
        <v>3</v>
      </c>
      <c r="GUX52">
        <f t="shared" si="306"/>
        <v>3</v>
      </c>
      <c r="GUY52">
        <f t="shared" si="306"/>
        <v>3</v>
      </c>
      <c r="GUZ52">
        <f t="shared" si="306"/>
        <v>3</v>
      </c>
      <c r="GVA52">
        <f t="shared" si="306"/>
        <v>3</v>
      </c>
      <c r="GVB52">
        <f t="shared" si="306"/>
        <v>3</v>
      </c>
      <c r="GVC52">
        <f t="shared" si="306"/>
        <v>3</v>
      </c>
      <c r="GVD52">
        <f t="shared" si="306"/>
        <v>3</v>
      </c>
      <c r="GVE52">
        <f t="shared" si="306"/>
        <v>3</v>
      </c>
      <c r="GVF52">
        <f t="shared" si="306"/>
        <v>3</v>
      </c>
      <c r="GVG52">
        <f t="shared" si="306"/>
        <v>3</v>
      </c>
      <c r="GVH52">
        <f t="shared" si="306"/>
        <v>3</v>
      </c>
      <c r="GVI52">
        <f t="shared" si="306"/>
        <v>3</v>
      </c>
      <c r="GVJ52">
        <f t="shared" si="306"/>
        <v>3</v>
      </c>
      <c r="GVK52">
        <f t="shared" si="306"/>
        <v>3</v>
      </c>
      <c r="GVL52">
        <f t="shared" si="306"/>
        <v>3</v>
      </c>
      <c r="GVM52">
        <f t="shared" si="306"/>
        <v>3</v>
      </c>
      <c r="GVN52">
        <f t="shared" si="306"/>
        <v>3</v>
      </c>
      <c r="GVO52">
        <f t="shared" si="306"/>
        <v>3</v>
      </c>
      <c r="GVP52">
        <f t="shared" si="306"/>
        <v>3</v>
      </c>
      <c r="GVQ52">
        <f t="shared" si="306"/>
        <v>3</v>
      </c>
      <c r="GVR52">
        <f t="shared" si="306"/>
        <v>3</v>
      </c>
      <c r="GVS52">
        <f t="shared" si="306"/>
        <v>3</v>
      </c>
      <c r="GVT52">
        <f t="shared" si="306"/>
        <v>3</v>
      </c>
      <c r="GVU52">
        <f t="shared" si="306"/>
        <v>3</v>
      </c>
      <c r="GVV52">
        <f t="shared" si="306"/>
        <v>3</v>
      </c>
      <c r="GVW52">
        <f t="shared" si="306"/>
        <v>3</v>
      </c>
      <c r="GVX52">
        <f t="shared" si="306"/>
        <v>3</v>
      </c>
      <c r="GVY52">
        <f t="shared" si="306"/>
        <v>3</v>
      </c>
      <c r="GVZ52">
        <f t="shared" si="306"/>
        <v>3</v>
      </c>
      <c r="GWA52">
        <f t="shared" si="306"/>
        <v>3</v>
      </c>
      <c r="GWB52">
        <f t="shared" si="306"/>
        <v>3</v>
      </c>
      <c r="GWC52">
        <f t="shared" si="306"/>
        <v>3</v>
      </c>
      <c r="GWD52">
        <f t="shared" si="306"/>
        <v>3</v>
      </c>
      <c r="GWE52">
        <f t="shared" si="306"/>
        <v>3</v>
      </c>
      <c r="GWF52">
        <f t="shared" si="306"/>
        <v>3</v>
      </c>
      <c r="GWG52">
        <f t="shared" si="306"/>
        <v>3</v>
      </c>
      <c r="GWH52">
        <f t="shared" si="306"/>
        <v>3</v>
      </c>
      <c r="GWI52">
        <f t="shared" si="306"/>
        <v>3</v>
      </c>
      <c r="GWJ52">
        <f t="shared" si="306"/>
        <v>3</v>
      </c>
      <c r="GWK52">
        <f t="shared" si="306"/>
        <v>3</v>
      </c>
      <c r="GWL52">
        <f t="shared" si="306"/>
        <v>3</v>
      </c>
      <c r="GWM52">
        <f t="shared" si="306"/>
        <v>3</v>
      </c>
      <c r="GWN52">
        <f t="shared" si="306"/>
        <v>3</v>
      </c>
      <c r="GWO52">
        <f t="shared" si="306"/>
        <v>3</v>
      </c>
      <c r="GWP52">
        <f t="shared" si="306"/>
        <v>3</v>
      </c>
      <c r="GWQ52">
        <f t="shared" si="306"/>
        <v>3</v>
      </c>
      <c r="GWR52">
        <f t="shared" si="306"/>
        <v>3</v>
      </c>
      <c r="GWS52">
        <f t="shared" si="306"/>
        <v>3</v>
      </c>
      <c r="GWT52">
        <f t="shared" si="306"/>
        <v>3</v>
      </c>
      <c r="GWU52">
        <f t="shared" ref="GWU52:GZF52" si="307">COUNTBLANK(GWU2:GWU5)</f>
        <v>3</v>
      </c>
      <c r="GWV52">
        <f t="shared" si="307"/>
        <v>3</v>
      </c>
      <c r="GWW52">
        <f t="shared" si="307"/>
        <v>3</v>
      </c>
      <c r="GWX52">
        <f t="shared" si="307"/>
        <v>3</v>
      </c>
      <c r="GWY52">
        <f t="shared" si="307"/>
        <v>3</v>
      </c>
      <c r="GWZ52">
        <f t="shared" si="307"/>
        <v>3</v>
      </c>
      <c r="GXA52">
        <f t="shared" si="307"/>
        <v>3</v>
      </c>
      <c r="GXB52">
        <f t="shared" si="307"/>
        <v>3</v>
      </c>
      <c r="GXC52">
        <f t="shared" si="307"/>
        <v>3</v>
      </c>
      <c r="GXD52">
        <f t="shared" si="307"/>
        <v>3</v>
      </c>
      <c r="GXE52">
        <f t="shared" si="307"/>
        <v>3</v>
      </c>
      <c r="GXF52">
        <f t="shared" si="307"/>
        <v>3</v>
      </c>
      <c r="GXG52">
        <f t="shared" si="307"/>
        <v>3</v>
      </c>
      <c r="GXH52">
        <f t="shared" si="307"/>
        <v>3</v>
      </c>
      <c r="GXI52">
        <f t="shared" si="307"/>
        <v>3</v>
      </c>
      <c r="GXJ52">
        <f t="shared" si="307"/>
        <v>3</v>
      </c>
      <c r="GXK52">
        <f t="shared" si="307"/>
        <v>3</v>
      </c>
      <c r="GXL52">
        <f t="shared" si="307"/>
        <v>3</v>
      </c>
      <c r="GXM52">
        <f t="shared" si="307"/>
        <v>3</v>
      </c>
      <c r="GXN52">
        <f t="shared" si="307"/>
        <v>3</v>
      </c>
      <c r="GXO52">
        <f t="shared" si="307"/>
        <v>2</v>
      </c>
      <c r="GXP52">
        <f t="shared" si="307"/>
        <v>2</v>
      </c>
      <c r="GXQ52">
        <f t="shared" si="307"/>
        <v>2</v>
      </c>
      <c r="GXR52">
        <f t="shared" si="307"/>
        <v>2</v>
      </c>
      <c r="GXS52">
        <f t="shared" si="307"/>
        <v>2</v>
      </c>
      <c r="GXT52">
        <f t="shared" si="307"/>
        <v>2</v>
      </c>
      <c r="GXU52">
        <f t="shared" si="307"/>
        <v>2</v>
      </c>
      <c r="GXV52">
        <f t="shared" si="307"/>
        <v>2</v>
      </c>
      <c r="GXW52">
        <f t="shared" si="307"/>
        <v>2</v>
      </c>
      <c r="GXX52">
        <f t="shared" si="307"/>
        <v>2</v>
      </c>
      <c r="GXY52">
        <f t="shared" si="307"/>
        <v>2</v>
      </c>
      <c r="GXZ52">
        <f t="shared" si="307"/>
        <v>2</v>
      </c>
      <c r="GYA52">
        <f t="shared" si="307"/>
        <v>2</v>
      </c>
      <c r="GYB52">
        <f t="shared" si="307"/>
        <v>2</v>
      </c>
      <c r="GYC52">
        <f t="shared" si="307"/>
        <v>2</v>
      </c>
      <c r="GYD52">
        <f t="shared" si="307"/>
        <v>2</v>
      </c>
      <c r="GYE52">
        <f t="shared" si="307"/>
        <v>2</v>
      </c>
      <c r="GYF52">
        <f t="shared" si="307"/>
        <v>2</v>
      </c>
      <c r="GYG52">
        <f t="shared" si="307"/>
        <v>2</v>
      </c>
      <c r="GYH52">
        <f t="shared" si="307"/>
        <v>2</v>
      </c>
      <c r="GYI52">
        <f t="shared" si="307"/>
        <v>2</v>
      </c>
      <c r="GYJ52">
        <f t="shared" si="307"/>
        <v>2</v>
      </c>
      <c r="GYK52">
        <f t="shared" si="307"/>
        <v>2</v>
      </c>
      <c r="GYL52">
        <f t="shared" si="307"/>
        <v>2</v>
      </c>
      <c r="GYM52">
        <f t="shared" si="307"/>
        <v>2</v>
      </c>
      <c r="GYN52">
        <f t="shared" si="307"/>
        <v>2</v>
      </c>
      <c r="GYO52">
        <f t="shared" si="307"/>
        <v>2</v>
      </c>
      <c r="GYP52">
        <f t="shared" si="307"/>
        <v>2</v>
      </c>
      <c r="GYQ52">
        <f t="shared" si="307"/>
        <v>2</v>
      </c>
      <c r="GYR52">
        <f t="shared" si="307"/>
        <v>2</v>
      </c>
      <c r="GYS52">
        <f t="shared" si="307"/>
        <v>2</v>
      </c>
      <c r="GYT52">
        <f t="shared" si="307"/>
        <v>2</v>
      </c>
      <c r="GYU52">
        <f t="shared" si="307"/>
        <v>2</v>
      </c>
      <c r="GYV52">
        <f t="shared" si="307"/>
        <v>2</v>
      </c>
      <c r="GYW52">
        <f t="shared" si="307"/>
        <v>2</v>
      </c>
      <c r="GYX52">
        <f t="shared" si="307"/>
        <v>2</v>
      </c>
      <c r="GYY52">
        <f t="shared" si="307"/>
        <v>2</v>
      </c>
      <c r="GYZ52">
        <f t="shared" si="307"/>
        <v>2</v>
      </c>
      <c r="GZA52">
        <f t="shared" si="307"/>
        <v>2</v>
      </c>
      <c r="GZB52">
        <f t="shared" si="307"/>
        <v>2</v>
      </c>
      <c r="GZC52">
        <f t="shared" si="307"/>
        <v>2</v>
      </c>
      <c r="GZD52">
        <f t="shared" si="307"/>
        <v>2</v>
      </c>
      <c r="GZE52">
        <f t="shared" si="307"/>
        <v>2</v>
      </c>
      <c r="GZF52">
        <f t="shared" si="307"/>
        <v>2</v>
      </c>
      <c r="GZG52">
        <f t="shared" ref="GZG52:HBR52" si="308">COUNTBLANK(GZG2:GZG5)</f>
        <v>2</v>
      </c>
      <c r="GZH52">
        <f t="shared" si="308"/>
        <v>2</v>
      </c>
      <c r="GZI52">
        <f t="shared" si="308"/>
        <v>2</v>
      </c>
      <c r="GZJ52">
        <f t="shared" si="308"/>
        <v>2</v>
      </c>
      <c r="GZK52">
        <f t="shared" si="308"/>
        <v>2</v>
      </c>
      <c r="GZL52">
        <f t="shared" si="308"/>
        <v>2</v>
      </c>
      <c r="GZM52">
        <f t="shared" si="308"/>
        <v>2</v>
      </c>
      <c r="GZN52">
        <f t="shared" si="308"/>
        <v>2</v>
      </c>
      <c r="GZO52">
        <f t="shared" si="308"/>
        <v>2</v>
      </c>
      <c r="GZP52">
        <f t="shared" si="308"/>
        <v>2</v>
      </c>
      <c r="GZQ52">
        <f t="shared" si="308"/>
        <v>2</v>
      </c>
      <c r="GZR52">
        <f t="shared" si="308"/>
        <v>2</v>
      </c>
      <c r="GZS52">
        <f t="shared" si="308"/>
        <v>2</v>
      </c>
      <c r="GZT52">
        <f t="shared" si="308"/>
        <v>2</v>
      </c>
      <c r="GZU52">
        <f t="shared" si="308"/>
        <v>2</v>
      </c>
      <c r="GZV52">
        <f t="shared" si="308"/>
        <v>2</v>
      </c>
      <c r="GZW52">
        <f t="shared" si="308"/>
        <v>2</v>
      </c>
      <c r="GZX52">
        <f t="shared" si="308"/>
        <v>2</v>
      </c>
      <c r="GZY52">
        <f t="shared" si="308"/>
        <v>2</v>
      </c>
      <c r="GZZ52">
        <f t="shared" si="308"/>
        <v>2</v>
      </c>
      <c r="HAA52">
        <f t="shared" si="308"/>
        <v>2</v>
      </c>
      <c r="HAB52">
        <f t="shared" si="308"/>
        <v>2</v>
      </c>
      <c r="HAC52">
        <f t="shared" si="308"/>
        <v>2</v>
      </c>
      <c r="HAD52">
        <f t="shared" si="308"/>
        <v>2</v>
      </c>
      <c r="HAE52">
        <f t="shared" si="308"/>
        <v>2</v>
      </c>
      <c r="HAF52">
        <f t="shared" si="308"/>
        <v>2</v>
      </c>
      <c r="HAG52">
        <f t="shared" si="308"/>
        <v>2</v>
      </c>
      <c r="HAH52">
        <f t="shared" si="308"/>
        <v>2</v>
      </c>
      <c r="HAI52">
        <f t="shared" si="308"/>
        <v>2</v>
      </c>
      <c r="HAJ52">
        <f t="shared" si="308"/>
        <v>2</v>
      </c>
      <c r="HAK52">
        <f t="shared" si="308"/>
        <v>2</v>
      </c>
      <c r="HAL52">
        <f t="shared" si="308"/>
        <v>2</v>
      </c>
      <c r="HAM52">
        <f t="shared" si="308"/>
        <v>2</v>
      </c>
      <c r="HAN52">
        <f t="shared" si="308"/>
        <v>2</v>
      </c>
      <c r="HAO52">
        <f t="shared" si="308"/>
        <v>2</v>
      </c>
      <c r="HAP52">
        <f t="shared" si="308"/>
        <v>2</v>
      </c>
      <c r="HAQ52">
        <f t="shared" si="308"/>
        <v>2</v>
      </c>
      <c r="HAR52">
        <f t="shared" si="308"/>
        <v>2</v>
      </c>
      <c r="HAS52">
        <f t="shared" si="308"/>
        <v>2</v>
      </c>
      <c r="HAT52">
        <f t="shared" si="308"/>
        <v>2</v>
      </c>
      <c r="HAU52">
        <f t="shared" si="308"/>
        <v>2</v>
      </c>
      <c r="HAV52">
        <f t="shared" si="308"/>
        <v>2</v>
      </c>
      <c r="HAW52">
        <f t="shared" si="308"/>
        <v>2</v>
      </c>
      <c r="HAX52">
        <f t="shared" si="308"/>
        <v>2</v>
      </c>
      <c r="HAY52">
        <f t="shared" si="308"/>
        <v>2</v>
      </c>
      <c r="HAZ52">
        <f t="shared" si="308"/>
        <v>2</v>
      </c>
      <c r="HBA52">
        <f t="shared" si="308"/>
        <v>2</v>
      </c>
      <c r="HBB52">
        <f t="shared" si="308"/>
        <v>2</v>
      </c>
      <c r="HBC52">
        <f t="shared" si="308"/>
        <v>2</v>
      </c>
      <c r="HBD52">
        <f t="shared" si="308"/>
        <v>2</v>
      </c>
      <c r="HBE52">
        <f t="shared" si="308"/>
        <v>2</v>
      </c>
      <c r="HBF52">
        <f t="shared" si="308"/>
        <v>2</v>
      </c>
      <c r="HBG52">
        <f t="shared" si="308"/>
        <v>2</v>
      </c>
      <c r="HBH52">
        <f t="shared" si="308"/>
        <v>2</v>
      </c>
      <c r="HBI52">
        <f t="shared" si="308"/>
        <v>2</v>
      </c>
      <c r="HBJ52">
        <f t="shared" si="308"/>
        <v>2</v>
      </c>
      <c r="HBK52">
        <f t="shared" si="308"/>
        <v>2</v>
      </c>
      <c r="HBL52">
        <f t="shared" si="308"/>
        <v>2</v>
      </c>
      <c r="HBM52">
        <f t="shared" si="308"/>
        <v>2</v>
      </c>
      <c r="HBN52">
        <f t="shared" si="308"/>
        <v>2</v>
      </c>
      <c r="HBO52">
        <f t="shared" si="308"/>
        <v>2</v>
      </c>
      <c r="HBP52">
        <f t="shared" si="308"/>
        <v>2</v>
      </c>
      <c r="HBQ52">
        <f t="shared" si="308"/>
        <v>2</v>
      </c>
      <c r="HBR52">
        <f t="shared" si="308"/>
        <v>2</v>
      </c>
      <c r="HBS52">
        <f t="shared" ref="HBS52:HED52" si="309">COUNTBLANK(HBS2:HBS5)</f>
        <v>2</v>
      </c>
      <c r="HBT52">
        <f t="shared" si="309"/>
        <v>2</v>
      </c>
      <c r="HBU52">
        <f t="shared" si="309"/>
        <v>2</v>
      </c>
      <c r="HBV52">
        <f t="shared" si="309"/>
        <v>2</v>
      </c>
      <c r="HBW52">
        <f t="shared" si="309"/>
        <v>2</v>
      </c>
      <c r="HBX52">
        <f t="shared" si="309"/>
        <v>2</v>
      </c>
      <c r="HBY52">
        <f t="shared" si="309"/>
        <v>2</v>
      </c>
      <c r="HBZ52">
        <f t="shared" si="309"/>
        <v>2</v>
      </c>
      <c r="HCA52">
        <f t="shared" si="309"/>
        <v>2</v>
      </c>
      <c r="HCB52">
        <f t="shared" si="309"/>
        <v>2</v>
      </c>
      <c r="HCC52">
        <f t="shared" si="309"/>
        <v>2</v>
      </c>
      <c r="HCD52">
        <f t="shared" si="309"/>
        <v>2</v>
      </c>
      <c r="HCE52">
        <f t="shared" si="309"/>
        <v>2</v>
      </c>
      <c r="HCF52">
        <f t="shared" si="309"/>
        <v>2</v>
      </c>
      <c r="HCG52">
        <f t="shared" si="309"/>
        <v>2</v>
      </c>
      <c r="HCH52">
        <f t="shared" si="309"/>
        <v>2</v>
      </c>
      <c r="HCI52">
        <f t="shared" si="309"/>
        <v>2</v>
      </c>
      <c r="HCJ52">
        <f t="shared" si="309"/>
        <v>2</v>
      </c>
      <c r="HCK52">
        <f t="shared" si="309"/>
        <v>2</v>
      </c>
      <c r="HCL52">
        <f t="shared" si="309"/>
        <v>2</v>
      </c>
      <c r="HCM52">
        <f t="shared" si="309"/>
        <v>2</v>
      </c>
      <c r="HCN52">
        <f t="shared" si="309"/>
        <v>2</v>
      </c>
      <c r="HCO52">
        <f t="shared" si="309"/>
        <v>2</v>
      </c>
      <c r="HCP52">
        <f t="shared" si="309"/>
        <v>2</v>
      </c>
      <c r="HCQ52">
        <f t="shared" si="309"/>
        <v>2</v>
      </c>
      <c r="HCR52">
        <f t="shared" si="309"/>
        <v>2</v>
      </c>
      <c r="HCS52">
        <f t="shared" si="309"/>
        <v>2</v>
      </c>
      <c r="HCT52">
        <f t="shared" si="309"/>
        <v>2</v>
      </c>
      <c r="HCU52">
        <f t="shared" si="309"/>
        <v>2</v>
      </c>
      <c r="HCV52">
        <f t="shared" si="309"/>
        <v>2</v>
      </c>
      <c r="HCW52">
        <f t="shared" si="309"/>
        <v>2</v>
      </c>
      <c r="HCX52">
        <f t="shared" si="309"/>
        <v>2</v>
      </c>
      <c r="HCY52">
        <f t="shared" si="309"/>
        <v>2</v>
      </c>
      <c r="HCZ52">
        <f t="shared" si="309"/>
        <v>2</v>
      </c>
      <c r="HDA52">
        <f t="shared" si="309"/>
        <v>2</v>
      </c>
      <c r="HDB52">
        <f t="shared" si="309"/>
        <v>2</v>
      </c>
      <c r="HDC52">
        <f t="shared" si="309"/>
        <v>2</v>
      </c>
      <c r="HDD52">
        <f t="shared" si="309"/>
        <v>2</v>
      </c>
      <c r="HDE52">
        <f t="shared" si="309"/>
        <v>2</v>
      </c>
      <c r="HDF52">
        <f t="shared" si="309"/>
        <v>2</v>
      </c>
      <c r="HDG52">
        <f t="shared" si="309"/>
        <v>2</v>
      </c>
      <c r="HDH52">
        <f t="shared" si="309"/>
        <v>2</v>
      </c>
      <c r="HDI52">
        <f t="shared" si="309"/>
        <v>2</v>
      </c>
      <c r="HDJ52">
        <f t="shared" si="309"/>
        <v>2</v>
      </c>
      <c r="HDK52">
        <f t="shared" si="309"/>
        <v>2</v>
      </c>
      <c r="HDL52">
        <f t="shared" si="309"/>
        <v>2</v>
      </c>
      <c r="HDM52">
        <f t="shared" si="309"/>
        <v>2</v>
      </c>
      <c r="HDN52">
        <f t="shared" si="309"/>
        <v>2</v>
      </c>
      <c r="HDO52">
        <f t="shared" si="309"/>
        <v>2</v>
      </c>
      <c r="HDP52">
        <f t="shared" si="309"/>
        <v>2</v>
      </c>
      <c r="HDQ52">
        <f t="shared" si="309"/>
        <v>2</v>
      </c>
      <c r="HDR52">
        <f t="shared" si="309"/>
        <v>2</v>
      </c>
      <c r="HDS52">
        <f t="shared" si="309"/>
        <v>2</v>
      </c>
      <c r="HDT52">
        <f t="shared" si="309"/>
        <v>2</v>
      </c>
      <c r="HDU52">
        <f t="shared" si="309"/>
        <v>2</v>
      </c>
      <c r="HDV52">
        <f t="shared" si="309"/>
        <v>2</v>
      </c>
      <c r="HDW52">
        <f t="shared" si="309"/>
        <v>2</v>
      </c>
      <c r="HDX52">
        <f t="shared" si="309"/>
        <v>2</v>
      </c>
      <c r="HDY52">
        <f t="shared" si="309"/>
        <v>2</v>
      </c>
      <c r="HDZ52">
        <f t="shared" si="309"/>
        <v>2</v>
      </c>
      <c r="HEA52">
        <f t="shared" si="309"/>
        <v>2</v>
      </c>
      <c r="HEB52">
        <f t="shared" si="309"/>
        <v>2</v>
      </c>
      <c r="HEC52">
        <f t="shared" si="309"/>
        <v>2</v>
      </c>
      <c r="HED52">
        <f t="shared" si="309"/>
        <v>2</v>
      </c>
      <c r="HEE52">
        <f t="shared" ref="HEE52:HGP52" si="310">COUNTBLANK(HEE2:HEE5)</f>
        <v>2</v>
      </c>
      <c r="HEF52">
        <f t="shared" si="310"/>
        <v>2</v>
      </c>
      <c r="HEG52">
        <f t="shared" si="310"/>
        <v>2</v>
      </c>
      <c r="HEH52">
        <f t="shared" si="310"/>
        <v>2</v>
      </c>
      <c r="HEI52">
        <f t="shared" si="310"/>
        <v>2</v>
      </c>
      <c r="HEJ52">
        <f t="shared" si="310"/>
        <v>2</v>
      </c>
      <c r="HEK52">
        <f t="shared" si="310"/>
        <v>2</v>
      </c>
      <c r="HEL52">
        <f t="shared" si="310"/>
        <v>2</v>
      </c>
      <c r="HEM52">
        <f t="shared" si="310"/>
        <v>2</v>
      </c>
      <c r="HEN52">
        <f t="shared" si="310"/>
        <v>2</v>
      </c>
      <c r="HEO52">
        <f t="shared" si="310"/>
        <v>2</v>
      </c>
      <c r="HEP52">
        <f t="shared" si="310"/>
        <v>2</v>
      </c>
      <c r="HEQ52">
        <f t="shared" si="310"/>
        <v>2</v>
      </c>
      <c r="HER52">
        <f t="shared" si="310"/>
        <v>2</v>
      </c>
      <c r="HES52">
        <f t="shared" si="310"/>
        <v>2</v>
      </c>
      <c r="HET52">
        <f t="shared" si="310"/>
        <v>2</v>
      </c>
      <c r="HEU52">
        <f t="shared" si="310"/>
        <v>2</v>
      </c>
      <c r="HEV52">
        <f t="shared" si="310"/>
        <v>2</v>
      </c>
      <c r="HEW52">
        <f t="shared" si="310"/>
        <v>2</v>
      </c>
      <c r="HEX52">
        <f t="shared" si="310"/>
        <v>2</v>
      </c>
      <c r="HEY52">
        <f t="shared" si="310"/>
        <v>2</v>
      </c>
      <c r="HEZ52">
        <f t="shared" si="310"/>
        <v>2</v>
      </c>
      <c r="HFA52">
        <f t="shared" si="310"/>
        <v>2</v>
      </c>
      <c r="HFB52">
        <f t="shared" si="310"/>
        <v>2</v>
      </c>
      <c r="HFC52">
        <f t="shared" si="310"/>
        <v>2</v>
      </c>
      <c r="HFD52">
        <f t="shared" si="310"/>
        <v>2</v>
      </c>
      <c r="HFE52">
        <f t="shared" si="310"/>
        <v>2</v>
      </c>
      <c r="HFF52">
        <f t="shared" si="310"/>
        <v>2</v>
      </c>
      <c r="HFG52">
        <f t="shared" si="310"/>
        <v>2</v>
      </c>
      <c r="HFH52">
        <f t="shared" si="310"/>
        <v>2</v>
      </c>
      <c r="HFI52">
        <f t="shared" si="310"/>
        <v>2</v>
      </c>
      <c r="HFJ52">
        <f t="shared" si="310"/>
        <v>2</v>
      </c>
      <c r="HFK52">
        <f t="shared" si="310"/>
        <v>2</v>
      </c>
      <c r="HFL52">
        <f t="shared" si="310"/>
        <v>2</v>
      </c>
      <c r="HFM52">
        <f t="shared" si="310"/>
        <v>2</v>
      </c>
      <c r="HFN52">
        <f t="shared" si="310"/>
        <v>2</v>
      </c>
      <c r="HFO52">
        <f t="shared" si="310"/>
        <v>2</v>
      </c>
      <c r="HFP52">
        <f t="shared" si="310"/>
        <v>3</v>
      </c>
      <c r="HFQ52">
        <f t="shared" si="310"/>
        <v>3</v>
      </c>
      <c r="HFR52">
        <f t="shared" si="310"/>
        <v>3</v>
      </c>
      <c r="HFS52">
        <f t="shared" si="310"/>
        <v>3</v>
      </c>
      <c r="HFT52">
        <f t="shared" si="310"/>
        <v>3</v>
      </c>
      <c r="HFU52">
        <f t="shared" si="310"/>
        <v>3</v>
      </c>
      <c r="HFV52">
        <f t="shared" si="310"/>
        <v>3</v>
      </c>
      <c r="HFW52">
        <f t="shared" si="310"/>
        <v>3</v>
      </c>
      <c r="HFX52">
        <f t="shared" si="310"/>
        <v>3</v>
      </c>
      <c r="HFY52">
        <f t="shared" si="310"/>
        <v>3</v>
      </c>
      <c r="HFZ52">
        <f t="shared" si="310"/>
        <v>3</v>
      </c>
      <c r="HGA52">
        <f t="shared" si="310"/>
        <v>3</v>
      </c>
      <c r="HGB52">
        <f t="shared" si="310"/>
        <v>3</v>
      </c>
      <c r="HGC52">
        <f t="shared" si="310"/>
        <v>3</v>
      </c>
      <c r="HGD52">
        <f t="shared" si="310"/>
        <v>3</v>
      </c>
      <c r="HGE52">
        <f t="shared" si="310"/>
        <v>3</v>
      </c>
      <c r="HGF52">
        <f t="shared" si="310"/>
        <v>3</v>
      </c>
      <c r="HGG52">
        <f t="shared" si="310"/>
        <v>3</v>
      </c>
      <c r="HGH52">
        <f t="shared" si="310"/>
        <v>3</v>
      </c>
      <c r="HGI52">
        <f t="shared" si="310"/>
        <v>3</v>
      </c>
      <c r="HGJ52">
        <f t="shared" si="310"/>
        <v>3</v>
      </c>
      <c r="HGK52">
        <f t="shared" si="310"/>
        <v>3</v>
      </c>
      <c r="HGL52">
        <f t="shared" si="310"/>
        <v>3</v>
      </c>
      <c r="HGM52">
        <f t="shared" si="310"/>
        <v>3</v>
      </c>
      <c r="HGN52">
        <f t="shared" si="310"/>
        <v>3</v>
      </c>
      <c r="HGO52">
        <f t="shared" si="310"/>
        <v>3</v>
      </c>
      <c r="HGP52">
        <f t="shared" si="310"/>
        <v>3</v>
      </c>
      <c r="HGQ52">
        <f t="shared" ref="HGQ52:HJB52" si="311">COUNTBLANK(HGQ2:HGQ5)</f>
        <v>3</v>
      </c>
      <c r="HGR52">
        <f t="shared" si="311"/>
        <v>3</v>
      </c>
      <c r="HGS52">
        <f t="shared" si="311"/>
        <v>3</v>
      </c>
      <c r="HGT52">
        <f t="shared" si="311"/>
        <v>3</v>
      </c>
      <c r="HGU52">
        <f t="shared" si="311"/>
        <v>3</v>
      </c>
      <c r="HGV52">
        <f t="shared" si="311"/>
        <v>3</v>
      </c>
      <c r="HGW52">
        <f t="shared" si="311"/>
        <v>3</v>
      </c>
      <c r="HGX52">
        <f t="shared" si="311"/>
        <v>3</v>
      </c>
      <c r="HGY52">
        <f t="shared" si="311"/>
        <v>3</v>
      </c>
      <c r="HGZ52">
        <f t="shared" si="311"/>
        <v>3</v>
      </c>
      <c r="HHA52">
        <f t="shared" si="311"/>
        <v>3</v>
      </c>
      <c r="HHB52">
        <f t="shared" si="311"/>
        <v>3</v>
      </c>
      <c r="HHC52">
        <f t="shared" si="311"/>
        <v>3</v>
      </c>
      <c r="HHD52">
        <f t="shared" si="311"/>
        <v>3</v>
      </c>
      <c r="HHE52">
        <f t="shared" si="311"/>
        <v>3</v>
      </c>
      <c r="HHF52">
        <f t="shared" si="311"/>
        <v>3</v>
      </c>
      <c r="HHG52">
        <f t="shared" si="311"/>
        <v>3</v>
      </c>
      <c r="HHH52">
        <f t="shared" si="311"/>
        <v>3</v>
      </c>
      <c r="HHI52">
        <f t="shared" si="311"/>
        <v>3</v>
      </c>
      <c r="HHJ52">
        <f t="shared" si="311"/>
        <v>3</v>
      </c>
      <c r="HHK52">
        <f t="shared" si="311"/>
        <v>3</v>
      </c>
      <c r="HHL52">
        <f t="shared" si="311"/>
        <v>3</v>
      </c>
      <c r="HHM52">
        <f t="shared" si="311"/>
        <v>3</v>
      </c>
      <c r="HHN52">
        <f t="shared" si="311"/>
        <v>3</v>
      </c>
      <c r="HHO52">
        <f t="shared" si="311"/>
        <v>3</v>
      </c>
      <c r="HHP52">
        <f t="shared" si="311"/>
        <v>3</v>
      </c>
      <c r="HHQ52">
        <f t="shared" si="311"/>
        <v>3</v>
      </c>
      <c r="HHR52">
        <f t="shared" si="311"/>
        <v>3</v>
      </c>
      <c r="HHS52">
        <f t="shared" si="311"/>
        <v>3</v>
      </c>
      <c r="HHT52">
        <f t="shared" si="311"/>
        <v>3</v>
      </c>
      <c r="HHU52">
        <f t="shared" si="311"/>
        <v>3</v>
      </c>
      <c r="HHV52">
        <f t="shared" si="311"/>
        <v>3</v>
      </c>
      <c r="HHW52">
        <f t="shared" si="311"/>
        <v>3</v>
      </c>
      <c r="HHX52">
        <f t="shared" si="311"/>
        <v>3</v>
      </c>
      <c r="HHY52">
        <f t="shared" si="311"/>
        <v>3</v>
      </c>
      <c r="HHZ52">
        <f t="shared" si="311"/>
        <v>3</v>
      </c>
      <c r="HIA52">
        <f t="shared" si="311"/>
        <v>3</v>
      </c>
      <c r="HIB52">
        <f t="shared" si="311"/>
        <v>3</v>
      </c>
      <c r="HIC52">
        <f t="shared" si="311"/>
        <v>3</v>
      </c>
      <c r="HID52">
        <f t="shared" si="311"/>
        <v>3</v>
      </c>
      <c r="HIE52">
        <f t="shared" si="311"/>
        <v>3</v>
      </c>
      <c r="HIF52">
        <f t="shared" si="311"/>
        <v>3</v>
      </c>
      <c r="HIG52">
        <f t="shared" si="311"/>
        <v>3</v>
      </c>
      <c r="HIH52">
        <f t="shared" si="311"/>
        <v>3</v>
      </c>
      <c r="HII52">
        <f t="shared" si="311"/>
        <v>3</v>
      </c>
      <c r="HIJ52">
        <f t="shared" si="311"/>
        <v>3</v>
      </c>
      <c r="HIK52">
        <f t="shared" si="311"/>
        <v>3</v>
      </c>
      <c r="HIL52">
        <f t="shared" si="311"/>
        <v>3</v>
      </c>
      <c r="HIM52">
        <f t="shared" si="311"/>
        <v>3</v>
      </c>
      <c r="HIN52">
        <f t="shared" si="311"/>
        <v>3</v>
      </c>
      <c r="HIO52">
        <f t="shared" si="311"/>
        <v>3</v>
      </c>
      <c r="HIP52">
        <f t="shared" si="311"/>
        <v>3</v>
      </c>
      <c r="HIQ52">
        <f t="shared" si="311"/>
        <v>3</v>
      </c>
      <c r="HIR52">
        <f t="shared" si="311"/>
        <v>3</v>
      </c>
      <c r="HIS52">
        <f t="shared" si="311"/>
        <v>3</v>
      </c>
      <c r="HIT52">
        <f t="shared" si="311"/>
        <v>3</v>
      </c>
      <c r="HIU52">
        <f t="shared" si="311"/>
        <v>3</v>
      </c>
      <c r="HIV52">
        <f t="shared" si="311"/>
        <v>3</v>
      </c>
      <c r="HIW52">
        <f t="shared" si="311"/>
        <v>3</v>
      </c>
      <c r="HIX52">
        <f t="shared" si="311"/>
        <v>3</v>
      </c>
      <c r="HIY52">
        <f t="shared" si="311"/>
        <v>3</v>
      </c>
      <c r="HIZ52">
        <f t="shared" si="311"/>
        <v>3</v>
      </c>
      <c r="HJA52">
        <f t="shared" si="311"/>
        <v>3</v>
      </c>
      <c r="HJB52">
        <f t="shared" si="311"/>
        <v>3</v>
      </c>
      <c r="HJC52">
        <f t="shared" ref="HJC52:HLN52" si="312">COUNTBLANK(HJC2:HJC5)</f>
        <v>3</v>
      </c>
      <c r="HJD52">
        <f t="shared" si="312"/>
        <v>3</v>
      </c>
      <c r="HJE52">
        <f t="shared" si="312"/>
        <v>3</v>
      </c>
      <c r="HJF52">
        <f t="shared" si="312"/>
        <v>3</v>
      </c>
      <c r="HJG52">
        <f t="shared" si="312"/>
        <v>3</v>
      </c>
      <c r="HJH52">
        <f t="shared" si="312"/>
        <v>3</v>
      </c>
      <c r="HJI52">
        <f t="shared" si="312"/>
        <v>3</v>
      </c>
      <c r="HJJ52">
        <f t="shared" si="312"/>
        <v>3</v>
      </c>
      <c r="HJK52">
        <f t="shared" si="312"/>
        <v>3</v>
      </c>
      <c r="HJL52">
        <f t="shared" si="312"/>
        <v>3</v>
      </c>
      <c r="HJM52">
        <f t="shared" si="312"/>
        <v>3</v>
      </c>
      <c r="HJN52">
        <f t="shared" si="312"/>
        <v>3</v>
      </c>
      <c r="HJO52">
        <f t="shared" si="312"/>
        <v>3</v>
      </c>
      <c r="HJP52">
        <f t="shared" si="312"/>
        <v>3</v>
      </c>
      <c r="HJQ52">
        <f t="shared" si="312"/>
        <v>3</v>
      </c>
      <c r="HJR52">
        <f t="shared" si="312"/>
        <v>3</v>
      </c>
      <c r="HJS52">
        <f t="shared" si="312"/>
        <v>3</v>
      </c>
      <c r="HJT52">
        <f t="shared" si="312"/>
        <v>3</v>
      </c>
      <c r="HJU52">
        <f t="shared" si="312"/>
        <v>3</v>
      </c>
      <c r="HJV52">
        <f t="shared" si="312"/>
        <v>3</v>
      </c>
      <c r="HJW52">
        <f t="shared" si="312"/>
        <v>3</v>
      </c>
      <c r="HJX52">
        <f t="shared" si="312"/>
        <v>3</v>
      </c>
      <c r="HJY52">
        <f t="shared" si="312"/>
        <v>3</v>
      </c>
      <c r="HJZ52">
        <f t="shared" si="312"/>
        <v>3</v>
      </c>
      <c r="HKA52">
        <f t="shared" si="312"/>
        <v>3</v>
      </c>
      <c r="HKB52">
        <f t="shared" si="312"/>
        <v>3</v>
      </c>
      <c r="HKC52">
        <f t="shared" si="312"/>
        <v>3</v>
      </c>
      <c r="HKD52">
        <f t="shared" si="312"/>
        <v>3</v>
      </c>
      <c r="HKE52">
        <f t="shared" si="312"/>
        <v>3</v>
      </c>
      <c r="HKF52">
        <f t="shared" si="312"/>
        <v>3</v>
      </c>
      <c r="HKG52">
        <f t="shared" si="312"/>
        <v>3</v>
      </c>
      <c r="HKH52">
        <f t="shared" si="312"/>
        <v>3</v>
      </c>
      <c r="HKI52">
        <f t="shared" si="312"/>
        <v>3</v>
      </c>
      <c r="HKJ52">
        <f t="shared" si="312"/>
        <v>3</v>
      </c>
      <c r="HKK52">
        <f t="shared" si="312"/>
        <v>3</v>
      </c>
      <c r="HKL52">
        <f t="shared" si="312"/>
        <v>3</v>
      </c>
      <c r="HKM52">
        <f t="shared" si="312"/>
        <v>3</v>
      </c>
      <c r="HKN52">
        <f t="shared" si="312"/>
        <v>3</v>
      </c>
      <c r="HKO52">
        <f t="shared" si="312"/>
        <v>3</v>
      </c>
      <c r="HKP52">
        <f t="shared" si="312"/>
        <v>3</v>
      </c>
      <c r="HKQ52">
        <f t="shared" si="312"/>
        <v>3</v>
      </c>
      <c r="HKR52">
        <f t="shared" si="312"/>
        <v>3</v>
      </c>
      <c r="HKS52">
        <f t="shared" si="312"/>
        <v>3</v>
      </c>
      <c r="HKT52">
        <f t="shared" si="312"/>
        <v>3</v>
      </c>
      <c r="HKU52">
        <f t="shared" si="312"/>
        <v>3</v>
      </c>
      <c r="HKV52">
        <f t="shared" si="312"/>
        <v>3</v>
      </c>
      <c r="HKW52">
        <f t="shared" si="312"/>
        <v>3</v>
      </c>
      <c r="HKX52">
        <f t="shared" si="312"/>
        <v>3</v>
      </c>
      <c r="HKY52">
        <f t="shared" si="312"/>
        <v>3</v>
      </c>
      <c r="HKZ52">
        <f t="shared" si="312"/>
        <v>3</v>
      </c>
      <c r="HLA52">
        <f t="shared" si="312"/>
        <v>3</v>
      </c>
      <c r="HLB52">
        <f t="shared" si="312"/>
        <v>3</v>
      </c>
      <c r="HLC52">
        <f t="shared" si="312"/>
        <v>3</v>
      </c>
      <c r="HLD52">
        <f t="shared" si="312"/>
        <v>3</v>
      </c>
      <c r="HLE52">
        <f t="shared" si="312"/>
        <v>3</v>
      </c>
      <c r="HLF52">
        <f t="shared" si="312"/>
        <v>3</v>
      </c>
      <c r="HLG52">
        <f t="shared" si="312"/>
        <v>3</v>
      </c>
      <c r="HLH52">
        <f t="shared" si="312"/>
        <v>3</v>
      </c>
      <c r="HLI52">
        <f t="shared" si="312"/>
        <v>3</v>
      </c>
      <c r="HLJ52">
        <f t="shared" si="312"/>
        <v>3</v>
      </c>
      <c r="HLK52">
        <f t="shared" si="312"/>
        <v>3</v>
      </c>
      <c r="HLL52">
        <f t="shared" si="312"/>
        <v>3</v>
      </c>
      <c r="HLM52">
        <f t="shared" si="312"/>
        <v>3</v>
      </c>
      <c r="HLN52">
        <f t="shared" si="312"/>
        <v>3</v>
      </c>
      <c r="HLO52">
        <f t="shared" ref="HLO52:HNZ52" si="313">COUNTBLANK(HLO2:HLO5)</f>
        <v>3</v>
      </c>
      <c r="HLP52">
        <f t="shared" si="313"/>
        <v>3</v>
      </c>
      <c r="HLQ52">
        <f t="shared" si="313"/>
        <v>3</v>
      </c>
      <c r="HLR52">
        <f t="shared" si="313"/>
        <v>3</v>
      </c>
      <c r="HLS52">
        <f t="shared" si="313"/>
        <v>3</v>
      </c>
      <c r="HLT52">
        <f t="shared" si="313"/>
        <v>3</v>
      </c>
      <c r="HLU52">
        <f t="shared" si="313"/>
        <v>3</v>
      </c>
      <c r="HLV52">
        <f t="shared" si="313"/>
        <v>3</v>
      </c>
      <c r="HLW52">
        <f t="shared" si="313"/>
        <v>3</v>
      </c>
      <c r="HLX52">
        <f t="shared" si="313"/>
        <v>3</v>
      </c>
      <c r="HLY52">
        <f t="shared" si="313"/>
        <v>3</v>
      </c>
      <c r="HLZ52">
        <f t="shared" si="313"/>
        <v>3</v>
      </c>
      <c r="HMA52">
        <f t="shared" si="313"/>
        <v>3</v>
      </c>
      <c r="HMB52">
        <f t="shared" si="313"/>
        <v>3</v>
      </c>
      <c r="HMC52">
        <f t="shared" si="313"/>
        <v>3</v>
      </c>
      <c r="HMD52">
        <f t="shared" si="313"/>
        <v>3</v>
      </c>
      <c r="HME52">
        <f t="shared" si="313"/>
        <v>3</v>
      </c>
      <c r="HMF52">
        <f t="shared" si="313"/>
        <v>3</v>
      </c>
      <c r="HMG52">
        <f t="shared" si="313"/>
        <v>3</v>
      </c>
      <c r="HMH52">
        <f t="shared" si="313"/>
        <v>3</v>
      </c>
      <c r="HMI52">
        <f t="shared" si="313"/>
        <v>3</v>
      </c>
      <c r="HMJ52">
        <f t="shared" si="313"/>
        <v>3</v>
      </c>
      <c r="HMK52">
        <f t="shared" si="313"/>
        <v>3</v>
      </c>
      <c r="HML52">
        <f t="shared" si="313"/>
        <v>3</v>
      </c>
      <c r="HMM52">
        <f t="shared" si="313"/>
        <v>3</v>
      </c>
      <c r="HMN52">
        <f t="shared" si="313"/>
        <v>3</v>
      </c>
      <c r="HMO52">
        <f t="shared" si="313"/>
        <v>3</v>
      </c>
      <c r="HMP52">
        <f t="shared" si="313"/>
        <v>3</v>
      </c>
      <c r="HMQ52">
        <f t="shared" si="313"/>
        <v>3</v>
      </c>
      <c r="HMR52">
        <f t="shared" si="313"/>
        <v>3</v>
      </c>
      <c r="HMS52">
        <f t="shared" si="313"/>
        <v>3</v>
      </c>
      <c r="HMT52">
        <f t="shared" si="313"/>
        <v>3</v>
      </c>
      <c r="HMU52">
        <f t="shared" si="313"/>
        <v>3</v>
      </c>
      <c r="HMV52">
        <f t="shared" si="313"/>
        <v>3</v>
      </c>
      <c r="HMW52">
        <f t="shared" si="313"/>
        <v>3</v>
      </c>
      <c r="HMX52">
        <f t="shared" si="313"/>
        <v>3</v>
      </c>
      <c r="HMY52">
        <f t="shared" si="313"/>
        <v>3</v>
      </c>
      <c r="HMZ52">
        <f t="shared" si="313"/>
        <v>3</v>
      </c>
      <c r="HNA52">
        <f t="shared" si="313"/>
        <v>3</v>
      </c>
      <c r="HNB52">
        <f t="shared" si="313"/>
        <v>3</v>
      </c>
      <c r="HNC52">
        <f t="shared" si="313"/>
        <v>3</v>
      </c>
      <c r="HND52">
        <f t="shared" si="313"/>
        <v>3</v>
      </c>
      <c r="HNE52">
        <f t="shared" si="313"/>
        <v>3</v>
      </c>
      <c r="HNF52">
        <f t="shared" si="313"/>
        <v>3</v>
      </c>
      <c r="HNG52">
        <f t="shared" si="313"/>
        <v>3</v>
      </c>
      <c r="HNH52">
        <f t="shared" si="313"/>
        <v>3</v>
      </c>
      <c r="HNI52">
        <f t="shared" si="313"/>
        <v>3</v>
      </c>
      <c r="HNJ52">
        <f t="shared" si="313"/>
        <v>3</v>
      </c>
      <c r="HNK52">
        <f t="shared" si="313"/>
        <v>3</v>
      </c>
      <c r="HNL52">
        <f t="shared" si="313"/>
        <v>3</v>
      </c>
      <c r="HNM52">
        <f t="shared" si="313"/>
        <v>3</v>
      </c>
      <c r="HNN52">
        <f t="shared" si="313"/>
        <v>3</v>
      </c>
      <c r="HNO52">
        <f t="shared" si="313"/>
        <v>3</v>
      </c>
      <c r="HNP52">
        <f t="shared" si="313"/>
        <v>3</v>
      </c>
      <c r="HNQ52">
        <f t="shared" si="313"/>
        <v>3</v>
      </c>
      <c r="HNR52">
        <f t="shared" si="313"/>
        <v>3</v>
      </c>
      <c r="HNS52">
        <f t="shared" si="313"/>
        <v>3</v>
      </c>
      <c r="HNT52">
        <f t="shared" si="313"/>
        <v>3</v>
      </c>
      <c r="HNU52">
        <f t="shared" si="313"/>
        <v>3</v>
      </c>
      <c r="HNV52">
        <f t="shared" si="313"/>
        <v>3</v>
      </c>
      <c r="HNW52">
        <f t="shared" si="313"/>
        <v>3</v>
      </c>
      <c r="HNX52">
        <f t="shared" si="313"/>
        <v>3</v>
      </c>
      <c r="HNY52">
        <f t="shared" si="313"/>
        <v>3</v>
      </c>
      <c r="HNZ52">
        <f t="shared" si="313"/>
        <v>3</v>
      </c>
      <c r="HOA52">
        <f t="shared" ref="HOA52:HQL52" si="314">COUNTBLANK(HOA2:HOA5)</f>
        <v>3</v>
      </c>
      <c r="HOB52">
        <f t="shared" si="314"/>
        <v>3</v>
      </c>
      <c r="HOC52">
        <f t="shared" si="314"/>
        <v>3</v>
      </c>
      <c r="HOD52">
        <f t="shared" si="314"/>
        <v>3</v>
      </c>
      <c r="HOE52">
        <f t="shared" si="314"/>
        <v>3</v>
      </c>
      <c r="HOF52">
        <f t="shared" si="314"/>
        <v>3</v>
      </c>
      <c r="HOG52">
        <f t="shared" si="314"/>
        <v>3</v>
      </c>
      <c r="HOH52">
        <f t="shared" si="314"/>
        <v>3</v>
      </c>
      <c r="HOI52">
        <f t="shared" si="314"/>
        <v>3</v>
      </c>
      <c r="HOJ52">
        <f t="shared" si="314"/>
        <v>3</v>
      </c>
      <c r="HOK52">
        <f t="shared" si="314"/>
        <v>3</v>
      </c>
      <c r="HOL52">
        <f t="shared" si="314"/>
        <v>3</v>
      </c>
      <c r="HOM52">
        <f t="shared" si="314"/>
        <v>3</v>
      </c>
      <c r="HON52">
        <f t="shared" si="314"/>
        <v>3</v>
      </c>
      <c r="HOO52">
        <f t="shared" si="314"/>
        <v>3</v>
      </c>
      <c r="HOP52">
        <f t="shared" si="314"/>
        <v>3</v>
      </c>
      <c r="HOQ52">
        <f t="shared" si="314"/>
        <v>3</v>
      </c>
      <c r="HOR52">
        <f t="shared" si="314"/>
        <v>3</v>
      </c>
      <c r="HOS52">
        <f t="shared" si="314"/>
        <v>3</v>
      </c>
      <c r="HOT52">
        <f t="shared" si="314"/>
        <v>3</v>
      </c>
      <c r="HOU52">
        <f t="shared" si="314"/>
        <v>3</v>
      </c>
      <c r="HOV52">
        <f t="shared" si="314"/>
        <v>3</v>
      </c>
      <c r="HOW52">
        <f t="shared" si="314"/>
        <v>3</v>
      </c>
      <c r="HOX52">
        <f t="shared" si="314"/>
        <v>3</v>
      </c>
      <c r="HOY52">
        <f t="shared" si="314"/>
        <v>3</v>
      </c>
      <c r="HOZ52">
        <f t="shared" si="314"/>
        <v>3</v>
      </c>
      <c r="HPA52">
        <f t="shared" si="314"/>
        <v>3</v>
      </c>
      <c r="HPB52">
        <f t="shared" si="314"/>
        <v>3</v>
      </c>
      <c r="HPC52">
        <f t="shared" si="314"/>
        <v>3</v>
      </c>
      <c r="HPD52">
        <f t="shared" si="314"/>
        <v>3</v>
      </c>
      <c r="HPE52">
        <f t="shared" si="314"/>
        <v>3</v>
      </c>
      <c r="HPF52">
        <f t="shared" si="314"/>
        <v>3</v>
      </c>
      <c r="HPG52">
        <f t="shared" si="314"/>
        <v>3</v>
      </c>
      <c r="HPH52">
        <f t="shared" si="314"/>
        <v>3</v>
      </c>
      <c r="HPI52">
        <f t="shared" si="314"/>
        <v>3</v>
      </c>
      <c r="HPJ52">
        <f t="shared" si="314"/>
        <v>3</v>
      </c>
      <c r="HPK52">
        <f t="shared" si="314"/>
        <v>3</v>
      </c>
      <c r="HPL52">
        <f t="shared" si="314"/>
        <v>3</v>
      </c>
      <c r="HPM52">
        <f t="shared" si="314"/>
        <v>3</v>
      </c>
      <c r="HPN52">
        <f t="shared" si="314"/>
        <v>3</v>
      </c>
      <c r="HPO52">
        <f t="shared" si="314"/>
        <v>3</v>
      </c>
      <c r="HPP52">
        <f t="shared" si="314"/>
        <v>3</v>
      </c>
      <c r="HPQ52">
        <f t="shared" si="314"/>
        <v>3</v>
      </c>
      <c r="HPR52">
        <f t="shared" si="314"/>
        <v>3</v>
      </c>
      <c r="HPS52">
        <f t="shared" si="314"/>
        <v>3</v>
      </c>
      <c r="HPT52">
        <f t="shared" si="314"/>
        <v>3</v>
      </c>
      <c r="HPU52">
        <f t="shared" si="314"/>
        <v>3</v>
      </c>
      <c r="HPV52">
        <f t="shared" si="314"/>
        <v>3</v>
      </c>
      <c r="HPW52">
        <f t="shared" si="314"/>
        <v>3</v>
      </c>
      <c r="HPX52">
        <f t="shared" si="314"/>
        <v>3</v>
      </c>
      <c r="HPY52">
        <f t="shared" si="314"/>
        <v>3</v>
      </c>
      <c r="HPZ52">
        <f t="shared" si="314"/>
        <v>3</v>
      </c>
      <c r="HQA52">
        <f t="shared" si="314"/>
        <v>3</v>
      </c>
      <c r="HQB52">
        <f t="shared" si="314"/>
        <v>3</v>
      </c>
      <c r="HQC52">
        <f t="shared" si="314"/>
        <v>3</v>
      </c>
      <c r="HQD52">
        <f t="shared" si="314"/>
        <v>3</v>
      </c>
      <c r="HQE52">
        <f t="shared" si="314"/>
        <v>3</v>
      </c>
      <c r="HQF52">
        <f t="shared" si="314"/>
        <v>3</v>
      </c>
      <c r="HQG52">
        <f t="shared" si="314"/>
        <v>3</v>
      </c>
      <c r="HQH52">
        <f t="shared" si="314"/>
        <v>3</v>
      </c>
      <c r="HQI52">
        <f t="shared" si="314"/>
        <v>3</v>
      </c>
      <c r="HQJ52">
        <f t="shared" si="314"/>
        <v>3</v>
      </c>
      <c r="HQK52">
        <f t="shared" si="314"/>
        <v>3</v>
      </c>
      <c r="HQL52">
        <f t="shared" si="314"/>
        <v>3</v>
      </c>
      <c r="HQM52">
        <f t="shared" ref="HQM52:HSX52" si="315">COUNTBLANK(HQM2:HQM5)</f>
        <v>3</v>
      </c>
      <c r="HQN52">
        <f t="shared" si="315"/>
        <v>3</v>
      </c>
      <c r="HQO52">
        <f t="shared" si="315"/>
        <v>3</v>
      </c>
      <c r="HQP52">
        <f t="shared" si="315"/>
        <v>3</v>
      </c>
      <c r="HQQ52">
        <f t="shared" si="315"/>
        <v>3</v>
      </c>
      <c r="HQR52">
        <f t="shared" si="315"/>
        <v>3</v>
      </c>
      <c r="HQS52">
        <f t="shared" si="315"/>
        <v>3</v>
      </c>
      <c r="HQT52">
        <f t="shared" si="315"/>
        <v>3</v>
      </c>
      <c r="HQU52">
        <f t="shared" si="315"/>
        <v>3</v>
      </c>
      <c r="HQV52">
        <f t="shared" si="315"/>
        <v>3</v>
      </c>
      <c r="HQW52">
        <f t="shared" si="315"/>
        <v>3</v>
      </c>
      <c r="HQX52">
        <f t="shared" si="315"/>
        <v>3</v>
      </c>
      <c r="HQY52">
        <f t="shared" si="315"/>
        <v>3</v>
      </c>
      <c r="HQZ52">
        <f t="shared" si="315"/>
        <v>3</v>
      </c>
      <c r="HRA52">
        <f t="shared" si="315"/>
        <v>3</v>
      </c>
      <c r="HRB52">
        <f t="shared" si="315"/>
        <v>3</v>
      </c>
      <c r="HRC52">
        <f t="shared" si="315"/>
        <v>3</v>
      </c>
      <c r="HRD52">
        <f t="shared" si="315"/>
        <v>3</v>
      </c>
      <c r="HRE52">
        <f t="shared" si="315"/>
        <v>3</v>
      </c>
      <c r="HRF52">
        <f t="shared" si="315"/>
        <v>3</v>
      </c>
      <c r="HRG52">
        <f t="shared" si="315"/>
        <v>3</v>
      </c>
      <c r="HRH52">
        <f t="shared" si="315"/>
        <v>3</v>
      </c>
      <c r="HRI52">
        <f t="shared" si="315"/>
        <v>3</v>
      </c>
      <c r="HRJ52">
        <f t="shared" si="315"/>
        <v>3</v>
      </c>
      <c r="HRK52">
        <f t="shared" si="315"/>
        <v>3</v>
      </c>
      <c r="HRL52">
        <f t="shared" si="315"/>
        <v>3</v>
      </c>
      <c r="HRM52">
        <f t="shared" si="315"/>
        <v>3</v>
      </c>
      <c r="HRN52">
        <f t="shared" si="315"/>
        <v>3</v>
      </c>
      <c r="HRO52">
        <f t="shared" si="315"/>
        <v>3</v>
      </c>
      <c r="HRP52">
        <f t="shared" si="315"/>
        <v>3</v>
      </c>
      <c r="HRQ52">
        <f t="shared" si="315"/>
        <v>3</v>
      </c>
      <c r="HRR52">
        <f t="shared" si="315"/>
        <v>3</v>
      </c>
      <c r="HRS52">
        <f t="shared" si="315"/>
        <v>3</v>
      </c>
      <c r="HRT52">
        <f t="shared" si="315"/>
        <v>3</v>
      </c>
      <c r="HRU52">
        <f t="shared" si="315"/>
        <v>3</v>
      </c>
      <c r="HRV52">
        <f t="shared" si="315"/>
        <v>3</v>
      </c>
      <c r="HRW52">
        <f t="shared" si="315"/>
        <v>3</v>
      </c>
      <c r="HRX52">
        <f t="shared" si="315"/>
        <v>3</v>
      </c>
      <c r="HRY52">
        <f t="shared" si="315"/>
        <v>3</v>
      </c>
      <c r="HRZ52">
        <f t="shared" si="315"/>
        <v>3</v>
      </c>
      <c r="HSA52">
        <f t="shared" si="315"/>
        <v>3</v>
      </c>
      <c r="HSB52">
        <f t="shared" si="315"/>
        <v>3</v>
      </c>
      <c r="HSC52">
        <f t="shared" si="315"/>
        <v>3</v>
      </c>
      <c r="HSD52">
        <f t="shared" si="315"/>
        <v>3</v>
      </c>
      <c r="HSE52">
        <f t="shared" si="315"/>
        <v>3</v>
      </c>
      <c r="HSF52">
        <f t="shared" si="315"/>
        <v>3</v>
      </c>
      <c r="HSG52">
        <f t="shared" si="315"/>
        <v>3</v>
      </c>
      <c r="HSH52">
        <f t="shared" si="315"/>
        <v>3</v>
      </c>
      <c r="HSI52">
        <f t="shared" si="315"/>
        <v>3</v>
      </c>
      <c r="HSJ52">
        <f t="shared" si="315"/>
        <v>3</v>
      </c>
      <c r="HSK52">
        <f t="shared" si="315"/>
        <v>3</v>
      </c>
      <c r="HSL52">
        <f t="shared" si="315"/>
        <v>3</v>
      </c>
      <c r="HSM52">
        <f t="shared" si="315"/>
        <v>3</v>
      </c>
      <c r="HSN52">
        <f t="shared" si="315"/>
        <v>3</v>
      </c>
      <c r="HSO52">
        <f t="shared" si="315"/>
        <v>3</v>
      </c>
      <c r="HSP52">
        <f t="shared" si="315"/>
        <v>3</v>
      </c>
      <c r="HSQ52">
        <f t="shared" si="315"/>
        <v>3</v>
      </c>
      <c r="HSR52">
        <f t="shared" si="315"/>
        <v>3</v>
      </c>
      <c r="HSS52">
        <f t="shared" si="315"/>
        <v>3</v>
      </c>
      <c r="HST52">
        <f t="shared" si="315"/>
        <v>3</v>
      </c>
      <c r="HSU52">
        <f t="shared" si="315"/>
        <v>3</v>
      </c>
      <c r="HSV52">
        <f t="shared" si="315"/>
        <v>3</v>
      </c>
      <c r="HSW52">
        <f t="shared" si="315"/>
        <v>3</v>
      </c>
      <c r="HSX52">
        <f t="shared" si="315"/>
        <v>3</v>
      </c>
      <c r="HSY52">
        <f t="shared" ref="HSY52:HVJ52" si="316">COUNTBLANK(HSY2:HSY5)</f>
        <v>3</v>
      </c>
      <c r="HSZ52">
        <f t="shared" si="316"/>
        <v>3</v>
      </c>
      <c r="HTA52">
        <f t="shared" si="316"/>
        <v>3</v>
      </c>
      <c r="HTB52">
        <f t="shared" si="316"/>
        <v>3</v>
      </c>
      <c r="HTC52">
        <f t="shared" si="316"/>
        <v>3</v>
      </c>
      <c r="HTD52">
        <f t="shared" si="316"/>
        <v>3</v>
      </c>
      <c r="HTE52">
        <f t="shared" si="316"/>
        <v>3</v>
      </c>
      <c r="HTF52">
        <f t="shared" si="316"/>
        <v>3</v>
      </c>
      <c r="HTG52">
        <f t="shared" si="316"/>
        <v>3</v>
      </c>
      <c r="HTH52">
        <f t="shared" si="316"/>
        <v>3</v>
      </c>
      <c r="HTI52">
        <f t="shared" si="316"/>
        <v>3</v>
      </c>
      <c r="HTJ52">
        <f t="shared" si="316"/>
        <v>3</v>
      </c>
      <c r="HTK52">
        <f t="shared" si="316"/>
        <v>3</v>
      </c>
      <c r="HTL52">
        <f t="shared" si="316"/>
        <v>3</v>
      </c>
      <c r="HTM52">
        <f t="shared" si="316"/>
        <v>3</v>
      </c>
      <c r="HTN52">
        <f t="shared" si="316"/>
        <v>3</v>
      </c>
      <c r="HTO52">
        <f t="shared" si="316"/>
        <v>3</v>
      </c>
      <c r="HTP52">
        <f t="shared" si="316"/>
        <v>3</v>
      </c>
      <c r="HTQ52">
        <f t="shared" si="316"/>
        <v>3</v>
      </c>
      <c r="HTR52">
        <f t="shared" si="316"/>
        <v>3</v>
      </c>
      <c r="HTS52">
        <f t="shared" si="316"/>
        <v>3</v>
      </c>
      <c r="HTT52">
        <f t="shared" si="316"/>
        <v>3</v>
      </c>
      <c r="HTU52">
        <f t="shared" si="316"/>
        <v>3</v>
      </c>
      <c r="HTV52">
        <f t="shared" si="316"/>
        <v>3</v>
      </c>
      <c r="HTW52">
        <f t="shared" si="316"/>
        <v>3</v>
      </c>
      <c r="HTX52">
        <f t="shared" si="316"/>
        <v>3</v>
      </c>
      <c r="HTY52">
        <f t="shared" si="316"/>
        <v>3</v>
      </c>
      <c r="HTZ52">
        <f t="shared" si="316"/>
        <v>3</v>
      </c>
      <c r="HUA52">
        <f t="shared" si="316"/>
        <v>3</v>
      </c>
      <c r="HUB52">
        <f t="shared" si="316"/>
        <v>3</v>
      </c>
      <c r="HUC52">
        <f t="shared" si="316"/>
        <v>3</v>
      </c>
      <c r="HUD52">
        <f t="shared" si="316"/>
        <v>3</v>
      </c>
      <c r="HUE52">
        <f t="shared" si="316"/>
        <v>3</v>
      </c>
      <c r="HUF52">
        <f t="shared" si="316"/>
        <v>3</v>
      </c>
      <c r="HUG52">
        <f t="shared" si="316"/>
        <v>3</v>
      </c>
      <c r="HUH52">
        <f t="shared" si="316"/>
        <v>3</v>
      </c>
      <c r="HUI52">
        <f t="shared" si="316"/>
        <v>3</v>
      </c>
      <c r="HUJ52">
        <f t="shared" si="316"/>
        <v>3</v>
      </c>
      <c r="HUK52">
        <f t="shared" si="316"/>
        <v>3</v>
      </c>
      <c r="HUL52">
        <f t="shared" si="316"/>
        <v>3</v>
      </c>
      <c r="HUM52">
        <f t="shared" si="316"/>
        <v>3</v>
      </c>
      <c r="HUN52">
        <f t="shared" si="316"/>
        <v>2</v>
      </c>
      <c r="HUO52">
        <f t="shared" si="316"/>
        <v>2</v>
      </c>
      <c r="HUP52">
        <f t="shared" si="316"/>
        <v>2</v>
      </c>
      <c r="HUQ52">
        <f t="shared" si="316"/>
        <v>2</v>
      </c>
      <c r="HUR52">
        <f t="shared" si="316"/>
        <v>2</v>
      </c>
      <c r="HUS52">
        <f t="shared" si="316"/>
        <v>2</v>
      </c>
      <c r="HUT52">
        <f t="shared" si="316"/>
        <v>2</v>
      </c>
      <c r="HUU52">
        <f t="shared" si="316"/>
        <v>2</v>
      </c>
      <c r="HUV52">
        <f t="shared" si="316"/>
        <v>2</v>
      </c>
      <c r="HUW52">
        <f t="shared" si="316"/>
        <v>2</v>
      </c>
      <c r="HUX52">
        <f t="shared" si="316"/>
        <v>2</v>
      </c>
      <c r="HUY52">
        <f t="shared" si="316"/>
        <v>2</v>
      </c>
      <c r="HUZ52">
        <f t="shared" si="316"/>
        <v>2</v>
      </c>
      <c r="HVA52">
        <f t="shared" si="316"/>
        <v>2</v>
      </c>
      <c r="HVB52">
        <f t="shared" si="316"/>
        <v>2</v>
      </c>
      <c r="HVC52">
        <f t="shared" si="316"/>
        <v>2</v>
      </c>
      <c r="HVD52">
        <f t="shared" si="316"/>
        <v>2</v>
      </c>
      <c r="HVE52">
        <f t="shared" si="316"/>
        <v>2</v>
      </c>
      <c r="HVF52">
        <f t="shared" si="316"/>
        <v>2</v>
      </c>
      <c r="HVG52">
        <f t="shared" si="316"/>
        <v>2</v>
      </c>
      <c r="HVH52">
        <f t="shared" si="316"/>
        <v>2</v>
      </c>
      <c r="HVI52">
        <f t="shared" si="316"/>
        <v>2</v>
      </c>
      <c r="HVJ52">
        <f t="shared" si="316"/>
        <v>2</v>
      </c>
      <c r="HVK52">
        <f t="shared" ref="HVK52:HXV52" si="317">COUNTBLANK(HVK2:HVK5)</f>
        <v>3</v>
      </c>
      <c r="HVL52">
        <f t="shared" si="317"/>
        <v>3</v>
      </c>
      <c r="HVM52">
        <f t="shared" si="317"/>
        <v>3</v>
      </c>
      <c r="HVN52">
        <f t="shared" si="317"/>
        <v>3</v>
      </c>
      <c r="HVO52">
        <f t="shared" si="317"/>
        <v>3</v>
      </c>
      <c r="HVP52">
        <f t="shared" si="317"/>
        <v>3</v>
      </c>
      <c r="HVQ52">
        <f t="shared" si="317"/>
        <v>3</v>
      </c>
      <c r="HVR52">
        <f t="shared" si="317"/>
        <v>3</v>
      </c>
      <c r="HVS52">
        <f t="shared" si="317"/>
        <v>3</v>
      </c>
      <c r="HVT52">
        <f t="shared" si="317"/>
        <v>3</v>
      </c>
      <c r="HVU52">
        <f t="shared" si="317"/>
        <v>3</v>
      </c>
      <c r="HVV52">
        <f t="shared" si="317"/>
        <v>3</v>
      </c>
      <c r="HVW52">
        <f t="shared" si="317"/>
        <v>3</v>
      </c>
      <c r="HVX52">
        <f t="shared" si="317"/>
        <v>3</v>
      </c>
      <c r="HVY52">
        <f t="shared" si="317"/>
        <v>3</v>
      </c>
      <c r="HVZ52">
        <f t="shared" si="317"/>
        <v>3</v>
      </c>
      <c r="HWA52">
        <f t="shared" si="317"/>
        <v>3</v>
      </c>
      <c r="HWB52">
        <f t="shared" si="317"/>
        <v>3</v>
      </c>
      <c r="HWC52">
        <f t="shared" si="317"/>
        <v>3</v>
      </c>
      <c r="HWD52">
        <f t="shared" si="317"/>
        <v>3</v>
      </c>
      <c r="HWE52">
        <f t="shared" si="317"/>
        <v>3</v>
      </c>
      <c r="HWF52">
        <f t="shared" si="317"/>
        <v>3</v>
      </c>
      <c r="HWG52">
        <f t="shared" si="317"/>
        <v>3</v>
      </c>
      <c r="HWH52">
        <f t="shared" si="317"/>
        <v>3</v>
      </c>
      <c r="HWI52">
        <f t="shared" si="317"/>
        <v>3</v>
      </c>
      <c r="HWJ52">
        <f t="shared" si="317"/>
        <v>3</v>
      </c>
      <c r="HWK52">
        <f t="shared" si="317"/>
        <v>3</v>
      </c>
      <c r="HWL52">
        <f t="shared" si="317"/>
        <v>3</v>
      </c>
      <c r="HWM52">
        <f t="shared" si="317"/>
        <v>3</v>
      </c>
      <c r="HWN52">
        <f t="shared" si="317"/>
        <v>3</v>
      </c>
      <c r="HWO52">
        <f t="shared" si="317"/>
        <v>3</v>
      </c>
      <c r="HWP52">
        <f t="shared" si="317"/>
        <v>3</v>
      </c>
      <c r="HWQ52">
        <f t="shared" si="317"/>
        <v>3</v>
      </c>
      <c r="HWR52">
        <f t="shared" si="317"/>
        <v>3</v>
      </c>
      <c r="HWS52">
        <f t="shared" si="317"/>
        <v>3</v>
      </c>
      <c r="HWT52">
        <f t="shared" si="317"/>
        <v>3</v>
      </c>
      <c r="HWU52">
        <f t="shared" si="317"/>
        <v>3</v>
      </c>
      <c r="HWV52">
        <f t="shared" si="317"/>
        <v>3</v>
      </c>
      <c r="HWW52">
        <f t="shared" si="317"/>
        <v>3</v>
      </c>
      <c r="HWX52">
        <f t="shared" si="317"/>
        <v>3</v>
      </c>
      <c r="HWY52">
        <f t="shared" si="317"/>
        <v>3</v>
      </c>
      <c r="HWZ52">
        <f t="shared" si="317"/>
        <v>3</v>
      </c>
      <c r="HXA52">
        <f t="shared" si="317"/>
        <v>3</v>
      </c>
      <c r="HXB52">
        <f t="shared" si="317"/>
        <v>3</v>
      </c>
      <c r="HXC52">
        <f t="shared" si="317"/>
        <v>3</v>
      </c>
      <c r="HXD52">
        <f t="shared" si="317"/>
        <v>3</v>
      </c>
      <c r="HXE52">
        <f t="shared" si="317"/>
        <v>3</v>
      </c>
      <c r="HXF52">
        <f t="shared" si="317"/>
        <v>3</v>
      </c>
      <c r="HXG52">
        <f t="shared" si="317"/>
        <v>3</v>
      </c>
      <c r="HXH52">
        <f t="shared" si="317"/>
        <v>3</v>
      </c>
      <c r="HXI52">
        <f t="shared" si="317"/>
        <v>3</v>
      </c>
      <c r="HXJ52">
        <f t="shared" si="317"/>
        <v>3</v>
      </c>
      <c r="HXK52">
        <f t="shared" si="317"/>
        <v>3</v>
      </c>
      <c r="HXL52">
        <f t="shared" si="317"/>
        <v>3</v>
      </c>
      <c r="HXM52">
        <f t="shared" si="317"/>
        <v>3</v>
      </c>
      <c r="HXN52">
        <f t="shared" si="317"/>
        <v>3</v>
      </c>
      <c r="HXO52">
        <f t="shared" si="317"/>
        <v>3</v>
      </c>
      <c r="HXP52">
        <f t="shared" si="317"/>
        <v>3</v>
      </c>
      <c r="HXQ52">
        <f t="shared" si="317"/>
        <v>3</v>
      </c>
      <c r="HXR52">
        <f t="shared" si="317"/>
        <v>3</v>
      </c>
      <c r="HXS52">
        <f t="shared" si="317"/>
        <v>3</v>
      </c>
      <c r="HXT52">
        <f t="shared" si="317"/>
        <v>3</v>
      </c>
      <c r="HXU52">
        <f t="shared" si="317"/>
        <v>3</v>
      </c>
      <c r="HXV52">
        <f t="shared" si="317"/>
        <v>3</v>
      </c>
      <c r="HXW52">
        <f t="shared" ref="HXW52:IAH52" si="318">COUNTBLANK(HXW2:HXW5)</f>
        <v>3</v>
      </c>
      <c r="HXX52">
        <f t="shared" si="318"/>
        <v>3</v>
      </c>
      <c r="HXY52">
        <f t="shared" si="318"/>
        <v>3</v>
      </c>
      <c r="HXZ52">
        <f t="shared" si="318"/>
        <v>3</v>
      </c>
      <c r="HYA52">
        <f t="shared" si="318"/>
        <v>3</v>
      </c>
      <c r="HYB52">
        <f t="shared" si="318"/>
        <v>3</v>
      </c>
      <c r="HYC52">
        <f t="shared" si="318"/>
        <v>3</v>
      </c>
      <c r="HYD52">
        <f t="shared" si="318"/>
        <v>3</v>
      </c>
      <c r="HYE52">
        <f t="shared" si="318"/>
        <v>3</v>
      </c>
      <c r="HYF52">
        <f t="shared" si="318"/>
        <v>3</v>
      </c>
      <c r="HYG52">
        <f t="shared" si="318"/>
        <v>3</v>
      </c>
      <c r="HYH52">
        <f t="shared" si="318"/>
        <v>3</v>
      </c>
      <c r="HYI52">
        <f t="shared" si="318"/>
        <v>3</v>
      </c>
      <c r="HYJ52">
        <f t="shared" si="318"/>
        <v>3</v>
      </c>
      <c r="HYK52">
        <f t="shared" si="318"/>
        <v>3</v>
      </c>
      <c r="HYL52">
        <f t="shared" si="318"/>
        <v>3</v>
      </c>
      <c r="HYM52">
        <f t="shared" si="318"/>
        <v>3</v>
      </c>
      <c r="HYN52">
        <f t="shared" si="318"/>
        <v>3</v>
      </c>
      <c r="HYO52">
        <f t="shared" si="318"/>
        <v>3</v>
      </c>
      <c r="HYP52">
        <f t="shared" si="318"/>
        <v>3</v>
      </c>
      <c r="HYQ52">
        <f t="shared" si="318"/>
        <v>3</v>
      </c>
      <c r="HYR52">
        <f t="shared" si="318"/>
        <v>3</v>
      </c>
      <c r="HYS52">
        <f t="shared" si="318"/>
        <v>3</v>
      </c>
      <c r="HYT52">
        <f t="shared" si="318"/>
        <v>3</v>
      </c>
      <c r="HYU52">
        <f t="shared" si="318"/>
        <v>3</v>
      </c>
      <c r="HYV52">
        <f t="shared" si="318"/>
        <v>3</v>
      </c>
      <c r="HYW52">
        <f t="shared" si="318"/>
        <v>3</v>
      </c>
      <c r="HYX52">
        <f t="shared" si="318"/>
        <v>3</v>
      </c>
      <c r="HYY52">
        <f t="shared" si="318"/>
        <v>3</v>
      </c>
      <c r="HYZ52">
        <f t="shared" si="318"/>
        <v>3</v>
      </c>
      <c r="HZA52">
        <f t="shared" si="318"/>
        <v>3</v>
      </c>
      <c r="HZB52">
        <f t="shared" si="318"/>
        <v>3</v>
      </c>
      <c r="HZC52">
        <f t="shared" si="318"/>
        <v>3</v>
      </c>
      <c r="HZD52">
        <f t="shared" si="318"/>
        <v>3</v>
      </c>
      <c r="HZE52">
        <f t="shared" si="318"/>
        <v>3</v>
      </c>
      <c r="HZF52">
        <f t="shared" si="318"/>
        <v>3</v>
      </c>
      <c r="HZG52">
        <f t="shared" si="318"/>
        <v>3</v>
      </c>
      <c r="HZH52">
        <f t="shared" si="318"/>
        <v>3</v>
      </c>
      <c r="HZI52">
        <f t="shared" si="318"/>
        <v>3</v>
      </c>
      <c r="HZJ52">
        <f t="shared" si="318"/>
        <v>3</v>
      </c>
      <c r="HZK52">
        <f t="shared" si="318"/>
        <v>3</v>
      </c>
      <c r="HZL52">
        <f t="shared" si="318"/>
        <v>3</v>
      </c>
      <c r="HZM52">
        <f t="shared" si="318"/>
        <v>3</v>
      </c>
      <c r="HZN52">
        <f t="shared" si="318"/>
        <v>3</v>
      </c>
      <c r="HZO52">
        <f t="shared" si="318"/>
        <v>3</v>
      </c>
      <c r="HZP52">
        <f t="shared" si="318"/>
        <v>3</v>
      </c>
      <c r="HZQ52">
        <f t="shared" si="318"/>
        <v>3</v>
      </c>
      <c r="HZR52">
        <f t="shared" si="318"/>
        <v>3</v>
      </c>
      <c r="HZS52">
        <f t="shared" si="318"/>
        <v>3</v>
      </c>
      <c r="HZT52">
        <f t="shared" si="318"/>
        <v>3</v>
      </c>
      <c r="HZU52">
        <f t="shared" si="318"/>
        <v>3</v>
      </c>
      <c r="HZV52">
        <f t="shared" si="318"/>
        <v>3</v>
      </c>
      <c r="HZW52">
        <f t="shared" si="318"/>
        <v>3</v>
      </c>
      <c r="HZX52">
        <f t="shared" si="318"/>
        <v>3</v>
      </c>
      <c r="HZY52">
        <f t="shared" si="318"/>
        <v>3</v>
      </c>
      <c r="HZZ52">
        <f t="shared" si="318"/>
        <v>3</v>
      </c>
      <c r="IAA52">
        <f t="shared" si="318"/>
        <v>3</v>
      </c>
      <c r="IAB52">
        <f t="shared" si="318"/>
        <v>3</v>
      </c>
      <c r="IAC52">
        <f t="shared" si="318"/>
        <v>3</v>
      </c>
      <c r="IAD52">
        <f t="shared" si="318"/>
        <v>3</v>
      </c>
      <c r="IAE52">
        <f t="shared" si="318"/>
        <v>3</v>
      </c>
      <c r="IAF52">
        <f t="shared" si="318"/>
        <v>3</v>
      </c>
      <c r="IAG52">
        <f t="shared" si="318"/>
        <v>3</v>
      </c>
      <c r="IAH52">
        <f t="shared" si="318"/>
        <v>3</v>
      </c>
      <c r="IAI52">
        <f t="shared" ref="IAI52:ICT52" si="319">COUNTBLANK(IAI2:IAI5)</f>
        <v>3</v>
      </c>
      <c r="IAJ52">
        <f t="shared" si="319"/>
        <v>3</v>
      </c>
      <c r="IAK52">
        <f t="shared" si="319"/>
        <v>3</v>
      </c>
      <c r="IAL52">
        <f t="shared" si="319"/>
        <v>3</v>
      </c>
      <c r="IAM52">
        <f t="shared" si="319"/>
        <v>3</v>
      </c>
      <c r="IAN52">
        <f t="shared" si="319"/>
        <v>3</v>
      </c>
      <c r="IAO52">
        <f t="shared" si="319"/>
        <v>3</v>
      </c>
      <c r="IAP52">
        <f t="shared" si="319"/>
        <v>3</v>
      </c>
      <c r="IAQ52">
        <f t="shared" si="319"/>
        <v>3</v>
      </c>
      <c r="IAR52">
        <f t="shared" si="319"/>
        <v>3</v>
      </c>
      <c r="IAS52">
        <f t="shared" si="319"/>
        <v>3</v>
      </c>
      <c r="IAT52">
        <f t="shared" si="319"/>
        <v>3</v>
      </c>
      <c r="IAU52">
        <f t="shared" si="319"/>
        <v>3</v>
      </c>
      <c r="IAV52">
        <f t="shared" si="319"/>
        <v>3</v>
      </c>
      <c r="IAW52">
        <f t="shared" si="319"/>
        <v>3</v>
      </c>
      <c r="IAX52">
        <f t="shared" si="319"/>
        <v>3</v>
      </c>
      <c r="IAY52">
        <f t="shared" si="319"/>
        <v>3</v>
      </c>
      <c r="IAZ52">
        <f t="shared" si="319"/>
        <v>3</v>
      </c>
      <c r="IBA52">
        <f t="shared" si="319"/>
        <v>3</v>
      </c>
      <c r="IBB52">
        <f t="shared" si="319"/>
        <v>3</v>
      </c>
      <c r="IBC52">
        <f t="shared" si="319"/>
        <v>3</v>
      </c>
      <c r="IBD52">
        <f t="shared" si="319"/>
        <v>3</v>
      </c>
      <c r="IBE52">
        <f t="shared" si="319"/>
        <v>3</v>
      </c>
      <c r="IBF52">
        <f t="shared" si="319"/>
        <v>3</v>
      </c>
      <c r="IBG52">
        <f t="shared" si="319"/>
        <v>3</v>
      </c>
      <c r="IBH52">
        <f t="shared" si="319"/>
        <v>3</v>
      </c>
      <c r="IBI52">
        <f t="shared" si="319"/>
        <v>3</v>
      </c>
      <c r="IBJ52">
        <f t="shared" si="319"/>
        <v>3</v>
      </c>
      <c r="IBK52">
        <f t="shared" si="319"/>
        <v>3</v>
      </c>
      <c r="IBL52">
        <f t="shared" si="319"/>
        <v>3</v>
      </c>
      <c r="IBM52">
        <f t="shared" si="319"/>
        <v>3</v>
      </c>
      <c r="IBN52">
        <f t="shared" si="319"/>
        <v>3</v>
      </c>
      <c r="IBO52">
        <f t="shared" si="319"/>
        <v>3</v>
      </c>
      <c r="IBP52">
        <f t="shared" si="319"/>
        <v>3</v>
      </c>
      <c r="IBQ52">
        <f t="shared" si="319"/>
        <v>3</v>
      </c>
      <c r="IBR52">
        <f t="shared" si="319"/>
        <v>3</v>
      </c>
      <c r="IBS52">
        <f t="shared" si="319"/>
        <v>3</v>
      </c>
      <c r="IBT52">
        <f t="shared" si="319"/>
        <v>3</v>
      </c>
      <c r="IBU52">
        <f t="shared" si="319"/>
        <v>3</v>
      </c>
      <c r="IBV52">
        <f t="shared" si="319"/>
        <v>3</v>
      </c>
      <c r="IBW52">
        <f t="shared" si="319"/>
        <v>3</v>
      </c>
      <c r="IBX52">
        <f t="shared" si="319"/>
        <v>3</v>
      </c>
      <c r="IBY52">
        <f t="shared" si="319"/>
        <v>3</v>
      </c>
      <c r="IBZ52">
        <f t="shared" si="319"/>
        <v>3</v>
      </c>
      <c r="ICA52">
        <f t="shared" si="319"/>
        <v>3</v>
      </c>
      <c r="ICB52">
        <f t="shared" si="319"/>
        <v>3</v>
      </c>
      <c r="ICC52">
        <f t="shared" si="319"/>
        <v>3</v>
      </c>
      <c r="ICD52">
        <f t="shared" si="319"/>
        <v>3</v>
      </c>
      <c r="ICE52">
        <f t="shared" si="319"/>
        <v>3</v>
      </c>
      <c r="ICF52">
        <f t="shared" si="319"/>
        <v>3</v>
      </c>
      <c r="ICG52">
        <f t="shared" si="319"/>
        <v>3</v>
      </c>
      <c r="ICH52">
        <f t="shared" si="319"/>
        <v>3</v>
      </c>
      <c r="ICI52">
        <f t="shared" si="319"/>
        <v>3</v>
      </c>
      <c r="ICJ52">
        <f t="shared" si="319"/>
        <v>3</v>
      </c>
      <c r="ICK52">
        <f t="shared" si="319"/>
        <v>3</v>
      </c>
      <c r="ICL52">
        <f t="shared" si="319"/>
        <v>3</v>
      </c>
      <c r="ICM52">
        <f t="shared" si="319"/>
        <v>3</v>
      </c>
      <c r="ICN52">
        <f t="shared" si="319"/>
        <v>3</v>
      </c>
      <c r="ICO52">
        <f t="shared" si="319"/>
        <v>3</v>
      </c>
      <c r="ICP52">
        <f t="shared" si="319"/>
        <v>3</v>
      </c>
      <c r="ICQ52">
        <f t="shared" si="319"/>
        <v>3</v>
      </c>
      <c r="ICR52">
        <f t="shared" si="319"/>
        <v>3</v>
      </c>
      <c r="ICS52">
        <f t="shared" si="319"/>
        <v>3</v>
      </c>
      <c r="ICT52">
        <f t="shared" si="319"/>
        <v>3</v>
      </c>
      <c r="ICU52">
        <f t="shared" ref="ICU52:IFF52" si="320">COUNTBLANK(ICU2:ICU5)</f>
        <v>3</v>
      </c>
      <c r="ICV52">
        <f t="shared" si="320"/>
        <v>3</v>
      </c>
      <c r="ICW52">
        <f t="shared" si="320"/>
        <v>3</v>
      </c>
      <c r="ICX52">
        <f t="shared" si="320"/>
        <v>3</v>
      </c>
      <c r="ICY52">
        <f t="shared" si="320"/>
        <v>3</v>
      </c>
      <c r="ICZ52">
        <f t="shared" si="320"/>
        <v>3</v>
      </c>
      <c r="IDA52">
        <f t="shared" si="320"/>
        <v>3</v>
      </c>
      <c r="IDB52">
        <f t="shared" si="320"/>
        <v>3</v>
      </c>
      <c r="IDC52">
        <f t="shared" si="320"/>
        <v>3</v>
      </c>
      <c r="IDD52">
        <f t="shared" si="320"/>
        <v>3</v>
      </c>
      <c r="IDE52">
        <f t="shared" si="320"/>
        <v>3</v>
      </c>
      <c r="IDF52">
        <f t="shared" si="320"/>
        <v>3</v>
      </c>
      <c r="IDG52">
        <f t="shared" si="320"/>
        <v>3</v>
      </c>
      <c r="IDH52">
        <f t="shared" si="320"/>
        <v>3</v>
      </c>
      <c r="IDI52">
        <f t="shared" si="320"/>
        <v>3</v>
      </c>
      <c r="IDJ52">
        <f t="shared" si="320"/>
        <v>3</v>
      </c>
      <c r="IDK52">
        <f t="shared" si="320"/>
        <v>3</v>
      </c>
      <c r="IDL52">
        <f t="shared" si="320"/>
        <v>3</v>
      </c>
      <c r="IDM52">
        <f t="shared" si="320"/>
        <v>3</v>
      </c>
      <c r="IDN52">
        <f t="shared" si="320"/>
        <v>3</v>
      </c>
      <c r="IDO52">
        <f t="shared" si="320"/>
        <v>3</v>
      </c>
      <c r="IDP52">
        <f t="shared" si="320"/>
        <v>3</v>
      </c>
      <c r="IDQ52">
        <f t="shared" si="320"/>
        <v>3</v>
      </c>
      <c r="IDR52">
        <f t="shared" si="320"/>
        <v>3</v>
      </c>
      <c r="IDS52">
        <f t="shared" si="320"/>
        <v>3</v>
      </c>
      <c r="IDT52">
        <f t="shared" si="320"/>
        <v>3</v>
      </c>
      <c r="IDU52">
        <f t="shared" si="320"/>
        <v>3</v>
      </c>
      <c r="IDV52">
        <f t="shared" si="320"/>
        <v>3</v>
      </c>
      <c r="IDW52">
        <f t="shared" si="320"/>
        <v>3</v>
      </c>
      <c r="IDX52">
        <f t="shared" si="320"/>
        <v>3</v>
      </c>
      <c r="IDY52">
        <f t="shared" si="320"/>
        <v>3</v>
      </c>
      <c r="IDZ52">
        <f t="shared" si="320"/>
        <v>3</v>
      </c>
      <c r="IEA52">
        <f t="shared" si="320"/>
        <v>3</v>
      </c>
      <c r="IEB52">
        <f t="shared" si="320"/>
        <v>3</v>
      </c>
      <c r="IEC52">
        <f t="shared" si="320"/>
        <v>3</v>
      </c>
      <c r="IED52">
        <f t="shared" si="320"/>
        <v>3</v>
      </c>
      <c r="IEE52">
        <f t="shared" si="320"/>
        <v>3</v>
      </c>
      <c r="IEF52">
        <f t="shared" si="320"/>
        <v>3</v>
      </c>
      <c r="IEG52">
        <f t="shared" si="320"/>
        <v>3</v>
      </c>
      <c r="IEH52">
        <f t="shared" si="320"/>
        <v>3</v>
      </c>
      <c r="IEI52">
        <f t="shared" si="320"/>
        <v>3</v>
      </c>
      <c r="IEJ52">
        <f t="shared" si="320"/>
        <v>3</v>
      </c>
      <c r="IEK52">
        <f t="shared" si="320"/>
        <v>3</v>
      </c>
      <c r="IEL52">
        <f t="shared" si="320"/>
        <v>3</v>
      </c>
      <c r="IEM52">
        <f t="shared" si="320"/>
        <v>3</v>
      </c>
      <c r="IEN52">
        <f t="shared" si="320"/>
        <v>3</v>
      </c>
      <c r="IEO52">
        <f t="shared" si="320"/>
        <v>3</v>
      </c>
      <c r="IEP52">
        <f t="shared" si="320"/>
        <v>3</v>
      </c>
      <c r="IEQ52">
        <f t="shared" si="320"/>
        <v>3</v>
      </c>
      <c r="IER52">
        <f t="shared" si="320"/>
        <v>3</v>
      </c>
      <c r="IES52">
        <f t="shared" si="320"/>
        <v>3</v>
      </c>
      <c r="IET52">
        <f t="shared" si="320"/>
        <v>3</v>
      </c>
      <c r="IEU52">
        <f t="shared" si="320"/>
        <v>3</v>
      </c>
      <c r="IEV52">
        <f t="shared" si="320"/>
        <v>3</v>
      </c>
      <c r="IEW52">
        <f t="shared" si="320"/>
        <v>3</v>
      </c>
      <c r="IEX52">
        <f t="shared" si="320"/>
        <v>3</v>
      </c>
      <c r="IEY52">
        <f t="shared" si="320"/>
        <v>3</v>
      </c>
      <c r="IEZ52">
        <f t="shared" si="320"/>
        <v>3</v>
      </c>
      <c r="IFA52">
        <f t="shared" si="320"/>
        <v>3</v>
      </c>
      <c r="IFB52">
        <f t="shared" si="320"/>
        <v>3</v>
      </c>
      <c r="IFC52">
        <f t="shared" si="320"/>
        <v>3</v>
      </c>
      <c r="IFD52">
        <f t="shared" si="320"/>
        <v>3</v>
      </c>
      <c r="IFE52">
        <f t="shared" si="320"/>
        <v>3</v>
      </c>
      <c r="IFF52">
        <f t="shared" si="320"/>
        <v>3</v>
      </c>
      <c r="IFG52">
        <f t="shared" ref="IFG52:IHR52" si="321">COUNTBLANK(IFG2:IFG5)</f>
        <v>3</v>
      </c>
      <c r="IFH52">
        <f t="shared" si="321"/>
        <v>3</v>
      </c>
      <c r="IFI52">
        <f t="shared" si="321"/>
        <v>3</v>
      </c>
      <c r="IFJ52">
        <f t="shared" si="321"/>
        <v>3</v>
      </c>
      <c r="IFK52">
        <f t="shared" si="321"/>
        <v>3</v>
      </c>
      <c r="IFL52">
        <f t="shared" si="321"/>
        <v>3</v>
      </c>
      <c r="IFM52">
        <f t="shared" si="321"/>
        <v>3</v>
      </c>
      <c r="IFN52">
        <f t="shared" si="321"/>
        <v>3</v>
      </c>
      <c r="IFO52">
        <f t="shared" si="321"/>
        <v>3</v>
      </c>
      <c r="IFP52">
        <f t="shared" si="321"/>
        <v>3</v>
      </c>
      <c r="IFQ52">
        <f t="shared" si="321"/>
        <v>3</v>
      </c>
      <c r="IFR52">
        <f t="shared" si="321"/>
        <v>3</v>
      </c>
      <c r="IFS52">
        <f t="shared" si="321"/>
        <v>3</v>
      </c>
      <c r="IFT52">
        <f t="shared" si="321"/>
        <v>3</v>
      </c>
      <c r="IFU52">
        <f t="shared" si="321"/>
        <v>3</v>
      </c>
      <c r="IFV52">
        <f t="shared" si="321"/>
        <v>3</v>
      </c>
      <c r="IFW52">
        <f t="shared" si="321"/>
        <v>3</v>
      </c>
      <c r="IFX52">
        <f t="shared" si="321"/>
        <v>3</v>
      </c>
      <c r="IFY52">
        <f t="shared" si="321"/>
        <v>3</v>
      </c>
      <c r="IFZ52">
        <f t="shared" si="321"/>
        <v>3</v>
      </c>
      <c r="IGA52">
        <f t="shared" si="321"/>
        <v>3</v>
      </c>
      <c r="IGB52">
        <f t="shared" si="321"/>
        <v>3</v>
      </c>
      <c r="IGC52">
        <f t="shared" si="321"/>
        <v>3</v>
      </c>
      <c r="IGD52">
        <f t="shared" si="321"/>
        <v>3</v>
      </c>
      <c r="IGE52">
        <f t="shared" si="321"/>
        <v>3</v>
      </c>
      <c r="IGF52">
        <f t="shared" si="321"/>
        <v>3</v>
      </c>
      <c r="IGG52">
        <f t="shared" si="321"/>
        <v>3</v>
      </c>
      <c r="IGH52">
        <f t="shared" si="321"/>
        <v>3</v>
      </c>
      <c r="IGI52">
        <f t="shared" si="321"/>
        <v>3</v>
      </c>
      <c r="IGJ52">
        <f t="shared" si="321"/>
        <v>3</v>
      </c>
      <c r="IGK52">
        <f t="shared" si="321"/>
        <v>3</v>
      </c>
      <c r="IGL52">
        <f t="shared" si="321"/>
        <v>2</v>
      </c>
      <c r="IGM52">
        <f t="shared" si="321"/>
        <v>2</v>
      </c>
      <c r="IGN52">
        <f t="shared" si="321"/>
        <v>2</v>
      </c>
      <c r="IGO52">
        <f t="shared" si="321"/>
        <v>2</v>
      </c>
      <c r="IGP52">
        <f t="shared" si="321"/>
        <v>2</v>
      </c>
      <c r="IGQ52">
        <f t="shared" si="321"/>
        <v>2</v>
      </c>
      <c r="IGR52">
        <f t="shared" si="321"/>
        <v>2</v>
      </c>
      <c r="IGS52">
        <f t="shared" si="321"/>
        <v>2</v>
      </c>
      <c r="IGT52">
        <f t="shared" si="321"/>
        <v>2</v>
      </c>
      <c r="IGU52">
        <f t="shared" si="321"/>
        <v>3</v>
      </c>
      <c r="IGV52">
        <f t="shared" si="321"/>
        <v>3</v>
      </c>
      <c r="IGW52">
        <f t="shared" si="321"/>
        <v>3</v>
      </c>
      <c r="IGX52">
        <f t="shared" si="321"/>
        <v>3</v>
      </c>
      <c r="IGY52">
        <f t="shared" si="321"/>
        <v>3</v>
      </c>
      <c r="IGZ52">
        <f t="shared" si="321"/>
        <v>3</v>
      </c>
      <c r="IHA52">
        <f t="shared" si="321"/>
        <v>3</v>
      </c>
      <c r="IHB52">
        <f t="shared" si="321"/>
        <v>3</v>
      </c>
      <c r="IHC52">
        <f t="shared" si="321"/>
        <v>3</v>
      </c>
      <c r="IHD52">
        <f t="shared" si="321"/>
        <v>3</v>
      </c>
      <c r="IHE52">
        <f t="shared" si="321"/>
        <v>3</v>
      </c>
      <c r="IHF52">
        <f t="shared" si="321"/>
        <v>3</v>
      </c>
      <c r="IHG52">
        <f t="shared" si="321"/>
        <v>3</v>
      </c>
      <c r="IHH52">
        <f t="shared" si="321"/>
        <v>3</v>
      </c>
      <c r="IHI52">
        <f t="shared" si="321"/>
        <v>3</v>
      </c>
      <c r="IHJ52">
        <f t="shared" si="321"/>
        <v>3</v>
      </c>
      <c r="IHK52">
        <f t="shared" si="321"/>
        <v>3</v>
      </c>
      <c r="IHL52">
        <f t="shared" si="321"/>
        <v>3</v>
      </c>
      <c r="IHM52">
        <f t="shared" si="321"/>
        <v>3</v>
      </c>
      <c r="IHN52">
        <f t="shared" si="321"/>
        <v>3</v>
      </c>
      <c r="IHO52">
        <f t="shared" si="321"/>
        <v>3</v>
      </c>
      <c r="IHP52">
        <f t="shared" si="321"/>
        <v>3</v>
      </c>
      <c r="IHQ52">
        <f t="shared" si="321"/>
        <v>3</v>
      </c>
      <c r="IHR52">
        <f t="shared" si="321"/>
        <v>3</v>
      </c>
      <c r="IHS52">
        <f t="shared" ref="IHS52:IKD52" si="322">COUNTBLANK(IHS2:IHS5)</f>
        <v>3</v>
      </c>
      <c r="IHT52">
        <f t="shared" si="322"/>
        <v>3</v>
      </c>
      <c r="IHU52">
        <f t="shared" si="322"/>
        <v>3</v>
      </c>
      <c r="IHV52">
        <f t="shared" si="322"/>
        <v>3</v>
      </c>
      <c r="IHW52">
        <f t="shared" si="322"/>
        <v>3</v>
      </c>
      <c r="IHX52">
        <f t="shared" si="322"/>
        <v>3</v>
      </c>
      <c r="IHY52">
        <f t="shared" si="322"/>
        <v>3</v>
      </c>
      <c r="IHZ52">
        <f t="shared" si="322"/>
        <v>3</v>
      </c>
      <c r="IIA52">
        <f t="shared" si="322"/>
        <v>3</v>
      </c>
      <c r="IIB52">
        <f t="shared" si="322"/>
        <v>3</v>
      </c>
      <c r="IIC52">
        <f t="shared" si="322"/>
        <v>3</v>
      </c>
      <c r="IID52">
        <f t="shared" si="322"/>
        <v>3</v>
      </c>
      <c r="IIE52">
        <f t="shared" si="322"/>
        <v>3</v>
      </c>
      <c r="IIF52">
        <f t="shared" si="322"/>
        <v>3</v>
      </c>
      <c r="IIG52">
        <f t="shared" si="322"/>
        <v>3</v>
      </c>
      <c r="IIH52">
        <f t="shared" si="322"/>
        <v>3</v>
      </c>
      <c r="III52">
        <f t="shared" si="322"/>
        <v>3</v>
      </c>
      <c r="IIJ52">
        <f t="shared" si="322"/>
        <v>3</v>
      </c>
      <c r="IIK52">
        <f t="shared" si="322"/>
        <v>3</v>
      </c>
      <c r="IIL52">
        <f t="shared" si="322"/>
        <v>3</v>
      </c>
      <c r="IIM52">
        <f t="shared" si="322"/>
        <v>3</v>
      </c>
      <c r="IIN52">
        <f t="shared" si="322"/>
        <v>3</v>
      </c>
      <c r="IIO52">
        <f t="shared" si="322"/>
        <v>3</v>
      </c>
      <c r="IIP52">
        <f t="shared" si="322"/>
        <v>3</v>
      </c>
      <c r="IIQ52">
        <f t="shared" si="322"/>
        <v>3</v>
      </c>
      <c r="IIR52">
        <f t="shared" si="322"/>
        <v>3</v>
      </c>
      <c r="IIS52">
        <f t="shared" si="322"/>
        <v>3</v>
      </c>
      <c r="IIT52">
        <f t="shared" si="322"/>
        <v>3</v>
      </c>
      <c r="IIU52">
        <f t="shared" si="322"/>
        <v>3</v>
      </c>
      <c r="IIV52">
        <f t="shared" si="322"/>
        <v>3</v>
      </c>
      <c r="IIW52">
        <f t="shared" si="322"/>
        <v>3</v>
      </c>
      <c r="IIX52">
        <f t="shared" si="322"/>
        <v>3</v>
      </c>
      <c r="IIY52">
        <f t="shared" si="322"/>
        <v>3</v>
      </c>
      <c r="IIZ52">
        <f t="shared" si="322"/>
        <v>3</v>
      </c>
      <c r="IJA52">
        <f t="shared" si="322"/>
        <v>3</v>
      </c>
      <c r="IJB52">
        <f t="shared" si="322"/>
        <v>3</v>
      </c>
      <c r="IJC52">
        <f t="shared" si="322"/>
        <v>3</v>
      </c>
      <c r="IJD52">
        <f t="shared" si="322"/>
        <v>3</v>
      </c>
      <c r="IJE52">
        <f t="shared" si="322"/>
        <v>3</v>
      </c>
      <c r="IJF52">
        <f t="shared" si="322"/>
        <v>3</v>
      </c>
      <c r="IJG52">
        <f t="shared" si="322"/>
        <v>3</v>
      </c>
      <c r="IJH52">
        <f t="shared" si="322"/>
        <v>3</v>
      </c>
      <c r="IJI52">
        <f t="shared" si="322"/>
        <v>3</v>
      </c>
      <c r="IJJ52">
        <f t="shared" si="322"/>
        <v>3</v>
      </c>
      <c r="IJK52">
        <f t="shared" si="322"/>
        <v>3</v>
      </c>
      <c r="IJL52">
        <f t="shared" si="322"/>
        <v>3</v>
      </c>
      <c r="IJM52">
        <f t="shared" si="322"/>
        <v>3</v>
      </c>
      <c r="IJN52">
        <f t="shared" si="322"/>
        <v>3</v>
      </c>
      <c r="IJO52">
        <f t="shared" si="322"/>
        <v>3</v>
      </c>
      <c r="IJP52">
        <f t="shared" si="322"/>
        <v>3</v>
      </c>
      <c r="IJQ52">
        <f t="shared" si="322"/>
        <v>3</v>
      </c>
      <c r="IJR52">
        <f t="shared" si="322"/>
        <v>3</v>
      </c>
      <c r="IJS52">
        <f t="shared" si="322"/>
        <v>3</v>
      </c>
      <c r="IJT52">
        <f t="shared" si="322"/>
        <v>3</v>
      </c>
      <c r="IJU52">
        <f t="shared" si="322"/>
        <v>3</v>
      </c>
      <c r="IJV52">
        <f t="shared" si="322"/>
        <v>3</v>
      </c>
      <c r="IJW52">
        <f t="shared" si="322"/>
        <v>3</v>
      </c>
      <c r="IJX52">
        <f t="shared" si="322"/>
        <v>3</v>
      </c>
      <c r="IJY52">
        <f t="shared" si="322"/>
        <v>3</v>
      </c>
      <c r="IJZ52">
        <f t="shared" si="322"/>
        <v>3</v>
      </c>
      <c r="IKA52">
        <f t="shared" si="322"/>
        <v>3</v>
      </c>
      <c r="IKB52">
        <f t="shared" si="322"/>
        <v>3</v>
      </c>
      <c r="IKC52">
        <f t="shared" si="322"/>
        <v>3</v>
      </c>
      <c r="IKD52">
        <f t="shared" si="322"/>
        <v>3</v>
      </c>
      <c r="IKE52">
        <f t="shared" ref="IKE52:IMP52" si="323">COUNTBLANK(IKE2:IKE5)</f>
        <v>3</v>
      </c>
      <c r="IKF52">
        <f t="shared" si="323"/>
        <v>3</v>
      </c>
      <c r="IKG52">
        <f t="shared" si="323"/>
        <v>3</v>
      </c>
      <c r="IKH52">
        <f t="shared" si="323"/>
        <v>3</v>
      </c>
      <c r="IKI52">
        <f t="shared" si="323"/>
        <v>3</v>
      </c>
      <c r="IKJ52">
        <f t="shared" si="323"/>
        <v>3</v>
      </c>
      <c r="IKK52">
        <f t="shared" si="323"/>
        <v>3</v>
      </c>
      <c r="IKL52">
        <f t="shared" si="323"/>
        <v>3</v>
      </c>
      <c r="IKM52">
        <f t="shared" si="323"/>
        <v>3</v>
      </c>
      <c r="IKN52">
        <f t="shared" si="323"/>
        <v>3</v>
      </c>
      <c r="IKO52">
        <f t="shared" si="323"/>
        <v>3</v>
      </c>
      <c r="IKP52">
        <f t="shared" si="323"/>
        <v>3</v>
      </c>
      <c r="IKQ52">
        <f t="shared" si="323"/>
        <v>3</v>
      </c>
      <c r="IKR52">
        <f t="shared" si="323"/>
        <v>3</v>
      </c>
      <c r="IKS52">
        <f t="shared" si="323"/>
        <v>3</v>
      </c>
      <c r="IKT52">
        <f t="shared" si="323"/>
        <v>3</v>
      </c>
      <c r="IKU52">
        <f t="shared" si="323"/>
        <v>3</v>
      </c>
      <c r="IKV52">
        <f t="shared" si="323"/>
        <v>3</v>
      </c>
      <c r="IKW52">
        <f t="shared" si="323"/>
        <v>3</v>
      </c>
      <c r="IKX52">
        <f t="shared" si="323"/>
        <v>3</v>
      </c>
      <c r="IKY52">
        <f t="shared" si="323"/>
        <v>3</v>
      </c>
      <c r="IKZ52">
        <f t="shared" si="323"/>
        <v>3</v>
      </c>
      <c r="ILA52">
        <f t="shared" si="323"/>
        <v>3</v>
      </c>
      <c r="ILB52">
        <f t="shared" si="323"/>
        <v>3</v>
      </c>
      <c r="ILC52">
        <f t="shared" si="323"/>
        <v>3</v>
      </c>
      <c r="ILD52">
        <f t="shared" si="323"/>
        <v>3</v>
      </c>
      <c r="ILE52">
        <f t="shared" si="323"/>
        <v>3</v>
      </c>
      <c r="ILF52">
        <f t="shared" si="323"/>
        <v>3</v>
      </c>
      <c r="ILG52">
        <f t="shared" si="323"/>
        <v>3</v>
      </c>
      <c r="ILH52">
        <f t="shared" si="323"/>
        <v>3</v>
      </c>
      <c r="ILI52">
        <f t="shared" si="323"/>
        <v>3</v>
      </c>
      <c r="ILJ52">
        <f t="shared" si="323"/>
        <v>3</v>
      </c>
      <c r="ILK52">
        <f t="shared" si="323"/>
        <v>3</v>
      </c>
      <c r="ILL52">
        <f t="shared" si="323"/>
        <v>3</v>
      </c>
      <c r="ILM52">
        <f t="shared" si="323"/>
        <v>3</v>
      </c>
      <c r="ILN52">
        <f t="shared" si="323"/>
        <v>3</v>
      </c>
      <c r="ILO52">
        <f t="shared" si="323"/>
        <v>3</v>
      </c>
      <c r="ILP52">
        <f t="shared" si="323"/>
        <v>3</v>
      </c>
      <c r="ILQ52">
        <f t="shared" si="323"/>
        <v>3</v>
      </c>
      <c r="ILR52">
        <f t="shared" si="323"/>
        <v>3</v>
      </c>
      <c r="ILS52">
        <f t="shared" si="323"/>
        <v>3</v>
      </c>
      <c r="ILT52">
        <f t="shared" si="323"/>
        <v>3</v>
      </c>
      <c r="ILU52">
        <f t="shared" si="323"/>
        <v>3</v>
      </c>
      <c r="ILV52">
        <f t="shared" si="323"/>
        <v>3</v>
      </c>
      <c r="ILW52">
        <f t="shared" si="323"/>
        <v>3</v>
      </c>
      <c r="ILX52">
        <f t="shared" si="323"/>
        <v>3</v>
      </c>
      <c r="ILY52">
        <f t="shared" si="323"/>
        <v>3</v>
      </c>
      <c r="ILZ52">
        <f t="shared" si="323"/>
        <v>3</v>
      </c>
      <c r="IMA52">
        <f t="shared" si="323"/>
        <v>3</v>
      </c>
      <c r="IMB52">
        <f t="shared" si="323"/>
        <v>3</v>
      </c>
      <c r="IMC52">
        <f t="shared" si="323"/>
        <v>3</v>
      </c>
      <c r="IMD52">
        <f t="shared" si="323"/>
        <v>3</v>
      </c>
      <c r="IME52">
        <f t="shared" si="323"/>
        <v>3</v>
      </c>
      <c r="IMF52">
        <f t="shared" si="323"/>
        <v>3</v>
      </c>
      <c r="IMG52">
        <f t="shared" si="323"/>
        <v>3</v>
      </c>
      <c r="IMH52">
        <f t="shared" si="323"/>
        <v>3</v>
      </c>
      <c r="IMI52">
        <f t="shared" si="323"/>
        <v>3</v>
      </c>
      <c r="IMJ52">
        <f t="shared" si="323"/>
        <v>3</v>
      </c>
      <c r="IMK52">
        <f t="shared" si="323"/>
        <v>3</v>
      </c>
      <c r="IML52">
        <f t="shared" si="323"/>
        <v>3</v>
      </c>
      <c r="IMM52">
        <f t="shared" si="323"/>
        <v>3</v>
      </c>
      <c r="IMN52">
        <f t="shared" si="323"/>
        <v>3</v>
      </c>
      <c r="IMO52">
        <f t="shared" si="323"/>
        <v>3</v>
      </c>
      <c r="IMP52">
        <f t="shared" si="323"/>
        <v>3</v>
      </c>
      <c r="IMQ52">
        <f t="shared" ref="IMQ52:IPB52" si="324">COUNTBLANK(IMQ2:IMQ5)</f>
        <v>3</v>
      </c>
      <c r="IMR52">
        <f t="shared" si="324"/>
        <v>3</v>
      </c>
      <c r="IMS52">
        <f t="shared" si="324"/>
        <v>3</v>
      </c>
      <c r="IMT52">
        <f t="shared" si="324"/>
        <v>3</v>
      </c>
      <c r="IMU52">
        <f t="shared" si="324"/>
        <v>3</v>
      </c>
      <c r="IMV52">
        <f t="shared" si="324"/>
        <v>3</v>
      </c>
      <c r="IMW52">
        <f t="shared" si="324"/>
        <v>3</v>
      </c>
      <c r="IMX52">
        <f t="shared" si="324"/>
        <v>3</v>
      </c>
      <c r="IMY52">
        <f t="shared" si="324"/>
        <v>3</v>
      </c>
      <c r="IMZ52">
        <f t="shared" si="324"/>
        <v>3</v>
      </c>
      <c r="INA52">
        <f t="shared" si="324"/>
        <v>3</v>
      </c>
      <c r="INB52">
        <f t="shared" si="324"/>
        <v>3</v>
      </c>
      <c r="INC52">
        <f t="shared" si="324"/>
        <v>3</v>
      </c>
      <c r="IND52">
        <f t="shared" si="324"/>
        <v>3</v>
      </c>
      <c r="INE52">
        <f t="shared" si="324"/>
        <v>3</v>
      </c>
      <c r="INF52">
        <f t="shared" si="324"/>
        <v>3</v>
      </c>
      <c r="ING52">
        <f t="shared" si="324"/>
        <v>3</v>
      </c>
      <c r="INH52">
        <f t="shared" si="324"/>
        <v>3</v>
      </c>
      <c r="INI52">
        <f t="shared" si="324"/>
        <v>3</v>
      </c>
      <c r="INJ52">
        <f t="shared" si="324"/>
        <v>3</v>
      </c>
      <c r="INK52">
        <f t="shared" si="324"/>
        <v>3</v>
      </c>
      <c r="INL52">
        <f t="shared" si="324"/>
        <v>3</v>
      </c>
      <c r="INM52">
        <f t="shared" si="324"/>
        <v>3</v>
      </c>
      <c r="INN52">
        <f t="shared" si="324"/>
        <v>3</v>
      </c>
      <c r="INO52">
        <f t="shared" si="324"/>
        <v>3</v>
      </c>
      <c r="INP52">
        <f t="shared" si="324"/>
        <v>3</v>
      </c>
      <c r="INQ52">
        <f t="shared" si="324"/>
        <v>3</v>
      </c>
      <c r="INR52">
        <f t="shared" si="324"/>
        <v>3</v>
      </c>
      <c r="INS52">
        <f t="shared" si="324"/>
        <v>3</v>
      </c>
      <c r="INT52">
        <f t="shared" si="324"/>
        <v>3</v>
      </c>
      <c r="INU52">
        <f t="shared" si="324"/>
        <v>3</v>
      </c>
      <c r="INV52">
        <f t="shared" si="324"/>
        <v>3</v>
      </c>
      <c r="INW52">
        <f t="shared" si="324"/>
        <v>3</v>
      </c>
      <c r="INX52">
        <f t="shared" si="324"/>
        <v>3</v>
      </c>
      <c r="INY52">
        <f t="shared" si="324"/>
        <v>3</v>
      </c>
      <c r="INZ52">
        <f t="shared" si="324"/>
        <v>3</v>
      </c>
      <c r="IOA52">
        <f t="shared" si="324"/>
        <v>3</v>
      </c>
      <c r="IOB52">
        <f t="shared" si="324"/>
        <v>3</v>
      </c>
      <c r="IOC52">
        <f t="shared" si="324"/>
        <v>3</v>
      </c>
      <c r="IOD52">
        <f t="shared" si="324"/>
        <v>3</v>
      </c>
      <c r="IOE52">
        <f t="shared" si="324"/>
        <v>3</v>
      </c>
      <c r="IOF52">
        <f t="shared" si="324"/>
        <v>3</v>
      </c>
      <c r="IOG52">
        <f t="shared" si="324"/>
        <v>3</v>
      </c>
      <c r="IOH52">
        <f t="shared" si="324"/>
        <v>3</v>
      </c>
      <c r="IOI52">
        <f t="shared" si="324"/>
        <v>3</v>
      </c>
      <c r="IOJ52">
        <f t="shared" si="324"/>
        <v>3</v>
      </c>
      <c r="IOK52">
        <f t="shared" si="324"/>
        <v>3</v>
      </c>
      <c r="IOL52">
        <f t="shared" si="324"/>
        <v>3</v>
      </c>
      <c r="IOM52">
        <f t="shared" si="324"/>
        <v>3</v>
      </c>
      <c r="ION52">
        <f t="shared" si="324"/>
        <v>3</v>
      </c>
      <c r="IOO52">
        <f t="shared" si="324"/>
        <v>3</v>
      </c>
      <c r="IOP52">
        <f t="shared" si="324"/>
        <v>3</v>
      </c>
      <c r="IOQ52">
        <f t="shared" si="324"/>
        <v>3</v>
      </c>
      <c r="IOR52">
        <f t="shared" si="324"/>
        <v>3</v>
      </c>
      <c r="IOS52">
        <f t="shared" si="324"/>
        <v>3</v>
      </c>
      <c r="IOT52">
        <f t="shared" si="324"/>
        <v>3</v>
      </c>
      <c r="IOU52">
        <f t="shared" si="324"/>
        <v>3</v>
      </c>
      <c r="IOV52">
        <f t="shared" si="324"/>
        <v>3</v>
      </c>
      <c r="IOW52">
        <f t="shared" si="324"/>
        <v>3</v>
      </c>
      <c r="IOX52">
        <f t="shared" si="324"/>
        <v>3</v>
      </c>
      <c r="IOY52">
        <f t="shared" si="324"/>
        <v>3</v>
      </c>
      <c r="IOZ52">
        <f t="shared" si="324"/>
        <v>3</v>
      </c>
      <c r="IPA52">
        <f t="shared" si="324"/>
        <v>3</v>
      </c>
      <c r="IPB52">
        <f t="shared" si="324"/>
        <v>3</v>
      </c>
      <c r="IPC52">
        <f t="shared" ref="IPC52:IRN52" si="325">COUNTBLANK(IPC2:IPC5)</f>
        <v>3</v>
      </c>
      <c r="IPD52">
        <f t="shared" si="325"/>
        <v>3</v>
      </c>
      <c r="IPE52">
        <f t="shared" si="325"/>
        <v>3</v>
      </c>
      <c r="IPF52">
        <f t="shared" si="325"/>
        <v>3</v>
      </c>
      <c r="IPG52">
        <f t="shared" si="325"/>
        <v>3</v>
      </c>
      <c r="IPH52">
        <f t="shared" si="325"/>
        <v>3</v>
      </c>
      <c r="IPI52">
        <f t="shared" si="325"/>
        <v>3</v>
      </c>
      <c r="IPJ52">
        <f t="shared" si="325"/>
        <v>3</v>
      </c>
      <c r="IPK52">
        <f t="shared" si="325"/>
        <v>3</v>
      </c>
      <c r="IPL52">
        <f t="shared" si="325"/>
        <v>3</v>
      </c>
      <c r="IPM52">
        <f t="shared" si="325"/>
        <v>3</v>
      </c>
      <c r="IPN52">
        <f t="shared" si="325"/>
        <v>3</v>
      </c>
      <c r="IPO52">
        <f t="shared" si="325"/>
        <v>3</v>
      </c>
      <c r="IPP52">
        <f t="shared" si="325"/>
        <v>3</v>
      </c>
      <c r="IPQ52">
        <f t="shared" si="325"/>
        <v>3</v>
      </c>
      <c r="IPR52">
        <f t="shared" si="325"/>
        <v>3</v>
      </c>
      <c r="IPS52">
        <f t="shared" si="325"/>
        <v>3</v>
      </c>
      <c r="IPT52">
        <f t="shared" si="325"/>
        <v>3</v>
      </c>
      <c r="IPU52">
        <f t="shared" si="325"/>
        <v>3</v>
      </c>
      <c r="IPV52">
        <f t="shared" si="325"/>
        <v>3</v>
      </c>
      <c r="IPW52">
        <f t="shared" si="325"/>
        <v>3</v>
      </c>
      <c r="IPX52">
        <f t="shared" si="325"/>
        <v>3</v>
      </c>
      <c r="IPY52">
        <f t="shared" si="325"/>
        <v>3</v>
      </c>
      <c r="IPZ52">
        <f t="shared" si="325"/>
        <v>3</v>
      </c>
      <c r="IQA52">
        <f t="shared" si="325"/>
        <v>3</v>
      </c>
      <c r="IQB52">
        <f t="shared" si="325"/>
        <v>3</v>
      </c>
      <c r="IQC52">
        <f t="shared" si="325"/>
        <v>3</v>
      </c>
      <c r="IQD52">
        <f t="shared" si="325"/>
        <v>3</v>
      </c>
      <c r="IQE52">
        <f t="shared" si="325"/>
        <v>3</v>
      </c>
      <c r="IQF52">
        <f t="shared" si="325"/>
        <v>3</v>
      </c>
      <c r="IQG52">
        <f t="shared" si="325"/>
        <v>3</v>
      </c>
      <c r="IQH52">
        <f t="shared" si="325"/>
        <v>3</v>
      </c>
      <c r="IQI52">
        <f t="shared" si="325"/>
        <v>3</v>
      </c>
      <c r="IQJ52">
        <f t="shared" si="325"/>
        <v>3</v>
      </c>
      <c r="IQK52">
        <f t="shared" si="325"/>
        <v>3</v>
      </c>
      <c r="IQL52">
        <f t="shared" si="325"/>
        <v>3</v>
      </c>
      <c r="IQM52">
        <f t="shared" si="325"/>
        <v>2</v>
      </c>
      <c r="IQN52">
        <f t="shared" si="325"/>
        <v>2</v>
      </c>
      <c r="IQO52">
        <f t="shared" si="325"/>
        <v>2</v>
      </c>
      <c r="IQP52">
        <f t="shared" si="325"/>
        <v>2</v>
      </c>
      <c r="IQQ52">
        <f t="shared" si="325"/>
        <v>2</v>
      </c>
      <c r="IQR52">
        <f t="shared" si="325"/>
        <v>2</v>
      </c>
      <c r="IQS52">
        <f t="shared" si="325"/>
        <v>2</v>
      </c>
      <c r="IQT52">
        <f t="shared" si="325"/>
        <v>2</v>
      </c>
      <c r="IQU52">
        <f t="shared" si="325"/>
        <v>2</v>
      </c>
      <c r="IQV52">
        <f t="shared" si="325"/>
        <v>2</v>
      </c>
      <c r="IQW52">
        <f t="shared" si="325"/>
        <v>2</v>
      </c>
      <c r="IQX52">
        <f t="shared" si="325"/>
        <v>2</v>
      </c>
      <c r="IQY52">
        <f t="shared" si="325"/>
        <v>2</v>
      </c>
      <c r="IQZ52">
        <f t="shared" si="325"/>
        <v>2</v>
      </c>
      <c r="IRA52">
        <f t="shared" si="325"/>
        <v>2</v>
      </c>
      <c r="IRB52">
        <f t="shared" si="325"/>
        <v>2</v>
      </c>
      <c r="IRC52">
        <f t="shared" si="325"/>
        <v>2</v>
      </c>
      <c r="IRD52">
        <f t="shared" si="325"/>
        <v>2</v>
      </c>
      <c r="IRE52">
        <f t="shared" si="325"/>
        <v>2</v>
      </c>
      <c r="IRF52">
        <f t="shared" si="325"/>
        <v>2</v>
      </c>
      <c r="IRG52">
        <f t="shared" si="325"/>
        <v>2</v>
      </c>
      <c r="IRH52">
        <f t="shared" si="325"/>
        <v>2</v>
      </c>
      <c r="IRI52">
        <f t="shared" si="325"/>
        <v>2</v>
      </c>
      <c r="IRJ52">
        <f t="shared" si="325"/>
        <v>2</v>
      </c>
      <c r="IRK52">
        <f t="shared" si="325"/>
        <v>2</v>
      </c>
      <c r="IRL52">
        <f t="shared" si="325"/>
        <v>2</v>
      </c>
      <c r="IRM52">
        <f t="shared" si="325"/>
        <v>2</v>
      </c>
      <c r="IRN52">
        <f t="shared" si="325"/>
        <v>2</v>
      </c>
      <c r="IRO52">
        <f t="shared" ref="IRO52:ITZ52" si="326">COUNTBLANK(IRO2:IRO5)</f>
        <v>2</v>
      </c>
      <c r="IRP52">
        <f t="shared" si="326"/>
        <v>2</v>
      </c>
      <c r="IRQ52">
        <f t="shared" si="326"/>
        <v>2</v>
      </c>
      <c r="IRR52">
        <f t="shared" si="326"/>
        <v>2</v>
      </c>
      <c r="IRS52">
        <f t="shared" si="326"/>
        <v>2</v>
      </c>
      <c r="IRT52">
        <f t="shared" si="326"/>
        <v>2</v>
      </c>
      <c r="IRU52">
        <f t="shared" si="326"/>
        <v>2</v>
      </c>
      <c r="IRV52">
        <f t="shared" si="326"/>
        <v>2</v>
      </c>
      <c r="IRW52">
        <f t="shared" si="326"/>
        <v>2</v>
      </c>
      <c r="IRX52">
        <f t="shared" si="326"/>
        <v>2</v>
      </c>
      <c r="IRY52">
        <f t="shared" si="326"/>
        <v>2</v>
      </c>
      <c r="IRZ52">
        <f t="shared" si="326"/>
        <v>2</v>
      </c>
      <c r="ISA52">
        <f t="shared" si="326"/>
        <v>2</v>
      </c>
      <c r="ISB52">
        <f t="shared" si="326"/>
        <v>2</v>
      </c>
      <c r="ISC52">
        <f t="shared" si="326"/>
        <v>2</v>
      </c>
      <c r="ISD52">
        <f t="shared" si="326"/>
        <v>2</v>
      </c>
      <c r="ISE52">
        <f t="shared" si="326"/>
        <v>3</v>
      </c>
      <c r="ISF52">
        <f t="shared" si="326"/>
        <v>3</v>
      </c>
      <c r="ISG52">
        <f t="shared" si="326"/>
        <v>3</v>
      </c>
      <c r="ISH52">
        <f t="shared" si="326"/>
        <v>3</v>
      </c>
      <c r="ISI52">
        <f t="shared" si="326"/>
        <v>3</v>
      </c>
      <c r="ISJ52">
        <f t="shared" si="326"/>
        <v>3</v>
      </c>
      <c r="ISK52">
        <f t="shared" si="326"/>
        <v>3</v>
      </c>
      <c r="ISL52">
        <f t="shared" si="326"/>
        <v>3</v>
      </c>
      <c r="ISM52">
        <f t="shared" si="326"/>
        <v>3</v>
      </c>
      <c r="ISN52">
        <f t="shared" si="326"/>
        <v>3</v>
      </c>
      <c r="ISO52">
        <f t="shared" si="326"/>
        <v>3</v>
      </c>
      <c r="ISP52">
        <f t="shared" si="326"/>
        <v>3</v>
      </c>
      <c r="ISQ52">
        <f t="shared" si="326"/>
        <v>3</v>
      </c>
      <c r="ISR52">
        <f t="shared" si="326"/>
        <v>3</v>
      </c>
      <c r="ISS52">
        <f t="shared" si="326"/>
        <v>3</v>
      </c>
      <c r="IST52">
        <f t="shared" si="326"/>
        <v>3</v>
      </c>
      <c r="ISU52">
        <f t="shared" si="326"/>
        <v>3</v>
      </c>
      <c r="ISV52">
        <f t="shared" si="326"/>
        <v>3</v>
      </c>
      <c r="ISW52">
        <f t="shared" si="326"/>
        <v>3</v>
      </c>
      <c r="ISX52">
        <f t="shared" si="326"/>
        <v>3</v>
      </c>
      <c r="ISY52">
        <f t="shared" si="326"/>
        <v>3</v>
      </c>
      <c r="ISZ52">
        <f t="shared" si="326"/>
        <v>3</v>
      </c>
      <c r="ITA52">
        <f t="shared" si="326"/>
        <v>3</v>
      </c>
      <c r="ITB52">
        <f t="shared" si="326"/>
        <v>3</v>
      </c>
      <c r="ITC52">
        <f t="shared" si="326"/>
        <v>3</v>
      </c>
      <c r="ITD52">
        <f t="shared" si="326"/>
        <v>3</v>
      </c>
      <c r="ITE52">
        <f t="shared" si="326"/>
        <v>3</v>
      </c>
      <c r="ITF52">
        <f t="shared" si="326"/>
        <v>3</v>
      </c>
      <c r="ITG52">
        <f t="shared" si="326"/>
        <v>3</v>
      </c>
      <c r="ITH52">
        <f t="shared" si="326"/>
        <v>3</v>
      </c>
      <c r="ITI52">
        <f t="shared" si="326"/>
        <v>3</v>
      </c>
      <c r="ITJ52">
        <f t="shared" si="326"/>
        <v>3</v>
      </c>
      <c r="ITK52">
        <f t="shared" si="326"/>
        <v>3</v>
      </c>
      <c r="ITL52">
        <f t="shared" si="326"/>
        <v>3</v>
      </c>
      <c r="ITM52">
        <f t="shared" si="326"/>
        <v>3</v>
      </c>
      <c r="ITN52">
        <f t="shared" si="326"/>
        <v>3</v>
      </c>
      <c r="ITO52">
        <f t="shared" si="326"/>
        <v>3</v>
      </c>
      <c r="ITP52">
        <f t="shared" si="326"/>
        <v>3</v>
      </c>
      <c r="ITQ52">
        <f t="shared" si="326"/>
        <v>3</v>
      </c>
      <c r="ITR52">
        <f t="shared" si="326"/>
        <v>3</v>
      </c>
      <c r="ITS52">
        <f t="shared" si="326"/>
        <v>3</v>
      </c>
      <c r="ITT52">
        <f t="shared" si="326"/>
        <v>3</v>
      </c>
      <c r="ITU52">
        <f t="shared" si="326"/>
        <v>3</v>
      </c>
      <c r="ITV52">
        <f t="shared" si="326"/>
        <v>3</v>
      </c>
      <c r="ITW52">
        <f t="shared" si="326"/>
        <v>3</v>
      </c>
      <c r="ITX52">
        <f t="shared" si="326"/>
        <v>3</v>
      </c>
      <c r="ITY52">
        <f t="shared" si="326"/>
        <v>3</v>
      </c>
      <c r="ITZ52">
        <f t="shared" si="326"/>
        <v>3</v>
      </c>
      <c r="IUA52">
        <f t="shared" ref="IUA52:IWL52" si="327">COUNTBLANK(IUA2:IUA5)</f>
        <v>3</v>
      </c>
      <c r="IUB52">
        <f t="shared" si="327"/>
        <v>3</v>
      </c>
      <c r="IUC52">
        <f t="shared" si="327"/>
        <v>3</v>
      </c>
      <c r="IUD52">
        <f t="shared" si="327"/>
        <v>3</v>
      </c>
      <c r="IUE52">
        <f t="shared" si="327"/>
        <v>3</v>
      </c>
      <c r="IUF52">
        <f t="shared" si="327"/>
        <v>3</v>
      </c>
      <c r="IUG52">
        <f t="shared" si="327"/>
        <v>3</v>
      </c>
      <c r="IUH52">
        <f t="shared" si="327"/>
        <v>3</v>
      </c>
      <c r="IUI52">
        <f t="shared" si="327"/>
        <v>3</v>
      </c>
      <c r="IUJ52">
        <f t="shared" si="327"/>
        <v>3</v>
      </c>
      <c r="IUK52">
        <f t="shared" si="327"/>
        <v>3</v>
      </c>
      <c r="IUL52">
        <f t="shared" si="327"/>
        <v>3</v>
      </c>
      <c r="IUM52">
        <f t="shared" si="327"/>
        <v>3</v>
      </c>
      <c r="IUN52">
        <f t="shared" si="327"/>
        <v>3</v>
      </c>
      <c r="IUO52">
        <f t="shared" si="327"/>
        <v>3</v>
      </c>
      <c r="IUP52">
        <f t="shared" si="327"/>
        <v>3</v>
      </c>
      <c r="IUQ52">
        <f t="shared" si="327"/>
        <v>3</v>
      </c>
      <c r="IUR52">
        <f t="shared" si="327"/>
        <v>3</v>
      </c>
      <c r="IUS52">
        <f t="shared" si="327"/>
        <v>3</v>
      </c>
      <c r="IUT52">
        <f t="shared" si="327"/>
        <v>3</v>
      </c>
      <c r="IUU52">
        <f t="shared" si="327"/>
        <v>3</v>
      </c>
      <c r="IUV52">
        <f t="shared" si="327"/>
        <v>3</v>
      </c>
      <c r="IUW52">
        <f t="shared" si="327"/>
        <v>3</v>
      </c>
      <c r="IUX52">
        <f t="shared" si="327"/>
        <v>3</v>
      </c>
      <c r="IUY52">
        <f t="shared" si="327"/>
        <v>3</v>
      </c>
      <c r="IUZ52">
        <f t="shared" si="327"/>
        <v>3</v>
      </c>
      <c r="IVA52">
        <f t="shared" si="327"/>
        <v>3</v>
      </c>
      <c r="IVB52">
        <f t="shared" si="327"/>
        <v>3</v>
      </c>
      <c r="IVC52">
        <f t="shared" si="327"/>
        <v>3</v>
      </c>
      <c r="IVD52">
        <f t="shared" si="327"/>
        <v>3</v>
      </c>
      <c r="IVE52">
        <f t="shared" si="327"/>
        <v>3</v>
      </c>
      <c r="IVF52">
        <f t="shared" si="327"/>
        <v>3</v>
      </c>
      <c r="IVG52">
        <f t="shared" si="327"/>
        <v>3</v>
      </c>
      <c r="IVH52">
        <f t="shared" si="327"/>
        <v>3</v>
      </c>
      <c r="IVI52">
        <f t="shared" si="327"/>
        <v>3</v>
      </c>
      <c r="IVJ52">
        <f t="shared" si="327"/>
        <v>3</v>
      </c>
      <c r="IVK52">
        <f t="shared" si="327"/>
        <v>3</v>
      </c>
      <c r="IVL52">
        <f t="shared" si="327"/>
        <v>3</v>
      </c>
      <c r="IVM52">
        <f t="shared" si="327"/>
        <v>3</v>
      </c>
      <c r="IVN52">
        <f t="shared" si="327"/>
        <v>3</v>
      </c>
      <c r="IVO52">
        <f t="shared" si="327"/>
        <v>3</v>
      </c>
      <c r="IVP52">
        <f t="shared" si="327"/>
        <v>3</v>
      </c>
      <c r="IVQ52">
        <f t="shared" si="327"/>
        <v>3</v>
      </c>
      <c r="IVR52">
        <f t="shared" si="327"/>
        <v>3</v>
      </c>
      <c r="IVS52">
        <f t="shared" si="327"/>
        <v>3</v>
      </c>
      <c r="IVT52">
        <f t="shared" si="327"/>
        <v>3</v>
      </c>
      <c r="IVU52">
        <f t="shared" si="327"/>
        <v>3</v>
      </c>
      <c r="IVV52">
        <f t="shared" si="327"/>
        <v>3</v>
      </c>
      <c r="IVW52">
        <f t="shared" si="327"/>
        <v>3</v>
      </c>
      <c r="IVX52">
        <f t="shared" si="327"/>
        <v>3</v>
      </c>
      <c r="IVY52">
        <f t="shared" si="327"/>
        <v>3</v>
      </c>
      <c r="IVZ52">
        <f t="shared" si="327"/>
        <v>3</v>
      </c>
      <c r="IWA52">
        <f t="shared" si="327"/>
        <v>3</v>
      </c>
      <c r="IWB52">
        <f t="shared" si="327"/>
        <v>3</v>
      </c>
      <c r="IWC52">
        <f t="shared" si="327"/>
        <v>3</v>
      </c>
      <c r="IWD52">
        <f t="shared" si="327"/>
        <v>3</v>
      </c>
      <c r="IWE52">
        <f t="shared" si="327"/>
        <v>3</v>
      </c>
      <c r="IWF52">
        <f t="shared" si="327"/>
        <v>3</v>
      </c>
      <c r="IWG52">
        <f t="shared" si="327"/>
        <v>3</v>
      </c>
      <c r="IWH52">
        <f t="shared" si="327"/>
        <v>3</v>
      </c>
      <c r="IWI52">
        <f t="shared" si="327"/>
        <v>3</v>
      </c>
      <c r="IWJ52">
        <f t="shared" si="327"/>
        <v>3</v>
      </c>
      <c r="IWK52">
        <f t="shared" si="327"/>
        <v>3</v>
      </c>
      <c r="IWL52">
        <f t="shared" si="327"/>
        <v>3</v>
      </c>
      <c r="IWM52">
        <f t="shared" ref="IWM52:IYX52" si="328">COUNTBLANK(IWM2:IWM5)</f>
        <v>3</v>
      </c>
      <c r="IWN52">
        <f t="shared" si="328"/>
        <v>3</v>
      </c>
      <c r="IWO52">
        <f t="shared" si="328"/>
        <v>3</v>
      </c>
      <c r="IWP52">
        <f t="shared" si="328"/>
        <v>3</v>
      </c>
      <c r="IWQ52">
        <f t="shared" si="328"/>
        <v>3</v>
      </c>
      <c r="IWR52">
        <f t="shared" si="328"/>
        <v>3</v>
      </c>
      <c r="IWS52">
        <f t="shared" si="328"/>
        <v>3</v>
      </c>
      <c r="IWT52">
        <f t="shared" si="328"/>
        <v>3</v>
      </c>
      <c r="IWU52">
        <f t="shared" si="328"/>
        <v>3</v>
      </c>
      <c r="IWV52">
        <f t="shared" si="328"/>
        <v>3</v>
      </c>
      <c r="IWW52">
        <f t="shared" si="328"/>
        <v>2</v>
      </c>
      <c r="IWX52">
        <f t="shared" si="328"/>
        <v>2</v>
      </c>
      <c r="IWY52">
        <f t="shared" si="328"/>
        <v>2</v>
      </c>
      <c r="IWZ52">
        <f t="shared" si="328"/>
        <v>2</v>
      </c>
      <c r="IXA52">
        <f t="shared" si="328"/>
        <v>2</v>
      </c>
      <c r="IXB52">
        <f t="shared" si="328"/>
        <v>2</v>
      </c>
      <c r="IXC52">
        <f t="shared" si="328"/>
        <v>2</v>
      </c>
      <c r="IXD52">
        <f t="shared" si="328"/>
        <v>2</v>
      </c>
      <c r="IXE52">
        <f t="shared" si="328"/>
        <v>2</v>
      </c>
      <c r="IXF52">
        <f t="shared" si="328"/>
        <v>2</v>
      </c>
      <c r="IXG52">
        <f t="shared" si="328"/>
        <v>2</v>
      </c>
      <c r="IXH52">
        <f t="shared" si="328"/>
        <v>2</v>
      </c>
      <c r="IXI52">
        <f t="shared" si="328"/>
        <v>2</v>
      </c>
      <c r="IXJ52">
        <f t="shared" si="328"/>
        <v>2</v>
      </c>
      <c r="IXK52">
        <f t="shared" si="328"/>
        <v>2</v>
      </c>
      <c r="IXL52">
        <f t="shared" si="328"/>
        <v>2</v>
      </c>
      <c r="IXM52">
        <f t="shared" si="328"/>
        <v>2</v>
      </c>
      <c r="IXN52">
        <f t="shared" si="328"/>
        <v>2</v>
      </c>
      <c r="IXO52">
        <f t="shared" si="328"/>
        <v>2</v>
      </c>
      <c r="IXP52">
        <f t="shared" si="328"/>
        <v>2</v>
      </c>
      <c r="IXQ52">
        <f t="shared" si="328"/>
        <v>2</v>
      </c>
      <c r="IXR52">
        <f t="shared" si="328"/>
        <v>2</v>
      </c>
      <c r="IXS52">
        <f t="shared" si="328"/>
        <v>2</v>
      </c>
      <c r="IXT52">
        <f t="shared" si="328"/>
        <v>2</v>
      </c>
      <c r="IXU52">
        <f t="shared" si="328"/>
        <v>2</v>
      </c>
      <c r="IXV52">
        <f t="shared" si="328"/>
        <v>2</v>
      </c>
      <c r="IXW52">
        <f t="shared" si="328"/>
        <v>2</v>
      </c>
      <c r="IXX52">
        <f t="shared" si="328"/>
        <v>2</v>
      </c>
      <c r="IXY52">
        <f t="shared" si="328"/>
        <v>2</v>
      </c>
      <c r="IXZ52">
        <f t="shared" si="328"/>
        <v>2</v>
      </c>
      <c r="IYA52">
        <f t="shared" si="328"/>
        <v>2</v>
      </c>
      <c r="IYB52">
        <f t="shared" si="328"/>
        <v>2</v>
      </c>
      <c r="IYC52">
        <f t="shared" si="328"/>
        <v>2</v>
      </c>
      <c r="IYD52">
        <f t="shared" si="328"/>
        <v>2</v>
      </c>
      <c r="IYE52">
        <f t="shared" si="328"/>
        <v>3</v>
      </c>
      <c r="IYF52">
        <f t="shared" si="328"/>
        <v>3</v>
      </c>
      <c r="IYG52">
        <f t="shared" si="328"/>
        <v>3</v>
      </c>
      <c r="IYH52">
        <f t="shared" si="328"/>
        <v>3</v>
      </c>
      <c r="IYI52">
        <f t="shared" si="328"/>
        <v>3</v>
      </c>
      <c r="IYJ52">
        <f t="shared" si="328"/>
        <v>3</v>
      </c>
      <c r="IYK52">
        <f t="shared" si="328"/>
        <v>3</v>
      </c>
      <c r="IYL52">
        <f t="shared" si="328"/>
        <v>3</v>
      </c>
      <c r="IYM52">
        <f t="shared" si="328"/>
        <v>3</v>
      </c>
      <c r="IYN52">
        <f t="shared" si="328"/>
        <v>3</v>
      </c>
      <c r="IYO52">
        <f t="shared" si="328"/>
        <v>3</v>
      </c>
      <c r="IYP52">
        <f t="shared" si="328"/>
        <v>3</v>
      </c>
      <c r="IYQ52">
        <f t="shared" si="328"/>
        <v>3</v>
      </c>
      <c r="IYR52">
        <f t="shared" si="328"/>
        <v>3</v>
      </c>
      <c r="IYS52">
        <f t="shared" si="328"/>
        <v>3</v>
      </c>
      <c r="IYT52">
        <f t="shared" si="328"/>
        <v>3</v>
      </c>
      <c r="IYU52">
        <f t="shared" si="328"/>
        <v>3</v>
      </c>
      <c r="IYV52">
        <f t="shared" si="328"/>
        <v>3</v>
      </c>
      <c r="IYW52">
        <f t="shared" si="328"/>
        <v>3</v>
      </c>
      <c r="IYX52">
        <f t="shared" si="328"/>
        <v>3</v>
      </c>
      <c r="IYY52">
        <f t="shared" ref="IYY52:JBJ52" si="329">COUNTBLANK(IYY2:IYY5)</f>
        <v>3</v>
      </c>
      <c r="IYZ52">
        <f t="shared" si="329"/>
        <v>3</v>
      </c>
      <c r="IZA52">
        <f t="shared" si="329"/>
        <v>3</v>
      </c>
      <c r="IZB52">
        <f t="shared" si="329"/>
        <v>3</v>
      </c>
      <c r="IZC52">
        <f t="shared" si="329"/>
        <v>3</v>
      </c>
      <c r="IZD52">
        <f t="shared" si="329"/>
        <v>3</v>
      </c>
      <c r="IZE52">
        <f t="shared" si="329"/>
        <v>3</v>
      </c>
      <c r="IZF52">
        <f t="shared" si="329"/>
        <v>3</v>
      </c>
      <c r="IZG52">
        <f t="shared" si="329"/>
        <v>3</v>
      </c>
      <c r="IZH52">
        <f t="shared" si="329"/>
        <v>3</v>
      </c>
      <c r="IZI52">
        <f t="shared" si="329"/>
        <v>3</v>
      </c>
      <c r="IZJ52">
        <f t="shared" si="329"/>
        <v>3</v>
      </c>
      <c r="IZK52">
        <f t="shared" si="329"/>
        <v>3</v>
      </c>
      <c r="IZL52">
        <f t="shared" si="329"/>
        <v>3</v>
      </c>
      <c r="IZM52">
        <f t="shared" si="329"/>
        <v>3</v>
      </c>
      <c r="IZN52">
        <f t="shared" si="329"/>
        <v>3</v>
      </c>
      <c r="IZO52">
        <f t="shared" si="329"/>
        <v>3</v>
      </c>
      <c r="IZP52">
        <f t="shared" si="329"/>
        <v>3</v>
      </c>
      <c r="IZQ52">
        <f t="shared" si="329"/>
        <v>3</v>
      </c>
      <c r="IZR52">
        <f t="shared" si="329"/>
        <v>3</v>
      </c>
      <c r="IZS52">
        <f t="shared" si="329"/>
        <v>3</v>
      </c>
      <c r="IZT52">
        <f t="shared" si="329"/>
        <v>3</v>
      </c>
      <c r="IZU52">
        <f t="shared" si="329"/>
        <v>3</v>
      </c>
      <c r="IZV52">
        <f t="shared" si="329"/>
        <v>3</v>
      </c>
      <c r="IZW52">
        <f t="shared" si="329"/>
        <v>3</v>
      </c>
      <c r="IZX52">
        <f t="shared" si="329"/>
        <v>3</v>
      </c>
      <c r="IZY52">
        <f t="shared" si="329"/>
        <v>3</v>
      </c>
      <c r="IZZ52">
        <f t="shared" si="329"/>
        <v>3</v>
      </c>
      <c r="JAA52">
        <f t="shared" si="329"/>
        <v>3</v>
      </c>
      <c r="JAB52">
        <f t="shared" si="329"/>
        <v>3</v>
      </c>
      <c r="JAC52">
        <f t="shared" si="329"/>
        <v>3</v>
      </c>
      <c r="JAD52">
        <f t="shared" si="329"/>
        <v>3</v>
      </c>
      <c r="JAE52">
        <f t="shared" si="329"/>
        <v>3</v>
      </c>
      <c r="JAF52">
        <f t="shared" si="329"/>
        <v>3</v>
      </c>
      <c r="JAG52">
        <f t="shared" si="329"/>
        <v>3</v>
      </c>
      <c r="JAH52">
        <f t="shared" si="329"/>
        <v>3</v>
      </c>
      <c r="JAI52">
        <f t="shared" si="329"/>
        <v>3</v>
      </c>
      <c r="JAJ52">
        <f t="shared" si="329"/>
        <v>3</v>
      </c>
      <c r="JAK52">
        <f t="shared" si="329"/>
        <v>3</v>
      </c>
      <c r="JAL52">
        <f t="shared" si="329"/>
        <v>3</v>
      </c>
      <c r="JAM52">
        <f t="shared" si="329"/>
        <v>3</v>
      </c>
      <c r="JAN52">
        <f t="shared" si="329"/>
        <v>3</v>
      </c>
      <c r="JAO52">
        <f t="shared" si="329"/>
        <v>3</v>
      </c>
      <c r="JAP52">
        <f t="shared" si="329"/>
        <v>3</v>
      </c>
      <c r="JAQ52">
        <f t="shared" si="329"/>
        <v>3</v>
      </c>
      <c r="JAR52">
        <f t="shared" si="329"/>
        <v>3</v>
      </c>
      <c r="JAS52">
        <f t="shared" si="329"/>
        <v>3</v>
      </c>
      <c r="JAT52">
        <f t="shared" si="329"/>
        <v>3</v>
      </c>
      <c r="JAU52">
        <f t="shared" si="329"/>
        <v>3</v>
      </c>
      <c r="JAV52">
        <f t="shared" si="329"/>
        <v>3</v>
      </c>
      <c r="JAW52">
        <f t="shared" si="329"/>
        <v>3</v>
      </c>
      <c r="JAX52">
        <f t="shared" si="329"/>
        <v>3</v>
      </c>
      <c r="JAY52">
        <f t="shared" si="329"/>
        <v>3</v>
      </c>
      <c r="JAZ52">
        <f t="shared" si="329"/>
        <v>3</v>
      </c>
      <c r="JBA52">
        <f t="shared" si="329"/>
        <v>3</v>
      </c>
      <c r="JBB52">
        <f t="shared" si="329"/>
        <v>3</v>
      </c>
      <c r="JBC52">
        <f t="shared" si="329"/>
        <v>3</v>
      </c>
      <c r="JBD52">
        <f t="shared" si="329"/>
        <v>3</v>
      </c>
      <c r="JBE52">
        <f t="shared" si="329"/>
        <v>3</v>
      </c>
      <c r="JBF52">
        <f t="shared" si="329"/>
        <v>3</v>
      </c>
      <c r="JBG52">
        <f t="shared" si="329"/>
        <v>3</v>
      </c>
      <c r="JBH52">
        <f t="shared" si="329"/>
        <v>3</v>
      </c>
      <c r="JBI52">
        <f t="shared" si="329"/>
        <v>3</v>
      </c>
      <c r="JBJ52">
        <f t="shared" si="329"/>
        <v>3</v>
      </c>
      <c r="JBK52">
        <f t="shared" ref="JBK52:JDV52" si="330">COUNTBLANK(JBK2:JBK5)</f>
        <v>3</v>
      </c>
      <c r="JBL52">
        <f t="shared" si="330"/>
        <v>3</v>
      </c>
      <c r="JBM52">
        <f t="shared" si="330"/>
        <v>3</v>
      </c>
      <c r="JBN52">
        <f t="shared" si="330"/>
        <v>3</v>
      </c>
      <c r="JBO52">
        <f t="shared" si="330"/>
        <v>3</v>
      </c>
      <c r="JBP52">
        <f t="shared" si="330"/>
        <v>3</v>
      </c>
      <c r="JBQ52">
        <f t="shared" si="330"/>
        <v>3</v>
      </c>
      <c r="JBR52">
        <f t="shared" si="330"/>
        <v>3</v>
      </c>
      <c r="JBS52">
        <f t="shared" si="330"/>
        <v>3</v>
      </c>
      <c r="JBT52">
        <f t="shared" si="330"/>
        <v>3</v>
      </c>
      <c r="JBU52">
        <f t="shared" si="330"/>
        <v>3</v>
      </c>
      <c r="JBV52">
        <f t="shared" si="330"/>
        <v>3</v>
      </c>
      <c r="JBW52">
        <f t="shared" si="330"/>
        <v>3</v>
      </c>
      <c r="JBX52">
        <f t="shared" si="330"/>
        <v>3</v>
      </c>
      <c r="JBY52">
        <f t="shared" si="330"/>
        <v>3</v>
      </c>
      <c r="JBZ52">
        <f t="shared" si="330"/>
        <v>3</v>
      </c>
      <c r="JCA52">
        <f t="shared" si="330"/>
        <v>3</v>
      </c>
      <c r="JCB52">
        <f t="shared" si="330"/>
        <v>3</v>
      </c>
      <c r="JCC52">
        <f t="shared" si="330"/>
        <v>3</v>
      </c>
      <c r="JCD52">
        <f t="shared" si="330"/>
        <v>3</v>
      </c>
      <c r="JCE52">
        <f t="shared" si="330"/>
        <v>3</v>
      </c>
      <c r="JCF52">
        <f t="shared" si="330"/>
        <v>3</v>
      </c>
      <c r="JCG52">
        <f t="shared" si="330"/>
        <v>3</v>
      </c>
      <c r="JCH52">
        <f t="shared" si="330"/>
        <v>3</v>
      </c>
      <c r="JCI52">
        <f t="shared" si="330"/>
        <v>3</v>
      </c>
      <c r="JCJ52">
        <f t="shared" si="330"/>
        <v>3</v>
      </c>
      <c r="JCK52">
        <f t="shared" si="330"/>
        <v>3</v>
      </c>
      <c r="JCL52">
        <f t="shared" si="330"/>
        <v>3</v>
      </c>
      <c r="JCM52">
        <f t="shared" si="330"/>
        <v>3</v>
      </c>
      <c r="JCN52">
        <f t="shared" si="330"/>
        <v>3</v>
      </c>
      <c r="JCO52">
        <f t="shared" si="330"/>
        <v>3</v>
      </c>
      <c r="JCP52">
        <f t="shared" si="330"/>
        <v>3</v>
      </c>
      <c r="JCQ52">
        <f t="shared" si="330"/>
        <v>3</v>
      </c>
      <c r="JCR52">
        <f t="shared" si="330"/>
        <v>3</v>
      </c>
      <c r="JCS52">
        <f t="shared" si="330"/>
        <v>3</v>
      </c>
      <c r="JCT52">
        <f t="shared" si="330"/>
        <v>3</v>
      </c>
      <c r="JCU52">
        <f t="shared" si="330"/>
        <v>3</v>
      </c>
      <c r="JCV52">
        <f t="shared" si="330"/>
        <v>3</v>
      </c>
      <c r="JCW52">
        <f t="shared" si="330"/>
        <v>3</v>
      </c>
      <c r="JCX52">
        <f t="shared" si="330"/>
        <v>3</v>
      </c>
      <c r="JCY52">
        <f t="shared" si="330"/>
        <v>3</v>
      </c>
      <c r="JCZ52">
        <f t="shared" si="330"/>
        <v>3</v>
      </c>
      <c r="JDA52">
        <f t="shared" si="330"/>
        <v>3</v>
      </c>
      <c r="JDB52">
        <f t="shared" si="330"/>
        <v>3</v>
      </c>
      <c r="JDC52">
        <f t="shared" si="330"/>
        <v>3</v>
      </c>
      <c r="JDD52">
        <f t="shared" si="330"/>
        <v>3</v>
      </c>
      <c r="JDE52">
        <f t="shared" si="330"/>
        <v>3</v>
      </c>
      <c r="JDF52">
        <f t="shared" si="330"/>
        <v>3</v>
      </c>
      <c r="JDG52">
        <f t="shared" si="330"/>
        <v>3</v>
      </c>
      <c r="JDH52">
        <f t="shared" si="330"/>
        <v>3</v>
      </c>
      <c r="JDI52">
        <f t="shared" si="330"/>
        <v>3</v>
      </c>
      <c r="JDJ52">
        <f t="shared" si="330"/>
        <v>2</v>
      </c>
      <c r="JDK52">
        <f t="shared" si="330"/>
        <v>2</v>
      </c>
      <c r="JDL52">
        <f t="shared" si="330"/>
        <v>2</v>
      </c>
      <c r="JDM52">
        <f t="shared" si="330"/>
        <v>2</v>
      </c>
      <c r="JDN52">
        <f t="shared" si="330"/>
        <v>2</v>
      </c>
      <c r="JDO52">
        <f t="shared" si="330"/>
        <v>2</v>
      </c>
      <c r="JDP52">
        <f t="shared" si="330"/>
        <v>2</v>
      </c>
      <c r="JDQ52">
        <f t="shared" si="330"/>
        <v>2</v>
      </c>
      <c r="JDR52">
        <f t="shared" si="330"/>
        <v>2</v>
      </c>
      <c r="JDS52">
        <f t="shared" si="330"/>
        <v>2</v>
      </c>
      <c r="JDT52">
        <f t="shared" si="330"/>
        <v>2</v>
      </c>
      <c r="JDU52">
        <f t="shared" si="330"/>
        <v>2</v>
      </c>
      <c r="JDV52">
        <f t="shared" si="330"/>
        <v>2</v>
      </c>
      <c r="JDW52">
        <f t="shared" ref="JDW52:JGH52" si="331">COUNTBLANK(JDW2:JDW5)</f>
        <v>3</v>
      </c>
      <c r="JDX52">
        <f t="shared" si="331"/>
        <v>3</v>
      </c>
      <c r="JDY52">
        <f t="shared" si="331"/>
        <v>3</v>
      </c>
      <c r="JDZ52">
        <f t="shared" si="331"/>
        <v>3</v>
      </c>
      <c r="JEA52">
        <f t="shared" si="331"/>
        <v>3</v>
      </c>
      <c r="JEB52">
        <f t="shared" si="331"/>
        <v>3</v>
      </c>
      <c r="JEC52">
        <f t="shared" si="331"/>
        <v>3</v>
      </c>
      <c r="JED52">
        <f t="shared" si="331"/>
        <v>3</v>
      </c>
      <c r="JEE52">
        <f t="shared" si="331"/>
        <v>3</v>
      </c>
      <c r="JEF52">
        <f t="shared" si="331"/>
        <v>3</v>
      </c>
      <c r="JEG52">
        <f t="shared" si="331"/>
        <v>3</v>
      </c>
      <c r="JEH52">
        <f t="shared" si="331"/>
        <v>3</v>
      </c>
      <c r="JEI52">
        <f t="shared" si="331"/>
        <v>3</v>
      </c>
      <c r="JEJ52">
        <f t="shared" si="331"/>
        <v>3</v>
      </c>
      <c r="JEK52">
        <f t="shared" si="331"/>
        <v>3</v>
      </c>
      <c r="JEL52">
        <f t="shared" si="331"/>
        <v>3</v>
      </c>
      <c r="JEM52">
        <f t="shared" si="331"/>
        <v>3</v>
      </c>
      <c r="JEN52">
        <f t="shared" si="331"/>
        <v>3</v>
      </c>
      <c r="JEO52">
        <f t="shared" si="331"/>
        <v>3</v>
      </c>
      <c r="JEP52">
        <f t="shared" si="331"/>
        <v>3</v>
      </c>
      <c r="JEQ52">
        <f t="shared" si="331"/>
        <v>3</v>
      </c>
      <c r="JER52">
        <f t="shared" si="331"/>
        <v>3</v>
      </c>
      <c r="JES52">
        <f t="shared" si="331"/>
        <v>3</v>
      </c>
      <c r="JET52">
        <f t="shared" si="331"/>
        <v>3</v>
      </c>
      <c r="JEU52">
        <f t="shared" si="331"/>
        <v>3</v>
      </c>
      <c r="JEV52">
        <f t="shared" si="331"/>
        <v>3</v>
      </c>
      <c r="JEW52">
        <f t="shared" si="331"/>
        <v>3</v>
      </c>
      <c r="JEX52">
        <f t="shared" si="331"/>
        <v>3</v>
      </c>
      <c r="JEY52">
        <f t="shared" si="331"/>
        <v>3</v>
      </c>
      <c r="JEZ52">
        <f t="shared" si="331"/>
        <v>3</v>
      </c>
      <c r="JFA52">
        <f t="shared" si="331"/>
        <v>3</v>
      </c>
      <c r="JFB52">
        <f t="shared" si="331"/>
        <v>3</v>
      </c>
      <c r="JFC52">
        <f t="shared" si="331"/>
        <v>3</v>
      </c>
      <c r="JFD52">
        <f t="shared" si="331"/>
        <v>3</v>
      </c>
      <c r="JFE52">
        <f t="shared" si="331"/>
        <v>3</v>
      </c>
      <c r="JFF52">
        <f t="shared" si="331"/>
        <v>3</v>
      </c>
      <c r="JFG52">
        <f t="shared" si="331"/>
        <v>3</v>
      </c>
      <c r="JFH52">
        <f t="shared" si="331"/>
        <v>3</v>
      </c>
      <c r="JFI52">
        <f t="shared" si="331"/>
        <v>3</v>
      </c>
      <c r="JFJ52">
        <f t="shared" si="331"/>
        <v>3</v>
      </c>
      <c r="JFK52">
        <f t="shared" si="331"/>
        <v>3</v>
      </c>
      <c r="JFL52">
        <f t="shared" si="331"/>
        <v>3</v>
      </c>
      <c r="JFM52">
        <f t="shared" si="331"/>
        <v>3</v>
      </c>
      <c r="JFN52">
        <f t="shared" si="331"/>
        <v>3</v>
      </c>
      <c r="JFO52">
        <f t="shared" si="331"/>
        <v>3</v>
      </c>
      <c r="JFP52">
        <f t="shared" si="331"/>
        <v>3</v>
      </c>
      <c r="JFQ52">
        <f t="shared" si="331"/>
        <v>3</v>
      </c>
      <c r="JFR52">
        <f t="shared" si="331"/>
        <v>3</v>
      </c>
      <c r="JFS52">
        <f t="shared" si="331"/>
        <v>3</v>
      </c>
      <c r="JFT52">
        <f t="shared" si="331"/>
        <v>3</v>
      </c>
      <c r="JFU52">
        <f t="shared" si="331"/>
        <v>3</v>
      </c>
      <c r="JFV52">
        <f t="shared" si="331"/>
        <v>3</v>
      </c>
      <c r="JFW52">
        <f t="shared" si="331"/>
        <v>3</v>
      </c>
      <c r="JFX52">
        <f t="shared" si="331"/>
        <v>3</v>
      </c>
      <c r="JFY52">
        <f t="shared" si="331"/>
        <v>3</v>
      </c>
      <c r="JFZ52">
        <f t="shared" si="331"/>
        <v>3</v>
      </c>
      <c r="JGA52">
        <f t="shared" si="331"/>
        <v>3</v>
      </c>
      <c r="JGB52">
        <f t="shared" si="331"/>
        <v>3</v>
      </c>
      <c r="JGC52">
        <f t="shared" si="331"/>
        <v>3</v>
      </c>
      <c r="JGD52">
        <f t="shared" si="331"/>
        <v>3</v>
      </c>
      <c r="JGE52">
        <f t="shared" si="331"/>
        <v>3</v>
      </c>
      <c r="JGF52">
        <f t="shared" si="331"/>
        <v>3</v>
      </c>
      <c r="JGG52">
        <f t="shared" si="331"/>
        <v>3</v>
      </c>
      <c r="JGH52">
        <f t="shared" si="331"/>
        <v>3</v>
      </c>
      <c r="JGI52">
        <f t="shared" ref="JGI52:JIT52" si="332">COUNTBLANK(JGI2:JGI5)</f>
        <v>3</v>
      </c>
      <c r="JGJ52">
        <f t="shared" si="332"/>
        <v>3</v>
      </c>
      <c r="JGK52">
        <f t="shared" si="332"/>
        <v>3</v>
      </c>
      <c r="JGL52">
        <f t="shared" si="332"/>
        <v>3</v>
      </c>
      <c r="JGM52">
        <f t="shared" si="332"/>
        <v>3</v>
      </c>
      <c r="JGN52">
        <f t="shared" si="332"/>
        <v>3</v>
      </c>
      <c r="JGO52">
        <f t="shared" si="332"/>
        <v>3</v>
      </c>
      <c r="JGP52">
        <f t="shared" si="332"/>
        <v>3</v>
      </c>
      <c r="JGQ52">
        <f t="shared" si="332"/>
        <v>3</v>
      </c>
      <c r="JGR52">
        <f t="shared" si="332"/>
        <v>3</v>
      </c>
      <c r="JGS52">
        <f t="shared" si="332"/>
        <v>3</v>
      </c>
      <c r="JGT52">
        <f t="shared" si="332"/>
        <v>3</v>
      </c>
      <c r="JGU52">
        <f t="shared" si="332"/>
        <v>3</v>
      </c>
      <c r="JGV52">
        <f t="shared" si="332"/>
        <v>3</v>
      </c>
      <c r="JGW52">
        <f t="shared" si="332"/>
        <v>3</v>
      </c>
      <c r="JGX52">
        <f t="shared" si="332"/>
        <v>3</v>
      </c>
      <c r="JGY52">
        <f t="shared" si="332"/>
        <v>3</v>
      </c>
      <c r="JGZ52">
        <f t="shared" si="332"/>
        <v>3</v>
      </c>
      <c r="JHA52">
        <f t="shared" si="332"/>
        <v>3</v>
      </c>
      <c r="JHB52">
        <f t="shared" si="332"/>
        <v>3</v>
      </c>
      <c r="JHC52">
        <f t="shared" si="332"/>
        <v>3</v>
      </c>
      <c r="JHD52">
        <f t="shared" si="332"/>
        <v>3</v>
      </c>
      <c r="JHE52">
        <f t="shared" si="332"/>
        <v>3</v>
      </c>
      <c r="JHF52">
        <f t="shared" si="332"/>
        <v>3</v>
      </c>
      <c r="JHG52">
        <f t="shared" si="332"/>
        <v>3</v>
      </c>
      <c r="JHH52">
        <f t="shared" si="332"/>
        <v>2</v>
      </c>
      <c r="JHI52">
        <f t="shared" si="332"/>
        <v>2</v>
      </c>
      <c r="JHJ52">
        <f t="shared" si="332"/>
        <v>2</v>
      </c>
      <c r="JHK52">
        <f t="shared" si="332"/>
        <v>2</v>
      </c>
      <c r="JHL52">
        <f t="shared" si="332"/>
        <v>2</v>
      </c>
      <c r="JHM52">
        <f t="shared" si="332"/>
        <v>2</v>
      </c>
      <c r="JHN52">
        <f t="shared" si="332"/>
        <v>2</v>
      </c>
      <c r="JHO52">
        <f t="shared" si="332"/>
        <v>2</v>
      </c>
      <c r="JHP52">
        <f t="shared" si="332"/>
        <v>2</v>
      </c>
      <c r="JHQ52">
        <f t="shared" si="332"/>
        <v>2</v>
      </c>
      <c r="JHR52">
        <f t="shared" si="332"/>
        <v>2</v>
      </c>
      <c r="JHS52">
        <f t="shared" si="332"/>
        <v>2</v>
      </c>
      <c r="JHT52">
        <f t="shared" si="332"/>
        <v>2</v>
      </c>
      <c r="JHU52">
        <f t="shared" si="332"/>
        <v>2</v>
      </c>
      <c r="JHV52">
        <f t="shared" si="332"/>
        <v>2</v>
      </c>
      <c r="JHW52">
        <f t="shared" si="332"/>
        <v>3</v>
      </c>
      <c r="JHX52">
        <f t="shared" si="332"/>
        <v>3</v>
      </c>
      <c r="JHY52">
        <f t="shared" si="332"/>
        <v>3</v>
      </c>
      <c r="JHZ52">
        <f t="shared" si="332"/>
        <v>3</v>
      </c>
      <c r="JIA52">
        <f t="shared" si="332"/>
        <v>3</v>
      </c>
      <c r="JIB52">
        <f t="shared" si="332"/>
        <v>3</v>
      </c>
      <c r="JIC52">
        <f t="shared" si="332"/>
        <v>3</v>
      </c>
      <c r="JID52">
        <f t="shared" si="332"/>
        <v>3</v>
      </c>
      <c r="JIE52">
        <f t="shared" si="332"/>
        <v>3</v>
      </c>
      <c r="JIF52">
        <f t="shared" si="332"/>
        <v>3</v>
      </c>
      <c r="JIG52">
        <f t="shared" si="332"/>
        <v>3</v>
      </c>
      <c r="JIH52">
        <f t="shared" si="332"/>
        <v>3</v>
      </c>
      <c r="JII52">
        <f t="shared" si="332"/>
        <v>3</v>
      </c>
      <c r="JIJ52">
        <f t="shared" si="332"/>
        <v>3</v>
      </c>
      <c r="JIK52">
        <f t="shared" si="332"/>
        <v>3</v>
      </c>
      <c r="JIL52">
        <f t="shared" si="332"/>
        <v>3</v>
      </c>
      <c r="JIM52">
        <f t="shared" si="332"/>
        <v>3</v>
      </c>
      <c r="JIN52">
        <f t="shared" si="332"/>
        <v>3</v>
      </c>
      <c r="JIO52">
        <f t="shared" si="332"/>
        <v>3</v>
      </c>
      <c r="JIP52">
        <f t="shared" si="332"/>
        <v>3</v>
      </c>
      <c r="JIQ52">
        <f t="shared" si="332"/>
        <v>3</v>
      </c>
      <c r="JIR52">
        <f t="shared" si="332"/>
        <v>3</v>
      </c>
      <c r="JIS52">
        <f t="shared" si="332"/>
        <v>3</v>
      </c>
      <c r="JIT52">
        <f t="shared" si="332"/>
        <v>3</v>
      </c>
      <c r="JIU52">
        <f t="shared" ref="JIU52:JLF52" si="333">COUNTBLANK(JIU2:JIU5)</f>
        <v>3</v>
      </c>
      <c r="JIV52">
        <f t="shared" si="333"/>
        <v>3</v>
      </c>
      <c r="JIW52">
        <f t="shared" si="333"/>
        <v>3</v>
      </c>
      <c r="JIX52">
        <f t="shared" si="333"/>
        <v>3</v>
      </c>
      <c r="JIY52">
        <f t="shared" si="333"/>
        <v>3</v>
      </c>
      <c r="JIZ52">
        <f t="shared" si="333"/>
        <v>3</v>
      </c>
      <c r="JJA52">
        <f t="shared" si="333"/>
        <v>3</v>
      </c>
      <c r="JJB52">
        <f t="shared" si="333"/>
        <v>3</v>
      </c>
      <c r="JJC52">
        <f t="shared" si="333"/>
        <v>3</v>
      </c>
      <c r="JJD52">
        <f t="shared" si="333"/>
        <v>3</v>
      </c>
      <c r="JJE52">
        <f t="shared" si="333"/>
        <v>3</v>
      </c>
      <c r="JJF52">
        <f t="shared" si="333"/>
        <v>3</v>
      </c>
      <c r="JJG52">
        <f t="shared" si="333"/>
        <v>3</v>
      </c>
      <c r="JJH52">
        <f t="shared" si="333"/>
        <v>3</v>
      </c>
      <c r="JJI52">
        <f t="shared" si="333"/>
        <v>3</v>
      </c>
      <c r="JJJ52">
        <f t="shared" si="333"/>
        <v>3</v>
      </c>
      <c r="JJK52">
        <f t="shared" si="333"/>
        <v>3</v>
      </c>
      <c r="JJL52">
        <f t="shared" si="333"/>
        <v>3</v>
      </c>
      <c r="JJM52">
        <f t="shared" si="333"/>
        <v>3</v>
      </c>
      <c r="JJN52">
        <f t="shared" si="333"/>
        <v>3</v>
      </c>
      <c r="JJO52">
        <f t="shared" si="333"/>
        <v>3</v>
      </c>
      <c r="JJP52">
        <f t="shared" si="333"/>
        <v>3</v>
      </c>
      <c r="JJQ52">
        <f t="shared" si="333"/>
        <v>3</v>
      </c>
      <c r="JJR52">
        <f t="shared" si="333"/>
        <v>3</v>
      </c>
      <c r="JJS52">
        <f t="shared" si="333"/>
        <v>3</v>
      </c>
      <c r="JJT52">
        <f t="shared" si="333"/>
        <v>3</v>
      </c>
      <c r="JJU52">
        <f t="shared" si="333"/>
        <v>3</v>
      </c>
      <c r="JJV52">
        <f t="shared" si="333"/>
        <v>3</v>
      </c>
      <c r="JJW52">
        <f t="shared" si="333"/>
        <v>3</v>
      </c>
      <c r="JJX52">
        <f t="shared" si="333"/>
        <v>3</v>
      </c>
      <c r="JJY52">
        <f t="shared" si="333"/>
        <v>3</v>
      </c>
      <c r="JJZ52">
        <f t="shared" si="333"/>
        <v>3</v>
      </c>
      <c r="JKA52">
        <f t="shared" si="333"/>
        <v>3</v>
      </c>
      <c r="JKB52">
        <f t="shared" si="333"/>
        <v>3</v>
      </c>
      <c r="JKC52">
        <f t="shared" si="333"/>
        <v>3</v>
      </c>
      <c r="JKD52">
        <f t="shared" si="333"/>
        <v>3</v>
      </c>
      <c r="JKE52">
        <f t="shared" si="333"/>
        <v>3</v>
      </c>
      <c r="JKF52">
        <f t="shared" si="333"/>
        <v>3</v>
      </c>
      <c r="JKG52">
        <f t="shared" si="333"/>
        <v>3</v>
      </c>
      <c r="JKH52">
        <f t="shared" si="333"/>
        <v>3</v>
      </c>
      <c r="JKI52">
        <f t="shared" si="333"/>
        <v>3</v>
      </c>
      <c r="JKJ52">
        <f t="shared" si="333"/>
        <v>3</v>
      </c>
      <c r="JKK52">
        <f t="shared" si="333"/>
        <v>3</v>
      </c>
      <c r="JKL52">
        <f t="shared" si="333"/>
        <v>2</v>
      </c>
      <c r="JKM52">
        <f t="shared" si="333"/>
        <v>2</v>
      </c>
      <c r="JKN52">
        <f t="shared" si="333"/>
        <v>2</v>
      </c>
      <c r="JKO52">
        <f t="shared" si="333"/>
        <v>2</v>
      </c>
      <c r="JKP52">
        <f t="shared" si="333"/>
        <v>2</v>
      </c>
      <c r="JKQ52">
        <f t="shared" si="333"/>
        <v>2</v>
      </c>
      <c r="JKR52">
        <f t="shared" si="333"/>
        <v>2</v>
      </c>
      <c r="JKS52">
        <f t="shared" si="333"/>
        <v>2</v>
      </c>
      <c r="JKT52">
        <f t="shared" si="333"/>
        <v>2</v>
      </c>
      <c r="JKU52">
        <f t="shared" si="333"/>
        <v>2</v>
      </c>
      <c r="JKV52">
        <f t="shared" si="333"/>
        <v>2</v>
      </c>
      <c r="JKW52">
        <f t="shared" si="333"/>
        <v>2</v>
      </c>
      <c r="JKX52">
        <f t="shared" si="333"/>
        <v>2</v>
      </c>
      <c r="JKY52">
        <f t="shared" si="333"/>
        <v>2</v>
      </c>
      <c r="JKZ52">
        <f t="shared" si="333"/>
        <v>2</v>
      </c>
      <c r="JLA52">
        <f t="shared" si="333"/>
        <v>2</v>
      </c>
      <c r="JLB52">
        <f t="shared" si="333"/>
        <v>2</v>
      </c>
      <c r="JLC52">
        <f t="shared" si="333"/>
        <v>2</v>
      </c>
      <c r="JLD52">
        <f t="shared" si="333"/>
        <v>2</v>
      </c>
      <c r="JLE52">
        <f t="shared" si="333"/>
        <v>2</v>
      </c>
      <c r="JLF52">
        <f t="shared" si="333"/>
        <v>2</v>
      </c>
      <c r="JLG52">
        <f t="shared" ref="JLG52:JNR52" si="334">COUNTBLANK(JLG2:JLG5)</f>
        <v>2</v>
      </c>
      <c r="JLH52">
        <f t="shared" si="334"/>
        <v>2</v>
      </c>
      <c r="JLI52">
        <f t="shared" si="334"/>
        <v>2</v>
      </c>
      <c r="JLJ52">
        <f t="shared" si="334"/>
        <v>2</v>
      </c>
      <c r="JLK52">
        <f t="shared" si="334"/>
        <v>2</v>
      </c>
      <c r="JLL52">
        <f t="shared" si="334"/>
        <v>2</v>
      </c>
      <c r="JLM52">
        <f t="shared" si="334"/>
        <v>2</v>
      </c>
      <c r="JLN52">
        <f t="shared" si="334"/>
        <v>2</v>
      </c>
      <c r="JLO52">
        <f t="shared" si="334"/>
        <v>2</v>
      </c>
      <c r="JLP52">
        <f t="shared" si="334"/>
        <v>2</v>
      </c>
      <c r="JLQ52">
        <f t="shared" si="334"/>
        <v>2</v>
      </c>
      <c r="JLR52">
        <f t="shared" si="334"/>
        <v>2</v>
      </c>
      <c r="JLS52">
        <f t="shared" si="334"/>
        <v>2</v>
      </c>
      <c r="JLT52">
        <f t="shared" si="334"/>
        <v>2</v>
      </c>
      <c r="JLU52">
        <f t="shared" si="334"/>
        <v>2</v>
      </c>
      <c r="JLV52">
        <f t="shared" si="334"/>
        <v>2</v>
      </c>
      <c r="JLW52">
        <f t="shared" si="334"/>
        <v>2</v>
      </c>
      <c r="JLX52">
        <f t="shared" si="334"/>
        <v>2</v>
      </c>
      <c r="JLY52">
        <f t="shared" si="334"/>
        <v>2</v>
      </c>
      <c r="JLZ52">
        <f t="shared" si="334"/>
        <v>2</v>
      </c>
      <c r="JMA52">
        <f t="shared" si="334"/>
        <v>2</v>
      </c>
      <c r="JMB52">
        <f t="shared" si="334"/>
        <v>2</v>
      </c>
      <c r="JMC52">
        <f t="shared" si="334"/>
        <v>2</v>
      </c>
      <c r="JMD52">
        <f t="shared" si="334"/>
        <v>2</v>
      </c>
      <c r="JME52">
        <f t="shared" si="334"/>
        <v>2</v>
      </c>
      <c r="JMF52">
        <f t="shared" si="334"/>
        <v>2</v>
      </c>
      <c r="JMG52">
        <f t="shared" si="334"/>
        <v>2</v>
      </c>
      <c r="JMH52">
        <f t="shared" si="334"/>
        <v>2</v>
      </c>
      <c r="JMI52">
        <f t="shared" si="334"/>
        <v>2</v>
      </c>
      <c r="JMJ52">
        <f t="shared" si="334"/>
        <v>2</v>
      </c>
      <c r="JMK52">
        <f t="shared" si="334"/>
        <v>2</v>
      </c>
      <c r="JML52">
        <f t="shared" si="334"/>
        <v>2</v>
      </c>
      <c r="JMM52">
        <f t="shared" si="334"/>
        <v>2</v>
      </c>
      <c r="JMN52">
        <f t="shared" si="334"/>
        <v>2</v>
      </c>
      <c r="JMO52">
        <f t="shared" si="334"/>
        <v>2</v>
      </c>
      <c r="JMP52">
        <f t="shared" si="334"/>
        <v>2</v>
      </c>
      <c r="JMQ52">
        <f t="shared" si="334"/>
        <v>2</v>
      </c>
      <c r="JMR52">
        <f t="shared" si="334"/>
        <v>2</v>
      </c>
      <c r="JMS52">
        <f t="shared" si="334"/>
        <v>2</v>
      </c>
      <c r="JMT52">
        <f t="shared" si="334"/>
        <v>2</v>
      </c>
      <c r="JMU52">
        <f t="shared" si="334"/>
        <v>2</v>
      </c>
      <c r="JMV52">
        <f t="shared" si="334"/>
        <v>2</v>
      </c>
      <c r="JMW52">
        <f t="shared" si="334"/>
        <v>2</v>
      </c>
      <c r="JMX52">
        <f t="shared" si="334"/>
        <v>2</v>
      </c>
      <c r="JMY52">
        <f t="shared" si="334"/>
        <v>2</v>
      </c>
      <c r="JMZ52">
        <f t="shared" si="334"/>
        <v>2</v>
      </c>
      <c r="JNA52">
        <f t="shared" si="334"/>
        <v>2</v>
      </c>
      <c r="JNB52">
        <f t="shared" si="334"/>
        <v>2</v>
      </c>
      <c r="JNC52">
        <f t="shared" si="334"/>
        <v>2</v>
      </c>
      <c r="JND52">
        <f t="shared" si="334"/>
        <v>2</v>
      </c>
      <c r="JNE52">
        <f t="shared" si="334"/>
        <v>2</v>
      </c>
      <c r="JNF52">
        <f t="shared" si="334"/>
        <v>2</v>
      </c>
      <c r="JNG52">
        <f t="shared" si="334"/>
        <v>2</v>
      </c>
      <c r="JNH52">
        <f t="shared" si="334"/>
        <v>2</v>
      </c>
      <c r="JNI52">
        <f t="shared" si="334"/>
        <v>2</v>
      </c>
      <c r="JNJ52">
        <f t="shared" si="334"/>
        <v>2</v>
      </c>
      <c r="JNK52">
        <f t="shared" si="334"/>
        <v>2</v>
      </c>
      <c r="JNL52">
        <f t="shared" si="334"/>
        <v>2</v>
      </c>
      <c r="JNM52">
        <f t="shared" si="334"/>
        <v>2</v>
      </c>
      <c r="JNN52">
        <f t="shared" si="334"/>
        <v>2</v>
      </c>
      <c r="JNO52">
        <f t="shared" si="334"/>
        <v>2</v>
      </c>
      <c r="JNP52">
        <f t="shared" si="334"/>
        <v>2</v>
      </c>
      <c r="JNQ52">
        <f t="shared" si="334"/>
        <v>2</v>
      </c>
      <c r="JNR52">
        <f t="shared" si="334"/>
        <v>2</v>
      </c>
      <c r="JNS52">
        <f t="shared" ref="JNS52:JQD52" si="335">COUNTBLANK(JNS2:JNS5)</f>
        <v>2</v>
      </c>
      <c r="JNT52">
        <f t="shared" si="335"/>
        <v>2</v>
      </c>
      <c r="JNU52">
        <f t="shared" si="335"/>
        <v>2</v>
      </c>
      <c r="JNV52">
        <f t="shared" si="335"/>
        <v>2</v>
      </c>
      <c r="JNW52">
        <f t="shared" si="335"/>
        <v>2</v>
      </c>
      <c r="JNX52">
        <f t="shared" si="335"/>
        <v>2</v>
      </c>
      <c r="JNY52">
        <f t="shared" si="335"/>
        <v>2</v>
      </c>
      <c r="JNZ52">
        <f t="shared" si="335"/>
        <v>2</v>
      </c>
      <c r="JOA52">
        <f t="shared" si="335"/>
        <v>2</v>
      </c>
      <c r="JOB52">
        <f t="shared" si="335"/>
        <v>2</v>
      </c>
      <c r="JOC52">
        <f t="shared" si="335"/>
        <v>2</v>
      </c>
      <c r="JOD52">
        <f t="shared" si="335"/>
        <v>2</v>
      </c>
      <c r="JOE52">
        <f t="shared" si="335"/>
        <v>2</v>
      </c>
      <c r="JOF52">
        <f t="shared" si="335"/>
        <v>2</v>
      </c>
      <c r="JOG52">
        <f t="shared" si="335"/>
        <v>2</v>
      </c>
      <c r="JOH52">
        <f t="shared" si="335"/>
        <v>2</v>
      </c>
      <c r="JOI52">
        <f t="shared" si="335"/>
        <v>2</v>
      </c>
      <c r="JOJ52">
        <f t="shared" si="335"/>
        <v>2</v>
      </c>
      <c r="JOK52">
        <f t="shared" si="335"/>
        <v>2</v>
      </c>
      <c r="JOL52">
        <f t="shared" si="335"/>
        <v>2</v>
      </c>
      <c r="JOM52">
        <f t="shared" si="335"/>
        <v>2</v>
      </c>
      <c r="JON52">
        <f t="shared" si="335"/>
        <v>2</v>
      </c>
      <c r="JOO52">
        <f t="shared" si="335"/>
        <v>2</v>
      </c>
      <c r="JOP52">
        <f t="shared" si="335"/>
        <v>2</v>
      </c>
      <c r="JOQ52">
        <f t="shared" si="335"/>
        <v>2</v>
      </c>
      <c r="JOR52">
        <f t="shared" si="335"/>
        <v>3</v>
      </c>
      <c r="JOS52">
        <f t="shared" si="335"/>
        <v>3</v>
      </c>
      <c r="JOT52">
        <f t="shared" si="335"/>
        <v>3</v>
      </c>
      <c r="JOU52">
        <f t="shared" si="335"/>
        <v>3</v>
      </c>
      <c r="JOV52">
        <f t="shared" si="335"/>
        <v>3</v>
      </c>
      <c r="JOW52">
        <f t="shared" si="335"/>
        <v>3</v>
      </c>
      <c r="JOX52">
        <f t="shared" si="335"/>
        <v>3</v>
      </c>
      <c r="JOY52">
        <f t="shared" si="335"/>
        <v>3</v>
      </c>
      <c r="JOZ52">
        <f t="shared" si="335"/>
        <v>3</v>
      </c>
      <c r="JPA52">
        <f t="shared" si="335"/>
        <v>3</v>
      </c>
      <c r="JPB52">
        <f t="shared" si="335"/>
        <v>3</v>
      </c>
      <c r="JPC52">
        <f t="shared" si="335"/>
        <v>3</v>
      </c>
      <c r="JPD52">
        <f t="shared" si="335"/>
        <v>3</v>
      </c>
      <c r="JPE52">
        <f t="shared" si="335"/>
        <v>3</v>
      </c>
      <c r="JPF52">
        <f t="shared" si="335"/>
        <v>3</v>
      </c>
      <c r="JPG52">
        <f t="shared" si="335"/>
        <v>3</v>
      </c>
      <c r="JPH52">
        <f t="shared" si="335"/>
        <v>3</v>
      </c>
      <c r="JPI52">
        <f t="shared" si="335"/>
        <v>3</v>
      </c>
      <c r="JPJ52">
        <f t="shared" si="335"/>
        <v>3</v>
      </c>
      <c r="JPK52">
        <f t="shared" si="335"/>
        <v>3</v>
      </c>
      <c r="JPL52">
        <f t="shared" si="335"/>
        <v>3</v>
      </c>
      <c r="JPM52">
        <f t="shared" si="335"/>
        <v>3</v>
      </c>
      <c r="JPN52">
        <f t="shared" si="335"/>
        <v>3</v>
      </c>
      <c r="JPO52">
        <f t="shared" si="335"/>
        <v>3</v>
      </c>
      <c r="JPP52">
        <f t="shared" si="335"/>
        <v>3</v>
      </c>
      <c r="JPQ52">
        <f t="shared" si="335"/>
        <v>3</v>
      </c>
      <c r="JPR52">
        <f t="shared" si="335"/>
        <v>3</v>
      </c>
      <c r="JPS52">
        <f t="shared" si="335"/>
        <v>3</v>
      </c>
      <c r="JPT52">
        <f t="shared" si="335"/>
        <v>3</v>
      </c>
      <c r="JPU52">
        <f t="shared" si="335"/>
        <v>3</v>
      </c>
      <c r="JPV52">
        <f t="shared" si="335"/>
        <v>3</v>
      </c>
      <c r="JPW52">
        <f t="shared" si="335"/>
        <v>3</v>
      </c>
      <c r="JPX52">
        <f t="shared" si="335"/>
        <v>3</v>
      </c>
      <c r="JPY52">
        <f t="shared" si="335"/>
        <v>3</v>
      </c>
      <c r="JPZ52">
        <f t="shared" si="335"/>
        <v>3</v>
      </c>
      <c r="JQA52">
        <f t="shared" si="335"/>
        <v>3</v>
      </c>
      <c r="JQB52">
        <f t="shared" si="335"/>
        <v>3</v>
      </c>
      <c r="JQC52">
        <f t="shared" si="335"/>
        <v>3</v>
      </c>
      <c r="JQD52">
        <f t="shared" si="335"/>
        <v>3</v>
      </c>
      <c r="JQE52">
        <f t="shared" ref="JQE52:JSP52" si="336">COUNTBLANK(JQE2:JQE5)</f>
        <v>3</v>
      </c>
      <c r="JQF52">
        <f t="shared" si="336"/>
        <v>3</v>
      </c>
      <c r="JQG52">
        <f t="shared" si="336"/>
        <v>3</v>
      </c>
      <c r="JQH52">
        <f t="shared" si="336"/>
        <v>3</v>
      </c>
      <c r="JQI52">
        <f t="shared" si="336"/>
        <v>3</v>
      </c>
      <c r="JQJ52">
        <f t="shared" si="336"/>
        <v>3</v>
      </c>
      <c r="JQK52">
        <f t="shared" si="336"/>
        <v>3</v>
      </c>
      <c r="JQL52">
        <f t="shared" si="336"/>
        <v>3</v>
      </c>
      <c r="JQM52">
        <f t="shared" si="336"/>
        <v>3</v>
      </c>
      <c r="JQN52">
        <f t="shared" si="336"/>
        <v>3</v>
      </c>
      <c r="JQO52">
        <f t="shared" si="336"/>
        <v>3</v>
      </c>
      <c r="JQP52">
        <f t="shared" si="336"/>
        <v>3</v>
      </c>
      <c r="JQQ52">
        <f t="shared" si="336"/>
        <v>3</v>
      </c>
      <c r="JQR52">
        <f t="shared" si="336"/>
        <v>3</v>
      </c>
      <c r="JQS52">
        <f t="shared" si="336"/>
        <v>3</v>
      </c>
      <c r="JQT52">
        <f t="shared" si="336"/>
        <v>3</v>
      </c>
      <c r="JQU52">
        <f t="shared" si="336"/>
        <v>3</v>
      </c>
      <c r="JQV52">
        <f t="shared" si="336"/>
        <v>3</v>
      </c>
      <c r="JQW52">
        <f t="shared" si="336"/>
        <v>3</v>
      </c>
      <c r="JQX52">
        <f t="shared" si="336"/>
        <v>3</v>
      </c>
      <c r="JQY52">
        <f t="shared" si="336"/>
        <v>3</v>
      </c>
      <c r="JQZ52">
        <f t="shared" si="336"/>
        <v>3</v>
      </c>
      <c r="JRA52">
        <f t="shared" si="336"/>
        <v>3</v>
      </c>
      <c r="JRB52">
        <f t="shared" si="336"/>
        <v>3</v>
      </c>
      <c r="JRC52">
        <f t="shared" si="336"/>
        <v>3</v>
      </c>
      <c r="JRD52">
        <f t="shared" si="336"/>
        <v>3</v>
      </c>
      <c r="JRE52">
        <f t="shared" si="336"/>
        <v>3</v>
      </c>
      <c r="JRF52">
        <f t="shared" si="336"/>
        <v>3</v>
      </c>
      <c r="JRG52">
        <f t="shared" si="336"/>
        <v>3</v>
      </c>
      <c r="JRH52">
        <f t="shared" si="336"/>
        <v>3</v>
      </c>
      <c r="JRI52">
        <f t="shared" si="336"/>
        <v>3</v>
      </c>
      <c r="JRJ52">
        <f t="shared" si="336"/>
        <v>3</v>
      </c>
      <c r="JRK52">
        <f t="shared" si="336"/>
        <v>3</v>
      </c>
      <c r="JRL52">
        <f t="shared" si="336"/>
        <v>3</v>
      </c>
      <c r="JRM52">
        <f t="shared" si="336"/>
        <v>3</v>
      </c>
      <c r="JRN52">
        <f t="shared" si="336"/>
        <v>3</v>
      </c>
      <c r="JRO52">
        <f t="shared" si="336"/>
        <v>3</v>
      </c>
      <c r="JRP52">
        <f t="shared" si="336"/>
        <v>3</v>
      </c>
      <c r="JRQ52">
        <f t="shared" si="336"/>
        <v>3</v>
      </c>
      <c r="JRR52">
        <f t="shared" si="336"/>
        <v>3</v>
      </c>
      <c r="JRS52">
        <f t="shared" si="336"/>
        <v>3</v>
      </c>
      <c r="JRT52">
        <f t="shared" si="336"/>
        <v>3</v>
      </c>
      <c r="JRU52">
        <f t="shared" si="336"/>
        <v>3</v>
      </c>
      <c r="JRV52">
        <f t="shared" si="336"/>
        <v>3</v>
      </c>
      <c r="JRW52">
        <f t="shared" si="336"/>
        <v>3</v>
      </c>
      <c r="JRX52">
        <f t="shared" si="336"/>
        <v>3</v>
      </c>
      <c r="JRY52">
        <f t="shared" si="336"/>
        <v>3</v>
      </c>
      <c r="JRZ52">
        <f t="shared" si="336"/>
        <v>3</v>
      </c>
      <c r="JSA52">
        <f t="shared" si="336"/>
        <v>2</v>
      </c>
      <c r="JSB52">
        <f t="shared" si="336"/>
        <v>2</v>
      </c>
      <c r="JSC52">
        <f t="shared" si="336"/>
        <v>2</v>
      </c>
      <c r="JSD52">
        <f t="shared" si="336"/>
        <v>2</v>
      </c>
      <c r="JSE52">
        <f t="shared" si="336"/>
        <v>2</v>
      </c>
      <c r="JSF52">
        <f t="shared" si="336"/>
        <v>2</v>
      </c>
      <c r="JSG52">
        <f t="shared" si="336"/>
        <v>2</v>
      </c>
      <c r="JSH52">
        <f t="shared" si="336"/>
        <v>2</v>
      </c>
      <c r="JSI52">
        <f t="shared" si="336"/>
        <v>2</v>
      </c>
      <c r="JSJ52">
        <f t="shared" si="336"/>
        <v>2</v>
      </c>
      <c r="JSK52">
        <f t="shared" si="336"/>
        <v>2</v>
      </c>
      <c r="JSL52">
        <f t="shared" si="336"/>
        <v>2</v>
      </c>
      <c r="JSM52">
        <f t="shared" si="336"/>
        <v>2</v>
      </c>
      <c r="JSN52">
        <f t="shared" si="336"/>
        <v>2</v>
      </c>
      <c r="JSO52">
        <f t="shared" si="336"/>
        <v>2</v>
      </c>
      <c r="JSP52">
        <f t="shared" si="336"/>
        <v>2</v>
      </c>
      <c r="JSQ52">
        <f t="shared" ref="JSQ52:JVB52" si="337">COUNTBLANK(JSQ2:JSQ5)</f>
        <v>2</v>
      </c>
      <c r="JSR52">
        <f t="shared" si="337"/>
        <v>2</v>
      </c>
      <c r="JSS52">
        <f t="shared" si="337"/>
        <v>2</v>
      </c>
      <c r="JST52">
        <f t="shared" si="337"/>
        <v>2</v>
      </c>
      <c r="JSU52">
        <f t="shared" si="337"/>
        <v>2</v>
      </c>
      <c r="JSV52">
        <f t="shared" si="337"/>
        <v>2</v>
      </c>
      <c r="JSW52">
        <f t="shared" si="337"/>
        <v>2</v>
      </c>
      <c r="JSX52">
        <f t="shared" si="337"/>
        <v>2</v>
      </c>
      <c r="JSY52">
        <f t="shared" si="337"/>
        <v>2</v>
      </c>
      <c r="JSZ52">
        <f t="shared" si="337"/>
        <v>2</v>
      </c>
      <c r="JTA52">
        <f t="shared" si="337"/>
        <v>2</v>
      </c>
      <c r="JTB52">
        <f t="shared" si="337"/>
        <v>2</v>
      </c>
      <c r="JTC52">
        <f t="shared" si="337"/>
        <v>2</v>
      </c>
      <c r="JTD52">
        <f t="shared" si="337"/>
        <v>2</v>
      </c>
      <c r="JTE52">
        <f t="shared" si="337"/>
        <v>2</v>
      </c>
      <c r="JTF52">
        <f t="shared" si="337"/>
        <v>2</v>
      </c>
      <c r="JTG52">
        <f t="shared" si="337"/>
        <v>2</v>
      </c>
      <c r="JTH52">
        <f t="shared" si="337"/>
        <v>2</v>
      </c>
      <c r="JTI52">
        <f t="shared" si="337"/>
        <v>2</v>
      </c>
      <c r="JTJ52">
        <f t="shared" si="337"/>
        <v>2</v>
      </c>
      <c r="JTK52">
        <f t="shared" si="337"/>
        <v>2</v>
      </c>
      <c r="JTL52">
        <f t="shared" si="337"/>
        <v>2</v>
      </c>
      <c r="JTM52">
        <f t="shared" si="337"/>
        <v>2</v>
      </c>
      <c r="JTN52">
        <f t="shared" si="337"/>
        <v>2</v>
      </c>
      <c r="JTO52">
        <f t="shared" si="337"/>
        <v>2</v>
      </c>
      <c r="JTP52">
        <f t="shared" si="337"/>
        <v>2</v>
      </c>
      <c r="JTQ52">
        <f t="shared" si="337"/>
        <v>2</v>
      </c>
      <c r="JTR52">
        <f t="shared" si="337"/>
        <v>2</v>
      </c>
      <c r="JTS52">
        <f t="shared" si="337"/>
        <v>2</v>
      </c>
      <c r="JTT52">
        <f t="shared" si="337"/>
        <v>2</v>
      </c>
      <c r="JTU52">
        <f t="shared" si="337"/>
        <v>2</v>
      </c>
      <c r="JTV52">
        <f t="shared" si="337"/>
        <v>2</v>
      </c>
      <c r="JTW52">
        <f t="shared" si="337"/>
        <v>2</v>
      </c>
      <c r="JTX52">
        <f t="shared" si="337"/>
        <v>2</v>
      </c>
      <c r="JTY52">
        <f t="shared" si="337"/>
        <v>2</v>
      </c>
      <c r="JTZ52">
        <f t="shared" si="337"/>
        <v>2</v>
      </c>
      <c r="JUA52">
        <f t="shared" si="337"/>
        <v>2</v>
      </c>
      <c r="JUB52">
        <f t="shared" si="337"/>
        <v>2</v>
      </c>
      <c r="JUC52">
        <f t="shared" si="337"/>
        <v>2</v>
      </c>
      <c r="JUD52">
        <f t="shared" si="337"/>
        <v>2</v>
      </c>
      <c r="JUE52">
        <f t="shared" si="337"/>
        <v>2</v>
      </c>
      <c r="JUF52">
        <f t="shared" si="337"/>
        <v>2</v>
      </c>
      <c r="JUG52">
        <f t="shared" si="337"/>
        <v>2</v>
      </c>
      <c r="JUH52">
        <f t="shared" si="337"/>
        <v>2</v>
      </c>
      <c r="JUI52">
        <f t="shared" si="337"/>
        <v>2</v>
      </c>
      <c r="JUJ52">
        <f t="shared" si="337"/>
        <v>2</v>
      </c>
      <c r="JUK52">
        <f t="shared" si="337"/>
        <v>2</v>
      </c>
      <c r="JUL52">
        <f t="shared" si="337"/>
        <v>2</v>
      </c>
      <c r="JUM52">
        <f t="shared" si="337"/>
        <v>2</v>
      </c>
      <c r="JUN52">
        <f t="shared" si="337"/>
        <v>2</v>
      </c>
      <c r="JUO52">
        <f t="shared" si="337"/>
        <v>2</v>
      </c>
      <c r="JUP52">
        <f t="shared" si="337"/>
        <v>2</v>
      </c>
      <c r="JUQ52">
        <f t="shared" si="337"/>
        <v>2</v>
      </c>
      <c r="JUR52">
        <f t="shared" si="337"/>
        <v>2</v>
      </c>
      <c r="JUS52">
        <f t="shared" si="337"/>
        <v>2</v>
      </c>
      <c r="JUT52">
        <f t="shared" si="337"/>
        <v>2</v>
      </c>
      <c r="JUU52">
        <f t="shared" si="337"/>
        <v>2</v>
      </c>
      <c r="JUV52">
        <f t="shared" si="337"/>
        <v>2</v>
      </c>
      <c r="JUW52">
        <f t="shared" si="337"/>
        <v>2</v>
      </c>
      <c r="JUX52">
        <f t="shared" si="337"/>
        <v>2</v>
      </c>
      <c r="JUY52">
        <f t="shared" si="337"/>
        <v>2</v>
      </c>
      <c r="JUZ52">
        <f t="shared" si="337"/>
        <v>2</v>
      </c>
      <c r="JVA52">
        <f t="shared" si="337"/>
        <v>2</v>
      </c>
      <c r="JVB52">
        <f t="shared" si="337"/>
        <v>2</v>
      </c>
      <c r="JVC52">
        <f t="shared" ref="JVC52:JXN52" si="338">COUNTBLANK(JVC2:JVC5)</f>
        <v>2</v>
      </c>
      <c r="JVD52">
        <f t="shared" si="338"/>
        <v>2</v>
      </c>
      <c r="JVE52">
        <f t="shared" si="338"/>
        <v>2</v>
      </c>
      <c r="JVF52">
        <f t="shared" si="338"/>
        <v>2</v>
      </c>
      <c r="JVG52">
        <f t="shared" si="338"/>
        <v>2</v>
      </c>
      <c r="JVH52">
        <f t="shared" si="338"/>
        <v>2</v>
      </c>
      <c r="JVI52">
        <f t="shared" si="338"/>
        <v>2</v>
      </c>
      <c r="JVJ52">
        <f t="shared" si="338"/>
        <v>2</v>
      </c>
      <c r="JVK52">
        <f t="shared" si="338"/>
        <v>2</v>
      </c>
      <c r="JVL52">
        <f t="shared" si="338"/>
        <v>2</v>
      </c>
      <c r="JVM52">
        <f t="shared" si="338"/>
        <v>2</v>
      </c>
      <c r="JVN52">
        <f t="shared" si="338"/>
        <v>2</v>
      </c>
      <c r="JVO52">
        <f t="shared" si="338"/>
        <v>2</v>
      </c>
      <c r="JVP52">
        <f t="shared" si="338"/>
        <v>2</v>
      </c>
      <c r="JVQ52">
        <f t="shared" si="338"/>
        <v>2</v>
      </c>
      <c r="JVR52">
        <f t="shared" si="338"/>
        <v>2</v>
      </c>
      <c r="JVS52">
        <f t="shared" si="338"/>
        <v>2</v>
      </c>
      <c r="JVT52">
        <f t="shared" si="338"/>
        <v>2</v>
      </c>
      <c r="JVU52">
        <f t="shared" si="338"/>
        <v>2</v>
      </c>
      <c r="JVV52">
        <f t="shared" si="338"/>
        <v>2</v>
      </c>
      <c r="JVW52">
        <f t="shared" si="338"/>
        <v>2</v>
      </c>
      <c r="JVX52">
        <f t="shared" si="338"/>
        <v>2</v>
      </c>
      <c r="JVY52">
        <f t="shared" si="338"/>
        <v>2</v>
      </c>
      <c r="JVZ52">
        <f t="shared" si="338"/>
        <v>2</v>
      </c>
      <c r="JWA52">
        <f t="shared" si="338"/>
        <v>2</v>
      </c>
      <c r="JWB52">
        <f t="shared" si="338"/>
        <v>2</v>
      </c>
      <c r="JWC52">
        <f t="shared" si="338"/>
        <v>2</v>
      </c>
      <c r="JWD52">
        <f t="shared" si="338"/>
        <v>2</v>
      </c>
      <c r="JWE52">
        <f t="shared" si="338"/>
        <v>2</v>
      </c>
      <c r="JWF52">
        <f t="shared" si="338"/>
        <v>2</v>
      </c>
      <c r="JWG52">
        <f t="shared" si="338"/>
        <v>2</v>
      </c>
      <c r="JWH52">
        <f t="shared" si="338"/>
        <v>2</v>
      </c>
      <c r="JWI52">
        <f t="shared" si="338"/>
        <v>2</v>
      </c>
      <c r="JWJ52">
        <f t="shared" si="338"/>
        <v>2</v>
      </c>
      <c r="JWK52">
        <f t="shared" si="338"/>
        <v>2</v>
      </c>
      <c r="JWL52">
        <f t="shared" si="338"/>
        <v>2</v>
      </c>
      <c r="JWM52">
        <f t="shared" si="338"/>
        <v>2</v>
      </c>
      <c r="JWN52">
        <f t="shared" si="338"/>
        <v>2</v>
      </c>
      <c r="JWO52">
        <f t="shared" si="338"/>
        <v>2</v>
      </c>
      <c r="JWP52">
        <f t="shared" si="338"/>
        <v>2</v>
      </c>
      <c r="JWQ52">
        <f t="shared" si="338"/>
        <v>2</v>
      </c>
      <c r="JWR52">
        <f t="shared" si="338"/>
        <v>2</v>
      </c>
      <c r="JWS52">
        <f t="shared" si="338"/>
        <v>2</v>
      </c>
      <c r="JWT52">
        <f t="shared" si="338"/>
        <v>2</v>
      </c>
      <c r="JWU52">
        <f t="shared" si="338"/>
        <v>2</v>
      </c>
      <c r="JWV52">
        <f t="shared" si="338"/>
        <v>2</v>
      </c>
      <c r="JWW52">
        <f t="shared" si="338"/>
        <v>2</v>
      </c>
      <c r="JWX52">
        <f t="shared" si="338"/>
        <v>2</v>
      </c>
      <c r="JWY52">
        <f t="shared" si="338"/>
        <v>2</v>
      </c>
      <c r="JWZ52">
        <f t="shared" si="338"/>
        <v>2</v>
      </c>
      <c r="JXA52">
        <f t="shared" si="338"/>
        <v>2</v>
      </c>
      <c r="JXB52">
        <f t="shared" si="338"/>
        <v>2</v>
      </c>
      <c r="JXC52">
        <f t="shared" si="338"/>
        <v>2</v>
      </c>
      <c r="JXD52">
        <f t="shared" si="338"/>
        <v>2</v>
      </c>
      <c r="JXE52">
        <f t="shared" si="338"/>
        <v>2</v>
      </c>
      <c r="JXF52">
        <f t="shared" si="338"/>
        <v>2</v>
      </c>
      <c r="JXG52">
        <f t="shared" si="338"/>
        <v>2</v>
      </c>
      <c r="JXH52">
        <f t="shared" si="338"/>
        <v>2</v>
      </c>
      <c r="JXI52">
        <f t="shared" si="338"/>
        <v>2</v>
      </c>
      <c r="JXJ52">
        <f t="shared" si="338"/>
        <v>2</v>
      </c>
      <c r="JXK52">
        <f t="shared" si="338"/>
        <v>2</v>
      </c>
      <c r="JXL52">
        <f t="shared" si="338"/>
        <v>2</v>
      </c>
      <c r="JXM52">
        <f t="shared" si="338"/>
        <v>2</v>
      </c>
      <c r="JXN52">
        <f t="shared" si="338"/>
        <v>2</v>
      </c>
      <c r="JXO52">
        <f t="shared" ref="JXO52:JZZ52" si="339">COUNTBLANK(JXO2:JXO5)</f>
        <v>2</v>
      </c>
      <c r="JXP52">
        <f t="shared" si="339"/>
        <v>2</v>
      </c>
      <c r="JXQ52">
        <f t="shared" si="339"/>
        <v>2</v>
      </c>
      <c r="JXR52">
        <f t="shared" si="339"/>
        <v>2</v>
      </c>
      <c r="JXS52">
        <f t="shared" si="339"/>
        <v>2</v>
      </c>
      <c r="JXT52">
        <f t="shared" si="339"/>
        <v>2</v>
      </c>
      <c r="JXU52">
        <f t="shared" si="339"/>
        <v>2</v>
      </c>
      <c r="JXV52">
        <f t="shared" si="339"/>
        <v>2</v>
      </c>
      <c r="JXW52">
        <f t="shared" si="339"/>
        <v>2</v>
      </c>
      <c r="JXX52">
        <f t="shared" si="339"/>
        <v>2</v>
      </c>
      <c r="JXY52">
        <f t="shared" si="339"/>
        <v>2</v>
      </c>
      <c r="JXZ52">
        <f t="shared" si="339"/>
        <v>2</v>
      </c>
      <c r="JYA52">
        <f t="shared" si="339"/>
        <v>2</v>
      </c>
      <c r="JYB52">
        <f t="shared" si="339"/>
        <v>2</v>
      </c>
      <c r="JYC52">
        <f t="shared" si="339"/>
        <v>2</v>
      </c>
      <c r="JYD52">
        <f t="shared" si="339"/>
        <v>2</v>
      </c>
      <c r="JYE52">
        <f t="shared" si="339"/>
        <v>2</v>
      </c>
      <c r="JYF52">
        <f t="shared" si="339"/>
        <v>2</v>
      </c>
      <c r="JYG52">
        <f t="shared" si="339"/>
        <v>2</v>
      </c>
      <c r="JYH52">
        <f t="shared" si="339"/>
        <v>2</v>
      </c>
      <c r="JYI52">
        <f t="shared" si="339"/>
        <v>2</v>
      </c>
      <c r="JYJ52">
        <f t="shared" si="339"/>
        <v>2</v>
      </c>
      <c r="JYK52">
        <f t="shared" si="339"/>
        <v>2</v>
      </c>
      <c r="JYL52">
        <f t="shared" si="339"/>
        <v>2</v>
      </c>
      <c r="JYM52">
        <f t="shared" si="339"/>
        <v>2</v>
      </c>
      <c r="JYN52">
        <f t="shared" si="339"/>
        <v>2</v>
      </c>
      <c r="JYO52">
        <f t="shared" si="339"/>
        <v>2</v>
      </c>
      <c r="JYP52">
        <f t="shared" si="339"/>
        <v>2</v>
      </c>
      <c r="JYQ52">
        <f t="shared" si="339"/>
        <v>2</v>
      </c>
      <c r="JYR52">
        <f t="shared" si="339"/>
        <v>2</v>
      </c>
      <c r="JYS52">
        <f t="shared" si="339"/>
        <v>2</v>
      </c>
      <c r="JYT52">
        <f t="shared" si="339"/>
        <v>2</v>
      </c>
      <c r="JYU52">
        <f t="shared" si="339"/>
        <v>2</v>
      </c>
      <c r="JYV52">
        <f t="shared" si="339"/>
        <v>2</v>
      </c>
      <c r="JYW52">
        <f t="shared" si="339"/>
        <v>2</v>
      </c>
      <c r="JYX52">
        <f t="shared" si="339"/>
        <v>2</v>
      </c>
      <c r="JYY52">
        <f t="shared" si="339"/>
        <v>2</v>
      </c>
      <c r="JYZ52">
        <f t="shared" si="339"/>
        <v>2</v>
      </c>
      <c r="JZA52">
        <f t="shared" si="339"/>
        <v>2</v>
      </c>
      <c r="JZB52">
        <f t="shared" si="339"/>
        <v>2</v>
      </c>
      <c r="JZC52">
        <f t="shared" si="339"/>
        <v>2</v>
      </c>
      <c r="JZD52">
        <f t="shared" si="339"/>
        <v>2</v>
      </c>
      <c r="JZE52">
        <f t="shared" si="339"/>
        <v>2</v>
      </c>
      <c r="JZF52">
        <f t="shared" si="339"/>
        <v>2</v>
      </c>
      <c r="JZG52">
        <f t="shared" si="339"/>
        <v>2</v>
      </c>
      <c r="JZH52">
        <f t="shared" si="339"/>
        <v>2</v>
      </c>
      <c r="JZI52">
        <f t="shared" si="339"/>
        <v>2</v>
      </c>
      <c r="JZJ52">
        <f t="shared" si="339"/>
        <v>2</v>
      </c>
      <c r="JZK52">
        <f t="shared" si="339"/>
        <v>2</v>
      </c>
      <c r="JZL52">
        <f t="shared" si="339"/>
        <v>2</v>
      </c>
      <c r="JZM52">
        <f t="shared" si="339"/>
        <v>2</v>
      </c>
      <c r="JZN52">
        <f t="shared" si="339"/>
        <v>2</v>
      </c>
      <c r="JZO52">
        <f t="shared" si="339"/>
        <v>2</v>
      </c>
      <c r="JZP52">
        <f t="shared" si="339"/>
        <v>2</v>
      </c>
      <c r="JZQ52">
        <f t="shared" si="339"/>
        <v>2</v>
      </c>
      <c r="JZR52">
        <f t="shared" si="339"/>
        <v>2</v>
      </c>
      <c r="JZS52">
        <f t="shared" si="339"/>
        <v>2</v>
      </c>
      <c r="JZT52">
        <f t="shared" si="339"/>
        <v>2</v>
      </c>
      <c r="JZU52">
        <f t="shared" si="339"/>
        <v>2</v>
      </c>
      <c r="JZV52">
        <f t="shared" si="339"/>
        <v>2</v>
      </c>
      <c r="JZW52">
        <f t="shared" si="339"/>
        <v>2</v>
      </c>
      <c r="JZX52">
        <f t="shared" si="339"/>
        <v>2</v>
      </c>
      <c r="JZY52">
        <f t="shared" si="339"/>
        <v>2</v>
      </c>
      <c r="JZZ52">
        <f t="shared" si="339"/>
        <v>2</v>
      </c>
      <c r="KAA52">
        <f t="shared" ref="KAA52:KCL52" si="340">COUNTBLANK(KAA2:KAA5)</f>
        <v>2</v>
      </c>
      <c r="KAB52">
        <f t="shared" si="340"/>
        <v>2</v>
      </c>
      <c r="KAC52">
        <f t="shared" si="340"/>
        <v>2</v>
      </c>
      <c r="KAD52">
        <f t="shared" si="340"/>
        <v>2</v>
      </c>
      <c r="KAE52">
        <f t="shared" si="340"/>
        <v>2</v>
      </c>
      <c r="KAF52">
        <f t="shared" si="340"/>
        <v>2</v>
      </c>
      <c r="KAG52">
        <f t="shared" si="340"/>
        <v>2</v>
      </c>
      <c r="KAH52">
        <f t="shared" si="340"/>
        <v>2</v>
      </c>
      <c r="KAI52">
        <f t="shared" si="340"/>
        <v>2</v>
      </c>
      <c r="KAJ52">
        <f t="shared" si="340"/>
        <v>2</v>
      </c>
      <c r="KAK52">
        <f t="shared" si="340"/>
        <v>2</v>
      </c>
      <c r="KAL52">
        <f t="shared" si="340"/>
        <v>2</v>
      </c>
      <c r="KAM52">
        <f t="shared" si="340"/>
        <v>2</v>
      </c>
      <c r="KAN52">
        <f t="shared" si="340"/>
        <v>2</v>
      </c>
      <c r="KAO52">
        <f t="shared" si="340"/>
        <v>2</v>
      </c>
      <c r="KAP52">
        <f t="shared" si="340"/>
        <v>2</v>
      </c>
      <c r="KAQ52">
        <f t="shared" si="340"/>
        <v>2</v>
      </c>
      <c r="KAR52">
        <f t="shared" si="340"/>
        <v>2</v>
      </c>
      <c r="KAS52">
        <f t="shared" si="340"/>
        <v>2</v>
      </c>
      <c r="KAT52">
        <f t="shared" si="340"/>
        <v>2</v>
      </c>
      <c r="KAU52">
        <f t="shared" si="340"/>
        <v>2</v>
      </c>
      <c r="KAV52">
        <f t="shared" si="340"/>
        <v>2</v>
      </c>
      <c r="KAW52">
        <f t="shared" si="340"/>
        <v>2</v>
      </c>
      <c r="KAX52">
        <f t="shared" si="340"/>
        <v>2</v>
      </c>
      <c r="KAY52">
        <f t="shared" si="340"/>
        <v>2</v>
      </c>
      <c r="KAZ52">
        <f t="shared" si="340"/>
        <v>2</v>
      </c>
      <c r="KBA52">
        <f t="shared" si="340"/>
        <v>2</v>
      </c>
      <c r="KBB52">
        <f t="shared" si="340"/>
        <v>2</v>
      </c>
      <c r="KBC52">
        <f t="shared" si="340"/>
        <v>2</v>
      </c>
      <c r="KBD52">
        <f t="shared" si="340"/>
        <v>2</v>
      </c>
      <c r="KBE52">
        <f t="shared" si="340"/>
        <v>2</v>
      </c>
      <c r="KBF52">
        <f t="shared" si="340"/>
        <v>2</v>
      </c>
      <c r="KBG52">
        <f t="shared" si="340"/>
        <v>2</v>
      </c>
      <c r="KBH52">
        <f t="shared" si="340"/>
        <v>2</v>
      </c>
      <c r="KBI52">
        <f t="shared" si="340"/>
        <v>2</v>
      </c>
      <c r="KBJ52">
        <f t="shared" si="340"/>
        <v>2</v>
      </c>
      <c r="KBK52">
        <f t="shared" si="340"/>
        <v>2</v>
      </c>
      <c r="KBL52">
        <f t="shared" si="340"/>
        <v>2</v>
      </c>
      <c r="KBM52">
        <f t="shared" si="340"/>
        <v>2</v>
      </c>
      <c r="KBN52">
        <f t="shared" si="340"/>
        <v>2</v>
      </c>
      <c r="KBO52">
        <f t="shared" si="340"/>
        <v>2</v>
      </c>
      <c r="KBP52">
        <f t="shared" si="340"/>
        <v>2</v>
      </c>
      <c r="KBQ52">
        <f t="shared" si="340"/>
        <v>2</v>
      </c>
      <c r="KBR52">
        <f t="shared" si="340"/>
        <v>2</v>
      </c>
      <c r="KBS52">
        <f t="shared" si="340"/>
        <v>2</v>
      </c>
      <c r="KBT52">
        <f t="shared" si="340"/>
        <v>2</v>
      </c>
      <c r="KBU52">
        <f t="shared" si="340"/>
        <v>2</v>
      </c>
      <c r="KBV52">
        <f t="shared" si="340"/>
        <v>2</v>
      </c>
      <c r="KBW52">
        <f t="shared" si="340"/>
        <v>2</v>
      </c>
      <c r="KBX52">
        <f t="shared" si="340"/>
        <v>2</v>
      </c>
      <c r="KBY52">
        <f t="shared" si="340"/>
        <v>2</v>
      </c>
      <c r="KBZ52">
        <f t="shared" si="340"/>
        <v>2</v>
      </c>
      <c r="KCA52">
        <f t="shared" si="340"/>
        <v>2</v>
      </c>
      <c r="KCB52">
        <f t="shared" si="340"/>
        <v>3</v>
      </c>
      <c r="KCC52">
        <f t="shared" si="340"/>
        <v>3</v>
      </c>
      <c r="KCD52">
        <f t="shared" si="340"/>
        <v>3</v>
      </c>
      <c r="KCE52">
        <f t="shared" si="340"/>
        <v>3</v>
      </c>
      <c r="KCF52">
        <f t="shared" si="340"/>
        <v>3</v>
      </c>
      <c r="KCG52">
        <f t="shared" si="340"/>
        <v>3</v>
      </c>
      <c r="KCH52">
        <f t="shared" si="340"/>
        <v>3</v>
      </c>
      <c r="KCI52">
        <f t="shared" si="340"/>
        <v>3</v>
      </c>
      <c r="KCJ52">
        <f t="shared" si="340"/>
        <v>3</v>
      </c>
      <c r="KCK52">
        <f t="shared" si="340"/>
        <v>3</v>
      </c>
      <c r="KCL52">
        <f t="shared" si="340"/>
        <v>3</v>
      </c>
      <c r="KCM52">
        <f t="shared" ref="KCM52:KEX52" si="341">COUNTBLANK(KCM2:KCM5)</f>
        <v>3</v>
      </c>
      <c r="KCN52">
        <f t="shared" si="341"/>
        <v>3</v>
      </c>
      <c r="KCO52">
        <f t="shared" si="341"/>
        <v>3</v>
      </c>
      <c r="KCP52">
        <f t="shared" si="341"/>
        <v>3</v>
      </c>
      <c r="KCQ52">
        <f t="shared" si="341"/>
        <v>3</v>
      </c>
      <c r="KCR52">
        <f t="shared" si="341"/>
        <v>3</v>
      </c>
      <c r="KCS52">
        <f t="shared" si="341"/>
        <v>3</v>
      </c>
      <c r="KCT52">
        <f t="shared" si="341"/>
        <v>3</v>
      </c>
      <c r="KCU52">
        <f t="shared" si="341"/>
        <v>3</v>
      </c>
      <c r="KCV52">
        <f t="shared" si="341"/>
        <v>3</v>
      </c>
      <c r="KCW52">
        <f t="shared" si="341"/>
        <v>3</v>
      </c>
      <c r="KCX52">
        <f t="shared" si="341"/>
        <v>4</v>
      </c>
      <c r="KCY52">
        <f t="shared" si="341"/>
        <v>4</v>
      </c>
      <c r="KCZ52">
        <f t="shared" si="341"/>
        <v>4</v>
      </c>
      <c r="KDA52">
        <f t="shared" si="341"/>
        <v>4</v>
      </c>
      <c r="KDB52">
        <f t="shared" si="341"/>
        <v>4</v>
      </c>
      <c r="KDC52">
        <f t="shared" si="341"/>
        <v>4</v>
      </c>
      <c r="KDD52">
        <f t="shared" si="341"/>
        <v>4</v>
      </c>
      <c r="KDE52">
        <f t="shared" si="341"/>
        <v>4</v>
      </c>
      <c r="KDF52">
        <f t="shared" si="341"/>
        <v>4</v>
      </c>
      <c r="KDG52">
        <f t="shared" si="341"/>
        <v>4</v>
      </c>
      <c r="KDH52">
        <f t="shared" si="341"/>
        <v>4</v>
      </c>
      <c r="KDI52">
        <f t="shared" si="341"/>
        <v>4</v>
      </c>
      <c r="KDJ52">
        <f t="shared" si="341"/>
        <v>4</v>
      </c>
      <c r="KDK52">
        <f t="shared" si="341"/>
        <v>4</v>
      </c>
      <c r="KDL52">
        <f t="shared" si="341"/>
        <v>4</v>
      </c>
      <c r="KDM52">
        <f t="shared" si="341"/>
        <v>4</v>
      </c>
      <c r="KDN52">
        <f t="shared" si="341"/>
        <v>4</v>
      </c>
      <c r="KDO52">
        <f t="shared" si="341"/>
        <v>4</v>
      </c>
      <c r="KDP52">
        <f t="shared" si="341"/>
        <v>4</v>
      </c>
      <c r="KDQ52">
        <f t="shared" si="341"/>
        <v>4</v>
      </c>
      <c r="KDR52">
        <f t="shared" si="341"/>
        <v>4</v>
      </c>
      <c r="KDS52">
        <f t="shared" si="341"/>
        <v>4</v>
      </c>
      <c r="KDT52">
        <f t="shared" si="341"/>
        <v>4</v>
      </c>
      <c r="KDU52">
        <f t="shared" si="341"/>
        <v>4</v>
      </c>
      <c r="KDV52">
        <f t="shared" si="341"/>
        <v>4</v>
      </c>
      <c r="KDW52">
        <f t="shared" si="341"/>
        <v>4</v>
      </c>
      <c r="KDX52">
        <f t="shared" si="341"/>
        <v>4</v>
      </c>
      <c r="KDY52">
        <f t="shared" si="341"/>
        <v>4</v>
      </c>
      <c r="KDZ52">
        <f t="shared" si="341"/>
        <v>4</v>
      </c>
      <c r="KEA52">
        <f t="shared" si="341"/>
        <v>4</v>
      </c>
      <c r="KEB52">
        <f t="shared" si="341"/>
        <v>4</v>
      </c>
      <c r="KEC52">
        <f t="shared" si="341"/>
        <v>4</v>
      </c>
      <c r="KED52">
        <f t="shared" si="341"/>
        <v>4</v>
      </c>
      <c r="KEE52">
        <f t="shared" si="341"/>
        <v>4</v>
      </c>
      <c r="KEF52">
        <f t="shared" si="341"/>
        <v>4</v>
      </c>
      <c r="KEG52">
        <f t="shared" si="341"/>
        <v>4</v>
      </c>
      <c r="KEH52">
        <f t="shared" si="341"/>
        <v>4</v>
      </c>
      <c r="KEI52">
        <f t="shared" si="341"/>
        <v>4</v>
      </c>
      <c r="KEJ52">
        <f t="shared" si="341"/>
        <v>4</v>
      </c>
      <c r="KEK52">
        <f t="shared" si="341"/>
        <v>4</v>
      </c>
      <c r="KEL52">
        <f t="shared" si="341"/>
        <v>4</v>
      </c>
      <c r="KEM52">
        <f t="shared" si="341"/>
        <v>4</v>
      </c>
      <c r="KEN52">
        <f t="shared" si="341"/>
        <v>4</v>
      </c>
      <c r="KEO52">
        <f t="shared" si="341"/>
        <v>4</v>
      </c>
      <c r="KEP52">
        <f t="shared" si="341"/>
        <v>4</v>
      </c>
      <c r="KEQ52">
        <f t="shared" si="341"/>
        <v>4</v>
      </c>
      <c r="KER52">
        <f t="shared" si="341"/>
        <v>4</v>
      </c>
      <c r="KES52">
        <f t="shared" si="341"/>
        <v>4</v>
      </c>
      <c r="KET52">
        <f t="shared" si="341"/>
        <v>4</v>
      </c>
      <c r="KEU52">
        <f t="shared" si="341"/>
        <v>4</v>
      </c>
      <c r="KEV52">
        <f t="shared" si="341"/>
        <v>4</v>
      </c>
      <c r="KEW52">
        <f t="shared" si="341"/>
        <v>4</v>
      </c>
      <c r="KEX52">
        <f t="shared" si="341"/>
        <v>4</v>
      </c>
      <c r="KEY52">
        <f t="shared" ref="KEY52:KFV52" si="342">COUNTBLANK(KEY2:KEY5)</f>
        <v>4</v>
      </c>
      <c r="KEZ52">
        <f t="shared" si="342"/>
        <v>4</v>
      </c>
      <c r="KFA52">
        <f t="shared" si="342"/>
        <v>4</v>
      </c>
      <c r="KFB52">
        <f t="shared" si="342"/>
        <v>4</v>
      </c>
      <c r="KFC52">
        <f t="shared" si="342"/>
        <v>4</v>
      </c>
      <c r="KFD52">
        <f t="shared" si="342"/>
        <v>4</v>
      </c>
      <c r="KFE52">
        <f t="shared" si="342"/>
        <v>4</v>
      </c>
      <c r="KFF52">
        <f t="shared" si="342"/>
        <v>4</v>
      </c>
      <c r="KFG52">
        <f t="shared" si="342"/>
        <v>4</v>
      </c>
      <c r="KFH52">
        <f t="shared" si="342"/>
        <v>4</v>
      </c>
      <c r="KFI52">
        <f t="shared" si="342"/>
        <v>4</v>
      </c>
      <c r="KFJ52">
        <f t="shared" si="342"/>
        <v>4</v>
      </c>
      <c r="KFK52">
        <f t="shared" si="342"/>
        <v>4</v>
      </c>
      <c r="KFL52">
        <f t="shared" si="342"/>
        <v>4</v>
      </c>
      <c r="KFM52">
        <f t="shared" si="342"/>
        <v>4</v>
      </c>
      <c r="KFN52">
        <f t="shared" si="342"/>
        <v>4</v>
      </c>
      <c r="KFO52">
        <f t="shared" si="342"/>
        <v>4</v>
      </c>
      <c r="KFP52">
        <f t="shared" si="342"/>
        <v>4</v>
      </c>
      <c r="KFQ52">
        <f t="shared" si="342"/>
        <v>4</v>
      </c>
      <c r="KFR52">
        <f t="shared" si="342"/>
        <v>4</v>
      </c>
      <c r="KFS52">
        <f t="shared" si="342"/>
        <v>4</v>
      </c>
      <c r="KFT52">
        <f t="shared" si="342"/>
        <v>4</v>
      </c>
      <c r="KFU52">
        <f t="shared" si="342"/>
        <v>4</v>
      </c>
      <c r="KFV52">
        <f t="shared" si="342"/>
        <v>4</v>
      </c>
      <c r="KFW5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613"/>
  <sheetViews>
    <sheetView zoomScale="59" zoomScaleNormal="59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P1" sqref="P1"/>
    </sheetView>
  </sheetViews>
  <sheetFormatPr defaultColWidth="4.296875" defaultRowHeight="13.8"/>
  <cols>
    <col min="1" max="1" width="9.8984375" bestFit="1" customWidth="1"/>
    <col min="17" max="17" width="4.3984375" customWidth="1"/>
    <col min="46" max="49" width="5.3984375" customWidth="1"/>
  </cols>
  <sheetData>
    <row r="1" spans="1:49" s="4" customFormat="1" ht="85.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44</v>
      </c>
      <c r="G1" s="4" t="s">
        <v>43</v>
      </c>
      <c r="H1" s="4" t="s">
        <v>42</v>
      </c>
      <c r="I1" s="4" t="s">
        <v>41</v>
      </c>
      <c r="J1" s="5" t="s">
        <v>5</v>
      </c>
      <c r="K1" s="4" t="s">
        <v>6</v>
      </c>
      <c r="L1" s="4" t="s">
        <v>7</v>
      </c>
      <c r="M1" s="4" t="s">
        <v>45</v>
      </c>
      <c r="N1" s="4" t="s">
        <v>8</v>
      </c>
      <c r="O1" s="4" t="s">
        <v>23</v>
      </c>
      <c r="P1" s="4" t="s">
        <v>7632</v>
      </c>
      <c r="Q1" s="4" t="s">
        <v>24</v>
      </c>
      <c r="R1" s="4" t="s">
        <v>9</v>
      </c>
      <c r="S1" s="4" t="s">
        <v>25</v>
      </c>
      <c r="T1" s="4" t="s">
        <v>10</v>
      </c>
      <c r="U1" s="4" t="s">
        <v>26</v>
      </c>
      <c r="V1" s="4" t="s">
        <v>11</v>
      </c>
      <c r="W1" s="4" t="s">
        <v>27</v>
      </c>
      <c r="X1" s="4" t="s">
        <v>12</v>
      </c>
      <c r="Y1" s="4" t="s">
        <v>28</v>
      </c>
      <c r="Z1" s="4" t="s">
        <v>13</v>
      </c>
      <c r="AA1" s="4" t="s">
        <v>29</v>
      </c>
      <c r="AB1" s="4" t="s">
        <v>14</v>
      </c>
      <c r="AC1" s="4" t="s">
        <v>30</v>
      </c>
      <c r="AD1" s="4" t="s">
        <v>15</v>
      </c>
      <c r="AE1" s="4" t="s">
        <v>31</v>
      </c>
      <c r="AF1" s="4" t="s">
        <v>16</v>
      </c>
      <c r="AG1" s="4" t="s">
        <v>32</v>
      </c>
      <c r="AH1" s="4" t="s">
        <v>17</v>
      </c>
      <c r="AI1" s="4" t="s">
        <v>33</v>
      </c>
      <c r="AJ1" s="4" t="s">
        <v>18</v>
      </c>
      <c r="AK1" s="4" t="s">
        <v>34</v>
      </c>
      <c r="AL1" s="4" t="s">
        <v>19</v>
      </c>
      <c r="AM1" s="4" t="s">
        <v>35</v>
      </c>
      <c r="AN1" s="4" t="s">
        <v>20</v>
      </c>
      <c r="AO1" s="4" t="s">
        <v>36</v>
      </c>
      <c r="AP1" s="4" t="s">
        <v>21</v>
      </c>
      <c r="AQ1" s="4" t="s">
        <v>37</v>
      </c>
      <c r="AR1" s="4" t="s">
        <v>22</v>
      </c>
      <c r="AS1" s="4" t="s">
        <v>38</v>
      </c>
      <c r="AT1" s="4" t="s">
        <v>39</v>
      </c>
      <c r="AU1" s="4" t="s">
        <v>40</v>
      </c>
      <c r="AV1" s="4" t="s">
        <v>46</v>
      </c>
      <c r="AW1" s="4" t="s">
        <v>7593</v>
      </c>
    </row>
    <row r="2" spans="1:49">
      <c r="A2" s="3">
        <v>1.1574074074074073E-5</v>
      </c>
    </row>
    <row r="3" spans="1:49">
      <c r="A3" s="3">
        <v>2.3148148148148147E-5</v>
      </c>
    </row>
    <row r="4" spans="1:49">
      <c r="A4" s="3">
        <v>3.4722222222222202E-5</v>
      </c>
    </row>
    <row r="5" spans="1:49">
      <c r="A5" s="3">
        <v>4.6296296296296301E-5</v>
      </c>
    </row>
    <row r="6" spans="1:49">
      <c r="A6" s="3">
        <v>5.78703703703704E-5</v>
      </c>
    </row>
    <row r="7" spans="1:49">
      <c r="A7" s="3">
        <v>6.9444444444444499E-5</v>
      </c>
    </row>
    <row r="8" spans="1:49">
      <c r="A8" s="3">
        <v>8.1018518518518503E-5</v>
      </c>
    </row>
    <row r="9" spans="1:49">
      <c r="A9" s="3">
        <v>9.2592592592592602E-5</v>
      </c>
    </row>
    <row r="10" spans="1:49">
      <c r="A10" s="3">
        <v>1.04166666666667E-4</v>
      </c>
    </row>
    <row r="11" spans="1:49">
      <c r="A11" s="3">
        <v>1.15740740740741E-4</v>
      </c>
    </row>
    <row r="12" spans="1:49">
      <c r="A12" s="3">
        <v>1.2731481481481499E-4</v>
      </c>
    </row>
    <row r="13" spans="1:49">
      <c r="A13" s="3">
        <v>1.38888888888889E-4</v>
      </c>
    </row>
    <row r="14" spans="1:49">
      <c r="A14" s="3">
        <v>1.50462962962963E-4</v>
      </c>
    </row>
    <row r="15" spans="1:49">
      <c r="A15" s="3">
        <v>1.6203703703703701E-4</v>
      </c>
    </row>
    <row r="16" spans="1:49">
      <c r="A16" s="3">
        <v>1.7361111111111101E-4</v>
      </c>
    </row>
    <row r="17" spans="1:1">
      <c r="A17" s="3">
        <v>1.8518518518518501E-4</v>
      </c>
    </row>
    <row r="18" spans="1:1">
      <c r="A18" s="3">
        <v>1.9675925925925899E-4</v>
      </c>
    </row>
    <row r="19" spans="1:1">
      <c r="A19" s="3">
        <v>2.0833333333333299E-4</v>
      </c>
    </row>
    <row r="20" spans="1:1">
      <c r="A20" s="3">
        <v>2.19907407407407E-4</v>
      </c>
    </row>
    <row r="21" spans="1:1">
      <c r="A21" s="3">
        <v>2.31481481481481E-4</v>
      </c>
    </row>
    <row r="22" spans="1:1">
      <c r="A22" s="3">
        <v>2.4305555555555501E-4</v>
      </c>
    </row>
    <row r="23" spans="1:1">
      <c r="A23" s="3">
        <v>2.5462962962962999E-4</v>
      </c>
    </row>
    <row r="24" spans="1:1">
      <c r="A24" s="3">
        <v>2.6620370370370399E-4</v>
      </c>
    </row>
    <row r="25" spans="1:1">
      <c r="A25" s="3">
        <v>2.7777777777777799E-4</v>
      </c>
    </row>
    <row r="26" spans="1:1">
      <c r="A26" s="3">
        <v>2.89351851851852E-4</v>
      </c>
    </row>
    <row r="27" spans="1:1">
      <c r="A27" s="3">
        <v>3.00925925925926E-4</v>
      </c>
    </row>
    <row r="28" spans="1:1">
      <c r="A28" s="3">
        <v>3.1250000000000001E-4</v>
      </c>
    </row>
    <row r="29" spans="1:1">
      <c r="A29" s="3">
        <v>3.2407407407407401E-4</v>
      </c>
    </row>
    <row r="30" spans="1:1">
      <c r="A30" s="3">
        <v>3.3564814814814801E-4</v>
      </c>
    </row>
    <row r="31" spans="1:1">
      <c r="A31" s="3">
        <v>3.4722222222222202E-4</v>
      </c>
    </row>
    <row r="32" spans="1:1">
      <c r="A32" s="3">
        <v>3.5879629629629602E-4</v>
      </c>
    </row>
    <row r="33" spans="1:47">
      <c r="A33" s="3">
        <v>3.7037037037037003E-4</v>
      </c>
    </row>
    <row r="34" spans="1:47">
      <c r="A34" s="3">
        <v>3.8194444444444398E-4</v>
      </c>
    </row>
    <row r="35" spans="1:47">
      <c r="A35" s="3">
        <v>3.9351851851851798E-4</v>
      </c>
      <c r="B35">
        <v>1</v>
      </c>
      <c r="AU35">
        <v>1</v>
      </c>
    </row>
    <row r="36" spans="1:47">
      <c r="A36" s="3" t="s">
        <v>7598</v>
      </c>
      <c r="B36">
        <v>1</v>
      </c>
      <c r="AU36">
        <v>1</v>
      </c>
    </row>
    <row r="37" spans="1:47">
      <c r="A37" s="3" t="s">
        <v>7599</v>
      </c>
      <c r="B37">
        <v>1</v>
      </c>
      <c r="AU37">
        <v>1</v>
      </c>
    </row>
    <row r="38" spans="1:47">
      <c r="A38" s="3" t="s">
        <v>7600</v>
      </c>
      <c r="B38">
        <v>1</v>
      </c>
      <c r="AU38">
        <v>1</v>
      </c>
    </row>
    <row r="39" spans="1:47">
      <c r="A39" s="3" t="s">
        <v>7601</v>
      </c>
      <c r="B39">
        <v>1</v>
      </c>
      <c r="AU39">
        <v>1</v>
      </c>
    </row>
    <row r="40" spans="1:47">
      <c r="A40" s="3" t="s">
        <v>7602</v>
      </c>
      <c r="B40">
        <v>1</v>
      </c>
      <c r="AU40">
        <v>1</v>
      </c>
    </row>
    <row r="41" spans="1:47">
      <c r="A41" s="3" t="s">
        <v>7603</v>
      </c>
      <c r="B41">
        <v>1</v>
      </c>
      <c r="AU41">
        <v>1</v>
      </c>
    </row>
    <row r="42" spans="1:47">
      <c r="A42" s="3" t="s">
        <v>7604</v>
      </c>
      <c r="B42">
        <v>1</v>
      </c>
      <c r="AU42">
        <v>1</v>
      </c>
    </row>
    <row r="43" spans="1:47">
      <c r="A43" s="3" t="s">
        <v>7605</v>
      </c>
      <c r="B43">
        <v>1</v>
      </c>
      <c r="AU43">
        <v>1</v>
      </c>
    </row>
    <row r="44" spans="1:47">
      <c r="A44" s="3" t="s">
        <v>7606</v>
      </c>
      <c r="B44">
        <v>1</v>
      </c>
      <c r="AU44">
        <v>1</v>
      </c>
    </row>
    <row r="45" spans="1:47">
      <c r="A45" s="3" t="s">
        <v>7607</v>
      </c>
      <c r="B45">
        <v>1</v>
      </c>
      <c r="AU45">
        <v>1</v>
      </c>
    </row>
    <row r="46" spans="1:47">
      <c r="A46" s="3" t="s">
        <v>7608</v>
      </c>
      <c r="B46">
        <v>1</v>
      </c>
      <c r="AU46">
        <v>1</v>
      </c>
    </row>
    <row r="47" spans="1:47">
      <c r="A47" s="3" t="s">
        <v>7609</v>
      </c>
      <c r="B47">
        <v>1</v>
      </c>
      <c r="AU47">
        <v>1</v>
      </c>
    </row>
    <row r="48" spans="1:47">
      <c r="A48" s="3" t="s">
        <v>7610</v>
      </c>
      <c r="B48">
        <v>1</v>
      </c>
      <c r="AU48">
        <v>1</v>
      </c>
    </row>
    <row r="49" spans="1:47">
      <c r="A49" s="3" t="s">
        <v>7611</v>
      </c>
      <c r="B49">
        <v>1</v>
      </c>
      <c r="AU49">
        <v>1</v>
      </c>
    </row>
    <row r="50" spans="1:47">
      <c r="A50" s="3" t="s">
        <v>7612</v>
      </c>
      <c r="B50">
        <v>1</v>
      </c>
      <c r="AU50">
        <v>1</v>
      </c>
    </row>
    <row r="51" spans="1:47">
      <c r="A51" s="3" t="s">
        <v>7613</v>
      </c>
      <c r="B51">
        <v>1</v>
      </c>
      <c r="AU51">
        <v>1</v>
      </c>
    </row>
    <row r="52" spans="1:47">
      <c r="A52" s="3" t="s">
        <v>7614</v>
      </c>
      <c r="B52">
        <v>1</v>
      </c>
      <c r="AU52">
        <v>1</v>
      </c>
    </row>
    <row r="53" spans="1:47">
      <c r="A53" s="3" t="s">
        <v>7615</v>
      </c>
      <c r="B53">
        <v>1</v>
      </c>
      <c r="AU53">
        <v>1</v>
      </c>
    </row>
    <row r="54" spans="1:47">
      <c r="A54" s="3" t="s">
        <v>7616</v>
      </c>
      <c r="B54">
        <v>1</v>
      </c>
      <c r="J54">
        <v>1</v>
      </c>
    </row>
    <row r="55" spans="1:47">
      <c r="A55" s="3" t="s">
        <v>7617</v>
      </c>
      <c r="B55">
        <v>1</v>
      </c>
      <c r="J55">
        <v>1</v>
      </c>
    </row>
    <row r="56" spans="1:47">
      <c r="A56" s="3" t="s">
        <v>7618</v>
      </c>
      <c r="B56">
        <v>1</v>
      </c>
      <c r="J56">
        <v>1</v>
      </c>
    </row>
    <row r="57" spans="1:47">
      <c r="A57" s="3" t="s">
        <v>7619</v>
      </c>
      <c r="B57">
        <v>1</v>
      </c>
      <c r="J57">
        <v>1</v>
      </c>
    </row>
    <row r="58" spans="1:47">
      <c r="A58" s="3" t="s">
        <v>7619</v>
      </c>
      <c r="B58">
        <v>1</v>
      </c>
      <c r="J58">
        <v>1</v>
      </c>
    </row>
    <row r="59" spans="1:47">
      <c r="A59" s="3" t="s">
        <v>7620</v>
      </c>
      <c r="B59">
        <v>1</v>
      </c>
      <c r="J59">
        <v>1</v>
      </c>
    </row>
    <row r="60" spans="1:47">
      <c r="A60" s="3" t="s">
        <v>7621</v>
      </c>
      <c r="B60">
        <v>1</v>
      </c>
      <c r="J60">
        <v>1</v>
      </c>
    </row>
    <row r="61" spans="1:47">
      <c r="A61" s="3" t="s">
        <v>7622</v>
      </c>
      <c r="B61">
        <v>1</v>
      </c>
      <c r="J61">
        <v>1</v>
      </c>
    </row>
    <row r="62" spans="1:47">
      <c r="A62" s="3" t="s">
        <v>7623</v>
      </c>
      <c r="B62">
        <v>1</v>
      </c>
      <c r="J62">
        <v>1</v>
      </c>
    </row>
    <row r="63" spans="1:47">
      <c r="A63" s="3" t="s">
        <v>7624</v>
      </c>
      <c r="B63">
        <v>1</v>
      </c>
      <c r="J63">
        <v>1</v>
      </c>
    </row>
    <row r="64" spans="1:47">
      <c r="A64" s="3" t="s">
        <v>7625</v>
      </c>
      <c r="B64">
        <v>1</v>
      </c>
      <c r="J64">
        <v>1</v>
      </c>
    </row>
    <row r="65" spans="1:11">
      <c r="A65" s="3" t="s">
        <v>7626</v>
      </c>
      <c r="B65">
        <v>1</v>
      </c>
      <c r="J65">
        <v>1</v>
      </c>
    </row>
    <row r="66" spans="1:11">
      <c r="A66" s="3" t="s">
        <v>7627</v>
      </c>
      <c r="B66">
        <v>1</v>
      </c>
      <c r="J66">
        <v>1</v>
      </c>
    </row>
    <row r="67" spans="1:11">
      <c r="A67" s="3" t="s">
        <v>7628</v>
      </c>
      <c r="B67">
        <v>1</v>
      </c>
      <c r="J67">
        <v>1</v>
      </c>
    </row>
    <row r="68" spans="1:11">
      <c r="A68" s="3" t="s">
        <v>7629</v>
      </c>
      <c r="B68">
        <v>1</v>
      </c>
      <c r="J68">
        <v>1</v>
      </c>
    </row>
    <row r="69" spans="1:11">
      <c r="A69" s="3" t="s">
        <v>7630</v>
      </c>
      <c r="B69">
        <v>1</v>
      </c>
      <c r="J69">
        <v>1</v>
      </c>
    </row>
    <row r="70" spans="1:11">
      <c r="A70" s="3" t="s">
        <v>7631</v>
      </c>
      <c r="B70">
        <v>1</v>
      </c>
      <c r="J70">
        <v>1</v>
      </c>
    </row>
    <row r="71" spans="1:11">
      <c r="A71" s="3" t="s">
        <v>47</v>
      </c>
      <c r="B71">
        <v>1</v>
      </c>
      <c r="J71">
        <v>1</v>
      </c>
    </row>
    <row r="72" spans="1:11">
      <c r="A72" s="3" t="s">
        <v>52</v>
      </c>
      <c r="B72">
        <v>1</v>
      </c>
      <c r="K72">
        <v>1</v>
      </c>
    </row>
    <row r="73" spans="1:11">
      <c r="A73" s="3" t="s">
        <v>53</v>
      </c>
      <c r="B73">
        <v>1</v>
      </c>
      <c r="K73">
        <v>1</v>
      </c>
    </row>
    <row r="74" spans="1:11">
      <c r="A74" s="3" t="s">
        <v>54</v>
      </c>
      <c r="B74">
        <v>1</v>
      </c>
      <c r="K74">
        <v>1</v>
      </c>
    </row>
    <row r="75" spans="1:11">
      <c r="A75" s="3" t="s">
        <v>55</v>
      </c>
      <c r="B75">
        <v>1</v>
      </c>
      <c r="K75">
        <v>1</v>
      </c>
    </row>
    <row r="76" spans="1:11">
      <c r="A76" s="3" t="s">
        <v>56</v>
      </c>
      <c r="B76">
        <v>1</v>
      </c>
      <c r="K76">
        <v>1</v>
      </c>
    </row>
    <row r="77" spans="1:11">
      <c r="A77" s="3" t="s">
        <v>57</v>
      </c>
      <c r="B77">
        <v>1</v>
      </c>
      <c r="K77">
        <v>1</v>
      </c>
    </row>
    <row r="78" spans="1:11">
      <c r="A78" s="3" t="s">
        <v>58</v>
      </c>
      <c r="B78">
        <v>1</v>
      </c>
      <c r="K78">
        <v>1</v>
      </c>
    </row>
    <row r="79" spans="1:11">
      <c r="A79" s="3" t="s">
        <v>59</v>
      </c>
      <c r="B79">
        <v>1</v>
      </c>
      <c r="K79">
        <v>1</v>
      </c>
    </row>
    <row r="80" spans="1:11">
      <c r="A80" s="3" t="s">
        <v>60</v>
      </c>
      <c r="B80">
        <v>1</v>
      </c>
      <c r="K80">
        <v>1</v>
      </c>
    </row>
    <row r="81" spans="1:11">
      <c r="A81" s="3" t="s">
        <v>61</v>
      </c>
      <c r="B81">
        <v>1</v>
      </c>
      <c r="K81">
        <v>1</v>
      </c>
    </row>
    <row r="82" spans="1:11">
      <c r="A82" s="3" t="s">
        <v>62</v>
      </c>
      <c r="B82">
        <v>1</v>
      </c>
      <c r="K82">
        <v>1</v>
      </c>
    </row>
    <row r="83" spans="1:11">
      <c r="A83" s="3" t="s">
        <v>63</v>
      </c>
      <c r="B83">
        <v>1</v>
      </c>
      <c r="K83">
        <v>1</v>
      </c>
    </row>
    <row r="84" spans="1:11">
      <c r="A84" s="3" t="s">
        <v>64</v>
      </c>
      <c r="B84">
        <v>1</v>
      </c>
      <c r="K84">
        <v>1</v>
      </c>
    </row>
    <row r="85" spans="1:11">
      <c r="A85" s="3" t="s">
        <v>65</v>
      </c>
      <c r="B85">
        <v>1</v>
      </c>
      <c r="K85">
        <v>1</v>
      </c>
    </row>
    <row r="86" spans="1:11">
      <c r="A86" s="3" t="s">
        <v>48</v>
      </c>
      <c r="B86">
        <v>1</v>
      </c>
      <c r="K86">
        <v>1</v>
      </c>
    </row>
    <row r="87" spans="1:11">
      <c r="A87" s="3" t="s">
        <v>66</v>
      </c>
      <c r="B87">
        <v>1</v>
      </c>
      <c r="K87">
        <v>1</v>
      </c>
    </row>
    <row r="88" spans="1:11">
      <c r="A88" s="3" t="s">
        <v>67</v>
      </c>
      <c r="B88">
        <v>1</v>
      </c>
      <c r="K88">
        <v>1</v>
      </c>
    </row>
    <row r="89" spans="1:11">
      <c r="A89" s="3" t="s">
        <v>68</v>
      </c>
      <c r="B89">
        <v>1</v>
      </c>
      <c r="K89">
        <v>1</v>
      </c>
    </row>
    <row r="90" spans="1:11">
      <c r="A90" s="3" t="s">
        <v>69</v>
      </c>
      <c r="B90">
        <v>1</v>
      </c>
      <c r="K90">
        <v>1</v>
      </c>
    </row>
    <row r="91" spans="1:11">
      <c r="A91" s="3" t="s">
        <v>70</v>
      </c>
      <c r="B91">
        <v>1</v>
      </c>
      <c r="K91">
        <v>1</v>
      </c>
    </row>
    <row r="92" spans="1:11">
      <c r="A92" s="3" t="s">
        <v>71</v>
      </c>
      <c r="B92">
        <v>1</v>
      </c>
      <c r="K92">
        <v>1</v>
      </c>
    </row>
    <row r="93" spans="1:11">
      <c r="A93" s="3" t="s">
        <v>72</v>
      </c>
      <c r="B93">
        <v>1</v>
      </c>
      <c r="K93">
        <v>1</v>
      </c>
    </row>
    <row r="94" spans="1:11">
      <c r="A94" s="3" t="s">
        <v>73</v>
      </c>
      <c r="B94">
        <v>1</v>
      </c>
      <c r="K94">
        <v>1</v>
      </c>
    </row>
    <row r="95" spans="1:11">
      <c r="A95" s="3" t="s">
        <v>74</v>
      </c>
      <c r="B95">
        <v>1</v>
      </c>
      <c r="K95">
        <v>1</v>
      </c>
    </row>
    <row r="96" spans="1:11">
      <c r="A96" s="3" t="s">
        <v>75</v>
      </c>
      <c r="B96">
        <v>1</v>
      </c>
      <c r="K96">
        <v>1</v>
      </c>
    </row>
    <row r="97" spans="1:11">
      <c r="A97" s="3" t="s">
        <v>76</v>
      </c>
      <c r="B97">
        <v>1</v>
      </c>
      <c r="K97">
        <v>1</v>
      </c>
    </row>
    <row r="98" spans="1:11">
      <c r="A98" s="3" t="s">
        <v>49</v>
      </c>
      <c r="B98">
        <v>1</v>
      </c>
      <c r="K98">
        <v>1</v>
      </c>
    </row>
    <row r="99" spans="1:11">
      <c r="A99" s="3" t="s">
        <v>77</v>
      </c>
      <c r="B99">
        <v>1</v>
      </c>
      <c r="K99">
        <v>1</v>
      </c>
    </row>
    <row r="100" spans="1:11">
      <c r="A100" s="3" t="s">
        <v>78</v>
      </c>
      <c r="B100">
        <v>1</v>
      </c>
      <c r="K100">
        <v>1</v>
      </c>
    </row>
    <row r="101" spans="1:11">
      <c r="A101" s="3" t="s">
        <v>79</v>
      </c>
      <c r="B101">
        <v>1</v>
      </c>
      <c r="K101">
        <v>1</v>
      </c>
    </row>
    <row r="102" spans="1:11">
      <c r="A102" s="3" t="s">
        <v>80</v>
      </c>
      <c r="B102">
        <v>1</v>
      </c>
      <c r="K102">
        <v>1</v>
      </c>
    </row>
    <row r="103" spans="1:11">
      <c r="A103" s="3" t="s">
        <v>50</v>
      </c>
      <c r="B103">
        <v>1</v>
      </c>
      <c r="K103">
        <v>1</v>
      </c>
    </row>
    <row r="104" spans="1:11">
      <c r="A104" s="3" t="s">
        <v>81</v>
      </c>
      <c r="B104">
        <v>1</v>
      </c>
      <c r="K104">
        <v>1</v>
      </c>
    </row>
    <row r="105" spans="1:11">
      <c r="A105" s="3" t="s">
        <v>82</v>
      </c>
      <c r="B105">
        <v>1</v>
      </c>
      <c r="K105">
        <v>1</v>
      </c>
    </row>
    <row r="106" spans="1:11">
      <c r="A106" s="3" t="s">
        <v>83</v>
      </c>
      <c r="B106">
        <v>1</v>
      </c>
      <c r="K106">
        <v>1</v>
      </c>
    </row>
    <row r="107" spans="1:11">
      <c r="A107" s="3" t="s">
        <v>84</v>
      </c>
      <c r="B107">
        <v>1</v>
      </c>
      <c r="K107">
        <v>1</v>
      </c>
    </row>
    <row r="108" spans="1:11">
      <c r="A108" s="3" t="s">
        <v>85</v>
      </c>
      <c r="B108">
        <v>1</v>
      </c>
      <c r="K108">
        <v>1</v>
      </c>
    </row>
    <row r="109" spans="1:11">
      <c r="A109" s="3" t="s">
        <v>86</v>
      </c>
      <c r="B109">
        <v>1</v>
      </c>
      <c r="K109">
        <v>1</v>
      </c>
    </row>
    <row r="110" spans="1:11">
      <c r="A110" s="3" t="s">
        <v>87</v>
      </c>
      <c r="B110">
        <v>1</v>
      </c>
      <c r="K110">
        <v>1</v>
      </c>
    </row>
    <row r="111" spans="1:11">
      <c r="A111" s="3" t="s">
        <v>88</v>
      </c>
      <c r="B111">
        <v>1</v>
      </c>
      <c r="K111">
        <v>1</v>
      </c>
    </row>
    <row r="112" spans="1:11">
      <c r="A112" s="3" t="s">
        <v>89</v>
      </c>
      <c r="B112">
        <v>1</v>
      </c>
      <c r="K112">
        <v>1</v>
      </c>
    </row>
    <row r="113" spans="1:11">
      <c r="A113" s="3" t="s">
        <v>90</v>
      </c>
      <c r="B113">
        <v>1</v>
      </c>
      <c r="K113">
        <v>1</v>
      </c>
    </row>
    <row r="114" spans="1:11">
      <c r="A114" s="3" t="s">
        <v>91</v>
      </c>
      <c r="B114">
        <v>1</v>
      </c>
      <c r="K114">
        <v>1</v>
      </c>
    </row>
    <row r="115" spans="1:11">
      <c r="A115" s="3" t="s">
        <v>92</v>
      </c>
      <c r="B115">
        <v>1</v>
      </c>
      <c r="K115">
        <v>1</v>
      </c>
    </row>
    <row r="116" spans="1:11">
      <c r="A116" s="3" t="s">
        <v>93</v>
      </c>
      <c r="B116">
        <v>1</v>
      </c>
      <c r="K116">
        <v>1</v>
      </c>
    </row>
    <row r="117" spans="1:11">
      <c r="A117" s="3" t="s">
        <v>94</v>
      </c>
      <c r="B117">
        <v>1</v>
      </c>
      <c r="K117">
        <v>1</v>
      </c>
    </row>
    <row r="118" spans="1:11">
      <c r="A118" s="3" t="s">
        <v>95</v>
      </c>
      <c r="B118">
        <v>1</v>
      </c>
      <c r="K118">
        <v>1</v>
      </c>
    </row>
    <row r="119" spans="1:11">
      <c r="A119" s="3" t="s">
        <v>96</v>
      </c>
      <c r="B119">
        <v>1</v>
      </c>
      <c r="K119">
        <v>1</v>
      </c>
    </row>
    <row r="120" spans="1:11">
      <c r="A120" s="3" t="s">
        <v>97</v>
      </c>
      <c r="B120">
        <v>1</v>
      </c>
      <c r="K120">
        <v>1</v>
      </c>
    </row>
    <row r="121" spans="1:11">
      <c r="A121" s="3" t="s">
        <v>98</v>
      </c>
      <c r="B121">
        <v>1</v>
      </c>
      <c r="K121">
        <v>1</v>
      </c>
    </row>
    <row r="122" spans="1:11">
      <c r="A122" s="3" t="s">
        <v>99</v>
      </c>
      <c r="B122">
        <v>1</v>
      </c>
      <c r="K122">
        <v>1</v>
      </c>
    </row>
    <row r="123" spans="1:11">
      <c r="A123" s="3" t="s">
        <v>100</v>
      </c>
      <c r="B123">
        <v>1</v>
      </c>
      <c r="K123">
        <v>1</v>
      </c>
    </row>
    <row r="124" spans="1:11">
      <c r="A124" s="3" t="s">
        <v>101</v>
      </c>
      <c r="B124">
        <v>1</v>
      </c>
      <c r="K124">
        <v>1</v>
      </c>
    </row>
    <row r="125" spans="1:11">
      <c r="A125" s="3" t="s">
        <v>102</v>
      </c>
      <c r="B125">
        <v>1</v>
      </c>
      <c r="K125">
        <v>1</v>
      </c>
    </row>
    <row r="126" spans="1:11">
      <c r="A126" s="3" t="s">
        <v>103</v>
      </c>
      <c r="B126">
        <v>1</v>
      </c>
      <c r="K126">
        <v>1</v>
      </c>
    </row>
    <row r="127" spans="1:11">
      <c r="A127" s="3" t="s">
        <v>104</v>
      </c>
      <c r="B127">
        <v>1</v>
      </c>
      <c r="K127">
        <v>1</v>
      </c>
    </row>
    <row r="128" spans="1:11">
      <c r="A128" s="3" t="s">
        <v>105</v>
      </c>
      <c r="B128">
        <v>1</v>
      </c>
      <c r="K128">
        <v>1</v>
      </c>
    </row>
    <row r="129" spans="1:11">
      <c r="A129" s="3" t="s">
        <v>106</v>
      </c>
      <c r="B129">
        <v>1</v>
      </c>
      <c r="K129">
        <v>1</v>
      </c>
    </row>
    <row r="130" spans="1:11">
      <c r="A130" s="3" t="s">
        <v>107</v>
      </c>
      <c r="B130">
        <v>1</v>
      </c>
      <c r="K130">
        <v>1</v>
      </c>
    </row>
    <row r="131" spans="1:11">
      <c r="A131" s="3" t="s">
        <v>108</v>
      </c>
      <c r="B131">
        <v>1</v>
      </c>
      <c r="K131">
        <v>1</v>
      </c>
    </row>
    <row r="132" spans="1:11">
      <c r="A132" s="3" t="s">
        <v>109</v>
      </c>
      <c r="B132">
        <v>1</v>
      </c>
      <c r="K132">
        <v>1</v>
      </c>
    </row>
    <row r="133" spans="1:11">
      <c r="A133" s="3" t="s">
        <v>110</v>
      </c>
      <c r="B133">
        <v>1</v>
      </c>
      <c r="K133">
        <v>1</v>
      </c>
    </row>
    <row r="134" spans="1:11">
      <c r="A134" s="3" t="s">
        <v>111</v>
      </c>
      <c r="B134">
        <v>1</v>
      </c>
      <c r="K134">
        <v>1</v>
      </c>
    </row>
    <row r="135" spans="1:11">
      <c r="A135" s="3" t="s">
        <v>112</v>
      </c>
      <c r="B135">
        <v>1</v>
      </c>
      <c r="K135">
        <v>1</v>
      </c>
    </row>
    <row r="136" spans="1:11">
      <c r="A136" s="3" t="s">
        <v>113</v>
      </c>
      <c r="B136">
        <v>1</v>
      </c>
      <c r="K136">
        <v>1</v>
      </c>
    </row>
    <row r="137" spans="1:11">
      <c r="A137" s="3" t="s">
        <v>114</v>
      </c>
      <c r="B137">
        <v>1</v>
      </c>
      <c r="K137">
        <v>1</v>
      </c>
    </row>
    <row r="138" spans="1:11">
      <c r="A138" s="3" t="s">
        <v>115</v>
      </c>
      <c r="B138">
        <v>1</v>
      </c>
      <c r="K138">
        <v>1</v>
      </c>
    </row>
    <row r="139" spans="1:11">
      <c r="A139" s="3" t="s">
        <v>116</v>
      </c>
      <c r="B139">
        <v>1</v>
      </c>
      <c r="K139">
        <v>1</v>
      </c>
    </row>
    <row r="140" spans="1:11">
      <c r="A140" s="3" t="s">
        <v>117</v>
      </c>
      <c r="B140">
        <v>1</v>
      </c>
      <c r="K140">
        <v>1</v>
      </c>
    </row>
    <row r="141" spans="1:11">
      <c r="A141" s="3" t="s">
        <v>118</v>
      </c>
      <c r="B141">
        <v>1</v>
      </c>
      <c r="K141">
        <v>1</v>
      </c>
    </row>
    <row r="142" spans="1:11">
      <c r="A142" s="3" t="s">
        <v>119</v>
      </c>
      <c r="B142">
        <v>1</v>
      </c>
      <c r="K142">
        <v>1</v>
      </c>
    </row>
    <row r="143" spans="1:11">
      <c r="A143" s="3" t="s">
        <v>120</v>
      </c>
      <c r="B143">
        <v>1</v>
      </c>
      <c r="K143">
        <v>1</v>
      </c>
    </row>
    <row r="144" spans="1:11">
      <c r="A144" s="3" t="s">
        <v>121</v>
      </c>
      <c r="B144">
        <v>1</v>
      </c>
      <c r="K144">
        <v>1</v>
      </c>
    </row>
    <row r="145" spans="1:49">
      <c r="A145" s="3" t="s">
        <v>122</v>
      </c>
      <c r="B145">
        <v>1</v>
      </c>
      <c r="K145">
        <v>1</v>
      </c>
    </row>
    <row r="146" spans="1:49">
      <c r="A146" s="3" t="s">
        <v>123</v>
      </c>
      <c r="B146">
        <v>1</v>
      </c>
      <c r="K146">
        <v>1</v>
      </c>
    </row>
    <row r="147" spans="1:49">
      <c r="A147" s="3" t="s">
        <v>124</v>
      </c>
      <c r="B147">
        <v>1</v>
      </c>
      <c r="K147">
        <v>1</v>
      </c>
    </row>
    <row r="148" spans="1:49">
      <c r="A148" s="3" t="s">
        <v>125</v>
      </c>
      <c r="B148">
        <v>1</v>
      </c>
      <c r="K148">
        <v>1</v>
      </c>
    </row>
    <row r="149" spans="1:49">
      <c r="A149" s="3" t="s">
        <v>126</v>
      </c>
      <c r="B149">
        <v>1</v>
      </c>
      <c r="K149">
        <v>1</v>
      </c>
    </row>
    <row r="150" spans="1:49">
      <c r="A150" s="3" t="s">
        <v>127</v>
      </c>
      <c r="B150">
        <v>1</v>
      </c>
      <c r="K150">
        <v>1</v>
      </c>
    </row>
    <row r="151" spans="1:49">
      <c r="A151" s="3" t="s">
        <v>128</v>
      </c>
      <c r="B151">
        <v>1</v>
      </c>
      <c r="K151">
        <v>1</v>
      </c>
    </row>
    <row r="152" spans="1:49">
      <c r="A152" s="3" t="s">
        <v>129</v>
      </c>
      <c r="B152">
        <v>1</v>
      </c>
      <c r="K152">
        <v>1</v>
      </c>
    </row>
    <row r="153" spans="1:49">
      <c r="A153" s="3" t="s">
        <v>130</v>
      </c>
      <c r="B153">
        <v>1</v>
      </c>
      <c r="AW153">
        <v>1</v>
      </c>
    </row>
    <row r="154" spans="1:49">
      <c r="A154" s="3" t="s">
        <v>131</v>
      </c>
      <c r="B154">
        <v>1</v>
      </c>
      <c r="AW154">
        <v>1</v>
      </c>
    </row>
    <row r="155" spans="1:49">
      <c r="A155" s="3" t="s">
        <v>132</v>
      </c>
      <c r="B155">
        <v>1</v>
      </c>
      <c r="AW155">
        <v>1</v>
      </c>
    </row>
    <row r="156" spans="1:49">
      <c r="A156" s="3" t="s">
        <v>133</v>
      </c>
      <c r="B156">
        <v>1</v>
      </c>
      <c r="AW156">
        <v>1</v>
      </c>
    </row>
    <row r="157" spans="1:49">
      <c r="A157" s="3" t="s">
        <v>134</v>
      </c>
      <c r="B157">
        <v>1</v>
      </c>
      <c r="AW157">
        <v>1</v>
      </c>
    </row>
    <row r="158" spans="1:49">
      <c r="A158" s="3" t="s">
        <v>51</v>
      </c>
      <c r="B158">
        <v>1</v>
      </c>
      <c r="AW158">
        <v>1</v>
      </c>
    </row>
    <row r="159" spans="1:49">
      <c r="A159" s="3" t="s">
        <v>135</v>
      </c>
      <c r="B159">
        <v>1</v>
      </c>
      <c r="AW159">
        <v>1</v>
      </c>
    </row>
    <row r="160" spans="1:49">
      <c r="A160" s="3" t="s">
        <v>136</v>
      </c>
      <c r="B160">
        <v>1</v>
      </c>
      <c r="AW160">
        <v>1</v>
      </c>
    </row>
    <row r="161" spans="1:49">
      <c r="A161" s="3" t="s">
        <v>137</v>
      </c>
      <c r="B161">
        <v>1</v>
      </c>
      <c r="AW161">
        <v>1</v>
      </c>
    </row>
    <row r="162" spans="1:49">
      <c r="A162" s="3" t="s">
        <v>138</v>
      </c>
      <c r="B162">
        <v>1</v>
      </c>
      <c r="AW162">
        <v>1</v>
      </c>
    </row>
    <row r="163" spans="1:49">
      <c r="A163" s="3" t="s">
        <v>139</v>
      </c>
      <c r="B163">
        <v>1</v>
      </c>
      <c r="AW163">
        <v>1</v>
      </c>
    </row>
    <row r="164" spans="1:49">
      <c r="A164" s="3" t="s">
        <v>140</v>
      </c>
      <c r="B164">
        <v>1</v>
      </c>
      <c r="J164">
        <v>2</v>
      </c>
    </row>
    <row r="165" spans="1:49">
      <c r="A165" s="3" t="s">
        <v>141</v>
      </c>
      <c r="B165">
        <v>1</v>
      </c>
      <c r="J165">
        <v>2</v>
      </c>
    </row>
    <row r="166" spans="1:49">
      <c r="A166" s="3" t="s">
        <v>142</v>
      </c>
      <c r="B166">
        <v>1</v>
      </c>
      <c r="J166">
        <v>2</v>
      </c>
    </row>
    <row r="167" spans="1:49">
      <c r="A167" s="3" t="s">
        <v>143</v>
      </c>
      <c r="B167">
        <v>1</v>
      </c>
      <c r="AT167">
        <v>1</v>
      </c>
    </row>
    <row r="168" spans="1:49">
      <c r="A168" s="3" t="s">
        <v>144</v>
      </c>
      <c r="B168">
        <v>1</v>
      </c>
      <c r="AT168">
        <v>1</v>
      </c>
    </row>
    <row r="169" spans="1:49">
      <c r="A169" s="3" t="s">
        <v>145</v>
      </c>
      <c r="B169">
        <v>1</v>
      </c>
      <c r="AT169">
        <v>1</v>
      </c>
    </row>
    <row r="170" spans="1:49">
      <c r="A170" s="3" t="s">
        <v>146</v>
      </c>
      <c r="B170">
        <v>1</v>
      </c>
      <c r="AT170">
        <v>1</v>
      </c>
    </row>
    <row r="171" spans="1:49">
      <c r="A171" s="3" t="s">
        <v>147</v>
      </c>
      <c r="B171">
        <v>1</v>
      </c>
      <c r="AT171">
        <v>1</v>
      </c>
    </row>
    <row r="172" spans="1:49">
      <c r="A172" s="3" t="s">
        <v>148</v>
      </c>
      <c r="B172">
        <v>1</v>
      </c>
      <c r="AT172">
        <v>1</v>
      </c>
    </row>
    <row r="173" spans="1:49">
      <c r="A173" s="3" t="s">
        <v>149</v>
      </c>
      <c r="B173">
        <v>1</v>
      </c>
      <c r="AT173">
        <v>1</v>
      </c>
    </row>
    <row r="174" spans="1:49">
      <c r="A174" s="3" t="s">
        <v>150</v>
      </c>
      <c r="B174">
        <v>1</v>
      </c>
      <c r="AT174">
        <v>1</v>
      </c>
    </row>
    <row r="175" spans="1:49">
      <c r="A175" s="3" t="s">
        <v>151</v>
      </c>
      <c r="B175">
        <v>1</v>
      </c>
      <c r="AT175">
        <v>1</v>
      </c>
    </row>
    <row r="176" spans="1:49">
      <c r="A176" s="3" t="s">
        <v>152</v>
      </c>
      <c r="B176">
        <v>1</v>
      </c>
      <c r="AT176">
        <v>1</v>
      </c>
    </row>
    <row r="177" spans="1:46">
      <c r="A177" s="3" t="s">
        <v>153</v>
      </c>
      <c r="B177">
        <v>1</v>
      </c>
      <c r="AT177">
        <v>1</v>
      </c>
    </row>
    <row r="178" spans="1:46">
      <c r="A178" s="3" t="s">
        <v>154</v>
      </c>
      <c r="B178">
        <v>1</v>
      </c>
      <c r="AT178">
        <v>1</v>
      </c>
    </row>
    <row r="179" spans="1:46">
      <c r="A179" s="3" t="s">
        <v>155</v>
      </c>
      <c r="B179">
        <v>1</v>
      </c>
      <c r="AT179">
        <v>1</v>
      </c>
    </row>
    <row r="180" spans="1:46">
      <c r="A180" s="3" t="s">
        <v>156</v>
      </c>
      <c r="B180">
        <v>1</v>
      </c>
      <c r="AT180">
        <v>1</v>
      </c>
    </row>
    <row r="181" spans="1:46">
      <c r="A181" s="3" t="s">
        <v>157</v>
      </c>
      <c r="B181">
        <v>1</v>
      </c>
      <c r="AT181">
        <v>1</v>
      </c>
    </row>
    <row r="182" spans="1:46">
      <c r="A182" s="3" t="s">
        <v>158</v>
      </c>
      <c r="B182">
        <v>1</v>
      </c>
      <c r="AT182">
        <v>1</v>
      </c>
    </row>
    <row r="183" spans="1:46">
      <c r="A183" s="3" t="s">
        <v>159</v>
      </c>
      <c r="B183">
        <v>1</v>
      </c>
      <c r="AT183">
        <v>1</v>
      </c>
    </row>
    <row r="184" spans="1:46">
      <c r="A184" s="3" t="s">
        <v>160</v>
      </c>
      <c r="B184">
        <v>1</v>
      </c>
      <c r="AT184">
        <v>1</v>
      </c>
    </row>
    <row r="185" spans="1:46">
      <c r="A185" s="3" t="s">
        <v>161</v>
      </c>
      <c r="B185">
        <v>1</v>
      </c>
      <c r="AT185">
        <v>1</v>
      </c>
    </row>
    <row r="186" spans="1:46">
      <c r="A186" s="3" t="s">
        <v>162</v>
      </c>
      <c r="B186">
        <v>1</v>
      </c>
      <c r="AT186">
        <v>1</v>
      </c>
    </row>
    <row r="187" spans="1:46">
      <c r="A187" s="3" t="s">
        <v>163</v>
      </c>
      <c r="B187">
        <v>1</v>
      </c>
      <c r="AT187">
        <v>1</v>
      </c>
    </row>
    <row r="188" spans="1:46">
      <c r="A188" s="3" t="s">
        <v>164</v>
      </c>
      <c r="B188">
        <v>1</v>
      </c>
      <c r="AT188">
        <v>1</v>
      </c>
    </row>
    <row r="189" spans="1:46">
      <c r="A189" s="3" t="s">
        <v>165</v>
      </c>
      <c r="B189">
        <v>1</v>
      </c>
      <c r="AT189">
        <v>1</v>
      </c>
    </row>
    <row r="190" spans="1:46">
      <c r="A190" s="3" t="s">
        <v>166</v>
      </c>
      <c r="B190">
        <v>1</v>
      </c>
      <c r="AT190">
        <v>1</v>
      </c>
    </row>
    <row r="191" spans="1:46">
      <c r="A191" s="3" t="s">
        <v>167</v>
      </c>
      <c r="B191">
        <v>1</v>
      </c>
      <c r="AT191">
        <v>1</v>
      </c>
    </row>
    <row r="192" spans="1:46">
      <c r="A192" s="3" t="s">
        <v>168</v>
      </c>
      <c r="B192">
        <v>1</v>
      </c>
      <c r="AT192">
        <v>1</v>
      </c>
    </row>
    <row r="193" spans="1:46">
      <c r="A193" s="3" t="s">
        <v>169</v>
      </c>
      <c r="B193">
        <v>1</v>
      </c>
      <c r="AT193">
        <v>1</v>
      </c>
    </row>
    <row r="194" spans="1:46">
      <c r="A194" s="3" t="s">
        <v>170</v>
      </c>
      <c r="B194">
        <v>1</v>
      </c>
      <c r="AT194">
        <v>1</v>
      </c>
    </row>
    <row r="195" spans="1:46">
      <c r="A195" s="3" t="s">
        <v>171</v>
      </c>
      <c r="B195">
        <v>1</v>
      </c>
      <c r="AT195">
        <v>1</v>
      </c>
    </row>
    <row r="196" spans="1:46">
      <c r="A196" s="3" t="s">
        <v>172</v>
      </c>
      <c r="B196">
        <v>1</v>
      </c>
      <c r="AT196">
        <v>1</v>
      </c>
    </row>
    <row r="197" spans="1:46">
      <c r="A197" s="3" t="s">
        <v>173</v>
      </c>
      <c r="B197">
        <v>1</v>
      </c>
      <c r="AT197">
        <v>1</v>
      </c>
    </row>
    <row r="198" spans="1:46">
      <c r="A198" s="3" t="s">
        <v>174</v>
      </c>
      <c r="B198">
        <v>1</v>
      </c>
      <c r="AT198">
        <v>1</v>
      </c>
    </row>
    <row r="199" spans="1:46">
      <c r="A199" s="3" t="s">
        <v>175</v>
      </c>
      <c r="B199">
        <v>1</v>
      </c>
      <c r="AT199">
        <v>1</v>
      </c>
    </row>
    <row r="200" spans="1:46">
      <c r="A200" s="3" t="s">
        <v>176</v>
      </c>
      <c r="B200">
        <v>1</v>
      </c>
      <c r="AT200">
        <v>1</v>
      </c>
    </row>
    <row r="201" spans="1:46">
      <c r="A201" s="3" t="s">
        <v>177</v>
      </c>
      <c r="B201">
        <v>1</v>
      </c>
      <c r="AT201">
        <v>1</v>
      </c>
    </row>
    <row r="202" spans="1:46">
      <c r="A202" s="3" t="s">
        <v>178</v>
      </c>
      <c r="B202">
        <v>1</v>
      </c>
      <c r="AT202">
        <v>1</v>
      </c>
    </row>
    <row r="203" spans="1:46">
      <c r="A203" s="3" t="s">
        <v>179</v>
      </c>
      <c r="B203">
        <v>1</v>
      </c>
      <c r="AT203">
        <v>1</v>
      </c>
    </row>
    <row r="204" spans="1:46">
      <c r="A204" s="3" t="s">
        <v>180</v>
      </c>
      <c r="B204">
        <v>1</v>
      </c>
      <c r="J204">
        <v>3</v>
      </c>
    </row>
    <row r="205" spans="1:46">
      <c r="A205" s="3" t="s">
        <v>181</v>
      </c>
      <c r="B205">
        <v>1</v>
      </c>
      <c r="J205">
        <v>3</v>
      </c>
    </row>
    <row r="206" spans="1:46">
      <c r="A206" s="3" t="s">
        <v>182</v>
      </c>
      <c r="B206">
        <v>1</v>
      </c>
      <c r="J206">
        <v>3</v>
      </c>
    </row>
    <row r="207" spans="1:46">
      <c r="A207" s="3" t="s">
        <v>183</v>
      </c>
      <c r="B207">
        <v>1</v>
      </c>
      <c r="J207">
        <v>3</v>
      </c>
    </row>
    <row r="208" spans="1:46">
      <c r="A208" s="3" t="s">
        <v>184</v>
      </c>
      <c r="B208">
        <v>1</v>
      </c>
      <c r="J208">
        <v>3</v>
      </c>
    </row>
    <row r="209" spans="1:10">
      <c r="A209" s="3" t="s">
        <v>185</v>
      </c>
      <c r="B209">
        <v>1</v>
      </c>
      <c r="J209">
        <v>3</v>
      </c>
    </row>
    <row r="210" spans="1:10">
      <c r="A210" s="3" t="s">
        <v>186</v>
      </c>
      <c r="B210">
        <v>1</v>
      </c>
      <c r="J210">
        <v>3</v>
      </c>
    </row>
    <row r="211" spans="1:10">
      <c r="A211" s="3" t="s">
        <v>187</v>
      </c>
      <c r="B211">
        <v>1</v>
      </c>
      <c r="J211">
        <v>3</v>
      </c>
    </row>
    <row r="212" spans="1:10">
      <c r="A212" s="3" t="s">
        <v>188</v>
      </c>
      <c r="B212">
        <v>1</v>
      </c>
      <c r="J212">
        <v>3</v>
      </c>
    </row>
    <row r="213" spans="1:10">
      <c r="A213" s="3" t="s">
        <v>189</v>
      </c>
      <c r="B213">
        <v>1</v>
      </c>
      <c r="J213">
        <v>3</v>
      </c>
    </row>
    <row r="214" spans="1:10">
      <c r="A214" s="3" t="s">
        <v>190</v>
      </c>
      <c r="B214">
        <v>1</v>
      </c>
      <c r="J214">
        <v>3</v>
      </c>
    </row>
    <row r="215" spans="1:10">
      <c r="A215" s="3" t="s">
        <v>191</v>
      </c>
      <c r="B215">
        <v>1</v>
      </c>
      <c r="J215">
        <v>3</v>
      </c>
    </row>
    <row r="216" spans="1:10">
      <c r="A216" s="3" t="s">
        <v>192</v>
      </c>
      <c r="B216">
        <v>1</v>
      </c>
      <c r="J216">
        <v>3</v>
      </c>
    </row>
    <row r="217" spans="1:10">
      <c r="A217" s="3" t="s">
        <v>193</v>
      </c>
      <c r="B217">
        <v>1</v>
      </c>
      <c r="J217">
        <v>3</v>
      </c>
    </row>
    <row r="218" spans="1:10">
      <c r="A218" s="3" t="s">
        <v>194</v>
      </c>
      <c r="B218">
        <v>1</v>
      </c>
      <c r="J218">
        <v>3</v>
      </c>
    </row>
    <row r="219" spans="1:10">
      <c r="A219" s="3" t="s">
        <v>195</v>
      </c>
      <c r="B219">
        <v>1</v>
      </c>
      <c r="J219">
        <v>3</v>
      </c>
    </row>
    <row r="220" spans="1:10">
      <c r="A220" s="3" t="s">
        <v>196</v>
      </c>
      <c r="B220">
        <v>1</v>
      </c>
      <c r="J220">
        <v>3</v>
      </c>
    </row>
    <row r="221" spans="1:10">
      <c r="A221" s="3" t="s">
        <v>197</v>
      </c>
      <c r="B221">
        <v>1</v>
      </c>
      <c r="J221">
        <v>3</v>
      </c>
    </row>
    <row r="222" spans="1:10">
      <c r="A222" s="3" t="s">
        <v>198</v>
      </c>
      <c r="B222">
        <v>1</v>
      </c>
      <c r="J222">
        <v>3</v>
      </c>
    </row>
    <row r="223" spans="1:10">
      <c r="A223" s="3" t="s">
        <v>199</v>
      </c>
      <c r="B223">
        <v>1</v>
      </c>
      <c r="J223">
        <v>3</v>
      </c>
    </row>
    <row r="224" spans="1:10">
      <c r="A224" s="3" t="s">
        <v>200</v>
      </c>
      <c r="B224">
        <v>1</v>
      </c>
      <c r="J224">
        <v>3</v>
      </c>
    </row>
    <row r="225" spans="1:44">
      <c r="A225" s="3" t="s">
        <v>201</v>
      </c>
      <c r="B225">
        <v>1</v>
      </c>
      <c r="J225">
        <v>3</v>
      </c>
    </row>
    <row r="226" spans="1:44">
      <c r="A226" s="3" t="s">
        <v>202</v>
      </c>
      <c r="B226">
        <v>1</v>
      </c>
      <c r="J226">
        <v>3</v>
      </c>
    </row>
    <row r="227" spans="1:44">
      <c r="A227" s="3" t="s">
        <v>203</v>
      </c>
      <c r="B227">
        <v>1</v>
      </c>
      <c r="J227">
        <v>3</v>
      </c>
    </row>
    <row r="228" spans="1:44">
      <c r="A228" s="3" t="s">
        <v>204</v>
      </c>
      <c r="B228">
        <v>1</v>
      </c>
      <c r="J228">
        <v>3</v>
      </c>
    </row>
    <row r="229" spans="1:44">
      <c r="A229" s="3" t="s">
        <v>205</v>
      </c>
      <c r="B229">
        <v>1</v>
      </c>
      <c r="J229">
        <v>3</v>
      </c>
    </row>
    <row r="230" spans="1:44">
      <c r="A230" s="3" t="s">
        <v>206</v>
      </c>
      <c r="B230">
        <v>1</v>
      </c>
      <c r="AR230">
        <v>1</v>
      </c>
    </row>
    <row r="231" spans="1:44">
      <c r="A231" s="3" t="s">
        <v>207</v>
      </c>
      <c r="B231">
        <v>1</v>
      </c>
      <c r="AR231">
        <v>1</v>
      </c>
    </row>
    <row r="232" spans="1:44">
      <c r="A232" s="3" t="s">
        <v>208</v>
      </c>
      <c r="B232">
        <v>1</v>
      </c>
      <c r="AR232">
        <v>1</v>
      </c>
    </row>
    <row r="233" spans="1:44">
      <c r="A233" s="3" t="s">
        <v>209</v>
      </c>
      <c r="B233">
        <v>1</v>
      </c>
      <c r="AR233">
        <v>1</v>
      </c>
    </row>
    <row r="234" spans="1:44">
      <c r="A234" s="3" t="s">
        <v>210</v>
      </c>
      <c r="B234">
        <v>1</v>
      </c>
      <c r="AR234">
        <v>1</v>
      </c>
    </row>
    <row r="235" spans="1:44">
      <c r="A235" s="3" t="s">
        <v>211</v>
      </c>
      <c r="B235">
        <v>1</v>
      </c>
      <c r="AR235">
        <v>1</v>
      </c>
    </row>
    <row r="236" spans="1:44">
      <c r="A236" s="3" t="s">
        <v>212</v>
      </c>
      <c r="B236">
        <v>1</v>
      </c>
      <c r="AR236">
        <v>1</v>
      </c>
    </row>
    <row r="237" spans="1:44">
      <c r="A237" s="3" t="s">
        <v>213</v>
      </c>
      <c r="B237">
        <v>1</v>
      </c>
      <c r="AR237">
        <v>1</v>
      </c>
    </row>
    <row r="238" spans="1:44">
      <c r="A238" s="3" t="s">
        <v>214</v>
      </c>
      <c r="B238">
        <v>1</v>
      </c>
      <c r="AR238">
        <v>1</v>
      </c>
    </row>
    <row r="239" spans="1:44">
      <c r="A239" s="3" t="s">
        <v>215</v>
      </c>
      <c r="B239">
        <v>1</v>
      </c>
      <c r="AR239">
        <v>1</v>
      </c>
    </row>
    <row r="240" spans="1:44">
      <c r="A240" s="3" t="s">
        <v>216</v>
      </c>
      <c r="B240">
        <v>1</v>
      </c>
      <c r="AR240">
        <v>1</v>
      </c>
    </row>
    <row r="241" spans="1:47">
      <c r="A241" s="3" t="s">
        <v>217</v>
      </c>
      <c r="B241">
        <v>1</v>
      </c>
      <c r="AR241">
        <v>1</v>
      </c>
    </row>
    <row r="242" spans="1:47">
      <c r="A242" s="3" t="s">
        <v>218</v>
      </c>
      <c r="B242">
        <v>1</v>
      </c>
      <c r="AR242">
        <v>1</v>
      </c>
    </row>
    <row r="243" spans="1:47">
      <c r="A243" s="3" t="s">
        <v>219</v>
      </c>
      <c r="B243">
        <v>1</v>
      </c>
      <c r="AU243">
        <v>2</v>
      </c>
    </row>
    <row r="244" spans="1:47">
      <c r="A244" s="3" t="s">
        <v>220</v>
      </c>
      <c r="B244">
        <v>1</v>
      </c>
      <c r="AU244">
        <v>2</v>
      </c>
    </row>
    <row r="245" spans="1:47">
      <c r="A245" s="3" t="s">
        <v>221</v>
      </c>
      <c r="B245">
        <v>1</v>
      </c>
      <c r="AU245">
        <v>2</v>
      </c>
    </row>
    <row r="246" spans="1:47">
      <c r="A246" s="3" t="s">
        <v>222</v>
      </c>
      <c r="B246">
        <v>1</v>
      </c>
      <c r="AU246">
        <v>2</v>
      </c>
    </row>
    <row r="247" spans="1:47">
      <c r="A247" s="3" t="s">
        <v>223</v>
      </c>
      <c r="B247">
        <v>1</v>
      </c>
      <c r="AU247">
        <v>2</v>
      </c>
    </row>
    <row r="248" spans="1:47">
      <c r="A248" s="3" t="s">
        <v>224</v>
      </c>
      <c r="B248">
        <v>1</v>
      </c>
      <c r="AU248">
        <v>2</v>
      </c>
    </row>
    <row r="249" spans="1:47">
      <c r="A249" s="3" t="s">
        <v>225</v>
      </c>
      <c r="B249">
        <v>1</v>
      </c>
      <c r="AU249">
        <v>2</v>
      </c>
    </row>
    <row r="250" spans="1:47">
      <c r="A250" s="3" t="s">
        <v>226</v>
      </c>
      <c r="B250">
        <v>1</v>
      </c>
      <c r="AU250">
        <v>2</v>
      </c>
    </row>
    <row r="251" spans="1:47">
      <c r="A251" s="3" t="s">
        <v>227</v>
      </c>
      <c r="B251">
        <v>1</v>
      </c>
      <c r="AU251">
        <v>2</v>
      </c>
    </row>
    <row r="252" spans="1:47">
      <c r="A252" s="3" t="s">
        <v>228</v>
      </c>
      <c r="B252">
        <v>1</v>
      </c>
      <c r="AU252">
        <v>2</v>
      </c>
    </row>
    <row r="253" spans="1:47">
      <c r="A253" s="3" t="s">
        <v>229</v>
      </c>
      <c r="B253">
        <v>1</v>
      </c>
      <c r="AU253">
        <v>2</v>
      </c>
    </row>
    <row r="254" spans="1:47">
      <c r="A254" s="3" t="s">
        <v>230</v>
      </c>
      <c r="B254">
        <v>1</v>
      </c>
      <c r="AU254">
        <v>2</v>
      </c>
    </row>
    <row r="255" spans="1:47">
      <c r="A255" s="3" t="s">
        <v>231</v>
      </c>
      <c r="B255">
        <v>1</v>
      </c>
      <c r="AU255">
        <v>2</v>
      </c>
    </row>
    <row r="256" spans="1:47">
      <c r="A256" s="3" t="s">
        <v>232</v>
      </c>
      <c r="B256">
        <v>1</v>
      </c>
      <c r="AU256">
        <v>2</v>
      </c>
    </row>
    <row r="257" spans="1:49">
      <c r="A257" s="3" t="s">
        <v>233</v>
      </c>
      <c r="B257">
        <v>1</v>
      </c>
      <c r="AU257">
        <v>2</v>
      </c>
    </row>
    <row r="258" spans="1:49">
      <c r="A258" s="3" t="s">
        <v>234</v>
      </c>
      <c r="B258">
        <v>1</v>
      </c>
      <c r="AR258">
        <v>2</v>
      </c>
    </row>
    <row r="259" spans="1:49">
      <c r="A259" s="3" t="s">
        <v>235</v>
      </c>
      <c r="B259">
        <v>1</v>
      </c>
      <c r="AR259">
        <v>2</v>
      </c>
    </row>
    <row r="260" spans="1:49">
      <c r="A260" s="3" t="s">
        <v>236</v>
      </c>
      <c r="B260">
        <v>1</v>
      </c>
      <c r="AR260">
        <v>2</v>
      </c>
    </row>
    <row r="261" spans="1:49">
      <c r="A261" s="3" t="s">
        <v>237</v>
      </c>
      <c r="B261">
        <v>1</v>
      </c>
      <c r="AR261">
        <v>2</v>
      </c>
    </row>
    <row r="262" spans="1:49">
      <c r="A262" s="3" t="s">
        <v>238</v>
      </c>
      <c r="B262">
        <v>1</v>
      </c>
      <c r="AR262">
        <v>2</v>
      </c>
    </row>
    <row r="263" spans="1:49">
      <c r="A263" s="3" t="s">
        <v>239</v>
      </c>
      <c r="B263">
        <v>1</v>
      </c>
      <c r="AR263">
        <v>2</v>
      </c>
    </row>
    <row r="264" spans="1:49">
      <c r="A264" s="3" t="s">
        <v>240</v>
      </c>
      <c r="B264">
        <v>1</v>
      </c>
      <c r="AR264">
        <v>2</v>
      </c>
    </row>
    <row r="265" spans="1:49">
      <c r="A265" s="3" t="s">
        <v>241</v>
      </c>
      <c r="B265">
        <v>1</v>
      </c>
      <c r="AR265">
        <v>2</v>
      </c>
    </row>
    <row r="266" spans="1:49">
      <c r="A266" s="3" t="s">
        <v>242</v>
      </c>
      <c r="B266">
        <v>1</v>
      </c>
      <c r="AR266">
        <v>2</v>
      </c>
    </row>
    <row r="267" spans="1:49">
      <c r="A267" s="3" t="s">
        <v>243</v>
      </c>
      <c r="B267">
        <v>1</v>
      </c>
      <c r="AR267">
        <v>2</v>
      </c>
    </row>
    <row r="268" spans="1:49">
      <c r="A268" s="3" t="s">
        <v>244</v>
      </c>
      <c r="B268">
        <v>1</v>
      </c>
      <c r="AR268">
        <v>2</v>
      </c>
    </row>
    <row r="269" spans="1:49">
      <c r="A269" s="3" t="s">
        <v>245</v>
      </c>
      <c r="B269">
        <v>1</v>
      </c>
      <c r="AW269">
        <v>2</v>
      </c>
    </row>
    <row r="270" spans="1:49">
      <c r="A270" s="3" t="s">
        <v>246</v>
      </c>
      <c r="B270">
        <v>1</v>
      </c>
      <c r="J270">
        <v>4</v>
      </c>
    </row>
    <row r="271" spans="1:49">
      <c r="A271" s="3" t="s">
        <v>247</v>
      </c>
      <c r="B271">
        <v>1</v>
      </c>
      <c r="J271">
        <v>4</v>
      </c>
    </row>
    <row r="272" spans="1:49">
      <c r="A272" s="3" t="s">
        <v>248</v>
      </c>
      <c r="B272">
        <v>1</v>
      </c>
      <c r="J272">
        <v>4</v>
      </c>
    </row>
    <row r="273" spans="1:49">
      <c r="A273" s="3" t="s">
        <v>249</v>
      </c>
      <c r="B273">
        <v>1</v>
      </c>
      <c r="J273">
        <v>4</v>
      </c>
    </row>
    <row r="274" spans="1:49">
      <c r="A274" s="3" t="s">
        <v>250</v>
      </c>
      <c r="B274">
        <v>1</v>
      </c>
      <c r="J274">
        <v>4</v>
      </c>
    </row>
    <row r="275" spans="1:49">
      <c r="A275" s="3" t="s">
        <v>251</v>
      </c>
      <c r="B275">
        <v>1</v>
      </c>
      <c r="J275">
        <v>4</v>
      </c>
    </row>
    <row r="276" spans="1:49">
      <c r="A276" s="3" t="s">
        <v>252</v>
      </c>
      <c r="B276">
        <v>1</v>
      </c>
      <c r="J276">
        <v>4</v>
      </c>
    </row>
    <row r="277" spans="1:49">
      <c r="A277" s="3" t="s">
        <v>253</v>
      </c>
      <c r="B277">
        <v>1</v>
      </c>
      <c r="J277">
        <v>4</v>
      </c>
    </row>
    <row r="278" spans="1:49">
      <c r="A278" s="3" t="s">
        <v>254</v>
      </c>
      <c r="B278">
        <v>1</v>
      </c>
      <c r="J278">
        <v>4</v>
      </c>
    </row>
    <row r="279" spans="1:49">
      <c r="A279" s="3" t="s">
        <v>255</v>
      </c>
      <c r="B279">
        <v>1</v>
      </c>
      <c r="J279">
        <v>4</v>
      </c>
    </row>
    <row r="280" spans="1:49">
      <c r="A280" s="3" t="s">
        <v>256</v>
      </c>
      <c r="B280">
        <v>1</v>
      </c>
      <c r="J280">
        <v>4</v>
      </c>
    </row>
    <row r="281" spans="1:49">
      <c r="A281" s="3" t="s">
        <v>257</v>
      </c>
      <c r="B281">
        <v>1</v>
      </c>
      <c r="J281">
        <v>4</v>
      </c>
    </row>
    <row r="282" spans="1:49">
      <c r="A282" s="3" t="s">
        <v>258</v>
      </c>
      <c r="B282">
        <v>1</v>
      </c>
      <c r="J282">
        <v>4</v>
      </c>
    </row>
    <row r="283" spans="1:49">
      <c r="A283" s="3" t="s">
        <v>259</v>
      </c>
      <c r="B283">
        <v>1</v>
      </c>
      <c r="J283">
        <v>4</v>
      </c>
    </row>
    <row r="284" spans="1:49">
      <c r="A284" s="3" t="s">
        <v>260</v>
      </c>
      <c r="B284">
        <v>1</v>
      </c>
      <c r="AW284">
        <v>3</v>
      </c>
    </row>
    <row r="285" spans="1:49">
      <c r="A285" s="3" t="s">
        <v>261</v>
      </c>
      <c r="B285">
        <v>1</v>
      </c>
      <c r="AW285">
        <v>3</v>
      </c>
    </row>
    <row r="286" spans="1:49">
      <c r="A286" s="3" t="s">
        <v>262</v>
      </c>
      <c r="B286">
        <v>1</v>
      </c>
      <c r="AW286">
        <v>3</v>
      </c>
    </row>
    <row r="287" spans="1:49">
      <c r="A287" s="3" t="s">
        <v>263</v>
      </c>
      <c r="B287">
        <v>1</v>
      </c>
      <c r="AW287">
        <v>3</v>
      </c>
    </row>
    <row r="288" spans="1:49">
      <c r="A288" s="3" t="s">
        <v>264</v>
      </c>
      <c r="B288">
        <v>1</v>
      </c>
      <c r="J288">
        <v>5</v>
      </c>
    </row>
    <row r="289" spans="1:10">
      <c r="A289" s="3" t="s">
        <v>265</v>
      </c>
      <c r="B289">
        <v>1</v>
      </c>
      <c r="J289">
        <v>5</v>
      </c>
    </row>
    <row r="290" spans="1:10">
      <c r="A290" s="3" t="s">
        <v>266</v>
      </c>
      <c r="B290">
        <v>1</v>
      </c>
      <c r="J290">
        <v>5</v>
      </c>
    </row>
    <row r="291" spans="1:10">
      <c r="A291" s="3" t="s">
        <v>267</v>
      </c>
      <c r="B291">
        <v>1</v>
      </c>
      <c r="J291">
        <v>5</v>
      </c>
    </row>
    <row r="292" spans="1:10">
      <c r="A292" s="3" t="s">
        <v>268</v>
      </c>
      <c r="B292">
        <v>1</v>
      </c>
      <c r="J292">
        <v>5</v>
      </c>
    </row>
    <row r="293" spans="1:10">
      <c r="A293" s="3" t="s">
        <v>269</v>
      </c>
      <c r="B293">
        <v>1</v>
      </c>
      <c r="J293">
        <v>5</v>
      </c>
    </row>
    <row r="294" spans="1:10">
      <c r="A294" s="3" t="s">
        <v>270</v>
      </c>
      <c r="B294">
        <v>1</v>
      </c>
      <c r="J294">
        <v>5</v>
      </c>
    </row>
    <row r="295" spans="1:10">
      <c r="A295" s="3" t="s">
        <v>271</v>
      </c>
      <c r="B295">
        <v>1</v>
      </c>
      <c r="J295">
        <v>5</v>
      </c>
    </row>
    <row r="296" spans="1:10">
      <c r="A296" s="3" t="s">
        <v>272</v>
      </c>
      <c r="B296">
        <v>1</v>
      </c>
      <c r="J296">
        <v>5</v>
      </c>
    </row>
    <row r="297" spans="1:10">
      <c r="A297" s="3" t="s">
        <v>273</v>
      </c>
      <c r="B297">
        <v>1</v>
      </c>
      <c r="J297">
        <v>5</v>
      </c>
    </row>
    <row r="298" spans="1:10">
      <c r="A298" s="3" t="s">
        <v>274</v>
      </c>
      <c r="B298">
        <v>1</v>
      </c>
      <c r="J298">
        <v>5</v>
      </c>
    </row>
    <row r="299" spans="1:10">
      <c r="A299" s="3" t="s">
        <v>275</v>
      </c>
      <c r="B299">
        <v>1</v>
      </c>
      <c r="J299">
        <v>5</v>
      </c>
    </row>
    <row r="300" spans="1:10">
      <c r="A300" s="3" t="s">
        <v>276</v>
      </c>
      <c r="B300">
        <v>1</v>
      </c>
      <c r="J300">
        <v>5</v>
      </c>
    </row>
    <row r="301" spans="1:10">
      <c r="A301" s="3" t="s">
        <v>277</v>
      </c>
      <c r="B301">
        <v>1</v>
      </c>
      <c r="J301">
        <v>5</v>
      </c>
    </row>
    <row r="302" spans="1:10">
      <c r="A302" s="3" t="s">
        <v>278</v>
      </c>
      <c r="B302">
        <v>1</v>
      </c>
      <c r="E302">
        <v>1</v>
      </c>
      <c r="J302">
        <v>5</v>
      </c>
    </row>
    <row r="303" spans="1:10">
      <c r="A303" s="3" t="s">
        <v>279</v>
      </c>
      <c r="B303">
        <v>1</v>
      </c>
      <c r="E303">
        <v>1</v>
      </c>
      <c r="J303">
        <v>5</v>
      </c>
    </row>
    <row r="304" spans="1:10">
      <c r="A304" s="3" t="s">
        <v>280</v>
      </c>
      <c r="B304">
        <v>1</v>
      </c>
      <c r="E304">
        <v>1</v>
      </c>
      <c r="J304">
        <v>5</v>
      </c>
    </row>
    <row r="305" spans="1:46">
      <c r="A305" s="3" t="s">
        <v>281</v>
      </c>
      <c r="B305">
        <v>1</v>
      </c>
      <c r="E305">
        <v>1</v>
      </c>
      <c r="J305">
        <v>5</v>
      </c>
    </row>
    <row r="306" spans="1:46">
      <c r="A306" s="3" t="s">
        <v>282</v>
      </c>
      <c r="B306">
        <v>1</v>
      </c>
      <c r="E306">
        <v>1</v>
      </c>
      <c r="J306">
        <v>5</v>
      </c>
    </row>
    <row r="307" spans="1:46">
      <c r="A307" s="3" t="s">
        <v>283</v>
      </c>
      <c r="B307">
        <v>1</v>
      </c>
      <c r="E307">
        <v>1</v>
      </c>
      <c r="AT307">
        <v>2</v>
      </c>
    </row>
    <row r="308" spans="1:46">
      <c r="A308" s="3" t="s">
        <v>284</v>
      </c>
      <c r="B308">
        <v>1</v>
      </c>
      <c r="E308">
        <v>1</v>
      </c>
      <c r="AT308">
        <v>2</v>
      </c>
    </row>
    <row r="309" spans="1:46">
      <c r="A309" s="3" t="s">
        <v>285</v>
      </c>
      <c r="B309">
        <v>1</v>
      </c>
      <c r="E309">
        <v>1</v>
      </c>
      <c r="AT309">
        <v>2</v>
      </c>
    </row>
    <row r="310" spans="1:46">
      <c r="A310" s="3" t="s">
        <v>286</v>
      </c>
      <c r="B310">
        <v>1</v>
      </c>
      <c r="E310">
        <v>1</v>
      </c>
      <c r="AT310">
        <v>2</v>
      </c>
    </row>
    <row r="311" spans="1:46">
      <c r="A311" s="3" t="s">
        <v>287</v>
      </c>
      <c r="B311">
        <v>1</v>
      </c>
      <c r="E311">
        <v>1</v>
      </c>
      <c r="AT311">
        <v>2</v>
      </c>
    </row>
    <row r="312" spans="1:46">
      <c r="A312" s="3" t="s">
        <v>288</v>
      </c>
      <c r="B312">
        <v>1</v>
      </c>
      <c r="E312">
        <v>1</v>
      </c>
      <c r="AT312">
        <v>2</v>
      </c>
    </row>
    <row r="313" spans="1:46">
      <c r="A313" s="3" t="s">
        <v>289</v>
      </c>
      <c r="B313">
        <v>1</v>
      </c>
      <c r="E313">
        <v>1</v>
      </c>
      <c r="AT313">
        <v>2</v>
      </c>
    </row>
    <row r="314" spans="1:46">
      <c r="A314" s="3" t="s">
        <v>290</v>
      </c>
      <c r="B314">
        <v>1</v>
      </c>
      <c r="E314">
        <v>1</v>
      </c>
      <c r="AT314">
        <v>2</v>
      </c>
    </row>
    <row r="315" spans="1:46">
      <c r="A315" s="3" t="s">
        <v>291</v>
      </c>
      <c r="B315">
        <v>1</v>
      </c>
      <c r="E315">
        <v>1</v>
      </c>
      <c r="AT315">
        <v>2</v>
      </c>
    </row>
    <row r="316" spans="1:46">
      <c r="A316" s="3" t="s">
        <v>292</v>
      </c>
      <c r="B316">
        <v>1</v>
      </c>
      <c r="E316">
        <v>1</v>
      </c>
      <c r="AT316">
        <v>2</v>
      </c>
    </row>
    <row r="317" spans="1:46">
      <c r="A317" s="3" t="s">
        <v>293</v>
      </c>
      <c r="B317">
        <v>1</v>
      </c>
      <c r="E317">
        <v>1</v>
      </c>
      <c r="AT317">
        <v>2</v>
      </c>
    </row>
    <row r="318" spans="1:46">
      <c r="A318" s="3" t="s">
        <v>294</v>
      </c>
      <c r="B318">
        <v>1</v>
      </c>
      <c r="E318">
        <v>1</v>
      </c>
      <c r="AT318">
        <v>2</v>
      </c>
    </row>
    <row r="319" spans="1:46">
      <c r="A319" s="3" t="s">
        <v>295</v>
      </c>
      <c r="B319">
        <v>1</v>
      </c>
      <c r="E319">
        <v>1</v>
      </c>
      <c r="AT319">
        <v>2</v>
      </c>
    </row>
    <row r="320" spans="1:46">
      <c r="A320" s="3" t="s">
        <v>296</v>
      </c>
      <c r="B320">
        <v>1</v>
      </c>
      <c r="E320">
        <v>1</v>
      </c>
      <c r="AT320">
        <v>2</v>
      </c>
    </row>
    <row r="321" spans="1:10">
      <c r="A321" s="3" t="s">
        <v>297</v>
      </c>
      <c r="B321">
        <v>1</v>
      </c>
      <c r="E321">
        <v>1</v>
      </c>
      <c r="J321">
        <v>6</v>
      </c>
    </row>
    <row r="322" spans="1:10">
      <c r="A322" s="3" t="s">
        <v>298</v>
      </c>
      <c r="B322">
        <v>1</v>
      </c>
      <c r="E322">
        <v>1</v>
      </c>
      <c r="J322">
        <v>6</v>
      </c>
    </row>
    <row r="323" spans="1:10">
      <c r="A323" s="3" t="s">
        <v>299</v>
      </c>
      <c r="B323">
        <v>1</v>
      </c>
      <c r="E323">
        <v>1</v>
      </c>
      <c r="J323">
        <v>6</v>
      </c>
    </row>
    <row r="324" spans="1:10">
      <c r="A324" s="3" t="s">
        <v>300</v>
      </c>
      <c r="B324">
        <v>1</v>
      </c>
      <c r="E324">
        <v>1</v>
      </c>
      <c r="J324">
        <v>6</v>
      </c>
    </row>
    <row r="325" spans="1:10">
      <c r="A325" s="3" t="s">
        <v>301</v>
      </c>
      <c r="B325">
        <v>1</v>
      </c>
      <c r="E325">
        <v>1</v>
      </c>
      <c r="J325">
        <v>6</v>
      </c>
    </row>
    <row r="326" spans="1:10">
      <c r="A326" s="3" t="s">
        <v>302</v>
      </c>
      <c r="B326">
        <v>1</v>
      </c>
      <c r="E326">
        <v>1</v>
      </c>
      <c r="J326">
        <v>6</v>
      </c>
    </row>
    <row r="327" spans="1:10">
      <c r="A327" s="3" t="s">
        <v>303</v>
      </c>
      <c r="B327">
        <v>1</v>
      </c>
      <c r="E327">
        <v>1</v>
      </c>
      <c r="J327">
        <v>6</v>
      </c>
    </row>
    <row r="328" spans="1:10">
      <c r="A328" s="3" t="s">
        <v>304</v>
      </c>
      <c r="B328">
        <v>1</v>
      </c>
      <c r="E328">
        <v>1</v>
      </c>
      <c r="J328">
        <v>6</v>
      </c>
    </row>
    <row r="329" spans="1:10">
      <c r="A329" s="3" t="s">
        <v>305</v>
      </c>
      <c r="B329">
        <v>1</v>
      </c>
      <c r="E329">
        <v>1</v>
      </c>
      <c r="J329">
        <v>6</v>
      </c>
    </row>
    <row r="330" spans="1:10">
      <c r="A330" s="3" t="s">
        <v>306</v>
      </c>
      <c r="B330">
        <v>1</v>
      </c>
      <c r="E330">
        <v>1</v>
      </c>
      <c r="J330">
        <v>6</v>
      </c>
    </row>
    <row r="331" spans="1:10">
      <c r="A331" s="3" t="s">
        <v>307</v>
      </c>
      <c r="B331">
        <v>1</v>
      </c>
      <c r="E331">
        <v>1</v>
      </c>
      <c r="J331">
        <v>6</v>
      </c>
    </row>
    <row r="332" spans="1:10">
      <c r="A332" s="3" t="s">
        <v>308</v>
      </c>
      <c r="B332">
        <v>1</v>
      </c>
      <c r="E332">
        <v>1</v>
      </c>
      <c r="J332">
        <v>6</v>
      </c>
    </row>
    <row r="333" spans="1:10">
      <c r="A333" s="3" t="s">
        <v>309</v>
      </c>
      <c r="B333">
        <v>1</v>
      </c>
      <c r="E333">
        <v>1</v>
      </c>
      <c r="J333">
        <v>6</v>
      </c>
    </row>
    <row r="334" spans="1:10">
      <c r="A334" s="3" t="s">
        <v>310</v>
      </c>
      <c r="B334">
        <v>1</v>
      </c>
      <c r="E334">
        <v>1</v>
      </c>
      <c r="J334">
        <v>6</v>
      </c>
    </row>
    <row r="335" spans="1:10">
      <c r="A335" s="3" t="s">
        <v>311</v>
      </c>
      <c r="B335">
        <v>1</v>
      </c>
      <c r="E335">
        <v>1</v>
      </c>
      <c r="J335">
        <v>6</v>
      </c>
    </row>
    <row r="336" spans="1:10">
      <c r="A336" s="3" t="s">
        <v>312</v>
      </c>
      <c r="B336">
        <v>1</v>
      </c>
      <c r="E336">
        <v>1</v>
      </c>
      <c r="J336">
        <v>6</v>
      </c>
    </row>
    <row r="337" spans="1:49">
      <c r="A337" s="3" t="s">
        <v>313</v>
      </c>
      <c r="B337">
        <v>1</v>
      </c>
      <c r="E337">
        <v>1</v>
      </c>
      <c r="J337">
        <v>6</v>
      </c>
    </row>
    <row r="338" spans="1:49">
      <c r="A338" s="3" t="s">
        <v>314</v>
      </c>
      <c r="B338">
        <v>1</v>
      </c>
      <c r="E338">
        <v>1</v>
      </c>
      <c r="J338">
        <v>6</v>
      </c>
    </row>
    <row r="339" spans="1:49">
      <c r="A339" s="3" t="s">
        <v>315</v>
      </c>
      <c r="B339">
        <v>1</v>
      </c>
      <c r="E339">
        <v>1</v>
      </c>
      <c r="J339">
        <v>6</v>
      </c>
    </row>
    <row r="340" spans="1:49">
      <c r="A340" s="3" t="s">
        <v>316</v>
      </c>
      <c r="B340">
        <v>1</v>
      </c>
      <c r="E340">
        <v>1</v>
      </c>
      <c r="J340">
        <v>6</v>
      </c>
    </row>
    <row r="341" spans="1:49">
      <c r="A341" s="3" t="s">
        <v>317</v>
      </c>
      <c r="B341">
        <v>1</v>
      </c>
      <c r="E341">
        <v>1</v>
      </c>
      <c r="J341">
        <v>6</v>
      </c>
    </row>
    <row r="342" spans="1:49">
      <c r="A342" s="3" t="s">
        <v>318</v>
      </c>
      <c r="B342">
        <v>1</v>
      </c>
      <c r="E342">
        <v>1</v>
      </c>
      <c r="J342">
        <v>6</v>
      </c>
    </row>
    <row r="343" spans="1:49">
      <c r="A343" s="3" t="s">
        <v>319</v>
      </c>
      <c r="B343">
        <v>1</v>
      </c>
      <c r="E343">
        <v>1</v>
      </c>
      <c r="J343">
        <v>6</v>
      </c>
    </row>
    <row r="344" spans="1:49">
      <c r="A344" s="3" t="s">
        <v>320</v>
      </c>
      <c r="B344">
        <v>1</v>
      </c>
      <c r="E344">
        <v>1</v>
      </c>
      <c r="J344">
        <v>6</v>
      </c>
    </row>
    <row r="345" spans="1:49">
      <c r="A345" s="3" t="s">
        <v>321</v>
      </c>
      <c r="E345">
        <v>1</v>
      </c>
      <c r="J345">
        <v>6</v>
      </c>
    </row>
    <row r="346" spans="1:49">
      <c r="A346" s="3" t="s">
        <v>322</v>
      </c>
      <c r="E346">
        <v>1</v>
      </c>
      <c r="J346">
        <v>6</v>
      </c>
    </row>
    <row r="347" spans="1:49">
      <c r="A347" s="3" t="s">
        <v>323</v>
      </c>
      <c r="E347">
        <v>1</v>
      </c>
      <c r="AW347">
        <v>4</v>
      </c>
    </row>
    <row r="348" spans="1:49">
      <c r="A348" s="3" t="s">
        <v>324</v>
      </c>
      <c r="E348">
        <v>1</v>
      </c>
      <c r="K348">
        <v>2</v>
      </c>
    </row>
    <row r="349" spans="1:49">
      <c r="A349" s="3" t="s">
        <v>325</v>
      </c>
      <c r="E349">
        <v>1</v>
      </c>
      <c r="K349">
        <v>2</v>
      </c>
    </row>
    <row r="350" spans="1:49">
      <c r="A350" s="3" t="s">
        <v>326</v>
      </c>
      <c r="E350">
        <v>1</v>
      </c>
      <c r="K350">
        <v>2</v>
      </c>
    </row>
    <row r="351" spans="1:49">
      <c r="A351" s="3" t="s">
        <v>327</v>
      </c>
      <c r="E351">
        <v>1</v>
      </c>
      <c r="K351">
        <v>2</v>
      </c>
    </row>
    <row r="352" spans="1:49">
      <c r="A352" s="3" t="s">
        <v>328</v>
      </c>
      <c r="E352">
        <v>1</v>
      </c>
      <c r="K352">
        <v>2</v>
      </c>
    </row>
    <row r="353" spans="1:11">
      <c r="A353" s="3" t="s">
        <v>329</v>
      </c>
      <c r="E353">
        <v>1</v>
      </c>
      <c r="K353">
        <v>2</v>
      </c>
    </row>
    <row r="354" spans="1:11">
      <c r="A354" s="3" t="s">
        <v>330</v>
      </c>
      <c r="E354">
        <v>1</v>
      </c>
      <c r="K354">
        <v>2</v>
      </c>
    </row>
    <row r="355" spans="1:11">
      <c r="A355" s="3" t="s">
        <v>331</v>
      </c>
      <c r="E355">
        <v>1</v>
      </c>
      <c r="K355">
        <v>2</v>
      </c>
    </row>
    <row r="356" spans="1:11">
      <c r="A356" s="3" t="s">
        <v>332</v>
      </c>
      <c r="E356">
        <v>1</v>
      </c>
      <c r="K356">
        <v>2</v>
      </c>
    </row>
    <row r="357" spans="1:11">
      <c r="A357" s="3" t="s">
        <v>333</v>
      </c>
      <c r="E357">
        <v>1</v>
      </c>
      <c r="K357">
        <v>2</v>
      </c>
    </row>
    <row r="358" spans="1:11">
      <c r="A358" s="3" t="s">
        <v>334</v>
      </c>
      <c r="E358">
        <v>1</v>
      </c>
      <c r="K358">
        <v>2</v>
      </c>
    </row>
    <row r="359" spans="1:11">
      <c r="A359" s="3" t="s">
        <v>335</v>
      </c>
      <c r="E359">
        <v>1</v>
      </c>
      <c r="K359">
        <v>2</v>
      </c>
    </row>
    <row r="360" spans="1:11">
      <c r="A360" s="3" t="s">
        <v>336</v>
      </c>
      <c r="E360">
        <v>1</v>
      </c>
      <c r="K360">
        <v>2</v>
      </c>
    </row>
    <row r="361" spans="1:11">
      <c r="A361" s="3" t="s">
        <v>337</v>
      </c>
      <c r="E361">
        <v>1</v>
      </c>
      <c r="K361">
        <v>2</v>
      </c>
    </row>
    <row r="362" spans="1:11">
      <c r="A362" s="3" t="s">
        <v>338</v>
      </c>
      <c r="E362">
        <v>1</v>
      </c>
      <c r="K362">
        <v>2</v>
      </c>
    </row>
    <row r="363" spans="1:11">
      <c r="A363" s="3" t="s">
        <v>339</v>
      </c>
      <c r="E363">
        <v>1</v>
      </c>
      <c r="K363">
        <v>2</v>
      </c>
    </row>
    <row r="364" spans="1:11">
      <c r="A364" s="3" t="s">
        <v>340</v>
      </c>
      <c r="E364">
        <v>1</v>
      </c>
      <c r="K364">
        <v>2</v>
      </c>
    </row>
    <row r="365" spans="1:11">
      <c r="A365" s="3" t="s">
        <v>341</v>
      </c>
      <c r="E365">
        <v>1</v>
      </c>
      <c r="K365">
        <v>2</v>
      </c>
    </row>
    <row r="366" spans="1:11">
      <c r="A366" s="3" t="s">
        <v>342</v>
      </c>
      <c r="E366">
        <v>1</v>
      </c>
      <c r="K366">
        <v>2</v>
      </c>
    </row>
    <row r="367" spans="1:11">
      <c r="A367" s="3" t="s">
        <v>343</v>
      </c>
      <c r="E367">
        <v>1</v>
      </c>
      <c r="K367">
        <v>2</v>
      </c>
    </row>
    <row r="368" spans="1:11">
      <c r="A368" s="3" t="s">
        <v>344</v>
      </c>
      <c r="E368">
        <v>1</v>
      </c>
      <c r="K368">
        <v>2</v>
      </c>
    </row>
    <row r="369" spans="1:11">
      <c r="A369" s="3" t="s">
        <v>345</v>
      </c>
      <c r="E369">
        <v>1</v>
      </c>
      <c r="K369">
        <v>2</v>
      </c>
    </row>
    <row r="370" spans="1:11">
      <c r="A370" s="3" t="s">
        <v>346</v>
      </c>
      <c r="E370">
        <v>1</v>
      </c>
      <c r="K370">
        <v>2</v>
      </c>
    </row>
    <row r="371" spans="1:11">
      <c r="A371" s="3" t="s">
        <v>347</v>
      </c>
      <c r="E371">
        <v>1</v>
      </c>
      <c r="K371">
        <v>2</v>
      </c>
    </row>
    <row r="372" spans="1:11">
      <c r="A372" s="3" t="s">
        <v>348</v>
      </c>
      <c r="E372">
        <v>1</v>
      </c>
      <c r="K372">
        <v>2</v>
      </c>
    </row>
    <row r="373" spans="1:11">
      <c r="A373" s="3" t="s">
        <v>349</v>
      </c>
      <c r="E373">
        <v>1</v>
      </c>
      <c r="K373">
        <v>2</v>
      </c>
    </row>
    <row r="374" spans="1:11">
      <c r="A374" s="3" t="s">
        <v>350</v>
      </c>
      <c r="E374">
        <v>1</v>
      </c>
      <c r="K374">
        <v>2</v>
      </c>
    </row>
    <row r="375" spans="1:11">
      <c r="A375" s="3" t="s">
        <v>351</v>
      </c>
      <c r="E375">
        <v>1</v>
      </c>
      <c r="K375">
        <v>2</v>
      </c>
    </row>
    <row r="376" spans="1:11">
      <c r="A376" s="3" t="s">
        <v>352</v>
      </c>
      <c r="E376">
        <v>1</v>
      </c>
      <c r="K376">
        <v>2</v>
      </c>
    </row>
    <row r="377" spans="1:11">
      <c r="A377" s="3" t="s">
        <v>353</v>
      </c>
      <c r="E377">
        <v>1</v>
      </c>
      <c r="K377">
        <v>2</v>
      </c>
    </row>
    <row r="378" spans="1:11">
      <c r="A378" s="3" t="s">
        <v>354</v>
      </c>
      <c r="E378">
        <v>1</v>
      </c>
      <c r="K378">
        <v>2</v>
      </c>
    </row>
    <row r="379" spans="1:11">
      <c r="A379" s="3" t="s">
        <v>355</v>
      </c>
      <c r="E379">
        <v>1</v>
      </c>
      <c r="K379">
        <v>2</v>
      </c>
    </row>
    <row r="380" spans="1:11">
      <c r="A380" s="3" t="s">
        <v>356</v>
      </c>
      <c r="E380">
        <v>1</v>
      </c>
      <c r="K380">
        <v>2</v>
      </c>
    </row>
    <row r="381" spans="1:11">
      <c r="A381" s="3" t="s">
        <v>357</v>
      </c>
      <c r="E381">
        <v>1</v>
      </c>
      <c r="K381">
        <v>2</v>
      </c>
    </row>
    <row r="382" spans="1:11">
      <c r="A382" s="3" t="s">
        <v>358</v>
      </c>
      <c r="E382">
        <v>1</v>
      </c>
      <c r="K382">
        <v>2</v>
      </c>
    </row>
    <row r="383" spans="1:11">
      <c r="A383" s="3" t="s">
        <v>359</v>
      </c>
      <c r="E383">
        <v>1</v>
      </c>
      <c r="K383">
        <v>2</v>
      </c>
    </row>
    <row r="384" spans="1:11">
      <c r="A384" s="3" t="s">
        <v>360</v>
      </c>
      <c r="E384">
        <v>1</v>
      </c>
      <c r="K384">
        <v>2</v>
      </c>
    </row>
    <row r="385" spans="1:11">
      <c r="A385" s="3" t="s">
        <v>361</v>
      </c>
      <c r="E385">
        <v>1</v>
      </c>
      <c r="K385">
        <v>2</v>
      </c>
    </row>
    <row r="386" spans="1:11">
      <c r="A386" s="3" t="s">
        <v>362</v>
      </c>
      <c r="E386">
        <v>1</v>
      </c>
      <c r="K386">
        <v>2</v>
      </c>
    </row>
    <row r="387" spans="1:11">
      <c r="A387" s="3" t="s">
        <v>363</v>
      </c>
      <c r="E387">
        <v>1</v>
      </c>
      <c r="K387">
        <v>2</v>
      </c>
    </row>
    <row r="388" spans="1:11">
      <c r="A388" s="3" t="s">
        <v>364</v>
      </c>
      <c r="E388">
        <v>1</v>
      </c>
      <c r="K388">
        <v>2</v>
      </c>
    </row>
    <row r="389" spans="1:11">
      <c r="A389" s="3" t="s">
        <v>365</v>
      </c>
      <c r="E389">
        <v>1</v>
      </c>
      <c r="K389">
        <v>2</v>
      </c>
    </row>
    <row r="390" spans="1:11">
      <c r="A390" s="3" t="s">
        <v>366</v>
      </c>
      <c r="E390">
        <v>1</v>
      </c>
      <c r="K390">
        <v>2</v>
      </c>
    </row>
    <row r="391" spans="1:11">
      <c r="A391" s="3" t="s">
        <v>367</v>
      </c>
      <c r="E391">
        <v>1</v>
      </c>
      <c r="K391">
        <v>2</v>
      </c>
    </row>
    <row r="392" spans="1:11">
      <c r="A392" s="3" t="s">
        <v>368</v>
      </c>
      <c r="E392">
        <v>1</v>
      </c>
      <c r="K392">
        <v>2</v>
      </c>
    </row>
    <row r="393" spans="1:11">
      <c r="A393" s="3" t="s">
        <v>369</v>
      </c>
      <c r="E393">
        <v>1</v>
      </c>
      <c r="K393">
        <v>2</v>
      </c>
    </row>
    <row r="394" spans="1:11">
      <c r="A394" s="3" t="s">
        <v>370</v>
      </c>
      <c r="E394">
        <v>1</v>
      </c>
      <c r="K394">
        <v>2</v>
      </c>
    </row>
    <row r="395" spans="1:11">
      <c r="A395" s="3" t="s">
        <v>371</v>
      </c>
      <c r="E395">
        <v>1</v>
      </c>
      <c r="K395">
        <v>2</v>
      </c>
    </row>
    <row r="396" spans="1:11">
      <c r="A396" s="3" t="s">
        <v>372</v>
      </c>
      <c r="E396">
        <v>1</v>
      </c>
      <c r="K396">
        <v>2</v>
      </c>
    </row>
    <row r="397" spans="1:11">
      <c r="A397" s="3" t="s">
        <v>373</v>
      </c>
      <c r="E397">
        <v>1</v>
      </c>
      <c r="K397">
        <v>2</v>
      </c>
    </row>
    <row r="398" spans="1:11">
      <c r="A398" s="3" t="s">
        <v>374</v>
      </c>
      <c r="E398">
        <v>1</v>
      </c>
      <c r="K398">
        <v>2</v>
      </c>
    </row>
    <row r="399" spans="1:11">
      <c r="A399" s="3" t="s">
        <v>375</v>
      </c>
      <c r="E399">
        <v>1</v>
      </c>
      <c r="K399">
        <v>2</v>
      </c>
    </row>
    <row r="400" spans="1:11">
      <c r="A400" s="3" t="s">
        <v>376</v>
      </c>
      <c r="E400">
        <v>1</v>
      </c>
      <c r="K400">
        <v>2</v>
      </c>
    </row>
    <row r="401" spans="1:49">
      <c r="A401" s="3" t="s">
        <v>377</v>
      </c>
      <c r="E401">
        <v>1</v>
      </c>
      <c r="K401">
        <v>2</v>
      </c>
    </row>
    <row r="402" spans="1:49">
      <c r="A402" s="3" t="s">
        <v>378</v>
      </c>
      <c r="E402">
        <v>1</v>
      </c>
      <c r="K402">
        <v>2</v>
      </c>
    </row>
    <row r="403" spans="1:49">
      <c r="A403" s="3" t="s">
        <v>379</v>
      </c>
      <c r="E403">
        <v>1</v>
      </c>
      <c r="K403">
        <v>2</v>
      </c>
    </row>
    <row r="404" spans="1:49">
      <c r="A404" s="3" t="s">
        <v>380</v>
      </c>
      <c r="E404">
        <v>1</v>
      </c>
      <c r="K404">
        <v>2</v>
      </c>
    </row>
    <row r="405" spans="1:49">
      <c r="A405" s="3" t="s">
        <v>381</v>
      </c>
      <c r="E405">
        <v>1</v>
      </c>
      <c r="AV405">
        <v>1</v>
      </c>
    </row>
    <row r="406" spans="1:49">
      <c r="A406" s="3" t="s">
        <v>382</v>
      </c>
      <c r="E406">
        <v>1</v>
      </c>
      <c r="AV406">
        <v>1</v>
      </c>
    </row>
    <row r="407" spans="1:49">
      <c r="A407" s="3" t="s">
        <v>383</v>
      </c>
      <c r="E407">
        <v>1</v>
      </c>
      <c r="AV407">
        <v>1</v>
      </c>
    </row>
    <row r="408" spans="1:49">
      <c r="A408" s="3" t="s">
        <v>384</v>
      </c>
      <c r="E408">
        <v>1</v>
      </c>
      <c r="AV408">
        <v>1</v>
      </c>
    </row>
    <row r="409" spans="1:49">
      <c r="A409" s="3" t="s">
        <v>385</v>
      </c>
      <c r="E409">
        <v>1</v>
      </c>
      <c r="AV409">
        <v>1</v>
      </c>
    </row>
    <row r="410" spans="1:49">
      <c r="A410" s="3" t="s">
        <v>386</v>
      </c>
      <c r="E410">
        <v>1</v>
      </c>
      <c r="AW410">
        <v>5</v>
      </c>
    </row>
    <row r="411" spans="1:49">
      <c r="A411" s="3" t="s">
        <v>387</v>
      </c>
      <c r="E411">
        <v>1</v>
      </c>
      <c r="AW411">
        <v>5</v>
      </c>
    </row>
    <row r="412" spans="1:49">
      <c r="A412" s="3" t="s">
        <v>388</v>
      </c>
      <c r="E412">
        <v>1</v>
      </c>
      <c r="AW412">
        <v>5</v>
      </c>
    </row>
    <row r="413" spans="1:49">
      <c r="A413" s="3" t="s">
        <v>389</v>
      </c>
      <c r="E413">
        <v>1</v>
      </c>
      <c r="AW413">
        <v>5</v>
      </c>
    </row>
    <row r="414" spans="1:49">
      <c r="A414" s="3" t="s">
        <v>390</v>
      </c>
      <c r="E414">
        <v>1</v>
      </c>
      <c r="AW414">
        <v>5</v>
      </c>
    </row>
    <row r="415" spans="1:49">
      <c r="A415" s="3" t="s">
        <v>391</v>
      </c>
      <c r="E415">
        <v>1</v>
      </c>
      <c r="AW415">
        <v>5</v>
      </c>
    </row>
    <row r="416" spans="1:49">
      <c r="A416" s="3" t="s">
        <v>392</v>
      </c>
      <c r="E416">
        <v>1</v>
      </c>
      <c r="AW416">
        <v>5</v>
      </c>
    </row>
    <row r="417" spans="1:49">
      <c r="A417" s="3" t="s">
        <v>393</v>
      </c>
      <c r="E417">
        <v>1</v>
      </c>
      <c r="AW417">
        <v>5</v>
      </c>
    </row>
    <row r="418" spans="1:49">
      <c r="A418" s="3" t="s">
        <v>394</v>
      </c>
      <c r="E418">
        <v>1</v>
      </c>
      <c r="AW418">
        <v>5</v>
      </c>
    </row>
    <row r="419" spans="1:49">
      <c r="A419" s="3" t="s">
        <v>395</v>
      </c>
      <c r="E419">
        <v>1</v>
      </c>
      <c r="AW419">
        <v>5</v>
      </c>
    </row>
    <row r="420" spans="1:49">
      <c r="A420" s="3" t="s">
        <v>396</v>
      </c>
      <c r="E420">
        <v>1</v>
      </c>
      <c r="J420">
        <v>7</v>
      </c>
    </row>
    <row r="421" spans="1:49">
      <c r="A421" s="3" t="s">
        <v>397</v>
      </c>
      <c r="E421">
        <v>1</v>
      </c>
      <c r="J421">
        <v>7</v>
      </c>
    </row>
    <row r="422" spans="1:49">
      <c r="A422" s="3" t="s">
        <v>398</v>
      </c>
      <c r="E422">
        <v>1</v>
      </c>
      <c r="J422">
        <v>7</v>
      </c>
    </row>
    <row r="423" spans="1:49">
      <c r="A423" s="3" t="s">
        <v>399</v>
      </c>
      <c r="E423">
        <v>1</v>
      </c>
      <c r="J423">
        <v>7</v>
      </c>
    </row>
    <row r="424" spans="1:49">
      <c r="A424" s="3" t="s">
        <v>400</v>
      </c>
      <c r="E424">
        <v>1</v>
      </c>
      <c r="J424">
        <v>7</v>
      </c>
    </row>
    <row r="425" spans="1:49">
      <c r="A425" s="3" t="s">
        <v>401</v>
      </c>
      <c r="E425">
        <v>1</v>
      </c>
      <c r="J425">
        <v>7</v>
      </c>
    </row>
    <row r="426" spans="1:49">
      <c r="A426" s="3" t="s">
        <v>402</v>
      </c>
      <c r="E426">
        <v>1</v>
      </c>
      <c r="J426">
        <v>7</v>
      </c>
    </row>
    <row r="427" spans="1:49">
      <c r="A427" s="3" t="s">
        <v>403</v>
      </c>
      <c r="E427">
        <v>1</v>
      </c>
      <c r="J427">
        <v>7</v>
      </c>
    </row>
    <row r="428" spans="1:49">
      <c r="A428" s="3" t="s">
        <v>404</v>
      </c>
      <c r="E428">
        <v>1</v>
      </c>
      <c r="J428">
        <v>7</v>
      </c>
    </row>
    <row r="429" spans="1:49">
      <c r="A429" s="3" t="s">
        <v>405</v>
      </c>
      <c r="E429">
        <v>1</v>
      </c>
      <c r="J429">
        <v>7</v>
      </c>
    </row>
    <row r="430" spans="1:49">
      <c r="A430" s="3" t="s">
        <v>406</v>
      </c>
      <c r="E430">
        <v>1</v>
      </c>
      <c r="J430">
        <v>7</v>
      </c>
    </row>
    <row r="431" spans="1:49">
      <c r="A431" s="3" t="s">
        <v>407</v>
      </c>
      <c r="E431">
        <v>1</v>
      </c>
      <c r="J431">
        <v>7</v>
      </c>
    </row>
    <row r="432" spans="1:49">
      <c r="A432" s="3" t="s">
        <v>408</v>
      </c>
      <c r="E432">
        <v>1</v>
      </c>
      <c r="J432">
        <v>7</v>
      </c>
    </row>
    <row r="433" spans="1:10">
      <c r="A433" s="3" t="s">
        <v>409</v>
      </c>
      <c r="E433">
        <v>1</v>
      </c>
      <c r="J433">
        <v>7</v>
      </c>
    </row>
    <row r="434" spans="1:10">
      <c r="A434" s="3" t="s">
        <v>410</v>
      </c>
      <c r="E434">
        <v>1</v>
      </c>
      <c r="J434">
        <v>7</v>
      </c>
    </row>
    <row r="435" spans="1:10">
      <c r="A435" s="3" t="s">
        <v>411</v>
      </c>
      <c r="E435">
        <v>1</v>
      </c>
      <c r="J435">
        <v>7</v>
      </c>
    </row>
    <row r="436" spans="1:10">
      <c r="A436" s="3" t="s">
        <v>412</v>
      </c>
      <c r="E436">
        <v>1</v>
      </c>
      <c r="J436">
        <v>7</v>
      </c>
    </row>
    <row r="437" spans="1:10">
      <c r="A437" s="3" t="s">
        <v>413</v>
      </c>
      <c r="E437">
        <v>1</v>
      </c>
      <c r="J437">
        <v>7</v>
      </c>
    </row>
    <row r="438" spans="1:10">
      <c r="A438" s="3" t="s">
        <v>414</v>
      </c>
      <c r="E438">
        <v>1</v>
      </c>
      <c r="J438">
        <v>7</v>
      </c>
    </row>
    <row r="439" spans="1:10">
      <c r="A439" s="3" t="s">
        <v>415</v>
      </c>
      <c r="E439">
        <v>1</v>
      </c>
      <c r="J439">
        <v>7</v>
      </c>
    </row>
    <row r="440" spans="1:10">
      <c r="A440" s="3" t="s">
        <v>416</v>
      </c>
      <c r="E440">
        <v>1</v>
      </c>
      <c r="J440">
        <v>7</v>
      </c>
    </row>
    <row r="441" spans="1:10">
      <c r="A441" s="3" t="s">
        <v>417</v>
      </c>
      <c r="E441">
        <v>1</v>
      </c>
      <c r="J441">
        <v>7</v>
      </c>
    </row>
    <row r="442" spans="1:10">
      <c r="A442" s="3" t="s">
        <v>418</v>
      </c>
      <c r="E442">
        <v>1</v>
      </c>
      <c r="J442">
        <v>7</v>
      </c>
    </row>
    <row r="443" spans="1:10">
      <c r="A443" s="3" t="s">
        <v>419</v>
      </c>
      <c r="E443">
        <v>1</v>
      </c>
      <c r="J443">
        <v>7</v>
      </c>
    </row>
    <row r="444" spans="1:10">
      <c r="A444" s="3" t="s">
        <v>420</v>
      </c>
      <c r="E444">
        <v>1</v>
      </c>
      <c r="J444">
        <v>7</v>
      </c>
    </row>
    <row r="445" spans="1:10">
      <c r="A445" s="3" t="s">
        <v>421</v>
      </c>
      <c r="E445">
        <v>1</v>
      </c>
      <c r="J445">
        <v>7</v>
      </c>
    </row>
    <row r="446" spans="1:10">
      <c r="A446" s="3" t="s">
        <v>422</v>
      </c>
      <c r="E446">
        <v>1</v>
      </c>
      <c r="J446">
        <v>7</v>
      </c>
    </row>
    <row r="447" spans="1:10">
      <c r="A447" s="3" t="s">
        <v>423</v>
      </c>
      <c r="E447">
        <v>1</v>
      </c>
      <c r="J447">
        <v>7</v>
      </c>
    </row>
    <row r="448" spans="1:10">
      <c r="A448" s="3" t="s">
        <v>424</v>
      </c>
      <c r="E448">
        <v>1</v>
      </c>
      <c r="J448">
        <v>7</v>
      </c>
    </row>
    <row r="449" spans="1:10">
      <c r="A449" s="3" t="s">
        <v>425</v>
      </c>
      <c r="E449">
        <v>1</v>
      </c>
      <c r="J449">
        <v>7</v>
      </c>
    </row>
    <row r="450" spans="1:10">
      <c r="A450" s="3" t="s">
        <v>426</v>
      </c>
      <c r="E450">
        <v>1</v>
      </c>
      <c r="J450">
        <v>7</v>
      </c>
    </row>
    <row r="451" spans="1:10">
      <c r="A451" s="3" t="s">
        <v>427</v>
      </c>
      <c r="E451">
        <v>1</v>
      </c>
      <c r="J451">
        <v>7</v>
      </c>
    </row>
    <row r="452" spans="1:10">
      <c r="A452" s="3" t="s">
        <v>428</v>
      </c>
      <c r="E452">
        <v>1</v>
      </c>
      <c r="J452">
        <v>7</v>
      </c>
    </row>
    <row r="453" spans="1:10">
      <c r="A453" s="3" t="s">
        <v>429</v>
      </c>
      <c r="E453">
        <v>1</v>
      </c>
      <c r="J453">
        <v>7</v>
      </c>
    </row>
    <row r="454" spans="1:10">
      <c r="A454" s="3" t="s">
        <v>430</v>
      </c>
      <c r="E454">
        <v>1</v>
      </c>
      <c r="J454">
        <v>7</v>
      </c>
    </row>
    <row r="455" spans="1:10">
      <c r="A455" s="3" t="s">
        <v>431</v>
      </c>
      <c r="E455">
        <v>1</v>
      </c>
      <c r="J455">
        <v>7</v>
      </c>
    </row>
    <row r="456" spans="1:10">
      <c r="A456" s="3" t="s">
        <v>432</v>
      </c>
      <c r="E456">
        <v>1</v>
      </c>
      <c r="J456">
        <v>7</v>
      </c>
    </row>
    <row r="457" spans="1:10">
      <c r="A457" s="3" t="s">
        <v>433</v>
      </c>
      <c r="E457">
        <v>1</v>
      </c>
      <c r="J457">
        <v>7</v>
      </c>
    </row>
    <row r="458" spans="1:10">
      <c r="A458" s="3" t="s">
        <v>434</v>
      </c>
      <c r="E458">
        <v>1</v>
      </c>
      <c r="J458">
        <v>7</v>
      </c>
    </row>
    <row r="459" spans="1:10">
      <c r="A459" s="3" t="s">
        <v>435</v>
      </c>
      <c r="E459">
        <v>1</v>
      </c>
      <c r="J459">
        <v>7</v>
      </c>
    </row>
    <row r="460" spans="1:10">
      <c r="A460" s="3" t="s">
        <v>436</v>
      </c>
      <c r="E460">
        <v>1</v>
      </c>
      <c r="J460">
        <v>7</v>
      </c>
    </row>
    <row r="461" spans="1:10">
      <c r="A461" s="3" t="s">
        <v>437</v>
      </c>
      <c r="E461">
        <v>1</v>
      </c>
      <c r="J461">
        <v>7</v>
      </c>
    </row>
    <row r="462" spans="1:10">
      <c r="A462" s="3" t="s">
        <v>438</v>
      </c>
      <c r="E462">
        <v>1</v>
      </c>
      <c r="J462">
        <v>7</v>
      </c>
    </row>
    <row r="463" spans="1:10">
      <c r="A463" s="3" t="s">
        <v>439</v>
      </c>
      <c r="E463">
        <v>1</v>
      </c>
      <c r="J463">
        <v>7</v>
      </c>
    </row>
    <row r="464" spans="1:10">
      <c r="A464" s="3" t="s">
        <v>440</v>
      </c>
      <c r="E464">
        <v>1</v>
      </c>
      <c r="J464">
        <v>7</v>
      </c>
    </row>
    <row r="465" spans="1:10">
      <c r="A465" s="3" t="s">
        <v>441</v>
      </c>
      <c r="E465">
        <v>1</v>
      </c>
      <c r="J465">
        <v>7</v>
      </c>
    </row>
    <row r="466" spans="1:10">
      <c r="A466" s="3" t="s">
        <v>442</v>
      </c>
      <c r="E466">
        <v>1</v>
      </c>
      <c r="J466">
        <v>7</v>
      </c>
    </row>
    <row r="467" spans="1:10">
      <c r="A467" s="3" t="s">
        <v>443</v>
      </c>
      <c r="E467">
        <v>1</v>
      </c>
      <c r="J467">
        <v>7</v>
      </c>
    </row>
    <row r="468" spans="1:10">
      <c r="A468" s="3" t="s">
        <v>444</v>
      </c>
      <c r="E468">
        <v>1</v>
      </c>
      <c r="J468">
        <v>7</v>
      </c>
    </row>
    <row r="469" spans="1:10">
      <c r="A469" s="3" t="s">
        <v>445</v>
      </c>
      <c r="E469">
        <v>1</v>
      </c>
      <c r="J469">
        <v>7</v>
      </c>
    </row>
    <row r="470" spans="1:10">
      <c r="A470" s="3" t="s">
        <v>446</v>
      </c>
      <c r="E470">
        <v>1</v>
      </c>
      <c r="J470">
        <v>7</v>
      </c>
    </row>
    <row r="471" spans="1:10">
      <c r="A471" s="3" t="s">
        <v>447</v>
      </c>
      <c r="E471">
        <v>1</v>
      </c>
      <c r="J471">
        <v>7</v>
      </c>
    </row>
    <row r="472" spans="1:10">
      <c r="A472" s="3" t="s">
        <v>448</v>
      </c>
      <c r="E472">
        <v>1</v>
      </c>
      <c r="J472">
        <v>7</v>
      </c>
    </row>
    <row r="473" spans="1:10">
      <c r="A473" s="3" t="s">
        <v>449</v>
      </c>
      <c r="E473">
        <v>1</v>
      </c>
      <c r="J473">
        <v>7</v>
      </c>
    </row>
    <row r="474" spans="1:10">
      <c r="A474" s="3" t="s">
        <v>450</v>
      </c>
      <c r="E474">
        <v>1</v>
      </c>
      <c r="J474">
        <v>7</v>
      </c>
    </row>
    <row r="475" spans="1:10">
      <c r="A475" s="3" t="s">
        <v>451</v>
      </c>
      <c r="E475">
        <v>1</v>
      </c>
      <c r="J475">
        <v>7</v>
      </c>
    </row>
    <row r="476" spans="1:10">
      <c r="A476" s="3" t="s">
        <v>452</v>
      </c>
      <c r="E476">
        <v>1</v>
      </c>
      <c r="J476">
        <v>7</v>
      </c>
    </row>
    <row r="477" spans="1:10">
      <c r="A477" s="3" t="s">
        <v>453</v>
      </c>
      <c r="E477">
        <v>1</v>
      </c>
      <c r="J477">
        <v>7</v>
      </c>
    </row>
    <row r="478" spans="1:10">
      <c r="A478" s="3" t="s">
        <v>454</v>
      </c>
      <c r="E478">
        <v>1</v>
      </c>
      <c r="J478">
        <v>7</v>
      </c>
    </row>
    <row r="479" spans="1:10">
      <c r="A479" s="3" t="s">
        <v>455</v>
      </c>
      <c r="E479">
        <v>1</v>
      </c>
      <c r="J479">
        <v>7</v>
      </c>
    </row>
    <row r="480" spans="1:10">
      <c r="A480" s="3" t="s">
        <v>456</v>
      </c>
      <c r="E480">
        <v>1</v>
      </c>
      <c r="J480">
        <v>7</v>
      </c>
    </row>
    <row r="481" spans="1:10">
      <c r="A481" s="3" t="s">
        <v>457</v>
      </c>
      <c r="E481">
        <v>1</v>
      </c>
      <c r="J481">
        <v>7</v>
      </c>
    </row>
    <row r="482" spans="1:10">
      <c r="A482" s="3" t="s">
        <v>458</v>
      </c>
      <c r="E482">
        <v>1</v>
      </c>
      <c r="J482">
        <v>7</v>
      </c>
    </row>
    <row r="483" spans="1:10">
      <c r="A483" s="3" t="s">
        <v>459</v>
      </c>
      <c r="E483">
        <v>1</v>
      </c>
      <c r="J483">
        <v>7</v>
      </c>
    </row>
    <row r="484" spans="1:10">
      <c r="A484" s="3" t="s">
        <v>460</v>
      </c>
      <c r="E484">
        <v>1</v>
      </c>
      <c r="J484">
        <v>7</v>
      </c>
    </row>
    <row r="485" spans="1:10">
      <c r="A485" s="3" t="s">
        <v>461</v>
      </c>
      <c r="E485">
        <v>1</v>
      </c>
      <c r="J485">
        <v>7</v>
      </c>
    </row>
    <row r="486" spans="1:10">
      <c r="A486" s="3" t="s">
        <v>462</v>
      </c>
      <c r="E486">
        <v>1</v>
      </c>
      <c r="J486">
        <v>7</v>
      </c>
    </row>
    <row r="487" spans="1:10">
      <c r="A487" s="3" t="s">
        <v>463</v>
      </c>
      <c r="E487">
        <v>1</v>
      </c>
      <c r="J487">
        <v>7</v>
      </c>
    </row>
    <row r="488" spans="1:10">
      <c r="A488" s="3" t="s">
        <v>464</v>
      </c>
      <c r="E488">
        <v>1</v>
      </c>
      <c r="J488">
        <v>7</v>
      </c>
    </row>
    <row r="489" spans="1:10">
      <c r="A489" s="3" t="s">
        <v>465</v>
      </c>
      <c r="E489">
        <v>1</v>
      </c>
      <c r="J489">
        <v>7</v>
      </c>
    </row>
    <row r="490" spans="1:10">
      <c r="A490" s="3" t="s">
        <v>466</v>
      </c>
      <c r="E490">
        <v>1</v>
      </c>
      <c r="J490">
        <v>7</v>
      </c>
    </row>
    <row r="491" spans="1:10">
      <c r="A491" s="3" t="s">
        <v>467</v>
      </c>
      <c r="E491">
        <v>1</v>
      </c>
      <c r="J491">
        <v>7</v>
      </c>
    </row>
    <row r="492" spans="1:10">
      <c r="A492" s="3" t="s">
        <v>468</v>
      </c>
      <c r="E492">
        <v>1</v>
      </c>
      <c r="J492">
        <v>7</v>
      </c>
    </row>
    <row r="493" spans="1:10">
      <c r="A493" s="3" t="s">
        <v>469</v>
      </c>
      <c r="E493">
        <v>1</v>
      </c>
      <c r="J493">
        <v>7</v>
      </c>
    </row>
    <row r="494" spans="1:10">
      <c r="A494" s="3" t="s">
        <v>470</v>
      </c>
      <c r="E494">
        <v>1</v>
      </c>
      <c r="J494">
        <v>7</v>
      </c>
    </row>
    <row r="495" spans="1:10">
      <c r="A495" s="3" t="s">
        <v>471</v>
      </c>
      <c r="E495">
        <v>1</v>
      </c>
      <c r="J495">
        <v>7</v>
      </c>
    </row>
    <row r="496" spans="1:10">
      <c r="A496" s="3" t="s">
        <v>472</v>
      </c>
      <c r="E496">
        <v>1</v>
      </c>
      <c r="J496">
        <v>7</v>
      </c>
    </row>
    <row r="497" spans="1:49">
      <c r="A497" s="3" t="s">
        <v>473</v>
      </c>
      <c r="E497">
        <v>1</v>
      </c>
      <c r="J497">
        <v>7</v>
      </c>
    </row>
    <row r="498" spans="1:49">
      <c r="A498" s="3" t="s">
        <v>474</v>
      </c>
      <c r="E498">
        <v>1</v>
      </c>
      <c r="J498">
        <v>7</v>
      </c>
    </row>
    <row r="499" spans="1:49">
      <c r="A499" s="3" t="s">
        <v>475</v>
      </c>
      <c r="E499">
        <v>1</v>
      </c>
      <c r="J499">
        <v>7</v>
      </c>
    </row>
    <row r="500" spans="1:49">
      <c r="A500" s="3" t="s">
        <v>476</v>
      </c>
      <c r="E500">
        <v>1</v>
      </c>
      <c r="J500">
        <v>7</v>
      </c>
    </row>
    <row r="501" spans="1:49">
      <c r="A501" s="3" t="s">
        <v>477</v>
      </c>
      <c r="E501">
        <v>1</v>
      </c>
      <c r="J501">
        <v>7</v>
      </c>
    </row>
    <row r="502" spans="1:49">
      <c r="A502" s="3" t="s">
        <v>478</v>
      </c>
      <c r="E502">
        <v>1</v>
      </c>
      <c r="J502">
        <v>7</v>
      </c>
    </row>
    <row r="503" spans="1:49">
      <c r="A503" s="3" t="s">
        <v>479</v>
      </c>
      <c r="E503">
        <v>1</v>
      </c>
      <c r="J503">
        <v>7</v>
      </c>
    </row>
    <row r="504" spans="1:49">
      <c r="A504" s="3" t="s">
        <v>480</v>
      </c>
      <c r="E504">
        <v>1</v>
      </c>
      <c r="J504">
        <v>7</v>
      </c>
    </row>
    <row r="505" spans="1:49">
      <c r="A505" s="3" t="s">
        <v>481</v>
      </c>
      <c r="E505">
        <v>1</v>
      </c>
      <c r="AW505">
        <v>6</v>
      </c>
    </row>
    <row r="506" spans="1:49">
      <c r="A506" s="3" t="s">
        <v>482</v>
      </c>
      <c r="E506">
        <v>1</v>
      </c>
      <c r="AW506">
        <v>6</v>
      </c>
    </row>
    <row r="507" spans="1:49">
      <c r="A507" s="3" t="s">
        <v>483</v>
      </c>
      <c r="E507">
        <v>1</v>
      </c>
      <c r="AW507">
        <v>6</v>
      </c>
    </row>
    <row r="508" spans="1:49">
      <c r="A508" s="3" t="s">
        <v>484</v>
      </c>
      <c r="E508">
        <v>1</v>
      </c>
      <c r="AW508">
        <v>6</v>
      </c>
    </row>
    <row r="509" spans="1:49">
      <c r="A509" s="3" t="s">
        <v>485</v>
      </c>
      <c r="E509">
        <v>1</v>
      </c>
      <c r="AW509">
        <v>6</v>
      </c>
    </row>
    <row r="510" spans="1:49">
      <c r="A510" s="3" t="s">
        <v>486</v>
      </c>
      <c r="E510">
        <v>1</v>
      </c>
      <c r="AW510">
        <v>6</v>
      </c>
    </row>
    <row r="511" spans="1:49">
      <c r="A511" s="3" t="s">
        <v>487</v>
      </c>
      <c r="E511">
        <v>1</v>
      </c>
      <c r="AW511">
        <v>6</v>
      </c>
    </row>
    <row r="512" spans="1:49">
      <c r="A512" s="3" t="s">
        <v>488</v>
      </c>
      <c r="E512">
        <v>1</v>
      </c>
      <c r="AW512">
        <v>6</v>
      </c>
    </row>
    <row r="513" spans="1:49">
      <c r="A513" s="3" t="s">
        <v>489</v>
      </c>
      <c r="E513">
        <v>1</v>
      </c>
      <c r="AW513">
        <v>6</v>
      </c>
    </row>
    <row r="514" spans="1:49">
      <c r="A514" s="3" t="s">
        <v>490</v>
      </c>
      <c r="E514">
        <v>1</v>
      </c>
      <c r="AW514">
        <v>6</v>
      </c>
    </row>
    <row r="515" spans="1:49">
      <c r="A515" s="3" t="s">
        <v>491</v>
      </c>
      <c r="E515">
        <v>1</v>
      </c>
      <c r="AW515">
        <v>6</v>
      </c>
    </row>
    <row r="516" spans="1:49">
      <c r="A516" s="3" t="s">
        <v>492</v>
      </c>
      <c r="E516">
        <v>1</v>
      </c>
      <c r="AW516">
        <v>6</v>
      </c>
    </row>
    <row r="517" spans="1:49">
      <c r="A517" s="3" t="s">
        <v>493</v>
      </c>
      <c r="E517">
        <v>1</v>
      </c>
      <c r="AW517">
        <v>6</v>
      </c>
    </row>
    <row r="518" spans="1:49">
      <c r="A518" s="3" t="s">
        <v>494</v>
      </c>
      <c r="E518">
        <v>1</v>
      </c>
      <c r="AW518">
        <v>6</v>
      </c>
    </row>
    <row r="519" spans="1:49">
      <c r="A519" s="3" t="s">
        <v>495</v>
      </c>
      <c r="E519">
        <v>1</v>
      </c>
      <c r="AJ519">
        <v>1</v>
      </c>
    </row>
    <row r="520" spans="1:49">
      <c r="A520" s="3" t="s">
        <v>496</v>
      </c>
      <c r="E520">
        <v>1</v>
      </c>
      <c r="AJ520">
        <v>1</v>
      </c>
    </row>
    <row r="521" spans="1:49">
      <c r="A521" s="3" t="s">
        <v>497</v>
      </c>
      <c r="E521">
        <v>1</v>
      </c>
      <c r="AJ521">
        <v>1</v>
      </c>
    </row>
    <row r="522" spans="1:49">
      <c r="A522" s="3" t="s">
        <v>498</v>
      </c>
      <c r="E522">
        <v>1</v>
      </c>
      <c r="AJ522">
        <v>1</v>
      </c>
    </row>
    <row r="523" spans="1:49">
      <c r="A523" s="3" t="s">
        <v>499</v>
      </c>
      <c r="E523">
        <v>1</v>
      </c>
      <c r="AJ523">
        <v>1</v>
      </c>
    </row>
    <row r="524" spans="1:49">
      <c r="A524" s="3" t="s">
        <v>500</v>
      </c>
      <c r="E524">
        <v>1</v>
      </c>
      <c r="AJ524">
        <v>1</v>
      </c>
    </row>
    <row r="525" spans="1:49">
      <c r="A525" s="3" t="s">
        <v>501</v>
      </c>
      <c r="E525">
        <v>1</v>
      </c>
      <c r="AJ525">
        <v>1</v>
      </c>
    </row>
    <row r="526" spans="1:49">
      <c r="A526" s="3" t="s">
        <v>502</v>
      </c>
      <c r="E526">
        <v>1</v>
      </c>
      <c r="AJ526">
        <v>1</v>
      </c>
    </row>
    <row r="527" spans="1:49">
      <c r="A527" s="3" t="s">
        <v>503</v>
      </c>
      <c r="E527">
        <v>1</v>
      </c>
      <c r="AJ527">
        <v>1</v>
      </c>
    </row>
    <row r="528" spans="1:49">
      <c r="A528" s="3" t="s">
        <v>504</v>
      </c>
      <c r="E528">
        <v>1</v>
      </c>
      <c r="AJ528">
        <v>1</v>
      </c>
    </row>
    <row r="529" spans="1:36">
      <c r="A529" s="3" t="s">
        <v>505</v>
      </c>
      <c r="E529">
        <v>1</v>
      </c>
      <c r="AJ529">
        <v>1</v>
      </c>
    </row>
    <row r="530" spans="1:36">
      <c r="A530" s="3" t="s">
        <v>506</v>
      </c>
      <c r="E530">
        <v>1</v>
      </c>
      <c r="AJ530">
        <v>1</v>
      </c>
    </row>
    <row r="531" spans="1:36">
      <c r="A531" s="3" t="s">
        <v>507</v>
      </c>
      <c r="E531">
        <v>1</v>
      </c>
      <c r="AJ531">
        <v>1</v>
      </c>
    </row>
    <row r="532" spans="1:36">
      <c r="A532" s="3" t="s">
        <v>508</v>
      </c>
      <c r="E532">
        <v>1</v>
      </c>
      <c r="AJ532">
        <v>1</v>
      </c>
    </row>
    <row r="533" spans="1:36">
      <c r="A533" s="3" t="s">
        <v>509</v>
      </c>
      <c r="E533">
        <v>1</v>
      </c>
      <c r="AJ533">
        <v>1</v>
      </c>
    </row>
    <row r="534" spans="1:36">
      <c r="A534" s="3" t="s">
        <v>510</v>
      </c>
      <c r="E534">
        <v>1</v>
      </c>
      <c r="AJ534">
        <v>1</v>
      </c>
    </row>
    <row r="535" spans="1:36">
      <c r="A535" s="3" t="s">
        <v>511</v>
      </c>
      <c r="E535">
        <v>1</v>
      </c>
      <c r="AJ535">
        <v>1</v>
      </c>
    </row>
    <row r="536" spans="1:36">
      <c r="A536" s="3" t="s">
        <v>512</v>
      </c>
      <c r="E536">
        <v>1</v>
      </c>
      <c r="AJ536">
        <v>1</v>
      </c>
    </row>
    <row r="537" spans="1:36">
      <c r="A537" s="3" t="s">
        <v>513</v>
      </c>
      <c r="E537">
        <v>1</v>
      </c>
      <c r="AJ537">
        <v>1</v>
      </c>
    </row>
    <row r="538" spans="1:36">
      <c r="A538" s="3" t="s">
        <v>514</v>
      </c>
      <c r="E538">
        <v>1</v>
      </c>
      <c r="AJ538">
        <v>1</v>
      </c>
    </row>
    <row r="539" spans="1:36">
      <c r="A539" s="3" t="s">
        <v>515</v>
      </c>
      <c r="E539">
        <v>1</v>
      </c>
      <c r="AJ539">
        <v>1</v>
      </c>
    </row>
    <row r="540" spans="1:36">
      <c r="A540" s="3" t="s">
        <v>516</v>
      </c>
      <c r="E540">
        <v>1</v>
      </c>
      <c r="AJ540">
        <v>1</v>
      </c>
    </row>
    <row r="541" spans="1:36">
      <c r="A541" s="3" t="s">
        <v>517</v>
      </c>
      <c r="E541">
        <v>1</v>
      </c>
      <c r="AJ541">
        <v>1</v>
      </c>
    </row>
    <row r="542" spans="1:36">
      <c r="A542" s="3" t="s">
        <v>518</v>
      </c>
      <c r="E542">
        <v>1</v>
      </c>
      <c r="AJ542">
        <v>1</v>
      </c>
    </row>
    <row r="543" spans="1:36">
      <c r="A543" s="3" t="s">
        <v>519</v>
      </c>
      <c r="E543">
        <v>1</v>
      </c>
      <c r="AJ543">
        <v>1</v>
      </c>
    </row>
    <row r="544" spans="1:36">
      <c r="A544" s="3" t="s">
        <v>520</v>
      </c>
      <c r="E544">
        <v>1</v>
      </c>
      <c r="AJ544">
        <v>1</v>
      </c>
    </row>
    <row r="545" spans="1:36">
      <c r="A545" s="3" t="s">
        <v>521</v>
      </c>
      <c r="E545">
        <v>1</v>
      </c>
      <c r="AJ545">
        <v>1</v>
      </c>
    </row>
    <row r="546" spans="1:36">
      <c r="A546" s="3" t="s">
        <v>522</v>
      </c>
      <c r="E546">
        <v>1</v>
      </c>
      <c r="AJ546">
        <v>1</v>
      </c>
    </row>
    <row r="547" spans="1:36">
      <c r="A547" s="3" t="s">
        <v>523</v>
      </c>
      <c r="E547">
        <v>1</v>
      </c>
      <c r="AJ547">
        <v>1</v>
      </c>
    </row>
    <row r="548" spans="1:36">
      <c r="A548" s="3" t="s">
        <v>524</v>
      </c>
      <c r="E548">
        <v>1</v>
      </c>
      <c r="AJ548">
        <v>1</v>
      </c>
    </row>
    <row r="549" spans="1:36">
      <c r="A549" s="3" t="s">
        <v>525</v>
      </c>
      <c r="E549">
        <v>1</v>
      </c>
      <c r="AJ549">
        <v>1</v>
      </c>
    </row>
    <row r="550" spans="1:36">
      <c r="A550" s="3" t="s">
        <v>526</v>
      </c>
      <c r="E550">
        <v>1</v>
      </c>
      <c r="AJ550">
        <v>1</v>
      </c>
    </row>
    <row r="551" spans="1:36">
      <c r="A551" s="3" t="s">
        <v>527</v>
      </c>
      <c r="E551">
        <v>1</v>
      </c>
      <c r="AJ551">
        <v>1</v>
      </c>
    </row>
    <row r="552" spans="1:36">
      <c r="A552" s="3" t="s">
        <v>528</v>
      </c>
      <c r="E552">
        <v>1</v>
      </c>
      <c r="AJ552">
        <v>1</v>
      </c>
    </row>
    <row r="553" spans="1:36">
      <c r="A553" s="3" t="s">
        <v>529</v>
      </c>
      <c r="E553">
        <v>1</v>
      </c>
      <c r="AJ553">
        <v>1</v>
      </c>
    </row>
    <row r="554" spans="1:36">
      <c r="A554" s="3" t="s">
        <v>530</v>
      </c>
      <c r="E554">
        <v>1</v>
      </c>
      <c r="AJ554">
        <v>1</v>
      </c>
    </row>
    <row r="555" spans="1:36">
      <c r="A555" s="3" t="s">
        <v>531</v>
      </c>
      <c r="E555">
        <v>1</v>
      </c>
      <c r="AJ555">
        <v>1</v>
      </c>
    </row>
    <row r="556" spans="1:36">
      <c r="A556" s="3" t="s">
        <v>532</v>
      </c>
      <c r="E556">
        <v>1</v>
      </c>
      <c r="AJ556">
        <v>1</v>
      </c>
    </row>
    <row r="557" spans="1:36">
      <c r="A557" s="3" t="s">
        <v>533</v>
      </c>
      <c r="E557">
        <v>1</v>
      </c>
      <c r="AJ557">
        <v>1</v>
      </c>
    </row>
    <row r="558" spans="1:36">
      <c r="A558" s="3" t="s">
        <v>534</v>
      </c>
      <c r="E558">
        <v>1</v>
      </c>
      <c r="AJ558">
        <v>1</v>
      </c>
    </row>
    <row r="559" spans="1:36">
      <c r="A559" s="3" t="s">
        <v>535</v>
      </c>
      <c r="E559">
        <v>1</v>
      </c>
      <c r="AJ559">
        <v>1</v>
      </c>
    </row>
    <row r="560" spans="1:36">
      <c r="A560" s="3" t="s">
        <v>536</v>
      </c>
      <c r="E560">
        <v>1</v>
      </c>
      <c r="AJ560">
        <v>1</v>
      </c>
    </row>
    <row r="561" spans="1:36">
      <c r="A561" s="3" t="s">
        <v>537</v>
      </c>
      <c r="E561">
        <v>1</v>
      </c>
      <c r="AJ561">
        <v>1</v>
      </c>
    </row>
    <row r="562" spans="1:36">
      <c r="A562" s="3" t="s">
        <v>538</v>
      </c>
      <c r="E562">
        <v>1</v>
      </c>
      <c r="AJ562">
        <v>1</v>
      </c>
    </row>
    <row r="563" spans="1:36">
      <c r="A563" s="3" t="s">
        <v>539</v>
      </c>
      <c r="E563">
        <v>1</v>
      </c>
      <c r="AJ563">
        <v>1</v>
      </c>
    </row>
    <row r="564" spans="1:36">
      <c r="A564" s="3" t="s">
        <v>540</v>
      </c>
      <c r="E564">
        <v>1</v>
      </c>
      <c r="AJ564">
        <v>1</v>
      </c>
    </row>
    <row r="565" spans="1:36">
      <c r="A565" s="3" t="s">
        <v>541</v>
      </c>
      <c r="E565">
        <v>1</v>
      </c>
      <c r="AJ565">
        <v>1</v>
      </c>
    </row>
    <row r="566" spans="1:36">
      <c r="A566" s="3" t="s">
        <v>542</v>
      </c>
      <c r="E566">
        <v>1</v>
      </c>
      <c r="AJ566">
        <v>1</v>
      </c>
    </row>
    <row r="567" spans="1:36">
      <c r="A567" s="3" t="s">
        <v>543</v>
      </c>
      <c r="E567">
        <v>1</v>
      </c>
      <c r="AJ567">
        <v>1</v>
      </c>
    </row>
    <row r="568" spans="1:36">
      <c r="A568" s="3" t="s">
        <v>544</v>
      </c>
      <c r="E568">
        <v>1</v>
      </c>
      <c r="AJ568">
        <v>1</v>
      </c>
    </row>
    <row r="569" spans="1:36">
      <c r="A569" s="3" t="s">
        <v>545</v>
      </c>
      <c r="E569">
        <v>1</v>
      </c>
      <c r="AJ569">
        <v>1</v>
      </c>
    </row>
    <row r="570" spans="1:36">
      <c r="A570" s="3" t="s">
        <v>546</v>
      </c>
      <c r="E570">
        <v>1</v>
      </c>
      <c r="AJ570">
        <v>1</v>
      </c>
    </row>
    <row r="571" spans="1:36">
      <c r="A571" s="3" t="s">
        <v>547</v>
      </c>
      <c r="E571">
        <v>1</v>
      </c>
      <c r="AJ571">
        <v>1</v>
      </c>
    </row>
    <row r="572" spans="1:36">
      <c r="A572" s="3" t="s">
        <v>548</v>
      </c>
      <c r="E572">
        <v>1</v>
      </c>
      <c r="AJ572">
        <v>1</v>
      </c>
    </row>
    <row r="573" spans="1:36">
      <c r="A573" s="3" t="s">
        <v>549</v>
      </c>
      <c r="E573">
        <v>1</v>
      </c>
      <c r="AJ573">
        <v>1</v>
      </c>
    </row>
    <row r="574" spans="1:36">
      <c r="A574" s="3" t="s">
        <v>550</v>
      </c>
      <c r="E574">
        <v>1</v>
      </c>
      <c r="AJ574">
        <v>1</v>
      </c>
    </row>
    <row r="575" spans="1:36">
      <c r="A575" s="3" t="s">
        <v>551</v>
      </c>
      <c r="E575">
        <v>1</v>
      </c>
      <c r="AJ575">
        <v>1</v>
      </c>
    </row>
    <row r="576" spans="1:36">
      <c r="A576" s="3" t="s">
        <v>552</v>
      </c>
      <c r="E576">
        <v>1</v>
      </c>
      <c r="AJ576">
        <v>1</v>
      </c>
    </row>
    <row r="577" spans="1:49">
      <c r="A577" s="3" t="s">
        <v>553</v>
      </c>
      <c r="E577">
        <v>1</v>
      </c>
      <c r="AJ577">
        <v>1</v>
      </c>
    </row>
    <row r="578" spans="1:49">
      <c r="A578" s="3" t="s">
        <v>554</v>
      </c>
      <c r="E578">
        <v>1</v>
      </c>
      <c r="AJ578">
        <v>1</v>
      </c>
    </row>
    <row r="579" spans="1:49">
      <c r="A579" s="3" t="s">
        <v>555</v>
      </c>
      <c r="E579">
        <v>1</v>
      </c>
      <c r="AJ579">
        <v>1</v>
      </c>
    </row>
    <row r="580" spans="1:49">
      <c r="A580" s="3" t="s">
        <v>556</v>
      </c>
      <c r="E580">
        <v>1</v>
      </c>
      <c r="AJ580">
        <v>1</v>
      </c>
    </row>
    <row r="581" spans="1:49">
      <c r="A581" s="3" t="s">
        <v>557</v>
      </c>
      <c r="E581">
        <v>1</v>
      </c>
      <c r="AJ581">
        <v>1</v>
      </c>
    </row>
    <row r="582" spans="1:49">
      <c r="A582" s="3" t="s">
        <v>558</v>
      </c>
      <c r="E582">
        <v>1</v>
      </c>
      <c r="AW582">
        <v>7</v>
      </c>
    </row>
    <row r="583" spans="1:49">
      <c r="A583" s="3" t="s">
        <v>559</v>
      </c>
      <c r="E583">
        <v>1</v>
      </c>
      <c r="AW583">
        <v>7</v>
      </c>
    </row>
    <row r="584" spans="1:49">
      <c r="A584" s="3" t="s">
        <v>560</v>
      </c>
      <c r="E584">
        <v>1</v>
      </c>
      <c r="AW584">
        <v>7</v>
      </c>
    </row>
    <row r="585" spans="1:49">
      <c r="A585" s="3" t="s">
        <v>561</v>
      </c>
      <c r="E585">
        <v>1</v>
      </c>
      <c r="J585">
        <v>8</v>
      </c>
    </row>
    <row r="586" spans="1:49">
      <c r="A586" s="3" t="s">
        <v>562</v>
      </c>
      <c r="E586">
        <v>1</v>
      </c>
      <c r="J586">
        <v>8</v>
      </c>
    </row>
    <row r="587" spans="1:49">
      <c r="A587" s="3" t="s">
        <v>563</v>
      </c>
      <c r="E587">
        <v>1</v>
      </c>
      <c r="J587">
        <v>8</v>
      </c>
    </row>
    <row r="588" spans="1:49">
      <c r="A588" s="3" t="s">
        <v>564</v>
      </c>
      <c r="E588">
        <v>1</v>
      </c>
      <c r="J588">
        <v>8</v>
      </c>
    </row>
    <row r="589" spans="1:49">
      <c r="A589" s="3" t="s">
        <v>565</v>
      </c>
      <c r="E589">
        <v>1</v>
      </c>
      <c r="J589">
        <v>8</v>
      </c>
    </row>
    <row r="590" spans="1:49">
      <c r="A590" s="3" t="s">
        <v>566</v>
      </c>
      <c r="E590">
        <v>1</v>
      </c>
      <c r="J590">
        <v>8</v>
      </c>
    </row>
    <row r="591" spans="1:49">
      <c r="A591" s="3" t="s">
        <v>567</v>
      </c>
      <c r="E591">
        <v>1</v>
      </c>
      <c r="J591">
        <v>8</v>
      </c>
    </row>
    <row r="592" spans="1:49">
      <c r="A592" s="3" t="s">
        <v>568</v>
      </c>
      <c r="E592">
        <v>1</v>
      </c>
      <c r="AK592">
        <v>1</v>
      </c>
    </row>
    <row r="593" spans="1:37">
      <c r="A593" s="3" t="s">
        <v>569</v>
      </c>
      <c r="E593">
        <v>1</v>
      </c>
      <c r="AK593">
        <v>1</v>
      </c>
    </row>
    <row r="594" spans="1:37">
      <c r="A594" s="3" t="s">
        <v>570</v>
      </c>
      <c r="E594">
        <v>1</v>
      </c>
      <c r="AK594">
        <v>1</v>
      </c>
    </row>
    <row r="595" spans="1:37">
      <c r="A595" s="3" t="s">
        <v>571</v>
      </c>
      <c r="E595">
        <v>1</v>
      </c>
      <c r="AK595">
        <v>1</v>
      </c>
    </row>
    <row r="596" spans="1:37">
      <c r="A596" s="3" t="s">
        <v>572</v>
      </c>
      <c r="E596">
        <v>1</v>
      </c>
      <c r="AK596">
        <v>1</v>
      </c>
    </row>
    <row r="597" spans="1:37">
      <c r="A597" s="3" t="s">
        <v>573</v>
      </c>
      <c r="E597">
        <v>1</v>
      </c>
      <c r="AK597">
        <v>1</v>
      </c>
    </row>
    <row r="598" spans="1:37">
      <c r="A598" s="3" t="s">
        <v>574</v>
      </c>
      <c r="E598">
        <v>1</v>
      </c>
      <c r="AK598">
        <v>1</v>
      </c>
    </row>
    <row r="599" spans="1:37">
      <c r="A599" s="3" t="s">
        <v>575</v>
      </c>
      <c r="E599">
        <v>1</v>
      </c>
      <c r="AK599">
        <v>1</v>
      </c>
    </row>
    <row r="600" spans="1:37">
      <c r="A600" s="3" t="s">
        <v>576</v>
      </c>
      <c r="E600">
        <v>1</v>
      </c>
      <c r="AK600">
        <v>1</v>
      </c>
    </row>
    <row r="601" spans="1:37">
      <c r="A601" s="3" t="s">
        <v>577</v>
      </c>
      <c r="E601">
        <v>1</v>
      </c>
      <c r="AK601">
        <v>1</v>
      </c>
    </row>
    <row r="602" spans="1:37">
      <c r="A602" s="3" t="s">
        <v>578</v>
      </c>
      <c r="E602">
        <v>1</v>
      </c>
      <c r="AK602">
        <v>1</v>
      </c>
    </row>
    <row r="603" spans="1:37">
      <c r="A603" s="3" t="s">
        <v>579</v>
      </c>
      <c r="E603">
        <v>1</v>
      </c>
      <c r="AK603">
        <v>1</v>
      </c>
    </row>
    <row r="604" spans="1:37">
      <c r="A604" s="3" t="s">
        <v>580</v>
      </c>
      <c r="E604">
        <v>1</v>
      </c>
      <c r="AK604">
        <v>1</v>
      </c>
    </row>
    <row r="605" spans="1:37">
      <c r="A605" s="3" t="s">
        <v>581</v>
      </c>
      <c r="E605">
        <v>1</v>
      </c>
      <c r="AK605">
        <v>1</v>
      </c>
    </row>
    <row r="606" spans="1:37">
      <c r="A606" s="3" t="s">
        <v>582</v>
      </c>
      <c r="E606">
        <v>1</v>
      </c>
      <c r="AK606">
        <v>1</v>
      </c>
    </row>
    <row r="607" spans="1:37">
      <c r="A607" s="3" t="s">
        <v>583</v>
      </c>
      <c r="E607">
        <v>1</v>
      </c>
      <c r="AK607">
        <v>1</v>
      </c>
    </row>
    <row r="608" spans="1:37">
      <c r="A608" s="3" t="s">
        <v>584</v>
      </c>
      <c r="E608">
        <v>1</v>
      </c>
      <c r="AK608">
        <v>1</v>
      </c>
    </row>
    <row r="609" spans="1:37">
      <c r="A609" s="3" t="s">
        <v>585</v>
      </c>
      <c r="E609">
        <v>1</v>
      </c>
      <c r="AK609">
        <v>1</v>
      </c>
    </row>
    <row r="610" spans="1:37">
      <c r="A610" s="3" t="s">
        <v>586</v>
      </c>
      <c r="E610">
        <v>1</v>
      </c>
      <c r="AK610">
        <v>1</v>
      </c>
    </row>
    <row r="611" spans="1:37">
      <c r="A611" s="3" t="s">
        <v>587</v>
      </c>
      <c r="E611">
        <v>1</v>
      </c>
      <c r="AK611">
        <v>1</v>
      </c>
    </row>
    <row r="612" spans="1:37">
      <c r="A612" s="3" t="s">
        <v>588</v>
      </c>
      <c r="E612">
        <v>1</v>
      </c>
      <c r="AK612">
        <v>1</v>
      </c>
    </row>
    <row r="613" spans="1:37">
      <c r="A613" s="3" t="s">
        <v>589</v>
      </c>
      <c r="E613">
        <v>1</v>
      </c>
      <c r="AK613">
        <v>1</v>
      </c>
    </row>
    <row r="614" spans="1:37">
      <c r="A614" s="3" t="s">
        <v>590</v>
      </c>
      <c r="E614">
        <v>1</v>
      </c>
      <c r="AK614">
        <v>1</v>
      </c>
    </row>
    <row r="615" spans="1:37">
      <c r="A615" s="3" t="s">
        <v>591</v>
      </c>
      <c r="E615">
        <v>1</v>
      </c>
      <c r="AK615">
        <v>1</v>
      </c>
    </row>
    <row r="616" spans="1:37">
      <c r="A616" s="3" t="s">
        <v>592</v>
      </c>
      <c r="E616">
        <v>1</v>
      </c>
      <c r="AK616">
        <v>1</v>
      </c>
    </row>
    <row r="617" spans="1:37">
      <c r="A617" s="3" t="s">
        <v>593</v>
      </c>
      <c r="E617">
        <v>1</v>
      </c>
      <c r="AK617">
        <v>1</v>
      </c>
    </row>
    <row r="618" spans="1:37">
      <c r="A618" s="3" t="s">
        <v>594</v>
      </c>
      <c r="E618">
        <v>1</v>
      </c>
      <c r="AK618">
        <v>1</v>
      </c>
    </row>
    <row r="619" spans="1:37">
      <c r="A619" s="3" t="s">
        <v>595</v>
      </c>
      <c r="E619">
        <v>1</v>
      </c>
      <c r="AK619">
        <v>1</v>
      </c>
    </row>
    <row r="620" spans="1:37">
      <c r="A620" s="3" t="s">
        <v>596</v>
      </c>
      <c r="E620">
        <v>1</v>
      </c>
      <c r="AK620">
        <v>1</v>
      </c>
    </row>
    <row r="621" spans="1:37">
      <c r="A621" s="3" t="s">
        <v>597</v>
      </c>
      <c r="E621">
        <v>1</v>
      </c>
      <c r="AK621">
        <v>1</v>
      </c>
    </row>
    <row r="622" spans="1:37">
      <c r="A622" s="3" t="s">
        <v>598</v>
      </c>
      <c r="E622">
        <v>1</v>
      </c>
      <c r="AK622">
        <v>1</v>
      </c>
    </row>
    <row r="623" spans="1:37">
      <c r="A623" s="3" t="s">
        <v>599</v>
      </c>
      <c r="E623">
        <v>1</v>
      </c>
      <c r="AK623">
        <v>1</v>
      </c>
    </row>
    <row r="624" spans="1:37">
      <c r="A624" s="3" t="s">
        <v>600</v>
      </c>
      <c r="E624">
        <v>1</v>
      </c>
      <c r="AK624">
        <v>1</v>
      </c>
    </row>
    <row r="625" spans="1:37">
      <c r="A625" s="3" t="s">
        <v>601</v>
      </c>
      <c r="E625">
        <v>1</v>
      </c>
      <c r="AK625">
        <v>1</v>
      </c>
    </row>
    <row r="626" spans="1:37">
      <c r="A626" s="3" t="s">
        <v>602</v>
      </c>
      <c r="E626">
        <v>1</v>
      </c>
      <c r="AK626">
        <v>1</v>
      </c>
    </row>
    <row r="627" spans="1:37">
      <c r="A627" s="3" t="s">
        <v>603</v>
      </c>
      <c r="E627">
        <v>1</v>
      </c>
      <c r="AK627">
        <v>1</v>
      </c>
    </row>
    <row r="628" spans="1:37">
      <c r="A628" s="3" t="s">
        <v>604</v>
      </c>
      <c r="E628">
        <v>1</v>
      </c>
      <c r="AK628">
        <v>1</v>
      </c>
    </row>
    <row r="629" spans="1:37">
      <c r="A629" s="3" t="s">
        <v>605</v>
      </c>
      <c r="E629">
        <v>1</v>
      </c>
      <c r="AK629">
        <v>1</v>
      </c>
    </row>
    <row r="630" spans="1:37">
      <c r="A630" s="3" t="s">
        <v>606</v>
      </c>
      <c r="E630">
        <v>1</v>
      </c>
      <c r="AK630">
        <v>1</v>
      </c>
    </row>
    <row r="631" spans="1:37">
      <c r="A631" s="3" t="s">
        <v>607</v>
      </c>
      <c r="E631">
        <v>1</v>
      </c>
      <c r="AK631">
        <v>1</v>
      </c>
    </row>
    <row r="632" spans="1:37">
      <c r="A632" s="3" t="s">
        <v>608</v>
      </c>
      <c r="E632">
        <v>1</v>
      </c>
      <c r="AK632">
        <v>1</v>
      </c>
    </row>
    <row r="633" spans="1:37">
      <c r="A633" s="3" t="s">
        <v>609</v>
      </c>
      <c r="E633">
        <v>1</v>
      </c>
      <c r="AK633">
        <v>1</v>
      </c>
    </row>
    <row r="634" spans="1:37">
      <c r="A634" s="3" t="s">
        <v>610</v>
      </c>
      <c r="E634">
        <v>1</v>
      </c>
      <c r="AK634">
        <v>1</v>
      </c>
    </row>
    <row r="635" spans="1:37">
      <c r="A635" s="3" t="s">
        <v>611</v>
      </c>
      <c r="E635">
        <v>1</v>
      </c>
      <c r="AK635">
        <v>1</v>
      </c>
    </row>
    <row r="636" spans="1:37">
      <c r="A636" s="3" t="s">
        <v>612</v>
      </c>
      <c r="E636">
        <v>1</v>
      </c>
      <c r="AK636">
        <v>1</v>
      </c>
    </row>
    <row r="637" spans="1:37">
      <c r="A637" s="3" t="s">
        <v>613</v>
      </c>
      <c r="E637">
        <v>1</v>
      </c>
      <c r="AK637">
        <v>1</v>
      </c>
    </row>
    <row r="638" spans="1:37">
      <c r="A638" s="3" t="s">
        <v>614</v>
      </c>
      <c r="E638">
        <v>1</v>
      </c>
      <c r="AK638">
        <v>1</v>
      </c>
    </row>
    <row r="639" spans="1:37">
      <c r="A639" s="3" t="s">
        <v>615</v>
      </c>
      <c r="E639">
        <v>1</v>
      </c>
      <c r="AK639">
        <v>1</v>
      </c>
    </row>
    <row r="640" spans="1:37">
      <c r="A640" s="3" t="s">
        <v>616</v>
      </c>
      <c r="E640">
        <v>1</v>
      </c>
      <c r="AK640">
        <v>1</v>
      </c>
    </row>
    <row r="641" spans="1:37">
      <c r="A641" s="3" t="s">
        <v>617</v>
      </c>
      <c r="E641">
        <v>1</v>
      </c>
      <c r="AK641">
        <v>1</v>
      </c>
    </row>
    <row r="642" spans="1:37">
      <c r="A642" s="3" t="s">
        <v>618</v>
      </c>
      <c r="E642">
        <v>1</v>
      </c>
      <c r="AK642">
        <v>1</v>
      </c>
    </row>
    <row r="643" spans="1:37">
      <c r="A643" s="3" t="s">
        <v>619</v>
      </c>
      <c r="E643">
        <v>1</v>
      </c>
      <c r="AK643">
        <v>1</v>
      </c>
    </row>
    <row r="644" spans="1:37">
      <c r="A644" s="3" t="s">
        <v>620</v>
      </c>
      <c r="E644">
        <v>1</v>
      </c>
      <c r="AK644">
        <v>1</v>
      </c>
    </row>
    <row r="645" spans="1:37">
      <c r="A645" s="3" t="s">
        <v>621</v>
      </c>
      <c r="E645">
        <v>1</v>
      </c>
      <c r="AK645">
        <v>1</v>
      </c>
    </row>
    <row r="646" spans="1:37">
      <c r="A646" s="3" t="s">
        <v>622</v>
      </c>
      <c r="E646">
        <v>1</v>
      </c>
      <c r="AK646">
        <v>1</v>
      </c>
    </row>
    <row r="647" spans="1:37">
      <c r="A647" s="3" t="s">
        <v>623</v>
      </c>
      <c r="E647">
        <v>1</v>
      </c>
      <c r="AK647">
        <v>1</v>
      </c>
    </row>
    <row r="648" spans="1:37">
      <c r="A648" s="3" t="s">
        <v>624</v>
      </c>
      <c r="E648">
        <v>1</v>
      </c>
      <c r="AK648">
        <v>1</v>
      </c>
    </row>
    <row r="649" spans="1:37">
      <c r="A649" s="3" t="s">
        <v>625</v>
      </c>
      <c r="E649">
        <v>1</v>
      </c>
      <c r="AK649">
        <v>1</v>
      </c>
    </row>
    <row r="650" spans="1:37">
      <c r="A650" s="3" t="s">
        <v>626</v>
      </c>
      <c r="E650">
        <v>1</v>
      </c>
      <c r="AK650">
        <v>1</v>
      </c>
    </row>
    <row r="651" spans="1:37">
      <c r="A651" s="3" t="s">
        <v>627</v>
      </c>
      <c r="E651">
        <v>1</v>
      </c>
      <c r="AK651">
        <v>1</v>
      </c>
    </row>
    <row r="652" spans="1:37">
      <c r="A652" s="3" t="s">
        <v>628</v>
      </c>
      <c r="E652">
        <v>1</v>
      </c>
      <c r="AK652">
        <v>1</v>
      </c>
    </row>
    <row r="653" spans="1:37">
      <c r="A653" s="3" t="s">
        <v>629</v>
      </c>
      <c r="E653">
        <v>1</v>
      </c>
      <c r="AK653">
        <v>1</v>
      </c>
    </row>
    <row r="654" spans="1:37">
      <c r="A654" s="3" t="s">
        <v>630</v>
      </c>
      <c r="E654">
        <v>1</v>
      </c>
      <c r="AK654">
        <v>1</v>
      </c>
    </row>
    <row r="655" spans="1:37">
      <c r="A655" s="3" t="s">
        <v>631</v>
      </c>
      <c r="E655">
        <v>1</v>
      </c>
      <c r="AK655">
        <v>1</v>
      </c>
    </row>
    <row r="656" spans="1:37">
      <c r="A656" s="3" t="s">
        <v>632</v>
      </c>
      <c r="E656">
        <v>1</v>
      </c>
      <c r="AK656">
        <v>1</v>
      </c>
    </row>
    <row r="657" spans="1:37">
      <c r="A657" s="3" t="s">
        <v>633</v>
      </c>
      <c r="E657">
        <v>1</v>
      </c>
      <c r="AK657">
        <v>1</v>
      </c>
    </row>
    <row r="658" spans="1:37">
      <c r="A658" s="3" t="s">
        <v>634</v>
      </c>
      <c r="E658">
        <v>1</v>
      </c>
      <c r="AK658">
        <v>1</v>
      </c>
    </row>
    <row r="659" spans="1:37">
      <c r="A659" s="3" t="s">
        <v>635</v>
      </c>
      <c r="E659">
        <v>1</v>
      </c>
      <c r="AK659">
        <v>1</v>
      </c>
    </row>
    <row r="660" spans="1:37">
      <c r="A660" s="3" t="s">
        <v>636</v>
      </c>
      <c r="E660">
        <v>1</v>
      </c>
      <c r="AK660">
        <v>1</v>
      </c>
    </row>
    <row r="661" spans="1:37">
      <c r="A661" s="3" t="s">
        <v>637</v>
      </c>
      <c r="E661">
        <v>1</v>
      </c>
      <c r="AK661">
        <v>1</v>
      </c>
    </row>
    <row r="662" spans="1:37">
      <c r="A662" s="3" t="s">
        <v>638</v>
      </c>
      <c r="E662">
        <v>1</v>
      </c>
      <c r="AK662">
        <v>1</v>
      </c>
    </row>
    <row r="663" spans="1:37">
      <c r="A663" s="3" t="s">
        <v>639</v>
      </c>
      <c r="E663">
        <v>1</v>
      </c>
      <c r="AK663">
        <v>1</v>
      </c>
    </row>
    <row r="664" spans="1:37">
      <c r="A664" s="3" t="s">
        <v>640</v>
      </c>
      <c r="E664">
        <v>1</v>
      </c>
      <c r="AK664">
        <v>1</v>
      </c>
    </row>
    <row r="665" spans="1:37">
      <c r="A665" s="3" t="s">
        <v>641</v>
      </c>
      <c r="E665">
        <v>1</v>
      </c>
      <c r="AK665">
        <v>1</v>
      </c>
    </row>
    <row r="666" spans="1:37">
      <c r="A666" s="3" t="s">
        <v>642</v>
      </c>
      <c r="E666">
        <v>1</v>
      </c>
      <c r="AK666">
        <v>1</v>
      </c>
    </row>
    <row r="667" spans="1:37">
      <c r="A667" s="3" t="s">
        <v>643</v>
      </c>
      <c r="E667">
        <v>1</v>
      </c>
      <c r="AK667">
        <v>1</v>
      </c>
    </row>
    <row r="668" spans="1:37">
      <c r="A668" s="3" t="s">
        <v>644</v>
      </c>
      <c r="E668">
        <v>1</v>
      </c>
      <c r="AK668">
        <v>1</v>
      </c>
    </row>
    <row r="669" spans="1:37">
      <c r="A669" s="3" t="s">
        <v>645</v>
      </c>
      <c r="E669">
        <v>1</v>
      </c>
      <c r="AK669">
        <v>1</v>
      </c>
    </row>
    <row r="670" spans="1:37">
      <c r="A670" s="3" t="s">
        <v>646</v>
      </c>
      <c r="E670">
        <v>1</v>
      </c>
      <c r="AK670">
        <v>1</v>
      </c>
    </row>
    <row r="671" spans="1:37">
      <c r="A671" s="3" t="s">
        <v>647</v>
      </c>
      <c r="E671">
        <v>1</v>
      </c>
      <c r="AK671">
        <v>1</v>
      </c>
    </row>
    <row r="672" spans="1:37">
      <c r="A672" s="3" t="s">
        <v>648</v>
      </c>
      <c r="E672">
        <v>1</v>
      </c>
      <c r="AK672">
        <v>1</v>
      </c>
    </row>
    <row r="673" spans="1:37">
      <c r="A673" s="3" t="s">
        <v>649</v>
      </c>
      <c r="E673">
        <v>1</v>
      </c>
      <c r="AK673">
        <v>1</v>
      </c>
    </row>
    <row r="674" spans="1:37">
      <c r="A674" s="3" t="s">
        <v>650</v>
      </c>
      <c r="E674">
        <v>1</v>
      </c>
      <c r="AK674">
        <v>1</v>
      </c>
    </row>
    <row r="675" spans="1:37">
      <c r="A675" s="3" t="s">
        <v>651</v>
      </c>
      <c r="E675">
        <v>1</v>
      </c>
      <c r="AK675">
        <v>1</v>
      </c>
    </row>
    <row r="676" spans="1:37">
      <c r="A676" s="3" t="s">
        <v>652</v>
      </c>
      <c r="E676">
        <v>1</v>
      </c>
      <c r="AK676">
        <v>1</v>
      </c>
    </row>
    <row r="677" spans="1:37">
      <c r="A677" s="3" t="s">
        <v>653</v>
      </c>
      <c r="E677">
        <v>1</v>
      </c>
      <c r="AK677">
        <v>1</v>
      </c>
    </row>
    <row r="678" spans="1:37">
      <c r="A678" s="3" t="s">
        <v>654</v>
      </c>
      <c r="E678">
        <v>1</v>
      </c>
      <c r="AK678">
        <v>1</v>
      </c>
    </row>
    <row r="679" spans="1:37">
      <c r="A679" s="3" t="s">
        <v>655</v>
      </c>
      <c r="E679">
        <v>1</v>
      </c>
      <c r="AK679">
        <v>1</v>
      </c>
    </row>
    <row r="680" spans="1:37">
      <c r="A680" s="3" t="s">
        <v>656</v>
      </c>
      <c r="E680">
        <v>1</v>
      </c>
      <c r="AK680">
        <v>1</v>
      </c>
    </row>
    <row r="681" spans="1:37">
      <c r="A681" s="3" t="s">
        <v>657</v>
      </c>
      <c r="E681">
        <v>1</v>
      </c>
      <c r="AK681">
        <v>1</v>
      </c>
    </row>
    <row r="682" spans="1:37">
      <c r="A682" s="3" t="s">
        <v>658</v>
      </c>
      <c r="E682">
        <v>1</v>
      </c>
      <c r="AK682">
        <v>1</v>
      </c>
    </row>
    <row r="683" spans="1:37">
      <c r="A683" s="3" t="s">
        <v>659</v>
      </c>
      <c r="E683">
        <v>1</v>
      </c>
      <c r="AK683">
        <v>1</v>
      </c>
    </row>
    <row r="684" spans="1:37">
      <c r="A684" s="3" t="s">
        <v>660</v>
      </c>
      <c r="E684">
        <v>1</v>
      </c>
      <c r="AK684">
        <v>1</v>
      </c>
    </row>
    <row r="685" spans="1:37">
      <c r="A685" s="3" t="s">
        <v>661</v>
      </c>
      <c r="E685">
        <v>1</v>
      </c>
      <c r="AK685">
        <v>1</v>
      </c>
    </row>
    <row r="686" spans="1:37">
      <c r="A686" s="3" t="s">
        <v>662</v>
      </c>
      <c r="E686">
        <v>1</v>
      </c>
      <c r="AK686">
        <v>1</v>
      </c>
    </row>
    <row r="687" spans="1:37">
      <c r="A687" s="3" t="s">
        <v>663</v>
      </c>
      <c r="E687">
        <v>1</v>
      </c>
      <c r="AK687">
        <v>1</v>
      </c>
    </row>
    <row r="688" spans="1:37">
      <c r="A688" s="3" t="s">
        <v>664</v>
      </c>
      <c r="E688">
        <v>1</v>
      </c>
      <c r="AK688">
        <v>1</v>
      </c>
    </row>
    <row r="689" spans="1:47">
      <c r="A689" s="3" t="s">
        <v>665</v>
      </c>
      <c r="E689">
        <v>1</v>
      </c>
      <c r="AK689">
        <v>1</v>
      </c>
    </row>
    <row r="690" spans="1:47">
      <c r="A690" s="3" t="s">
        <v>666</v>
      </c>
      <c r="E690">
        <v>1</v>
      </c>
      <c r="AK690">
        <v>1</v>
      </c>
    </row>
    <row r="691" spans="1:47">
      <c r="A691" s="3" t="s">
        <v>667</v>
      </c>
      <c r="E691">
        <v>1</v>
      </c>
      <c r="AU691">
        <v>3</v>
      </c>
    </row>
    <row r="692" spans="1:47">
      <c r="A692" s="3" t="s">
        <v>668</v>
      </c>
      <c r="E692">
        <v>1</v>
      </c>
      <c r="AU692">
        <v>3</v>
      </c>
    </row>
    <row r="693" spans="1:47">
      <c r="A693" s="3" t="s">
        <v>669</v>
      </c>
      <c r="E693">
        <v>1</v>
      </c>
      <c r="AU693">
        <v>3</v>
      </c>
    </row>
    <row r="694" spans="1:47">
      <c r="A694" s="3" t="s">
        <v>670</v>
      </c>
      <c r="E694">
        <v>1</v>
      </c>
      <c r="AU694">
        <v>3</v>
      </c>
    </row>
    <row r="695" spans="1:47">
      <c r="A695" s="3" t="s">
        <v>671</v>
      </c>
      <c r="E695">
        <v>1</v>
      </c>
      <c r="AU695">
        <v>3</v>
      </c>
    </row>
    <row r="696" spans="1:47">
      <c r="A696" s="3" t="s">
        <v>672</v>
      </c>
      <c r="E696">
        <v>1</v>
      </c>
      <c r="AJ696">
        <v>2</v>
      </c>
    </row>
    <row r="697" spans="1:47">
      <c r="A697" s="3" t="s">
        <v>673</v>
      </c>
      <c r="E697">
        <v>1</v>
      </c>
      <c r="AJ697">
        <v>2</v>
      </c>
    </row>
    <row r="698" spans="1:47">
      <c r="A698" s="3" t="s">
        <v>674</v>
      </c>
      <c r="E698">
        <v>1</v>
      </c>
      <c r="AJ698">
        <v>2</v>
      </c>
    </row>
    <row r="699" spans="1:47">
      <c r="A699" s="3" t="s">
        <v>675</v>
      </c>
      <c r="E699">
        <v>1</v>
      </c>
      <c r="AJ699">
        <v>2</v>
      </c>
    </row>
    <row r="700" spans="1:47">
      <c r="A700" s="3" t="s">
        <v>676</v>
      </c>
      <c r="E700">
        <v>1</v>
      </c>
      <c r="AJ700">
        <v>2</v>
      </c>
    </row>
    <row r="701" spans="1:47">
      <c r="A701" s="3" t="s">
        <v>677</v>
      </c>
      <c r="E701">
        <v>1</v>
      </c>
      <c r="AJ701">
        <v>2</v>
      </c>
    </row>
    <row r="702" spans="1:47">
      <c r="A702" s="3" t="s">
        <v>678</v>
      </c>
      <c r="E702">
        <v>1</v>
      </c>
      <c r="AJ702">
        <v>2</v>
      </c>
    </row>
    <row r="703" spans="1:47">
      <c r="A703" s="3" t="s">
        <v>679</v>
      </c>
      <c r="E703">
        <v>1</v>
      </c>
      <c r="AJ703">
        <v>2</v>
      </c>
    </row>
    <row r="704" spans="1:47">
      <c r="A704" s="3" t="s">
        <v>680</v>
      </c>
      <c r="E704">
        <v>1</v>
      </c>
      <c r="AJ704">
        <v>2</v>
      </c>
    </row>
    <row r="705" spans="1:36">
      <c r="A705" s="3" t="s">
        <v>681</v>
      </c>
      <c r="E705">
        <v>1</v>
      </c>
      <c r="AJ705">
        <v>2</v>
      </c>
    </row>
    <row r="706" spans="1:36">
      <c r="A706" s="3" t="s">
        <v>682</v>
      </c>
      <c r="E706">
        <v>1</v>
      </c>
      <c r="AJ706">
        <v>2</v>
      </c>
    </row>
    <row r="707" spans="1:36">
      <c r="A707" s="3" t="s">
        <v>683</v>
      </c>
      <c r="E707">
        <v>1</v>
      </c>
      <c r="AJ707">
        <v>2</v>
      </c>
    </row>
    <row r="708" spans="1:36">
      <c r="A708" s="3" t="s">
        <v>684</v>
      </c>
      <c r="E708">
        <v>1</v>
      </c>
      <c r="AJ708">
        <v>2</v>
      </c>
    </row>
    <row r="709" spans="1:36">
      <c r="A709" s="3" t="s">
        <v>685</v>
      </c>
      <c r="E709">
        <v>1</v>
      </c>
      <c r="AJ709">
        <v>2</v>
      </c>
    </row>
    <row r="710" spans="1:36">
      <c r="A710" s="3" t="s">
        <v>686</v>
      </c>
      <c r="E710">
        <v>1</v>
      </c>
      <c r="AJ710">
        <v>2</v>
      </c>
    </row>
    <row r="711" spans="1:36">
      <c r="A711" s="3" t="s">
        <v>687</v>
      </c>
      <c r="E711">
        <v>1</v>
      </c>
      <c r="AJ711">
        <v>2</v>
      </c>
    </row>
    <row r="712" spans="1:36">
      <c r="A712" s="3" t="s">
        <v>688</v>
      </c>
      <c r="E712">
        <v>1</v>
      </c>
      <c r="AJ712">
        <v>2</v>
      </c>
    </row>
    <row r="713" spans="1:36">
      <c r="A713" s="3" t="s">
        <v>689</v>
      </c>
      <c r="E713">
        <v>1</v>
      </c>
      <c r="AJ713">
        <v>2</v>
      </c>
    </row>
    <row r="714" spans="1:36">
      <c r="A714" s="3" t="s">
        <v>690</v>
      </c>
      <c r="E714">
        <v>1</v>
      </c>
      <c r="AJ714">
        <v>2</v>
      </c>
    </row>
    <row r="715" spans="1:36">
      <c r="A715" s="3" t="s">
        <v>691</v>
      </c>
      <c r="E715">
        <v>1</v>
      </c>
      <c r="AJ715">
        <v>2</v>
      </c>
    </row>
    <row r="716" spans="1:36">
      <c r="A716" s="3" t="s">
        <v>692</v>
      </c>
      <c r="E716">
        <v>1</v>
      </c>
      <c r="AJ716">
        <v>2</v>
      </c>
    </row>
    <row r="717" spans="1:36">
      <c r="A717" s="3" t="s">
        <v>693</v>
      </c>
      <c r="E717">
        <v>1</v>
      </c>
      <c r="AJ717">
        <v>2</v>
      </c>
    </row>
    <row r="718" spans="1:36">
      <c r="A718" s="3" t="s">
        <v>694</v>
      </c>
      <c r="E718">
        <v>1</v>
      </c>
      <c r="AJ718">
        <v>2</v>
      </c>
    </row>
    <row r="719" spans="1:36">
      <c r="A719" s="3" t="s">
        <v>695</v>
      </c>
      <c r="E719">
        <v>1</v>
      </c>
      <c r="AJ719">
        <v>2</v>
      </c>
    </row>
    <row r="720" spans="1:36">
      <c r="A720" s="3" t="s">
        <v>696</v>
      </c>
      <c r="E720">
        <v>1</v>
      </c>
      <c r="J720">
        <v>9</v>
      </c>
    </row>
    <row r="721" spans="1:10">
      <c r="A721" s="3" t="s">
        <v>697</v>
      </c>
      <c r="E721">
        <v>1</v>
      </c>
      <c r="J721">
        <v>9</v>
      </c>
    </row>
    <row r="722" spans="1:10">
      <c r="A722" s="3" t="s">
        <v>698</v>
      </c>
      <c r="E722">
        <v>1</v>
      </c>
      <c r="J722">
        <v>9</v>
      </c>
    </row>
    <row r="723" spans="1:10">
      <c r="A723" s="3" t="s">
        <v>699</v>
      </c>
      <c r="E723">
        <v>1</v>
      </c>
      <c r="J723">
        <v>9</v>
      </c>
    </row>
    <row r="724" spans="1:10">
      <c r="A724" s="3" t="s">
        <v>700</v>
      </c>
      <c r="E724">
        <v>1</v>
      </c>
      <c r="J724">
        <v>9</v>
      </c>
    </row>
    <row r="725" spans="1:10">
      <c r="A725" s="3" t="s">
        <v>701</v>
      </c>
      <c r="E725">
        <v>1</v>
      </c>
      <c r="J725">
        <v>9</v>
      </c>
    </row>
    <row r="726" spans="1:10">
      <c r="A726" s="3" t="s">
        <v>702</v>
      </c>
      <c r="E726">
        <v>1</v>
      </c>
      <c r="J726">
        <v>9</v>
      </c>
    </row>
    <row r="727" spans="1:10">
      <c r="A727" s="3" t="s">
        <v>703</v>
      </c>
      <c r="E727">
        <v>1</v>
      </c>
      <c r="J727">
        <v>9</v>
      </c>
    </row>
    <row r="728" spans="1:10">
      <c r="A728" s="3" t="s">
        <v>704</v>
      </c>
      <c r="E728">
        <v>1</v>
      </c>
      <c r="J728">
        <v>9</v>
      </c>
    </row>
    <row r="729" spans="1:10">
      <c r="A729" s="3" t="s">
        <v>705</v>
      </c>
      <c r="E729">
        <v>1</v>
      </c>
      <c r="J729">
        <v>9</v>
      </c>
    </row>
    <row r="730" spans="1:10">
      <c r="A730" s="3" t="s">
        <v>706</v>
      </c>
      <c r="E730">
        <v>1</v>
      </c>
      <c r="J730">
        <v>9</v>
      </c>
    </row>
    <row r="731" spans="1:10">
      <c r="A731" s="3" t="s">
        <v>707</v>
      </c>
      <c r="E731">
        <v>1</v>
      </c>
      <c r="J731">
        <v>9</v>
      </c>
    </row>
    <row r="732" spans="1:10">
      <c r="A732" s="3" t="s">
        <v>708</v>
      </c>
      <c r="E732">
        <v>1</v>
      </c>
      <c r="J732">
        <v>9</v>
      </c>
    </row>
    <row r="733" spans="1:10">
      <c r="A733" s="3" t="s">
        <v>709</v>
      </c>
      <c r="E733">
        <v>1</v>
      </c>
      <c r="J733">
        <v>9</v>
      </c>
    </row>
    <row r="734" spans="1:10">
      <c r="A734" s="3" t="s">
        <v>710</v>
      </c>
      <c r="E734">
        <v>1</v>
      </c>
      <c r="J734">
        <v>9</v>
      </c>
    </row>
    <row r="735" spans="1:10">
      <c r="A735" s="3" t="s">
        <v>711</v>
      </c>
      <c r="E735">
        <v>1</v>
      </c>
      <c r="J735">
        <v>9</v>
      </c>
    </row>
    <row r="736" spans="1:10">
      <c r="A736" s="3" t="s">
        <v>712</v>
      </c>
      <c r="E736">
        <v>1</v>
      </c>
      <c r="J736">
        <v>9</v>
      </c>
    </row>
    <row r="737" spans="1:48">
      <c r="A737" s="3" t="s">
        <v>713</v>
      </c>
      <c r="E737">
        <v>1</v>
      </c>
      <c r="J737">
        <v>9</v>
      </c>
    </row>
    <row r="738" spans="1:48">
      <c r="A738" s="3" t="s">
        <v>714</v>
      </c>
      <c r="E738">
        <v>1</v>
      </c>
      <c r="J738">
        <v>9</v>
      </c>
    </row>
    <row r="739" spans="1:48">
      <c r="A739" s="3" t="s">
        <v>715</v>
      </c>
      <c r="E739">
        <v>1</v>
      </c>
      <c r="J739">
        <v>9</v>
      </c>
    </row>
    <row r="740" spans="1:48">
      <c r="A740" s="3" t="s">
        <v>716</v>
      </c>
      <c r="E740">
        <v>1</v>
      </c>
      <c r="J740">
        <v>9</v>
      </c>
    </row>
    <row r="741" spans="1:48">
      <c r="A741" s="3" t="s">
        <v>717</v>
      </c>
      <c r="E741">
        <v>1</v>
      </c>
      <c r="J741">
        <v>9</v>
      </c>
    </row>
    <row r="742" spans="1:48">
      <c r="A742" s="3" t="s">
        <v>718</v>
      </c>
      <c r="E742">
        <v>1</v>
      </c>
      <c r="J742">
        <v>9</v>
      </c>
    </row>
    <row r="743" spans="1:48">
      <c r="A743" s="3" t="s">
        <v>719</v>
      </c>
      <c r="E743">
        <v>1</v>
      </c>
      <c r="J743">
        <v>9</v>
      </c>
    </row>
    <row r="744" spans="1:48">
      <c r="A744" s="3" t="s">
        <v>720</v>
      </c>
      <c r="E744">
        <v>1</v>
      </c>
      <c r="J744">
        <v>9</v>
      </c>
    </row>
    <row r="745" spans="1:48">
      <c r="A745" s="3" t="s">
        <v>721</v>
      </c>
      <c r="E745">
        <v>1</v>
      </c>
      <c r="J745">
        <v>9</v>
      </c>
    </row>
    <row r="746" spans="1:48">
      <c r="A746" s="3" t="s">
        <v>722</v>
      </c>
      <c r="E746">
        <v>1</v>
      </c>
      <c r="J746">
        <v>9</v>
      </c>
    </row>
    <row r="747" spans="1:48">
      <c r="A747" s="3" t="s">
        <v>723</v>
      </c>
      <c r="E747">
        <v>1</v>
      </c>
      <c r="J747">
        <v>9</v>
      </c>
    </row>
    <row r="748" spans="1:48">
      <c r="A748" s="3" t="s">
        <v>724</v>
      </c>
      <c r="E748">
        <v>1</v>
      </c>
      <c r="J748">
        <v>9</v>
      </c>
    </row>
    <row r="749" spans="1:48">
      <c r="A749" s="3" t="s">
        <v>725</v>
      </c>
      <c r="E749">
        <v>1</v>
      </c>
      <c r="J749">
        <v>9</v>
      </c>
    </row>
    <row r="750" spans="1:48">
      <c r="A750" s="3" t="s">
        <v>726</v>
      </c>
      <c r="E750">
        <v>1</v>
      </c>
      <c r="J750">
        <v>9</v>
      </c>
    </row>
    <row r="751" spans="1:48">
      <c r="A751" s="3" t="s">
        <v>727</v>
      </c>
      <c r="E751">
        <v>1</v>
      </c>
      <c r="AV751">
        <v>2</v>
      </c>
    </row>
    <row r="752" spans="1:48">
      <c r="A752" s="3" t="s">
        <v>728</v>
      </c>
      <c r="E752">
        <v>1</v>
      </c>
      <c r="AV752">
        <v>2</v>
      </c>
    </row>
    <row r="753" spans="1:48">
      <c r="A753" s="3" t="s">
        <v>729</v>
      </c>
      <c r="E753">
        <v>1</v>
      </c>
      <c r="AV753">
        <v>2</v>
      </c>
    </row>
    <row r="754" spans="1:48">
      <c r="A754" s="3" t="s">
        <v>730</v>
      </c>
      <c r="E754">
        <v>1</v>
      </c>
      <c r="AV754">
        <v>2</v>
      </c>
    </row>
    <row r="755" spans="1:48">
      <c r="A755" s="3" t="s">
        <v>731</v>
      </c>
      <c r="E755">
        <v>1</v>
      </c>
      <c r="AV755">
        <v>2</v>
      </c>
    </row>
    <row r="756" spans="1:48">
      <c r="A756" s="3" t="s">
        <v>732</v>
      </c>
      <c r="E756">
        <v>1</v>
      </c>
      <c r="AV756">
        <v>2</v>
      </c>
    </row>
    <row r="757" spans="1:48">
      <c r="A757" s="3" t="s">
        <v>733</v>
      </c>
      <c r="E757">
        <v>1</v>
      </c>
      <c r="AV757">
        <v>2</v>
      </c>
    </row>
    <row r="758" spans="1:48">
      <c r="A758" s="3" t="s">
        <v>734</v>
      </c>
      <c r="E758">
        <v>1</v>
      </c>
      <c r="AV758">
        <v>2</v>
      </c>
    </row>
    <row r="759" spans="1:48">
      <c r="A759" s="3" t="s">
        <v>735</v>
      </c>
      <c r="E759">
        <v>1</v>
      </c>
      <c r="AV759">
        <v>2</v>
      </c>
    </row>
    <row r="760" spans="1:48">
      <c r="A760" s="3" t="s">
        <v>736</v>
      </c>
      <c r="E760">
        <v>1</v>
      </c>
      <c r="AV760">
        <v>2</v>
      </c>
    </row>
    <row r="761" spans="1:48">
      <c r="A761" s="3" t="s">
        <v>737</v>
      </c>
      <c r="E761">
        <v>1</v>
      </c>
      <c r="AV761">
        <v>2</v>
      </c>
    </row>
    <row r="762" spans="1:48">
      <c r="A762" s="3" t="s">
        <v>738</v>
      </c>
      <c r="E762">
        <v>1</v>
      </c>
      <c r="AV762">
        <v>2</v>
      </c>
    </row>
    <row r="763" spans="1:48">
      <c r="A763" s="3" t="s">
        <v>739</v>
      </c>
      <c r="E763">
        <v>1</v>
      </c>
      <c r="AV763">
        <v>2</v>
      </c>
    </row>
    <row r="764" spans="1:48">
      <c r="A764" s="3" t="s">
        <v>740</v>
      </c>
      <c r="E764">
        <v>1</v>
      </c>
      <c r="AV764">
        <v>2</v>
      </c>
    </row>
    <row r="765" spans="1:48">
      <c r="A765" s="3" t="s">
        <v>741</v>
      </c>
      <c r="E765">
        <v>1</v>
      </c>
      <c r="AV765">
        <v>2</v>
      </c>
    </row>
    <row r="766" spans="1:48">
      <c r="A766" s="3" t="s">
        <v>742</v>
      </c>
      <c r="E766">
        <v>1</v>
      </c>
      <c r="AV766">
        <v>2</v>
      </c>
    </row>
    <row r="767" spans="1:48">
      <c r="A767" s="3" t="s">
        <v>743</v>
      </c>
      <c r="E767">
        <v>1</v>
      </c>
      <c r="AV767">
        <v>2</v>
      </c>
    </row>
    <row r="768" spans="1:48">
      <c r="A768" s="3" t="s">
        <v>744</v>
      </c>
      <c r="E768">
        <v>1</v>
      </c>
      <c r="AV768">
        <v>2</v>
      </c>
    </row>
    <row r="769" spans="1:48">
      <c r="A769" s="3" t="s">
        <v>745</v>
      </c>
      <c r="E769">
        <v>1</v>
      </c>
      <c r="AV769">
        <v>2</v>
      </c>
    </row>
    <row r="770" spans="1:48">
      <c r="A770" s="3" t="s">
        <v>746</v>
      </c>
      <c r="E770">
        <v>1</v>
      </c>
      <c r="AV770">
        <v>2</v>
      </c>
    </row>
    <row r="771" spans="1:48">
      <c r="A771" s="3" t="s">
        <v>747</v>
      </c>
      <c r="E771">
        <v>1</v>
      </c>
      <c r="J771">
        <v>10</v>
      </c>
    </row>
    <row r="772" spans="1:48">
      <c r="A772" s="3" t="s">
        <v>748</v>
      </c>
      <c r="E772">
        <v>1</v>
      </c>
      <c r="J772">
        <v>10</v>
      </c>
    </row>
    <row r="773" spans="1:48">
      <c r="A773" s="3" t="s">
        <v>749</v>
      </c>
      <c r="E773">
        <v>1</v>
      </c>
      <c r="J773">
        <v>10</v>
      </c>
    </row>
    <row r="774" spans="1:48">
      <c r="A774" s="3" t="s">
        <v>750</v>
      </c>
      <c r="E774">
        <v>1</v>
      </c>
      <c r="J774">
        <v>10</v>
      </c>
    </row>
    <row r="775" spans="1:48">
      <c r="A775" s="3" t="s">
        <v>751</v>
      </c>
      <c r="E775">
        <v>1</v>
      </c>
      <c r="J775">
        <v>10</v>
      </c>
    </row>
    <row r="776" spans="1:48">
      <c r="A776" s="3" t="s">
        <v>752</v>
      </c>
      <c r="E776">
        <v>1</v>
      </c>
      <c r="J776">
        <v>10</v>
      </c>
    </row>
    <row r="777" spans="1:48">
      <c r="A777" s="3" t="s">
        <v>753</v>
      </c>
      <c r="E777">
        <v>1</v>
      </c>
      <c r="J777">
        <v>10</v>
      </c>
    </row>
    <row r="778" spans="1:48">
      <c r="A778" s="3" t="s">
        <v>754</v>
      </c>
      <c r="E778">
        <v>1</v>
      </c>
      <c r="J778">
        <v>10</v>
      </c>
    </row>
    <row r="779" spans="1:48">
      <c r="A779" s="3" t="s">
        <v>755</v>
      </c>
      <c r="D779">
        <v>1</v>
      </c>
      <c r="E779">
        <v>1</v>
      </c>
      <c r="J779">
        <v>10</v>
      </c>
    </row>
    <row r="780" spans="1:48">
      <c r="A780" s="3" t="s">
        <v>756</v>
      </c>
      <c r="D780">
        <v>1</v>
      </c>
      <c r="E780">
        <v>1</v>
      </c>
      <c r="J780">
        <v>10</v>
      </c>
    </row>
    <row r="781" spans="1:48">
      <c r="A781" s="3" t="s">
        <v>757</v>
      </c>
      <c r="D781">
        <v>1</v>
      </c>
      <c r="E781">
        <v>1</v>
      </c>
      <c r="J781">
        <v>10</v>
      </c>
    </row>
    <row r="782" spans="1:48">
      <c r="A782" s="3" t="s">
        <v>758</v>
      </c>
      <c r="D782">
        <v>1</v>
      </c>
      <c r="E782">
        <v>1</v>
      </c>
      <c r="J782">
        <v>10</v>
      </c>
    </row>
    <row r="783" spans="1:48">
      <c r="A783" s="3" t="s">
        <v>759</v>
      </c>
      <c r="D783">
        <v>1</v>
      </c>
      <c r="E783">
        <v>1</v>
      </c>
      <c r="J783">
        <v>10</v>
      </c>
    </row>
    <row r="784" spans="1:48">
      <c r="A784" s="3" t="s">
        <v>760</v>
      </c>
      <c r="D784">
        <v>1</v>
      </c>
      <c r="E784">
        <v>1</v>
      </c>
      <c r="J784">
        <v>10</v>
      </c>
    </row>
    <row r="785" spans="1:32">
      <c r="A785" s="3" t="s">
        <v>761</v>
      </c>
      <c r="D785">
        <v>1</v>
      </c>
      <c r="E785">
        <v>1</v>
      </c>
      <c r="J785">
        <v>10</v>
      </c>
    </row>
    <row r="786" spans="1:32">
      <c r="A786" s="3" t="s">
        <v>762</v>
      </c>
      <c r="D786">
        <v>1</v>
      </c>
      <c r="E786">
        <v>1</v>
      </c>
      <c r="J786">
        <v>10</v>
      </c>
    </row>
    <row r="787" spans="1:32">
      <c r="A787" s="3" t="s">
        <v>763</v>
      </c>
      <c r="D787">
        <v>1</v>
      </c>
      <c r="E787">
        <v>1</v>
      </c>
      <c r="J787">
        <v>10</v>
      </c>
    </row>
    <row r="788" spans="1:32">
      <c r="A788" s="3" t="s">
        <v>764</v>
      </c>
      <c r="D788">
        <v>1</v>
      </c>
      <c r="E788">
        <v>1</v>
      </c>
      <c r="J788">
        <v>10</v>
      </c>
    </row>
    <row r="789" spans="1:32">
      <c r="A789" s="3" t="s">
        <v>765</v>
      </c>
      <c r="D789">
        <v>1</v>
      </c>
      <c r="E789">
        <v>1</v>
      </c>
      <c r="J789">
        <v>10</v>
      </c>
    </row>
    <row r="790" spans="1:32">
      <c r="A790" s="3" t="s">
        <v>766</v>
      </c>
      <c r="D790">
        <v>1</v>
      </c>
      <c r="E790">
        <v>1</v>
      </c>
      <c r="J790">
        <v>10</v>
      </c>
    </row>
    <row r="791" spans="1:32">
      <c r="A791" s="3" t="s">
        <v>767</v>
      </c>
      <c r="D791">
        <v>1</v>
      </c>
      <c r="E791">
        <v>1</v>
      </c>
      <c r="J791">
        <v>10</v>
      </c>
    </row>
    <row r="792" spans="1:32">
      <c r="A792" s="3" t="s">
        <v>768</v>
      </c>
      <c r="D792">
        <v>1</v>
      </c>
      <c r="J792">
        <v>10</v>
      </c>
    </row>
    <row r="793" spans="1:32">
      <c r="A793" s="3" t="s">
        <v>769</v>
      </c>
      <c r="D793">
        <v>1</v>
      </c>
      <c r="AF793">
        <v>1</v>
      </c>
    </row>
    <row r="794" spans="1:32">
      <c r="A794" s="3" t="s">
        <v>770</v>
      </c>
      <c r="D794">
        <v>1</v>
      </c>
      <c r="AF794">
        <v>1</v>
      </c>
    </row>
    <row r="795" spans="1:32">
      <c r="A795" s="3" t="s">
        <v>771</v>
      </c>
      <c r="D795">
        <v>1</v>
      </c>
      <c r="AF795">
        <v>1</v>
      </c>
    </row>
    <row r="796" spans="1:32">
      <c r="A796" s="3" t="s">
        <v>772</v>
      </c>
      <c r="D796">
        <v>1</v>
      </c>
      <c r="AF796">
        <v>1</v>
      </c>
    </row>
    <row r="797" spans="1:32">
      <c r="A797" s="3" t="s">
        <v>773</v>
      </c>
      <c r="D797">
        <v>1</v>
      </c>
      <c r="AF797">
        <v>1</v>
      </c>
    </row>
    <row r="798" spans="1:32">
      <c r="A798" s="3" t="s">
        <v>774</v>
      </c>
      <c r="D798">
        <v>1</v>
      </c>
      <c r="AF798">
        <v>1</v>
      </c>
    </row>
    <row r="799" spans="1:32">
      <c r="A799" s="3" t="s">
        <v>775</v>
      </c>
      <c r="D799">
        <v>1</v>
      </c>
      <c r="AF799">
        <v>1</v>
      </c>
    </row>
    <row r="800" spans="1:32">
      <c r="A800" s="3" t="s">
        <v>776</v>
      </c>
      <c r="D800">
        <v>1</v>
      </c>
      <c r="AF800">
        <v>1</v>
      </c>
    </row>
    <row r="801" spans="1:46">
      <c r="A801" s="3" t="s">
        <v>777</v>
      </c>
      <c r="D801">
        <v>1</v>
      </c>
      <c r="AF801">
        <v>1</v>
      </c>
    </row>
    <row r="802" spans="1:46">
      <c r="A802" s="3" t="s">
        <v>778</v>
      </c>
      <c r="D802">
        <v>1</v>
      </c>
      <c r="AF802">
        <v>1</v>
      </c>
    </row>
    <row r="803" spans="1:46">
      <c r="A803" s="3" t="s">
        <v>779</v>
      </c>
      <c r="D803">
        <v>1</v>
      </c>
      <c r="AF803">
        <v>1</v>
      </c>
    </row>
    <row r="804" spans="1:46">
      <c r="A804" s="3" t="s">
        <v>780</v>
      </c>
      <c r="D804">
        <v>1</v>
      </c>
      <c r="AF804">
        <v>1</v>
      </c>
    </row>
    <row r="805" spans="1:46">
      <c r="A805" s="3" t="s">
        <v>781</v>
      </c>
      <c r="D805">
        <v>1</v>
      </c>
      <c r="AF805">
        <v>1</v>
      </c>
    </row>
    <row r="806" spans="1:46">
      <c r="A806" s="3" t="s">
        <v>782</v>
      </c>
      <c r="D806">
        <v>1</v>
      </c>
      <c r="J806">
        <v>11</v>
      </c>
    </row>
    <row r="807" spans="1:46">
      <c r="A807" s="3" t="s">
        <v>783</v>
      </c>
      <c r="D807">
        <v>1</v>
      </c>
      <c r="J807">
        <v>11</v>
      </c>
    </row>
    <row r="808" spans="1:46">
      <c r="A808" s="3" t="s">
        <v>784</v>
      </c>
      <c r="D808">
        <v>1</v>
      </c>
      <c r="J808">
        <v>11</v>
      </c>
    </row>
    <row r="809" spans="1:46">
      <c r="A809" s="3" t="s">
        <v>785</v>
      </c>
      <c r="D809">
        <v>1</v>
      </c>
      <c r="AT809">
        <v>3</v>
      </c>
    </row>
    <row r="810" spans="1:46">
      <c r="A810" s="3" t="s">
        <v>786</v>
      </c>
      <c r="D810">
        <v>1</v>
      </c>
      <c r="AT810">
        <v>3</v>
      </c>
    </row>
    <row r="811" spans="1:46">
      <c r="A811" s="3" t="s">
        <v>787</v>
      </c>
      <c r="D811">
        <v>1</v>
      </c>
      <c r="AT811">
        <v>3</v>
      </c>
    </row>
    <row r="812" spans="1:46">
      <c r="A812" s="3" t="s">
        <v>788</v>
      </c>
      <c r="D812">
        <v>1</v>
      </c>
      <c r="AT812">
        <v>3</v>
      </c>
    </row>
    <row r="813" spans="1:46">
      <c r="A813" s="3" t="s">
        <v>789</v>
      </c>
      <c r="D813">
        <v>1</v>
      </c>
      <c r="AT813">
        <v>3</v>
      </c>
    </row>
    <row r="814" spans="1:46">
      <c r="A814" s="3" t="s">
        <v>790</v>
      </c>
      <c r="D814">
        <v>1</v>
      </c>
      <c r="AT814">
        <v>3</v>
      </c>
    </row>
    <row r="815" spans="1:46">
      <c r="A815" s="3" t="s">
        <v>791</v>
      </c>
      <c r="D815">
        <v>1</v>
      </c>
      <c r="J815">
        <v>12</v>
      </c>
    </row>
    <row r="816" spans="1:46">
      <c r="A816" s="3" t="s">
        <v>792</v>
      </c>
      <c r="D816">
        <v>1</v>
      </c>
      <c r="J816">
        <v>12</v>
      </c>
    </row>
    <row r="817" spans="1:10">
      <c r="A817" s="3" t="s">
        <v>793</v>
      </c>
      <c r="D817">
        <v>1</v>
      </c>
      <c r="J817">
        <v>12</v>
      </c>
    </row>
    <row r="818" spans="1:10">
      <c r="A818" s="3" t="s">
        <v>794</v>
      </c>
      <c r="D818">
        <v>1</v>
      </c>
      <c r="J818">
        <v>12</v>
      </c>
    </row>
    <row r="819" spans="1:10">
      <c r="A819" s="3" t="s">
        <v>795</v>
      </c>
      <c r="D819">
        <v>1</v>
      </c>
      <c r="J819">
        <v>12</v>
      </c>
    </row>
    <row r="820" spans="1:10">
      <c r="A820" s="3" t="s">
        <v>796</v>
      </c>
      <c r="D820">
        <v>1</v>
      </c>
      <c r="J820">
        <v>12</v>
      </c>
    </row>
    <row r="821" spans="1:10">
      <c r="A821" s="3" t="s">
        <v>797</v>
      </c>
      <c r="D821">
        <v>1</v>
      </c>
      <c r="J821">
        <v>12</v>
      </c>
    </row>
    <row r="822" spans="1:10">
      <c r="A822" s="3" t="s">
        <v>798</v>
      </c>
      <c r="D822">
        <v>1</v>
      </c>
      <c r="J822">
        <v>12</v>
      </c>
    </row>
    <row r="823" spans="1:10">
      <c r="A823" s="3" t="s">
        <v>799</v>
      </c>
      <c r="D823">
        <v>1</v>
      </c>
      <c r="J823">
        <v>12</v>
      </c>
    </row>
    <row r="824" spans="1:10">
      <c r="A824" s="3" t="s">
        <v>800</v>
      </c>
      <c r="D824">
        <v>1</v>
      </c>
      <c r="J824">
        <v>12</v>
      </c>
    </row>
    <row r="825" spans="1:10">
      <c r="A825" s="3" t="s">
        <v>801</v>
      </c>
      <c r="D825">
        <v>1</v>
      </c>
      <c r="J825">
        <v>12</v>
      </c>
    </row>
    <row r="826" spans="1:10">
      <c r="A826" s="3" t="s">
        <v>802</v>
      </c>
      <c r="D826">
        <v>1</v>
      </c>
      <c r="J826">
        <v>12</v>
      </c>
    </row>
    <row r="827" spans="1:10">
      <c r="A827" s="3" t="s">
        <v>803</v>
      </c>
      <c r="D827">
        <v>1</v>
      </c>
      <c r="J827">
        <v>12</v>
      </c>
    </row>
    <row r="828" spans="1:10">
      <c r="A828" s="3" t="s">
        <v>804</v>
      </c>
      <c r="D828">
        <v>1</v>
      </c>
      <c r="J828">
        <v>12</v>
      </c>
    </row>
    <row r="829" spans="1:10">
      <c r="A829" s="3" t="s">
        <v>805</v>
      </c>
      <c r="D829">
        <v>1</v>
      </c>
      <c r="J829">
        <v>12</v>
      </c>
    </row>
    <row r="830" spans="1:10">
      <c r="A830" s="3" t="s">
        <v>806</v>
      </c>
      <c r="D830">
        <v>1</v>
      </c>
      <c r="J830">
        <v>12</v>
      </c>
    </row>
    <row r="831" spans="1:10">
      <c r="A831" s="3" t="s">
        <v>807</v>
      </c>
      <c r="D831">
        <v>1</v>
      </c>
      <c r="J831">
        <v>12</v>
      </c>
    </row>
    <row r="832" spans="1:10">
      <c r="A832" s="3" t="s">
        <v>808</v>
      </c>
      <c r="D832">
        <v>1</v>
      </c>
      <c r="J832">
        <v>12</v>
      </c>
    </row>
    <row r="833" spans="1:10">
      <c r="A833" s="3" t="s">
        <v>809</v>
      </c>
      <c r="D833">
        <v>1</v>
      </c>
      <c r="J833">
        <v>12</v>
      </c>
    </row>
    <row r="834" spans="1:10">
      <c r="A834" s="3" t="s">
        <v>810</v>
      </c>
      <c r="D834">
        <v>1</v>
      </c>
      <c r="J834">
        <v>12</v>
      </c>
    </row>
    <row r="835" spans="1:10">
      <c r="A835" s="3" t="s">
        <v>811</v>
      </c>
      <c r="D835">
        <v>1</v>
      </c>
      <c r="J835">
        <v>12</v>
      </c>
    </row>
    <row r="836" spans="1:10">
      <c r="A836" s="3" t="s">
        <v>812</v>
      </c>
      <c r="D836">
        <v>1</v>
      </c>
      <c r="J836">
        <v>12</v>
      </c>
    </row>
    <row r="837" spans="1:10">
      <c r="A837" s="3" t="s">
        <v>813</v>
      </c>
      <c r="D837">
        <v>1</v>
      </c>
      <c r="J837">
        <v>12</v>
      </c>
    </row>
    <row r="838" spans="1:10">
      <c r="A838" s="3" t="s">
        <v>814</v>
      </c>
      <c r="D838">
        <v>1</v>
      </c>
      <c r="J838">
        <v>12</v>
      </c>
    </row>
    <row r="839" spans="1:10">
      <c r="A839" s="3" t="s">
        <v>815</v>
      </c>
      <c r="D839">
        <v>1</v>
      </c>
      <c r="J839">
        <v>12</v>
      </c>
    </row>
    <row r="840" spans="1:10">
      <c r="A840" s="3" t="s">
        <v>816</v>
      </c>
      <c r="D840">
        <v>1</v>
      </c>
      <c r="J840">
        <v>12</v>
      </c>
    </row>
    <row r="841" spans="1:10">
      <c r="A841" s="3" t="s">
        <v>817</v>
      </c>
      <c r="D841">
        <v>1</v>
      </c>
      <c r="J841">
        <v>12</v>
      </c>
    </row>
    <row r="842" spans="1:10">
      <c r="A842" s="3" t="s">
        <v>818</v>
      </c>
      <c r="D842">
        <v>1</v>
      </c>
      <c r="J842">
        <v>12</v>
      </c>
    </row>
    <row r="843" spans="1:10">
      <c r="A843" s="3" t="s">
        <v>819</v>
      </c>
      <c r="D843">
        <v>1</v>
      </c>
      <c r="J843">
        <v>12</v>
      </c>
    </row>
    <row r="844" spans="1:10">
      <c r="A844" s="3" t="s">
        <v>820</v>
      </c>
      <c r="D844">
        <v>1</v>
      </c>
      <c r="J844">
        <v>12</v>
      </c>
    </row>
    <row r="845" spans="1:10">
      <c r="A845" s="3" t="s">
        <v>821</v>
      </c>
      <c r="D845">
        <v>1</v>
      </c>
      <c r="J845">
        <v>12</v>
      </c>
    </row>
    <row r="846" spans="1:10">
      <c r="A846" s="3" t="s">
        <v>822</v>
      </c>
      <c r="D846">
        <v>1</v>
      </c>
      <c r="J846">
        <v>12</v>
      </c>
    </row>
    <row r="847" spans="1:10">
      <c r="A847" s="3" t="s">
        <v>823</v>
      </c>
      <c r="D847">
        <v>1</v>
      </c>
      <c r="J847">
        <v>12</v>
      </c>
    </row>
    <row r="848" spans="1:10">
      <c r="A848" s="3" t="s">
        <v>824</v>
      </c>
      <c r="D848">
        <v>1</v>
      </c>
      <c r="J848">
        <v>12</v>
      </c>
    </row>
    <row r="849" spans="1:10">
      <c r="A849" s="3" t="s">
        <v>825</v>
      </c>
      <c r="D849">
        <v>1</v>
      </c>
      <c r="J849">
        <v>12</v>
      </c>
    </row>
    <row r="850" spans="1:10">
      <c r="A850" s="3" t="s">
        <v>826</v>
      </c>
      <c r="D850">
        <v>1</v>
      </c>
      <c r="J850">
        <v>12</v>
      </c>
    </row>
    <row r="851" spans="1:10">
      <c r="A851" s="3" t="s">
        <v>827</v>
      </c>
      <c r="D851">
        <v>1</v>
      </c>
      <c r="J851">
        <v>12</v>
      </c>
    </row>
    <row r="852" spans="1:10">
      <c r="A852" s="3" t="s">
        <v>828</v>
      </c>
      <c r="D852">
        <v>1</v>
      </c>
      <c r="J852">
        <v>12</v>
      </c>
    </row>
    <row r="853" spans="1:10">
      <c r="A853" s="3" t="s">
        <v>829</v>
      </c>
      <c r="D853">
        <v>1</v>
      </c>
      <c r="J853">
        <v>12</v>
      </c>
    </row>
    <row r="854" spans="1:10">
      <c r="A854" s="3" t="s">
        <v>830</v>
      </c>
      <c r="D854">
        <v>1</v>
      </c>
      <c r="J854">
        <v>12</v>
      </c>
    </row>
    <row r="855" spans="1:10">
      <c r="A855" s="3" t="s">
        <v>831</v>
      </c>
      <c r="D855">
        <v>1</v>
      </c>
      <c r="J855">
        <v>12</v>
      </c>
    </row>
    <row r="856" spans="1:10">
      <c r="A856" s="3" t="s">
        <v>832</v>
      </c>
      <c r="D856">
        <v>1</v>
      </c>
      <c r="J856">
        <v>12</v>
      </c>
    </row>
    <row r="857" spans="1:10">
      <c r="A857" s="3" t="s">
        <v>833</v>
      </c>
      <c r="D857">
        <v>1</v>
      </c>
      <c r="J857">
        <v>12</v>
      </c>
    </row>
    <row r="858" spans="1:10">
      <c r="A858" s="3" t="s">
        <v>834</v>
      </c>
      <c r="D858">
        <v>1</v>
      </c>
      <c r="J858">
        <v>12</v>
      </c>
    </row>
    <row r="859" spans="1:10">
      <c r="A859" s="3" t="s">
        <v>835</v>
      </c>
      <c r="D859">
        <v>1</v>
      </c>
      <c r="J859">
        <v>12</v>
      </c>
    </row>
    <row r="860" spans="1:10">
      <c r="A860" s="3" t="s">
        <v>836</v>
      </c>
      <c r="D860">
        <v>1</v>
      </c>
      <c r="J860">
        <v>12</v>
      </c>
    </row>
    <row r="861" spans="1:10">
      <c r="A861" s="3" t="s">
        <v>837</v>
      </c>
      <c r="D861">
        <v>1</v>
      </c>
      <c r="J861">
        <v>12</v>
      </c>
    </row>
    <row r="862" spans="1:10">
      <c r="A862" s="3" t="s">
        <v>838</v>
      </c>
      <c r="D862">
        <v>1</v>
      </c>
      <c r="J862">
        <v>12</v>
      </c>
    </row>
    <row r="863" spans="1:10">
      <c r="A863" s="3" t="s">
        <v>839</v>
      </c>
      <c r="D863">
        <v>1</v>
      </c>
      <c r="J863">
        <v>12</v>
      </c>
    </row>
    <row r="864" spans="1:10">
      <c r="A864" s="3" t="s">
        <v>840</v>
      </c>
      <c r="D864">
        <v>1</v>
      </c>
      <c r="J864">
        <v>12</v>
      </c>
    </row>
    <row r="865" spans="1:10">
      <c r="A865" s="3" t="s">
        <v>841</v>
      </c>
      <c r="D865">
        <v>1</v>
      </c>
      <c r="J865">
        <v>12</v>
      </c>
    </row>
    <row r="866" spans="1:10">
      <c r="A866" s="3" t="s">
        <v>842</v>
      </c>
      <c r="D866">
        <v>1</v>
      </c>
      <c r="J866">
        <v>12</v>
      </c>
    </row>
    <row r="867" spans="1:10">
      <c r="A867" s="3" t="s">
        <v>843</v>
      </c>
      <c r="D867">
        <v>1</v>
      </c>
      <c r="J867">
        <v>12</v>
      </c>
    </row>
    <row r="868" spans="1:10">
      <c r="A868" s="3" t="s">
        <v>844</v>
      </c>
      <c r="D868">
        <v>1</v>
      </c>
      <c r="J868">
        <v>12</v>
      </c>
    </row>
    <row r="869" spans="1:10">
      <c r="A869" s="3" t="s">
        <v>845</v>
      </c>
      <c r="D869">
        <v>1</v>
      </c>
      <c r="J869">
        <v>12</v>
      </c>
    </row>
    <row r="870" spans="1:10">
      <c r="A870" s="3" t="s">
        <v>846</v>
      </c>
      <c r="D870">
        <v>1</v>
      </c>
      <c r="J870">
        <v>12</v>
      </c>
    </row>
    <row r="871" spans="1:10">
      <c r="A871" s="3" t="s">
        <v>847</v>
      </c>
      <c r="D871">
        <v>1</v>
      </c>
      <c r="J871">
        <v>12</v>
      </c>
    </row>
    <row r="872" spans="1:10">
      <c r="A872" s="3" t="s">
        <v>848</v>
      </c>
      <c r="D872">
        <v>1</v>
      </c>
      <c r="J872">
        <v>12</v>
      </c>
    </row>
    <row r="873" spans="1:10">
      <c r="A873" s="3" t="s">
        <v>849</v>
      </c>
      <c r="D873">
        <v>1</v>
      </c>
      <c r="J873">
        <v>12</v>
      </c>
    </row>
    <row r="874" spans="1:10">
      <c r="A874" s="3" t="s">
        <v>850</v>
      </c>
      <c r="D874">
        <v>1</v>
      </c>
      <c r="J874">
        <v>12</v>
      </c>
    </row>
    <row r="875" spans="1:10">
      <c r="A875" s="3" t="s">
        <v>851</v>
      </c>
      <c r="D875">
        <v>1</v>
      </c>
      <c r="J875">
        <v>12</v>
      </c>
    </row>
    <row r="876" spans="1:10">
      <c r="A876" s="3" t="s">
        <v>852</v>
      </c>
      <c r="D876">
        <v>1</v>
      </c>
      <c r="J876">
        <v>12</v>
      </c>
    </row>
    <row r="877" spans="1:10">
      <c r="A877" s="3" t="s">
        <v>853</v>
      </c>
      <c r="D877">
        <v>1</v>
      </c>
      <c r="J877">
        <v>12</v>
      </c>
    </row>
    <row r="878" spans="1:10">
      <c r="A878" s="3" t="s">
        <v>854</v>
      </c>
      <c r="D878">
        <v>1</v>
      </c>
      <c r="J878">
        <v>12</v>
      </c>
    </row>
    <row r="879" spans="1:10">
      <c r="A879" s="3" t="s">
        <v>855</v>
      </c>
      <c r="D879">
        <v>1</v>
      </c>
      <c r="J879">
        <v>12</v>
      </c>
    </row>
    <row r="880" spans="1:10">
      <c r="A880" s="3" t="s">
        <v>856</v>
      </c>
      <c r="D880">
        <v>1</v>
      </c>
      <c r="J880">
        <v>12</v>
      </c>
    </row>
    <row r="881" spans="1:28">
      <c r="A881" s="3" t="s">
        <v>857</v>
      </c>
      <c r="D881">
        <v>1</v>
      </c>
      <c r="J881">
        <v>12</v>
      </c>
    </row>
    <row r="882" spans="1:28">
      <c r="A882" s="3" t="s">
        <v>858</v>
      </c>
      <c r="D882">
        <v>1</v>
      </c>
      <c r="J882">
        <v>12</v>
      </c>
    </row>
    <row r="883" spans="1:28">
      <c r="A883" s="3" t="s">
        <v>859</v>
      </c>
      <c r="D883">
        <v>1</v>
      </c>
      <c r="J883">
        <v>12</v>
      </c>
    </row>
    <row r="884" spans="1:28">
      <c r="A884" s="3" t="s">
        <v>860</v>
      </c>
      <c r="D884">
        <v>1</v>
      </c>
      <c r="J884">
        <v>12</v>
      </c>
    </row>
    <row r="885" spans="1:28">
      <c r="A885" s="3" t="s">
        <v>861</v>
      </c>
      <c r="D885">
        <v>1</v>
      </c>
      <c r="J885">
        <v>12</v>
      </c>
    </row>
    <row r="886" spans="1:28">
      <c r="A886" s="3" t="s">
        <v>862</v>
      </c>
      <c r="D886">
        <v>1</v>
      </c>
      <c r="J886">
        <v>12</v>
      </c>
    </row>
    <row r="887" spans="1:28">
      <c r="A887" s="3" t="s">
        <v>863</v>
      </c>
      <c r="D887">
        <v>1</v>
      </c>
      <c r="J887">
        <v>12</v>
      </c>
    </row>
    <row r="888" spans="1:28">
      <c r="A888" s="3" t="s">
        <v>864</v>
      </c>
      <c r="D888">
        <v>1</v>
      </c>
      <c r="J888">
        <v>12</v>
      </c>
    </row>
    <row r="889" spans="1:28">
      <c r="A889" s="3" t="s">
        <v>865</v>
      </c>
      <c r="D889">
        <v>1</v>
      </c>
      <c r="J889">
        <v>12</v>
      </c>
    </row>
    <row r="890" spans="1:28">
      <c r="A890" s="3" t="s">
        <v>866</v>
      </c>
      <c r="D890">
        <v>1</v>
      </c>
      <c r="J890">
        <v>12</v>
      </c>
    </row>
    <row r="891" spans="1:28">
      <c r="A891" s="3" t="s">
        <v>867</v>
      </c>
      <c r="D891">
        <v>1</v>
      </c>
      <c r="J891">
        <v>12</v>
      </c>
    </row>
    <row r="892" spans="1:28">
      <c r="A892" s="3" t="s">
        <v>868</v>
      </c>
      <c r="D892">
        <v>1</v>
      </c>
      <c r="J892">
        <v>12</v>
      </c>
    </row>
    <row r="893" spans="1:28">
      <c r="A893" s="3" t="s">
        <v>869</v>
      </c>
      <c r="D893">
        <v>1</v>
      </c>
      <c r="J893">
        <v>12</v>
      </c>
    </row>
    <row r="894" spans="1:28">
      <c r="A894" s="3" t="s">
        <v>870</v>
      </c>
      <c r="D894">
        <v>1</v>
      </c>
      <c r="AB894">
        <v>1</v>
      </c>
    </row>
    <row r="895" spans="1:28">
      <c r="A895" s="3" t="s">
        <v>871</v>
      </c>
      <c r="D895">
        <v>1</v>
      </c>
      <c r="AB895">
        <v>1</v>
      </c>
    </row>
    <row r="896" spans="1:28">
      <c r="A896" s="3" t="s">
        <v>872</v>
      </c>
      <c r="D896">
        <v>1</v>
      </c>
      <c r="AB896">
        <v>1</v>
      </c>
    </row>
    <row r="897" spans="1:28">
      <c r="A897" s="3" t="s">
        <v>873</v>
      </c>
      <c r="D897">
        <v>1</v>
      </c>
      <c r="AB897">
        <v>1</v>
      </c>
    </row>
    <row r="898" spans="1:28">
      <c r="A898" s="3" t="s">
        <v>874</v>
      </c>
      <c r="D898">
        <v>1</v>
      </c>
      <c r="AB898">
        <v>1</v>
      </c>
    </row>
    <row r="899" spans="1:28">
      <c r="A899" s="3" t="s">
        <v>875</v>
      </c>
      <c r="D899">
        <v>1</v>
      </c>
      <c r="AB899">
        <v>1</v>
      </c>
    </row>
    <row r="900" spans="1:28">
      <c r="A900" s="3" t="s">
        <v>876</v>
      </c>
      <c r="D900">
        <v>1</v>
      </c>
      <c r="AB900">
        <v>1</v>
      </c>
    </row>
    <row r="901" spans="1:28">
      <c r="A901" s="3" t="s">
        <v>877</v>
      </c>
      <c r="D901">
        <v>1</v>
      </c>
      <c r="AB901">
        <v>1</v>
      </c>
    </row>
    <row r="902" spans="1:28">
      <c r="A902" s="3" t="s">
        <v>878</v>
      </c>
      <c r="D902">
        <v>1</v>
      </c>
      <c r="AB902">
        <v>1</v>
      </c>
    </row>
    <row r="903" spans="1:28">
      <c r="A903" s="3" t="s">
        <v>879</v>
      </c>
      <c r="D903">
        <v>1</v>
      </c>
      <c r="AB903">
        <v>1</v>
      </c>
    </row>
    <row r="904" spans="1:28">
      <c r="A904" s="3" t="s">
        <v>880</v>
      </c>
      <c r="D904">
        <v>1</v>
      </c>
      <c r="AB904">
        <v>1</v>
      </c>
    </row>
    <row r="905" spans="1:28">
      <c r="A905" s="3" t="s">
        <v>881</v>
      </c>
      <c r="D905">
        <v>1</v>
      </c>
      <c r="AB905">
        <v>1</v>
      </c>
    </row>
    <row r="906" spans="1:28">
      <c r="A906" s="3" t="s">
        <v>882</v>
      </c>
      <c r="D906">
        <v>1</v>
      </c>
      <c r="AB906">
        <v>1</v>
      </c>
    </row>
    <row r="907" spans="1:28">
      <c r="A907" s="3" t="s">
        <v>883</v>
      </c>
      <c r="D907">
        <v>1</v>
      </c>
      <c r="AB907">
        <v>1</v>
      </c>
    </row>
    <row r="908" spans="1:28">
      <c r="A908" s="3" t="s">
        <v>884</v>
      </c>
      <c r="D908">
        <v>1</v>
      </c>
      <c r="AB908">
        <v>1</v>
      </c>
    </row>
    <row r="909" spans="1:28">
      <c r="A909" s="3" t="s">
        <v>885</v>
      </c>
      <c r="D909">
        <v>1</v>
      </c>
      <c r="AB909">
        <v>1</v>
      </c>
    </row>
    <row r="910" spans="1:28">
      <c r="A910" s="3" t="s">
        <v>886</v>
      </c>
      <c r="D910">
        <v>1</v>
      </c>
      <c r="AB910">
        <v>1</v>
      </c>
    </row>
    <row r="911" spans="1:28">
      <c r="A911" s="3" t="s">
        <v>887</v>
      </c>
      <c r="D911">
        <v>1</v>
      </c>
      <c r="AB911">
        <v>1</v>
      </c>
    </row>
    <row r="912" spans="1:28">
      <c r="A912" s="3" t="s">
        <v>888</v>
      </c>
      <c r="D912">
        <v>1</v>
      </c>
      <c r="AB912">
        <v>1</v>
      </c>
    </row>
    <row r="913" spans="1:28">
      <c r="A913" s="3" t="s">
        <v>889</v>
      </c>
      <c r="D913">
        <v>1</v>
      </c>
      <c r="AB913">
        <v>1</v>
      </c>
    </row>
    <row r="914" spans="1:28">
      <c r="A914" s="3" t="s">
        <v>890</v>
      </c>
      <c r="D914">
        <v>1</v>
      </c>
      <c r="AB914">
        <v>1</v>
      </c>
    </row>
    <row r="915" spans="1:28">
      <c r="A915" s="3" t="s">
        <v>891</v>
      </c>
      <c r="D915">
        <v>1</v>
      </c>
      <c r="AB915">
        <v>1</v>
      </c>
    </row>
    <row r="916" spans="1:28">
      <c r="A916" s="3" t="s">
        <v>892</v>
      </c>
      <c r="D916">
        <v>1</v>
      </c>
      <c r="AB916">
        <v>1</v>
      </c>
    </row>
    <row r="917" spans="1:28">
      <c r="A917" s="3" t="s">
        <v>893</v>
      </c>
      <c r="D917">
        <v>1</v>
      </c>
      <c r="AB917">
        <v>1</v>
      </c>
    </row>
    <row r="918" spans="1:28">
      <c r="A918" s="3" t="s">
        <v>894</v>
      </c>
      <c r="D918">
        <v>1</v>
      </c>
      <c r="AB918">
        <v>1</v>
      </c>
    </row>
    <row r="919" spans="1:28">
      <c r="A919" s="3" t="s">
        <v>895</v>
      </c>
      <c r="D919">
        <v>1</v>
      </c>
      <c r="AB919">
        <v>1</v>
      </c>
    </row>
    <row r="920" spans="1:28">
      <c r="A920" s="3" t="s">
        <v>896</v>
      </c>
      <c r="D920">
        <v>1</v>
      </c>
      <c r="AB920">
        <v>1</v>
      </c>
    </row>
    <row r="921" spans="1:28">
      <c r="A921" s="3" t="s">
        <v>897</v>
      </c>
      <c r="D921">
        <v>1</v>
      </c>
      <c r="AB921">
        <v>1</v>
      </c>
    </row>
    <row r="922" spans="1:28">
      <c r="A922" s="3" t="s">
        <v>898</v>
      </c>
      <c r="D922">
        <v>1</v>
      </c>
      <c r="AB922">
        <v>1</v>
      </c>
    </row>
    <row r="923" spans="1:28">
      <c r="A923" s="3" t="s">
        <v>899</v>
      </c>
      <c r="D923">
        <v>1</v>
      </c>
      <c r="AB923">
        <v>1</v>
      </c>
    </row>
    <row r="924" spans="1:28">
      <c r="A924" s="3" t="s">
        <v>900</v>
      </c>
      <c r="D924">
        <v>1</v>
      </c>
      <c r="AB924">
        <v>1</v>
      </c>
    </row>
    <row r="925" spans="1:28">
      <c r="A925" s="3" t="s">
        <v>901</v>
      </c>
      <c r="D925">
        <v>1</v>
      </c>
      <c r="AB925">
        <v>1</v>
      </c>
    </row>
    <row r="926" spans="1:28">
      <c r="A926" s="3" t="s">
        <v>902</v>
      </c>
      <c r="D926">
        <v>1</v>
      </c>
      <c r="AB926">
        <v>1</v>
      </c>
    </row>
    <row r="927" spans="1:28">
      <c r="A927" s="3" t="s">
        <v>903</v>
      </c>
      <c r="D927">
        <v>1</v>
      </c>
      <c r="AB927">
        <v>1</v>
      </c>
    </row>
    <row r="928" spans="1:28">
      <c r="A928" s="3" t="s">
        <v>904</v>
      </c>
      <c r="D928">
        <v>1</v>
      </c>
      <c r="AB928">
        <v>1</v>
      </c>
    </row>
    <row r="929" spans="1:49">
      <c r="A929" s="3" t="s">
        <v>905</v>
      </c>
      <c r="D929">
        <v>1</v>
      </c>
      <c r="AB929">
        <v>1</v>
      </c>
    </row>
    <row r="930" spans="1:49">
      <c r="A930" s="3" t="s">
        <v>906</v>
      </c>
      <c r="D930">
        <v>1</v>
      </c>
      <c r="AB930">
        <v>1</v>
      </c>
    </row>
    <row r="931" spans="1:49">
      <c r="A931" s="3" t="s">
        <v>907</v>
      </c>
      <c r="D931">
        <v>1</v>
      </c>
      <c r="AB931">
        <v>1</v>
      </c>
    </row>
    <row r="932" spans="1:49">
      <c r="A932" s="3" t="s">
        <v>908</v>
      </c>
      <c r="D932">
        <v>1</v>
      </c>
      <c r="AB932">
        <v>1</v>
      </c>
    </row>
    <row r="933" spans="1:49">
      <c r="A933" s="3" t="s">
        <v>909</v>
      </c>
      <c r="D933">
        <v>1</v>
      </c>
      <c r="AB933">
        <v>1</v>
      </c>
    </row>
    <row r="934" spans="1:49">
      <c r="A934" s="3" t="s">
        <v>910</v>
      </c>
      <c r="D934">
        <v>1</v>
      </c>
      <c r="AB934">
        <v>1</v>
      </c>
    </row>
    <row r="935" spans="1:49">
      <c r="A935" s="3" t="s">
        <v>911</v>
      </c>
      <c r="D935">
        <v>1</v>
      </c>
      <c r="AB935">
        <v>1</v>
      </c>
    </row>
    <row r="936" spans="1:49">
      <c r="A936" s="3" t="s">
        <v>912</v>
      </c>
      <c r="D936">
        <v>1</v>
      </c>
      <c r="AB936">
        <v>1</v>
      </c>
    </row>
    <row r="937" spans="1:49">
      <c r="A937" s="3" t="s">
        <v>913</v>
      </c>
      <c r="D937">
        <v>1</v>
      </c>
      <c r="AB937">
        <v>1</v>
      </c>
    </row>
    <row r="938" spans="1:49">
      <c r="A938" s="3" t="s">
        <v>914</v>
      </c>
      <c r="D938">
        <v>1</v>
      </c>
      <c r="AB938">
        <v>1</v>
      </c>
    </row>
    <row r="939" spans="1:49">
      <c r="A939" s="3" t="s">
        <v>915</v>
      </c>
      <c r="D939">
        <v>1</v>
      </c>
      <c r="AW939">
        <v>8</v>
      </c>
    </row>
    <row r="940" spans="1:49">
      <c r="A940" s="3" t="s">
        <v>916</v>
      </c>
      <c r="D940">
        <v>1</v>
      </c>
      <c r="J940">
        <v>13</v>
      </c>
    </row>
    <row r="941" spans="1:49">
      <c r="A941" s="3" t="s">
        <v>917</v>
      </c>
      <c r="D941">
        <v>1</v>
      </c>
      <c r="J941">
        <v>13</v>
      </c>
    </row>
    <row r="942" spans="1:49">
      <c r="A942" s="3" t="s">
        <v>918</v>
      </c>
      <c r="D942">
        <v>1</v>
      </c>
      <c r="J942">
        <v>13</v>
      </c>
    </row>
    <row r="943" spans="1:49">
      <c r="A943" s="3" t="s">
        <v>919</v>
      </c>
      <c r="D943">
        <v>1</v>
      </c>
      <c r="J943">
        <v>13</v>
      </c>
    </row>
    <row r="944" spans="1:49">
      <c r="A944" s="3" t="s">
        <v>920</v>
      </c>
      <c r="D944">
        <v>1</v>
      </c>
      <c r="J944">
        <v>13</v>
      </c>
    </row>
    <row r="945" spans="1:10">
      <c r="A945" s="3" t="s">
        <v>921</v>
      </c>
      <c r="D945">
        <v>1</v>
      </c>
      <c r="J945">
        <v>13</v>
      </c>
    </row>
    <row r="946" spans="1:10">
      <c r="A946" s="3" t="s">
        <v>922</v>
      </c>
      <c r="D946">
        <v>1</v>
      </c>
      <c r="J946">
        <v>13</v>
      </c>
    </row>
    <row r="947" spans="1:10">
      <c r="A947" s="3" t="s">
        <v>923</v>
      </c>
      <c r="D947">
        <v>1</v>
      </c>
      <c r="J947">
        <v>13</v>
      </c>
    </row>
    <row r="948" spans="1:10">
      <c r="A948" s="3" t="s">
        <v>924</v>
      </c>
      <c r="D948">
        <v>1</v>
      </c>
      <c r="J948">
        <v>13</v>
      </c>
    </row>
    <row r="949" spans="1:10">
      <c r="A949" s="3" t="s">
        <v>925</v>
      </c>
      <c r="D949">
        <v>1</v>
      </c>
      <c r="J949">
        <v>13</v>
      </c>
    </row>
    <row r="950" spans="1:10">
      <c r="A950" s="3" t="s">
        <v>926</v>
      </c>
      <c r="D950">
        <v>1</v>
      </c>
      <c r="J950">
        <v>13</v>
      </c>
    </row>
    <row r="951" spans="1:10">
      <c r="A951" s="3" t="s">
        <v>927</v>
      </c>
      <c r="D951">
        <v>1</v>
      </c>
      <c r="J951">
        <v>13</v>
      </c>
    </row>
    <row r="952" spans="1:10">
      <c r="A952" s="3" t="s">
        <v>928</v>
      </c>
      <c r="D952">
        <v>1</v>
      </c>
      <c r="J952">
        <v>13</v>
      </c>
    </row>
    <row r="953" spans="1:10">
      <c r="A953" s="3" t="s">
        <v>929</v>
      </c>
      <c r="D953">
        <v>1</v>
      </c>
      <c r="J953">
        <v>13</v>
      </c>
    </row>
    <row r="954" spans="1:10">
      <c r="A954" s="3" t="s">
        <v>930</v>
      </c>
      <c r="D954">
        <v>1</v>
      </c>
      <c r="J954">
        <v>13</v>
      </c>
    </row>
    <row r="955" spans="1:10">
      <c r="A955" s="3" t="s">
        <v>931</v>
      </c>
      <c r="D955">
        <v>1</v>
      </c>
      <c r="J955">
        <v>13</v>
      </c>
    </row>
    <row r="956" spans="1:10">
      <c r="A956" s="3" t="s">
        <v>932</v>
      </c>
      <c r="D956">
        <v>1</v>
      </c>
      <c r="J956">
        <v>13</v>
      </c>
    </row>
    <row r="957" spans="1:10">
      <c r="A957" s="3" t="s">
        <v>933</v>
      </c>
      <c r="C957">
        <v>1</v>
      </c>
      <c r="D957">
        <v>1</v>
      </c>
      <c r="J957">
        <v>13</v>
      </c>
    </row>
    <row r="958" spans="1:10">
      <c r="A958" s="3" t="s">
        <v>934</v>
      </c>
      <c r="C958">
        <v>1</v>
      </c>
      <c r="D958">
        <v>1</v>
      </c>
      <c r="J958">
        <v>13</v>
      </c>
    </row>
    <row r="959" spans="1:10">
      <c r="A959" s="3" t="s">
        <v>935</v>
      </c>
      <c r="C959">
        <v>1</v>
      </c>
      <c r="D959">
        <v>1</v>
      </c>
      <c r="J959">
        <v>13</v>
      </c>
    </row>
    <row r="960" spans="1:10">
      <c r="A960" s="3" t="s">
        <v>936</v>
      </c>
      <c r="C960">
        <v>1</v>
      </c>
      <c r="D960">
        <v>1</v>
      </c>
      <c r="J960">
        <v>13</v>
      </c>
    </row>
    <row r="961" spans="1:13">
      <c r="A961" s="3" t="s">
        <v>937</v>
      </c>
      <c r="C961">
        <v>1</v>
      </c>
      <c r="D961">
        <v>1</v>
      </c>
      <c r="J961">
        <v>13</v>
      </c>
    </row>
    <row r="962" spans="1:13">
      <c r="A962" s="3" t="s">
        <v>938</v>
      </c>
      <c r="C962">
        <v>1</v>
      </c>
      <c r="D962">
        <v>1</v>
      </c>
      <c r="J962">
        <v>13</v>
      </c>
    </row>
    <row r="963" spans="1:13">
      <c r="A963" s="3" t="s">
        <v>939</v>
      </c>
      <c r="C963">
        <v>1</v>
      </c>
      <c r="D963">
        <v>1</v>
      </c>
      <c r="J963">
        <v>13</v>
      </c>
    </row>
    <row r="964" spans="1:13">
      <c r="A964" s="3" t="s">
        <v>940</v>
      </c>
      <c r="C964">
        <v>1</v>
      </c>
      <c r="D964">
        <v>1</v>
      </c>
      <c r="J964">
        <v>13</v>
      </c>
    </row>
    <row r="965" spans="1:13">
      <c r="A965" s="3" t="s">
        <v>941</v>
      </c>
      <c r="C965">
        <v>1</v>
      </c>
      <c r="D965">
        <v>1</v>
      </c>
      <c r="J965">
        <v>13</v>
      </c>
    </row>
    <row r="966" spans="1:13">
      <c r="A966" s="3" t="s">
        <v>942</v>
      </c>
      <c r="C966">
        <v>1</v>
      </c>
      <c r="D966">
        <v>1</v>
      </c>
      <c r="J966">
        <v>13</v>
      </c>
    </row>
    <row r="967" spans="1:13">
      <c r="A967" s="3" t="s">
        <v>943</v>
      </c>
      <c r="C967">
        <v>1</v>
      </c>
      <c r="D967">
        <v>1</v>
      </c>
      <c r="M967">
        <v>1</v>
      </c>
    </row>
    <row r="968" spans="1:13">
      <c r="A968" s="3" t="s">
        <v>944</v>
      </c>
      <c r="C968">
        <v>1</v>
      </c>
      <c r="D968">
        <v>1</v>
      </c>
      <c r="M968">
        <v>1</v>
      </c>
    </row>
    <row r="969" spans="1:13">
      <c r="A969" s="3" t="s">
        <v>945</v>
      </c>
      <c r="C969">
        <v>1</v>
      </c>
      <c r="D969">
        <v>1</v>
      </c>
      <c r="M969">
        <v>1</v>
      </c>
    </row>
    <row r="970" spans="1:13">
      <c r="A970" s="3" t="s">
        <v>946</v>
      </c>
      <c r="C970">
        <v>1</v>
      </c>
      <c r="D970">
        <v>1</v>
      </c>
      <c r="M970">
        <v>1</v>
      </c>
    </row>
    <row r="971" spans="1:13">
      <c r="A971" s="3" t="s">
        <v>947</v>
      </c>
      <c r="C971">
        <v>1</v>
      </c>
      <c r="D971">
        <v>1</v>
      </c>
      <c r="M971">
        <v>1</v>
      </c>
    </row>
    <row r="972" spans="1:13">
      <c r="A972" s="3" t="s">
        <v>948</v>
      </c>
      <c r="C972">
        <v>1</v>
      </c>
      <c r="D972">
        <v>1</v>
      </c>
      <c r="M972">
        <v>1</v>
      </c>
    </row>
    <row r="973" spans="1:13">
      <c r="A973" s="3" t="s">
        <v>949</v>
      </c>
      <c r="C973">
        <v>1</v>
      </c>
      <c r="D973">
        <v>1</v>
      </c>
      <c r="M973">
        <v>1</v>
      </c>
    </row>
    <row r="974" spans="1:13">
      <c r="A974" s="3" t="s">
        <v>950</v>
      </c>
      <c r="C974">
        <v>1</v>
      </c>
      <c r="D974">
        <v>1</v>
      </c>
      <c r="M974">
        <v>1</v>
      </c>
    </row>
    <row r="975" spans="1:13">
      <c r="A975" s="3" t="s">
        <v>951</v>
      </c>
      <c r="C975">
        <v>1</v>
      </c>
      <c r="D975">
        <v>1</v>
      </c>
      <c r="M975">
        <v>1</v>
      </c>
    </row>
    <row r="976" spans="1:13">
      <c r="A976" s="3" t="s">
        <v>952</v>
      </c>
      <c r="C976">
        <v>1</v>
      </c>
      <c r="D976">
        <v>1</v>
      </c>
      <c r="M976">
        <v>1</v>
      </c>
    </row>
    <row r="977" spans="1:13">
      <c r="A977" s="3" t="s">
        <v>953</v>
      </c>
      <c r="C977">
        <v>1</v>
      </c>
      <c r="D977">
        <v>1</v>
      </c>
      <c r="M977">
        <v>1</v>
      </c>
    </row>
    <row r="978" spans="1:13">
      <c r="A978" s="3" t="s">
        <v>954</v>
      </c>
      <c r="C978">
        <v>1</v>
      </c>
      <c r="D978">
        <v>1</v>
      </c>
      <c r="M978">
        <v>1</v>
      </c>
    </row>
    <row r="979" spans="1:13">
      <c r="A979" s="3" t="s">
        <v>955</v>
      </c>
      <c r="C979">
        <v>1</v>
      </c>
      <c r="D979">
        <v>1</v>
      </c>
      <c r="M979">
        <v>1</v>
      </c>
    </row>
    <row r="980" spans="1:13">
      <c r="A980" s="3" t="s">
        <v>956</v>
      </c>
      <c r="C980">
        <v>1</v>
      </c>
      <c r="D980">
        <v>1</v>
      </c>
      <c r="M980">
        <v>1</v>
      </c>
    </row>
    <row r="981" spans="1:13">
      <c r="A981" s="3" t="s">
        <v>957</v>
      </c>
      <c r="C981">
        <v>1</v>
      </c>
      <c r="D981">
        <v>1</v>
      </c>
      <c r="M981">
        <v>1</v>
      </c>
    </row>
    <row r="982" spans="1:13">
      <c r="A982" s="3" t="s">
        <v>958</v>
      </c>
      <c r="C982">
        <v>1</v>
      </c>
      <c r="D982">
        <v>1</v>
      </c>
      <c r="M982">
        <v>1</v>
      </c>
    </row>
    <row r="983" spans="1:13">
      <c r="A983" s="3" t="s">
        <v>959</v>
      </c>
      <c r="C983">
        <v>1</v>
      </c>
      <c r="D983">
        <v>1</v>
      </c>
      <c r="M983">
        <v>1</v>
      </c>
    </row>
    <row r="984" spans="1:13">
      <c r="A984" s="3" t="s">
        <v>960</v>
      </c>
      <c r="C984">
        <v>1</v>
      </c>
      <c r="D984">
        <v>1</v>
      </c>
      <c r="M984">
        <v>1</v>
      </c>
    </row>
    <row r="985" spans="1:13">
      <c r="A985" s="3" t="s">
        <v>961</v>
      </c>
      <c r="C985">
        <v>1</v>
      </c>
      <c r="D985">
        <v>1</v>
      </c>
      <c r="M985">
        <v>1</v>
      </c>
    </row>
    <row r="986" spans="1:13">
      <c r="A986" s="3" t="s">
        <v>962</v>
      </c>
      <c r="C986">
        <v>1</v>
      </c>
      <c r="D986">
        <v>1</v>
      </c>
      <c r="M986">
        <v>1</v>
      </c>
    </row>
    <row r="987" spans="1:13">
      <c r="A987" s="3" t="s">
        <v>963</v>
      </c>
      <c r="C987">
        <v>1</v>
      </c>
      <c r="D987">
        <v>1</v>
      </c>
      <c r="M987">
        <v>1</v>
      </c>
    </row>
    <row r="988" spans="1:13">
      <c r="A988" s="3" t="s">
        <v>964</v>
      </c>
      <c r="C988">
        <v>1</v>
      </c>
      <c r="D988">
        <v>1</v>
      </c>
      <c r="M988">
        <v>1</v>
      </c>
    </row>
    <row r="989" spans="1:13">
      <c r="A989" s="3" t="s">
        <v>965</v>
      </c>
      <c r="C989">
        <v>1</v>
      </c>
      <c r="D989">
        <v>1</v>
      </c>
      <c r="M989">
        <v>1</v>
      </c>
    </row>
    <row r="990" spans="1:13">
      <c r="A990" s="3" t="s">
        <v>966</v>
      </c>
      <c r="C990">
        <v>1</v>
      </c>
      <c r="D990">
        <v>1</v>
      </c>
      <c r="M990">
        <v>1</v>
      </c>
    </row>
    <row r="991" spans="1:13">
      <c r="A991" s="3" t="s">
        <v>967</v>
      </c>
      <c r="C991">
        <v>1</v>
      </c>
      <c r="D991">
        <v>1</v>
      </c>
      <c r="M991">
        <v>1</v>
      </c>
    </row>
    <row r="992" spans="1:13">
      <c r="A992" s="3" t="s">
        <v>968</v>
      </c>
      <c r="C992">
        <v>1</v>
      </c>
      <c r="D992">
        <v>1</v>
      </c>
      <c r="M992">
        <v>1</v>
      </c>
    </row>
    <row r="993" spans="1:13">
      <c r="A993" s="3" t="s">
        <v>969</v>
      </c>
      <c r="C993">
        <v>1</v>
      </c>
      <c r="D993">
        <v>1</v>
      </c>
      <c r="M993">
        <v>1</v>
      </c>
    </row>
    <row r="994" spans="1:13">
      <c r="A994" s="3" t="s">
        <v>970</v>
      </c>
      <c r="C994">
        <v>1</v>
      </c>
      <c r="D994">
        <v>1</v>
      </c>
      <c r="M994">
        <v>1</v>
      </c>
    </row>
    <row r="995" spans="1:13">
      <c r="A995" s="3" t="s">
        <v>971</v>
      </c>
      <c r="C995">
        <v>1</v>
      </c>
      <c r="D995">
        <v>1</v>
      </c>
      <c r="M995">
        <v>1</v>
      </c>
    </row>
    <row r="996" spans="1:13">
      <c r="A996" s="3" t="s">
        <v>972</v>
      </c>
      <c r="C996">
        <v>1</v>
      </c>
      <c r="D996">
        <v>1</v>
      </c>
      <c r="M996">
        <v>1</v>
      </c>
    </row>
    <row r="997" spans="1:13">
      <c r="A997" s="3" t="s">
        <v>973</v>
      </c>
      <c r="C997">
        <v>1</v>
      </c>
      <c r="D997">
        <v>1</v>
      </c>
      <c r="M997">
        <v>1</v>
      </c>
    </row>
    <row r="998" spans="1:13">
      <c r="A998" s="3" t="s">
        <v>974</v>
      </c>
      <c r="C998">
        <v>1</v>
      </c>
      <c r="D998">
        <v>1</v>
      </c>
      <c r="M998">
        <v>1</v>
      </c>
    </row>
    <row r="999" spans="1:13">
      <c r="A999" s="3" t="s">
        <v>975</v>
      </c>
      <c r="C999">
        <v>1</v>
      </c>
      <c r="D999">
        <v>1</v>
      </c>
      <c r="M999">
        <v>1</v>
      </c>
    </row>
    <row r="1000" spans="1:13">
      <c r="A1000" s="3" t="s">
        <v>976</v>
      </c>
      <c r="C1000">
        <v>1</v>
      </c>
      <c r="D1000">
        <v>1</v>
      </c>
      <c r="M1000">
        <v>1</v>
      </c>
    </row>
    <row r="1001" spans="1:13">
      <c r="A1001" s="3" t="s">
        <v>977</v>
      </c>
      <c r="C1001">
        <v>1</v>
      </c>
      <c r="D1001">
        <v>1</v>
      </c>
      <c r="M1001">
        <v>1</v>
      </c>
    </row>
    <row r="1002" spans="1:13">
      <c r="A1002" s="3" t="s">
        <v>978</v>
      </c>
      <c r="C1002">
        <v>1</v>
      </c>
      <c r="D1002">
        <v>1</v>
      </c>
      <c r="M1002">
        <v>1</v>
      </c>
    </row>
    <row r="1003" spans="1:13">
      <c r="A1003" s="3" t="s">
        <v>979</v>
      </c>
      <c r="C1003">
        <v>1</v>
      </c>
      <c r="D1003">
        <v>1</v>
      </c>
      <c r="M1003">
        <v>1</v>
      </c>
    </row>
    <row r="1004" spans="1:13">
      <c r="A1004" s="3" t="s">
        <v>980</v>
      </c>
      <c r="C1004">
        <v>1</v>
      </c>
      <c r="D1004">
        <v>1</v>
      </c>
      <c r="M1004">
        <v>1</v>
      </c>
    </row>
    <row r="1005" spans="1:13">
      <c r="A1005" s="3" t="s">
        <v>981</v>
      </c>
      <c r="C1005">
        <v>1</v>
      </c>
      <c r="D1005">
        <v>1</v>
      </c>
      <c r="M1005">
        <v>1</v>
      </c>
    </row>
    <row r="1006" spans="1:13">
      <c r="A1006" s="3" t="s">
        <v>982</v>
      </c>
      <c r="C1006">
        <v>1</v>
      </c>
      <c r="D1006">
        <v>1</v>
      </c>
      <c r="M1006">
        <v>1</v>
      </c>
    </row>
    <row r="1007" spans="1:13">
      <c r="A1007" s="3" t="s">
        <v>983</v>
      </c>
      <c r="C1007">
        <v>1</v>
      </c>
      <c r="D1007">
        <v>1</v>
      </c>
      <c r="M1007">
        <v>1</v>
      </c>
    </row>
    <row r="1008" spans="1:13">
      <c r="A1008" s="3" t="s">
        <v>984</v>
      </c>
      <c r="C1008">
        <v>1</v>
      </c>
      <c r="D1008">
        <v>1</v>
      </c>
      <c r="M1008">
        <v>1</v>
      </c>
    </row>
    <row r="1009" spans="1:13">
      <c r="A1009" s="3" t="s">
        <v>985</v>
      </c>
      <c r="C1009">
        <v>1</v>
      </c>
      <c r="D1009">
        <v>1</v>
      </c>
      <c r="M1009">
        <v>1</v>
      </c>
    </row>
    <row r="1010" spans="1:13">
      <c r="A1010" s="3" t="s">
        <v>986</v>
      </c>
      <c r="C1010">
        <v>1</v>
      </c>
      <c r="D1010">
        <v>1</v>
      </c>
      <c r="M1010">
        <v>1</v>
      </c>
    </row>
    <row r="1011" spans="1:13">
      <c r="A1011" s="3" t="s">
        <v>987</v>
      </c>
      <c r="C1011">
        <v>1</v>
      </c>
      <c r="D1011">
        <v>1</v>
      </c>
      <c r="M1011">
        <v>1</v>
      </c>
    </row>
    <row r="1012" spans="1:13">
      <c r="A1012" s="3" t="s">
        <v>988</v>
      </c>
      <c r="C1012">
        <v>1</v>
      </c>
      <c r="D1012">
        <v>1</v>
      </c>
      <c r="M1012">
        <v>1</v>
      </c>
    </row>
    <row r="1013" spans="1:13">
      <c r="A1013" s="3" t="s">
        <v>989</v>
      </c>
      <c r="C1013">
        <v>1</v>
      </c>
      <c r="D1013">
        <v>1</v>
      </c>
      <c r="M1013">
        <v>1</v>
      </c>
    </row>
    <row r="1014" spans="1:13">
      <c r="A1014" s="3" t="s">
        <v>990</v>
      </c>
      <c r="C1014">
        <v>1</v>
      </c>
      <c r="D1014">
        <v>1</v>
      </c>
      <c r="M1014">
        <v>1</v>
      </c>
    </row>
    <row r="1015" spans="1:13">
      <c r="A1015" s="3" t="s">
        <v>991</v>
      </c>
      <c r="C1015">
        <v>1</v>
      </c>
      <c r="D1015">
        <v>1</v>
      </c>
      <c r="M1015">
        <v>1</v>
      </c>
    </row>
    <row r="1016" spans="1:13">
      <c r="A1016" s="3" t="s">
        <v>992</v>
      </c>
      <c r="C1016">
        <v>1</v>
      </c>
      <c r="D1016">
        <v>1</v>
      </c>
      <c r="M1016">
        <v>1</v>
      </c>
    </row>
    <row r="1017" spans="1:13">
      <c r="A1017" s="3" t="s">
        <v>993</v>
      </c>
      <c r="C1017">
        <v>1</v>
      </c>
      <c r="D1017">
        <v>1</v>
      </c>
      <c r="M1017">
        <v>1</v>
      </c>
    </row>
    <row r="1018" spans="1:13">
      <c r="A1018" s="3" t="s">
        <v>994</v>
      </c>
      <c r="C1018">
        <v>1</v>
      </c>
      <c r="D1018">
        <v>1</v>
      </c>
      <c r="M1018">
        <v>1</v>
      </c>
    </row>
    <row r="1019" spans="1:13">
      <c r="A1019" s="3" t="s">
        <v>995</v>
      </c>
      <c r="C1019">
        <v>1</v>
      </c>
      <c r="D1019">
        <v>1</v>
      </c>
      <c r="M1019">
        <v>1</v>
      </c>
    </row>
    <row r="1020" spans="1:13">
      <c r="A1020" s="3" t="s">
        <v>996</v>
      </c>
      <c r="C1020">
        <v>1</v>
      </c>
      <c r="D1020">
        <v>1</v>
      </c>
      <c r="M1020">
        <v>1</v>
      </c>
    </row>
    <row r="1021" spans="1:13">
      <c r="A1021" s="3" t="s">
        <v>997</v>
      </c>
      <c r="C1021">
        <v>1</v>
      </c>
      <c r="D1021">
        <v>1</v>
      </c>
      <c r="M1021">
        <v>1</v>
      </c>
    </row>
    <row r="1022" spans="1:13">
      <c r="A1022" s="3" t="s">
        <v>998</v>
      </c>
      <c r="C1022">
        <v>1</v>
      </c>
      <c r="D1022">
        <v>1</v>
      </c>
      <c r="M1022">
        <v>1</v>
      </c>
    </row>
    <row r="1023" spans="1:13">
      <c r="A1023" s="3" t="s">
        <v>999</v>
      </c>
      <c r="C1023">
        <v>1</v>
      </c>
      <c r="D1023">
        <v>1</v>
      </c>
      <c r="M1023">
        <v>1</v>
      </c>
    </row>
    <row r="1024" spans="1:13">
      <c r="A1024" s="3" t="s">
        <v>1000</v>
      </c>
      <c r="C1024">
        <v>1</v>
      </c>
      <c r="D1024">
        <v>1</v>
      </c>
      <c r="M1024">
        <v>1</v>
      </c>
    </row>
    <row r="1025" spans="1:13">
      <c r="A1025" s="3" t="s">
        <v>1001</v>
      </c>
      <c r="C1025">
        <v>1</v>
      </c>
      <c r="D1025">
        <v>1</v>
      </c>
      <c r="M1025">
        <v>1</v>
      </c>
    </row>
    <row r="1026" spans="1:13">
      <c r="A1026" s="3" t="s">
        <v>1002</v>
      </c>
      <c r="C1026">
        <v>1</v>
      </c>
      <c r="D1026">
        <v>1</v>
      </c>
      <c r="M1026">
        <v>1</v>
      </c>
    </row>
    <row r="1027" spans="1:13">
      <c r="A1027" s="3" t="s">
        <v>1003</v>
      </c>
      <c r="C1027">
        <v>1</v>
      </c>
      <c r="D1027">
        <v>1</v>
      </c>
      <c r="J1027">
        <v>14</v>
      </c>
    </row>
    <row r="1028" spans="1:13">
      <c r="A1028" s="3" t="s">
        <v>1004</v>
      </c>
      <c r="C1028">
        <v>1</v>
      </c>
      <c r="D1028">
        <v>1</v>
      </c>
      <c r="J1028">
        <v>14</v>
      </c>
    </row>
    <row r="1029" spans="1:13">
      <c r="A1029" s="3" t="s">
        <v>1005</v>
      </c>
      <c r="C1029">
        <v>1</v>
      </c>
      <c r="D1029">
        <v>1</v>
      </c>
      <c r="J1029">
        <v>14</v>
      </c>
    </row>
    <row r="1030" spans="1:13">
      <c r="A1030" s="3" t="s">
        <v>1006</v>
      </c>
      <c r="C1030">
        <v>1</v>
      </c>
      <c r="D1030">
        <v>1</v>
      </c>
      <c r="J1030">
        <v>14</v>
      </c>
    </row>
    <row r="1031" spans="1:13">
      <c r="A1031" s="3" t="s">
        <v>1007</v>
      </c>
      <c r="C1031">
        <v>1</v>
      </c>
      <c r="D1031">
        <v>1</v>
      </c>
      <c r="J1031">
        <v>14</v>
      </c>
    </row>
    <row r="1032" spans="1:13">
      <c r="A1032" s="3" t="s">
        <v>1008</v>
      </c>
      <c r="C1032">
        <v>1</v>
      </c>
      <c r="D1032">
        <v>1</v>
      </c>
      <c r="J1032">
        <v>14</v>
      </c>
    </row>
    <row r="1033" spans="1:13">
      <c r="A1033" s="3" t="s">
        <v>1009</v>
      </c>
      <c r="C1033">
        <v>1</v>
      </c>
      <c r="D1033">
        <v>1</v>
      </c>
      <c r="J1033">
        <v>14</v>
      </c>
    </row>
    <row r="1034" spans="1:13">
      <c r="A1034" s="3" t="s">
        <v>1010</v>
      </c>
      <c r="C1034">
        <v>1</v>
      </c>
      <c r="D1034">
        <v>1</v>
      </c>
      <c r="J1034">
        <v>14</v>
      </c>
    </row>
    <row r="1035" spans="1:13">
      <c r="A1035" s="3" t="s">
        <v>1011</v>
      </c>
      <c r="C1035">
        <v>1</v>
      </c>
      <c r="D1035">
        <v>1</v>
      </c>
      <c r="J1035">
        <v>14</v>
      </c>
    </row>
    <row r="1036" spans="1:13">
      <c r="A1036" s="3" t="s">
        <v>1012</v>
      </c>
      <c r="C1036">
        <v>1</v>
      </c>
      <c r="D1036">
        <v>1</v>
      </c>
      <c r="J1036">
        <v>14</v>
      </c>
    </row>
    <row r="1037" spans="1:13">
      <c r="A1037" s="3" t="s">
        <v>1013</v>
      </c>
      <c r="C1037">
        <v>1</v>
      </c>
      <c r="D1037">
        <v>1</v>
      </c>
      <c r="J1037">
        <v>14</v>
      </c>
    </row>
    <row r="1038" spans="1:13">
      <c r="A1038" s="3" t="s">
        <v>1014</v>
      </c>
      <c r="C1038">
        <v>1</v>
      </c>
      <c r="D1038">
        <v>1</v>
      </c>
      <c r="J1038">
        <v>14</v>
      </c>
    </row>
    <row r="1039" spans="1:13">
      <c r="A1039" s="3" t="s">
        <v>1015</v>
      </c>
      <c r="C1039">
        <v>1</v>
      </c>
      <c r="D1039">
        <v>1</v>
      </c>
      <c r="J1039">
        <v>14</v>
      </c>
    </row>
    <row r="1040" spans="1:13">
      <c r="A1040" s="3" t="s">
        <v>1016</v>
      </c>
      <c r="C1040">
        <v>1</v>
      </c>
      <c r="D1040">
        <v>1</v>
      </c>
      <c r="J1040">
        <v>14</v>
      </c>
    </row>
    <row r="1041" spans="1:49">
      <c r="A1041" s="3" t="s">
        <v>1017</v>
      </c>
      <c r="C1041">
        <v>1</v>
      </c>
      <c r="D1041">
        <v>1</v>
      </c>
      <c r="J1041">
        <v>14</v>
      </c>
    </row>
    <row r="1042" spans="1:49">
      <c r="A1042" s="3" t="s">
        <v>1018</v>
      </c>
      <c r="C1042">
        <v>1</v>
      </c>
      <c r="D1042">
        <v>1</v>
      </c>
      <c r="J1042">
        <v>14</v>
      </c>
    </row>
    <row r="1043" spans="1:49">
      <c r="A1043" s="3" t="s">
        <v>1019</v>
      </c>
      <c r="C1043">
        <v>1</v>
      </c>
      <c r="D1043">
        <v>1</v>
      </c>
      <c r="J1043">
        <v>14</v>
      </c>
    </row>
    <row r="1044" spans="1:49">
      <c r="A1044" s="3" t="s">
        <v>1020</v>
      </c>
      <c r="C1044">
        <v>1</v>
      </c>
      <c r="D1044">
        <v>1</v>
      </c>
      <c r="J1044">
        <v>14</v>
      </c>
    </row>
    <row r="1045" spans="1:49">
      <c r="A1045" s="3" t="s">
        <v>1021</v>
      </c>
      <c r="C1045">
        <v>1</v>
      </c>
      <c r="J1045">
        <v>14</v>
      </c>
    </row>
    <row r="1046" spans="1:49">
      <c r="A1046" s="3" t="s">
        <v>1022</v>
      </c>
      <c r="C1046">
        <v>1</v>
      </c>
      <c r="J1046">
        <v>14</v>
      </c>
    </row>
    <row r="1047" spans="1:49">
      <c r="A1047" s="3" t="s">
        <v>1023</v>
      </c>
      <c r="C1047">
        <v>1</v>
      </c>
      <c r="AW1047">
        <v>9</v>
      </c>
    </row>
    <row r="1048" spans="1:49">
      <c r="A1048" s="3" t="s">
        <v>1024</v>
      </c>
      <c r="C1048">
        <v>1</v>
      </c>
      <c r="AW1048">
        <v>9</v>
      </c>
    </row>
    <row r="1049" spans="1:49">
      <c r="A1049" s="3" t="s">
        <v>1025</v>
      </c>
      <c r="C1049">
        <v>1</v>
      </c>
      <c r="X1049">
        <v>1</v>
      </c>
    </row>
    <row r="1050" spans="1:49">
      <c r="A1050" s="3" t="s">
        <v>1026</v>
      </c>
      <c r="C1050">
        <v>1</v>
      </c>
      <c r="X1050">
        <v>1</v>
      </c>
    </row>
    <row r="1051" spans="1:49">
      <c r="A1051" s="3" t="s">
        <v>1027</v>
      </c>
      <c r="C1051">
        <v>1</v>
      </c>
      <c r="X1051">
        <v>1</v>
      </c>
    </row>
    <row r="1052" spans="1:49">
      <c r="A1052" s="3" t="s">
        <v>1028</v>
      </c>
      <c r="C1052">
        <v>1</v>
      </c>
      <c r="X1052">
        <v>1</v>
      </c>
    </row>
    <row r="1053" spans="1:49">
      <c r="A1053" s="3" t="s">
        <v>1029</v>
      </c>
      <c r="C1053">
        <v>1</v>
      </c>
      <c r="X1053">
        <v>1</v>
      </c>
    </row>
    <row r="1054" spans="1:49">
      <c r="A1054" s="3" t="s">
        <v>1030</v>
      </c>
      <c r="C1054">
        <v>1</v>
      </c>
      <c r="X1054">
        <v>1</v>
      </c>
    </row>
    <row r="1055" spans="1:49">
      <c r="A1055" s="3" t="s">
        <v>1031</v>
      </c>
      <c r="C1055">
        <v>1</v>
      </c>
      <c r="X1055">
        <v>1</v>
      </c>
    </row>
    <row r="1056" spans="1:49">
      <c r="A1056" s="3" t="s">
        <v>1032</v>
      </c>
      <c r="C1056">
        <v>1</v>
      </c>
      <c r="X1056">
        <v>1</v>
      </c>
    </row>
    <row r="1057" spans="1:49">
      <c r="A1057" s="3" t="s">
        <v>1033</v>
      </c>
      <c r="C1057">
        <v>1</v>
      </c>
      <c r="X1057">
        <v>1</v>
      </c>
    </row>
    <row r="1058" spans="1:49">
      <c r="A1058" s="3" t="s">
        <v>1034</v>
      </c>
      <c r="C1058">
        <v>1</v>
      </c>
      <c r="X1058">
        <v>1</v>
      </c>
    </row>
    <row r="1059" spans="1:49">
      <c r="A1059" s="3" t="s">
        <v>1035</v>
      </c>
      <c r="C1059">
        <v>1</v>
      </c>
      <c r="X1059">
        <v>1</v>
      </c>
    </row>
    <row r="1060" spans="1:49">
      <c r="A1060" s="3" t="s">
        <v>1036</v>
      </c>
      <c r="C1060">
        <v>1</v>
      </c>
      <c r="X1060">
        <v>1</v>
      </c>
    </row>
    <row r="1061" spans="1:49">
      <c r="A1061" s="3" t="s">
        <v>1037</v>
      </c>
      <c r="C1061">
        <v>1</v>
      </c>
      <c r="X1061">
        <v>1</v>
      </c>
    </row>
    <row r="1062" spans="1:49">
      <c r="A1062" s="3" t="s">
        <v>1038</v>
      </c>
      <c r="C1062">
        <v>1</v>
      </c>
      <c r="X1062">
        <v>1</v>
      </c>
    </row>
    <row r="1063" spans="1:49">
      <c r="A1063" s="3" t="s">
        <v>1039</v>
      </c>
      <c r="C1063">
        <v>1</v>
      </c>
      <c r="X1063">
        <v>1</v>
      </c>
    </row>
    <row r="1064" spans="1:49">
      <c r="A1064" s="3" t="s">
        <v>1040</v>
      </c>
      <c r="C1064">
        <v>1</v>
      </c>
      <c r="X1064">
        <v>1</v>
      </c>
    </row>
    <row r="1065" spans="1:49">
      <c r="A1065" s="3" t="s">
        <v>1041</v>
      </c>
      <c r="C1065">
        <v>1</v>
      </c>
      <c r="X1065">
        <v>1</v>
      </c>
    </row>
    <row r="1066" spans="1:49">
      <c r="A1066" s="3" t="s">
        <v>1042</v>
      </c>
      <c r="C1066">
        <v>1</v>
      </c>
      <c r="X1066">
        <v>1</v>
      </c>
    </row>
    <row r="1067" spans="1:49">
      <c r="A1067" s="3" t="s">
        <v>1043</v>
      </c>
      <c r="C1067">
        <v>1</v>
      </c>
      <c r="X1067">
        <v>1</v>
      </c>
    </row>
    <row r="1068" spans="1:49">
      <c r="A1068" s="3" t="s">
        <v>1044</v>
      </c>
      <c r="C1068">
        <v>1</v>
      </c>
      <c r="X1068">
        <v>1</v>
      </c>
    </row>
    <row r="1069" spans="1:49">
      <c r="A1069" s="3" t="s">
        <v>1045</v>
      </c>
      <c r="C1069">
        <v>1</v>
      </c>
      <c r="X1069">
        <v>1</v>
      </c>
    </row>
    <row r="1070" spans="1:49">
      <c r="A1070" s="3" t="s">
        <v>1046</v>
      </c>
      <c r="C1070">
        <v>1</v>
      </c>
      <c r="AW1070">
        <v>10</v>
      </c>
    </row>
    <row r="1071" spans="1:49">
      <c r="A1071" s="3" t="s">
        <v>1047</v>
      </c>
      <c r="C1071">
        <v>1</v>
      </c>
      <c r="AW1071">
        <v>10</v>
      </c>
    </row>
    <row r="1072" spans="1:49">
      <c r="A1072" s="3" t="s">
        <v>1048</v>
      </c>
      <c r="C1072">
        <v>1</v>
      </c>
      <c r="J1072">
        <v>15</v>
      </c>
    </row>
    <row r="1073" spans="1:10">
      <c r="A1073" s="3" t="s">
        <v>1049</v>
      </c>
      <c r="C1073">
        <v>1</v>
      </c>
      <c r="J1073">
        <v>15</v>
      </c>
    </row>
    <row r="1074" spans="1:10">
      <c r="A1074" s="3" t="s">
        <v>1050</v>
      </c>
      <c r="C1074">
        <v>1</v>
      </c>
      <c r="J1074">
        <v>15</v>
      </c>
    </row>
    <row r="1075" spans="1:10">
      <c r="A1075" s="3" t="s">
        <v>1051</v>
      </c>
      <c r="C1075">
        <v>1</v>
      </c>
      <c r="J1075">
        <v>15</v>
      </c>
    </row>
    <row r="1076" spans="1:10">
      <c r="A1076" s="3" t="s">
        <v>1052</v>
      </c>
      <c r="C1076">
        <v>1</v>
      </c>
      <c r="J1076">
        <v>15</v>
      </c>
    </row>
    <row r="1077" spans="1:10">
      <c r="A1077" s="3" t="s">
        <v>1053</v>
      </c>
      <c r="C1077">
        <v>1</v>
      </c>
      <c r="J1077">
        <v>15</v>
      </c>
    </row>
    <row r="1078" spans="1:10">
      <c r="A1078" s="3" t="s">
        <v>1054</v>
      </c>
      <c r="C1078">
        <v>1</v>
      </c>
      <c r="J1078">
        <v>15</v>
      </c>
    </row>
    <row r="1079" spans="1:10">
      <c r="A1079" s="3" t="s">
        <v>1055</v>
      </c>
      <c r="C1079">
        <v>1</v>
      </c>
      <c r="J1079">
        <v>15</v>
      </c>
    </row>
    <row r="1080" spans="1:10">
      <c r="A1080" s="3" t="s">
        <v>1056</v>
      </c>
      <c r="C1080">
        <v>1</v>
      </c>
      <c r="J1080">
        <v>15</v>
      </c>
    </row>
    <row r="1081" spans="1:10">
      <c r="A1081" s="3" t="s">
        <v>1057</v>
      </c>
      <c r="C1081">
        <v>1</v>
      </c>
      <c r="J1081">
        <v>15</v>
      </c>
    </row>
    <row r="1082" spans="1:10">
      <c r="A1082" s="3" t="s">
        <v>1058</v>
      </c>
      <c r="C1082">
        <v>1</v>
      </c>
      <c r="J1082">
        <v>15</v>
      </c>
    </row>
    <row r="1083" spans="1:10">
      <c r="A1083" s="3" t="s">
        <v>1059</v>
      </c>
      <c r="C1083">
        <v>1</v>
      </c>
      <c r="J1083">
        <v>15</v>
      </c>
    </row>
    <row r="1084" spans="1:10">
      <c r="A1084" s="3" t="s">
        <v>1060</v>
      </c>
      <c r="C1084">
        <v>1</v>
      </c>
      <c r="J1084">
        <v>15</v>
      </c>
    </row>
    <row r="1085" spans="1:10">
      <c r="A1085" s="3" t="s">
        <v>1061</v>
      </c>
      <c r="C1085">
        <v>1</v>
      </c>
      <c r="J1085">
        <v>15</v>
      </c>
    </row>
    <row r="1086" spans="1:10">
      <c r="A1086" s="3" t="s">
        <v>1062</v>
      </c>
      <c r="C1086">
        <v>1</v>
      </c>
      <c r="J1086">
        <v>15</v>
      </c>
    </row>
    <row r="1087" spans="1:10">
      <c r="A1087" s="3" t="s">
        <v>1063</v>
      </c>
      <c r="C1087">
        <v>1</v>
      </c>
      <c r="J1087">
        <v>15</v>
      </c>
    </row>
    <row r="1088" spans="1:10">
      <c r="A1088" s="3" t="s">
        <v>1064</v>
      </c>
      <c r="C1088">
        <v>1</v>
      </c>
      <c r="J1088">
        <v>15</v>
      </c>
    </row>
    <row r="1089" spans="1:10">
      <c r="A1089" s="3" t="s">
        <v>1065</v>
      </c>
      <c r="C1089">
        <v>1</v>
      </c>
      <c r="J1089">
        <v>15</v>
      </c>
    </row>
    <row r="1090" spans="1:10">
      <c r="A1090" s="3" t="s">
        <v>1066</v>
      </c>
      <c r="C1090">
        <v>1</v>
      </c>
      <c r="J1090">
        <v>15</v>
      </c>
    </row>
    <row r="1091" spans="1:10">
      <c r="A1091" s="3" t="s">
        <v>1067</v>
      </c>
      <c r="C1091">
        <v>1</v>
      </c>
      <c r="J1091">
        <v>15</v>
      </c>
    </row>
    <row r="1092" spans="1:10">
      <c r="A1092" s="3" t="s">
        <v>1068</v>
      </c>
      <c r="C1092">
        <v>1</v>
      </c>
      <c r="J1092">
        <v>15</v>
      </c>
    </row>
    <row r="1093" spans="1:10">
      <c r="A1093" s="3" t="s">
        <v>1069</v>
      </c>
      <c r="C1093">
        <v>1</v>
      </c>
      <c r="J1093">
        <v>15</v>
      </c>
    </row>
    <row r="1094" spans="1:10">
      <c r="A1094" s="3" t="s">
        <v>1070</v>
      </c>
      <c r="C1094">
        <v>1</v>
      </c>
      <c r="J1094">
        <v>15</v>
      </c>
    </row>
    <row r="1095" spans="1:10">
      <c r="A1095" s="3" t="s">
        <v>1071</v>
      </c>
      <c r="C1095">
        <v>1</v>
      </c>
      <c r="J1095">
        <v>15</v>
      </c>
    </row>
    <row r="1096" spans="1:10">
      <c r="A1096" s="3" t="s">
        <v>1072</v>
      </c>
      <c r="C1096">
        <v>1</v>
      </c>
      <c r="J1096">
        <v>15</v>
      </c>
    </row>
    <row r="1097" spans="1:10">
      <c r="A1097" s="3" t="s">
        <v>1073</v>
      </c>
      <c r="C1097">
        <v>1</v>
      </c>
      <c r="J1097">
        <v>15</v>
      </c>
    </row>
    <row r="1098" spans="1:10">
      <c r="A1098" s="3" t="s">
        <v>1074</v>
      </c>
      <c r="C1098">
        <v>1</v>
      </c>
      <c r="J1098">
        <v>15</v>
      </c>
    </row>
    <row r="1099" spans="1:10">
      <c r="A1099" s="3" t="s">
        <v>1075</v>
      </c>
      <c r="C1099">
        <v>1</v>
      </c>
      <c r="J1099">
        <v>15</v>
      </c>
    </row>
    <row r="1100" spans="1:10">
      <c r="A1100" s="3" t="s">
        <v>1076</v>
      </c>
      <c r="C1100">
        <v>1</v>
      </c>
      <c r="J1100">
        <v>15</v>
      </c>
    </row>
    <row r="1101" spans="1:10">
      <c r="A1101" s="3" t="s">
        <v>1077</v>
      </c>
      <c r="C1101">
        <v>1</v>
      </c>
      <c r="J1101">
        <v>15</v>
      </c>
    </row>
    <row r="1102" spans="1:10">
      <c r="A1102" s="3" t="s">
        <v>1078</v>
      </c>
      <c r="C1102">
        <v>1</v>
      </c>
      <c r="J1102">
        <v>15</v>
      </c>
    </row>
    <row r="1103" spans="1:10">
      <c r="A1103" s="3" t="s">
        <v>1079</v>
      </c>
      <c r="C1103">
        <v>1</v>
      </c>
      <c r="J1103">
        <v>15</v>
      </c>
    </row>
    <row r="1104" spans="1:10">
      <c r="A1104" s="3" t="s">
        <v>1080</v>
      </c>
      <c r="C1104">
        <v>1</v>
      </c>
      <c r="J1104">
        <v>15</v>
      </c>
    </row>
    <row r="1105" spans="1:10">
      <c r="A1105" s="3" t="s">
        <v>1081</v>
      </c>
      <c r="C1105">
        <v>1</v>
      </c>
      <c r="J1105">
        <v>15</v>
      </c>
    </row>
    <row r="1106" spans="1:10">
      <c r="A1106" s="3" t="s">
        <v>1082</v>
      </c>
      <c r="C1106">
        <v>1</v>
      </c>
      <c r="J1106">
        <v>15</v>
      </c>
    </row>
    <row r="1107" spans="1:10">
      <c r="A1107" s="3" t="s">
        <v>1083</v>
      </c>
      <c r="C1107">
        <v>1</v>
      </c>
      <c r="J1107">
        <v>15</v>
      </c>
    </row>
    <row r="1108" spans="1:10">
      <c r="A1108" s="3" t="s">
        <v>1084</v>
      </c>
      <c r="C1108">
        <v>1</v>
      </c>
      <c r="J1108">
        <v>15</v>
      </c>
    </row>
    <row r="1109" spans="1:10">
      <c r="A1109" s="3" t="s">
        <v>1085</v>
      </c>
      <c r="C1109">
        <v>1</v>
      </c>
      <c r="J1109">
        <v>15</v>
      </c>
    </row>
    <row r="1110" spans="1:10">
      <c r="A1110" s="3" t="s">
        <v>1086</v>
      </c>
      <c r="C1110">
        <v>1</v>
      </c>
      <c r="J1110">
        <v>15</v>
      </c>
    </row>
    <row r="1111" spans="1:10">
      <c r="A1111" s="3" t="s">
        <v>1087</v>
      </c>
      <c r="C1111">
        <v>1</v>
      </c>
      <c r="J1111">
        <v>15</v>
      </c>
    </row>
    <row r="1112" spans="1:10">
      <c r="A1112" s="3" t="s">
        <v>1088</v>
      </c>
      <c r="C1112">
        <v>1</v>
      </c>
      <c r="J1112">
        <v>15</v>
      </c>
    </row>
    <row r="1113" spans="1:10">
      <c r="A1113" s="3" t="s">
        <v>1089</v>
      </c>
      <c r="C1113">
        <v>1</v>
      </c>
      <c r="J1113">
        <v>15</v>
      </c>
    </row>
    <row r="1114" spans="1:10">
      <c r="A1114" s="3" t="s">
        <v>1090</v>
      </c>
      <c r="C1114">
        <v>1</v>
      </c>
      <c r="J1114">
        <v>15</v>
      </c>
    </row>
    <row r="1115" spans="1:10">
      <c r="A1115" s="3" t="s">
        <v>1091</v>
      </c>
      <c r="C1115">
        <v>1</v>
      </c>
      <c r="J1115">
        <v>15</v>
      </c>
    </row>
    <row r="1116" spans="1:10">
      <c r="A1116" s="3" t="s">
        <v>1092</v>
      </c>
      <c r="C1116">
        <v>1</v>
      </c>
      <c r="J1116">
        <v>15</v>
      </c>
    </row>
    <row r="1117" spans="1:10">
      <c r="A1117" s="3" t="s">
        <v>1093</v>
      </c>
      <c r="C1117">
        <v>1</v>
      </c>
      <c r="J1117">
        <v>15</v>
      </c>
    </row>
    <row r="1118" spans="1:10">
      <c r="A1118" s="3" t="s">
        <v>1094</v>
      </c>
      <c r="C1118">
        <v>1</v>
      </c>
      <c r="J1118">
        <v>15</v>
      </c>
    </row>
    <row r="1119" spans="1:10">
      <c r="A1119" s="3" t="s">
        <v>1095</v>
      </c>
      <c r="C1119">
        <v>1</v>
      </c>
      <c r="J1119">
        <v>15</v>
      </c>
    </row>
    <row r="1120" spans="1:10">
      <c r="A1120" s="3" t="s">
        <v>1096</v>
      </c>
      <c r="C1120">
        <v>1</v>
      </c>
      <c r="J1120">
        <v>15</v>
      </c>
    </row>
    <row r="1121" spans="1:20">
      <c r="A1121" s="3" t="s">
        <v>1097</v>
      </c>
      <c r="C1121">
        <v>1</v>
      </c>
      <c r="J1121">
        <v>15</v>
      </c>
    </row>
    <row r="1122" spans="1:20">
      <c r="A1122" s="3" t="s">
        <v>1098</v>
      </c>
      <c r="C1122">
        <v>1</v>
      </c>
      <c r="J1122">
        <v>15</v>
      </c>
    </row>
    <row r="1123" spans="1:20">
      <c r="A1123" s="3" t="s">
        <v>1099</v>
      </c>
      <c r="C1123">
        <v>1</v>
      </c>
      <c r="T1123">
        <v>1</v>
      </c>
    </row>
    <row r="1124" spans="1:20">
      <c r="A1124" s="3" t="s">
        <v>1100</v>
      </c>
      <c r="C1124">
        <v>1</v>
      </c>
      <c r="T1124">
        <v>1</v>
      </c>
    </row>
    <row r="1125" spans="1:20">
      <c r="A1125" s="3" t="s">
        <v>1101</v>
      </c>
      <c r="C1125">
        <v>1</v>
      </c>
      <c r="T1125">
        <v>1</v>
      </c>
    </row>
    <row r="1126" spans="1:20">
      <c r="A1126" s="3" t="s">
        <v>1102</v>
      </c>
      <c r="C1126">
        <v>1</v>
      </c>
      <c r="T1126">
        <v>1</v>
      </c>
    </row>
    <row r="1127" spans="1:20">
      <c r="A1127" s="3" t="s">
        <v>1103</v>
      </c>
      <c r="C1127">
        <v>1</v>
      </c>
      <c r="T1127">
        <v>1</v>
      </c>
    </row>
    <row r="1128" spans="1:20">
      <c r="A1128" s="3" t="s">
        <v>1104</v>
      </c>
      <c r="C1128">
        <v>1</v>
      </c>
      <c r="T1128">
        <v>1</v>
      </c>
    </row>
    <row r="1129" spans="1:20">
      <c r="A1129" s="3" t="s">
        <v>1105</v>
      </c>
      <c r="C1129">
        <v>1</v>
      </c>
      <c r="J1129">
        <v>16</v>
      </c>
    </row>
    <row r="1130" spans="1:20">
      <c r="A1130" s="3" t="s">
        <v>1106</v>
      </c>
      <c r="C1130">
        <v>1</v>
      </c>
      <c r="J1130">
        <v>16</v>
      </c>
    </row>
    <row r="1131" spans="1:20">
      <c r="A1131" s="3" t="s">
        <v>1107</v>
      </c>
      <c r="C1131">
        <v>1</v>
      </c>
      <c r="J1131">
        <v>16</v>
      </c>
    </row>
    <row r="1132" spans="1:20">
      <c r="A1132" s="3" t="s">
        <v>1108</v>
      </c>
      <c r="C1132">
        <v>1</v>
      </c>
      <c r="J1132">
        <v>16</v>
      </c>
    </row>
    <row r="1133" spans="1:20">
      <c r="A1133" s="3" t="s">
        <v>1109</v>
      </c>
      <c r="C1133">
        <v>1</v>
      </c>
      <c r="J1133">
        <v>16</v>
      </c>
    </row>
    <row r="1134" spans="1:20">
      <c r="A1134" s="3" t="s">
        <v>1110</v>
      </c>
      <c r="C1134">
        <v>1</v>
      </c>
      <c r="J1134">
        <v>16</v>
      </c>
    </row>
    <row r="1135" spans="1:20">
      <c r="A1135" s="3" t="s">
        <v>1111</v>
      </c>
      <c r="C1135">
        <v>1</v>
      </c>
      <c r="J1135">
        <v>16</v>
      </c>
    </row>
    <row r="1136" spans="1:20">
      <c r="A1136" s="3" t="s">
        <v>1112</v>
      </c>
      <c r="C1136">
        <v>1</v>
      </c>
      <c r="J1136">
        <v>16</v>
      </c>
    </row>
    <row r="1137" spans="1:49">
      <c r="A1137" s="3" t="s">
        <v>1113</v>
      </c>
      <c r="C1137">
        <v>1</v>
      </c>
      <c r="J1137">
        <v>16</v>
      </c>
    </row>
    <row r="1138" spans="1:49">
      <c r="A1138" s="3" t="s">
        <v>1114</v>
      </c>
      <c r="C1138">
        <v>1</v>
      </c>
      <c r="J1138">
        <v>16</v>
      </c>
    </row>
    <row r="1139" spans="1:49">
      <c r="A1139" s="3" t="s">
        <v>1115</v>
      </c>
      <c r="C1139">
        <v>1</v>
      </c>
      <c r="J1139">
        <v>16</v>
      </c>
    </row>
    <row r="1140" spans="1:49">
      <c r="A1140" s="3" t="s">
        <v>1116</v>
      </c>
      <c r="C1140">
        <v>1</v>
      </c>
      <c r="J1140">
        <v>16</v>
      </c>
    </row>
    <row r="1141" spans="1:49">
      <c r="A1141" s="3" t="s">
        <v>1117</v>
      </c>
      <c r="C1141">
        <v>1</v>
      </c>
      <c r="J1141">
        <v>16</v>
      </c>
    </row>
    <row r="1142" spans="1:49">
      <c r="A1142" s="3" t="s">
        <v>1118</v>
      </c>
      <c r="C1142">
        <v>1</v>
      </c>
      <c r="J1142">
        <v>16</v>
      </c>
    </row>
    <row r="1143" spans="1:49">
      <c r="A1143" s="3" t="s">
        <v>1119</v>
      </c>
      <c r="C1143">
        <v>1</v>
      </c>
      <c r="J1143">
        <v>16</v>
      </c>
    </row>
    <row r="1144" spans="1:49">
      <c r="A1144" s="3" t="s">
        <v>1120</v>
      </c>
      <c r="C1144">
        <v>1</v>
      </c>
      <c r="J1144">
        <v>16</v>
      </c>
    </row>
    <row r="1145" spans="1:49">
      <c r="A1145" s="3" t="s">
        <v>1121</v>
      </c>
      <c r="C1145">
        <v>1</v>
      </c>
      <c r="AW1145">
        <v>11</v>
      </c>
    </row>
    <row r="1146" spans="1:49">
      <c r="A1146" s="3" t="s">
        <v>1122</v>
      </c>
      <c r="C1146">
        <v>1</v>
      </c>
      <c r="AW1146">
        <v>11</v>
      </c>
    </row>
    <row r="1147" spans="1:49">
      <c r="A1147" s="3" t="s">
        <v>1123</v>
      </c>
      <c r="C1147">
        <v>1</v>
      </c>
      <c r="AW1147">
        <v>11</v>
      </c>
    </row>
    <row r="1148" spans="1:49">
      <c r="A1148" s="3" t="s">
        <v>1124</v>
      </c>
      <c r="C1148">
        <v>1</v>
      </c>
      <c r="AW1148">
        <v>11</v>
      </c>
    </row>
    <row r="1149" spans="1:49">
      <c r="A1149" s="3" t="s">
        <v>1125</v>
      </c>
      <c r="C1149">
        <v>1</v>
      </c>
      <c r="AW1149">
        <v>11</v>
      </c>
    </row>
    <row r="1150" spans="1:49">
      <c r="A1150" s="3" t="s">
        <v>1126</v>
      </c>
      <c r="C1150">
        <v>1</v>
      </c>
      <c r="AW1150">
        <v>11</v>
      </c>
    </row>
    <row r="1151" spans="1:49">
      <c r="A1151" s="3" t="s">
        <v>1127</v>
      </c>
      <c r="C1151">
        <v>1</v>
      </c>
      <c r="AW1151">
        <v>11</v>
      </c>
    </row>
    <row r="1152" spans="1:49">
      <c r="A1152" s="3" t="s">
        <v>1128</v>
      </c>
      <c r="C1152">
        <v>1</v>
      </c>
      <c r="J1152">
        <v>17</v>
      </c>
    </row>
    <row r="1153" spans="1:10">
      <c r="A1153" s="3" t="s">
        <v>1129</v>
      </c>
      <c r="C1153">
        <v>1</v>
      </c>
      <c r="J1153">
        <v>17</v>
      </c>
    </row>
    <row r="1154" spans="1:10">
      <c r="A1154" s="3" t="s">
        <v>1130</v>
      </c>
      <c r="C1154">
        <v>1</v>
      </c>
      <c r="J1154">
        <v>17</v>
      </c>
    </row>
    <row r="1155" spans="1:10">
      <c r="A1155" s="3" t="s">
        <v>1131</v>
      </c>
      <c r="C1155">
        <v>1</v>
      </c>
      <c r="J1155">
        <v>17</v>
      </c>
    </row>
    <row r="1156" spans="1:10">
      <c r="A1156" s="3" t="s">
        <v>1132</v>
      </c>
      <c r="C1156">
        <v>1</v>
      </c>
      <c r="J1156">
        <v>17</v>
      </c>
    </row>
    <row r="1157" spans="1:10">
      <c r="A1157" s="3" t="s">
        <v>1133</v>
      </c>
      <c r="C1157">
        <v>1</v>
      </c>
      <c r="J1157">
        <v>17</v>
      </c>
    </row>
    <row r="1158" spans="1:10">
      <c r="A1158" s="3" t="s">
        <v>1134</v>
      </c>
      <c r="C1158">
        <v>1</v>
      </c>
      <c r="J1158">
        <v>17</v>
      </c>
    </row>
    <row r="1159" spans="1:10">
      <c r="A1159" s="3" t="s">
        <v>1135</v>
      </c>
      <c r="C1159">
        <v>1</v>
      </c>
      <c r="J1159">
        <v>17</v>
      </c>
    </row>
    <row r="1160" spans="1:10">
      <c r="A1160" s="3" t="s">
        <v>1136</v>
      </c>
      <c r="C1160">
        <v>1</v>
      </c>
      <c r="J1160">
        <v>17</v>
      </c>
    </row>
    <row r="1161" spans="1:10">
      <c r="A1161" s="3" t="s">
        <v>1137</v>
      </c>
      <c r="C1161">
        <v>1</v>
      </c>
      <c r="J1161">
        <v>17</v>
      </c>
    </row>
    <row r="1162" spans="1:10">
      <c r="A1162" s="3" t="s">
        <v>1138</v>
      </c>
      <c r="C1162">
        <v>1</v>
      </c>
      <c r="J1162">
        <v>17</v>
      </c>
    </row>
    <row r="1163" spans="1:10">
      <c r="A1163" s="3" t="s">
        <v>1139</v>
      </c>
      <c r="C1163">
        <v>1</v>
      </c>
      <c r="J1163">
        <v>17</v>
      </c>
    </row>
    <row r="1164" spans="1:10">
      <c r="A1164" s="3" t="s">
        <v>1140</v>
      </c>
      <c r="C1164">
        <v>1</v>
      </c>
      <c r="J1164">
        <v>17</v>
      </c>
    </row>
    <row r="1165" spans="1:10">
      <c r="A1165" s="3" t="s">
        <v>1141</v>
      </c>
      <c r="C1165">
        <v>1</v>
      </c>
      <c r="J1165">
        <v>17</v>
      </c>
    </row>
    <row r="1166" spans="1:10">
      <c r="A1166" s="3" t="s">
        <v>1142</v>
      </c>
      <c r="C1166">
        <v>1</v>
      </c>
      <c r="J1166">
        <v>17</v>
      </c>
    </row>
    <row r="1167" spans="1:10">
      <c r="A1167" s="3" t="s">
        <v>1143</v>
      </c>
      <c r="C1167">
        <v>1</v>
      </c>
      <c r="J1167">
        <v>17</v>
      </c>
    </row>
    <row r="1168" spans="1:10">
      <c r="A1168" s="3" t="s">
        <v>1144</v>
      </c>
      <c r="C1168">
        <v>1</v>
      </c>
      <c r="J1168">
        <v>17</v>
      </c>
    </row>
    <row r="1169" spans="1:10">
      <c r="A1169" s="3" t="s">
        <v>1145</v>
      </c>
      <c r="C1169">
        <v>1</v>
      </c>
      <c r="J1169">
        <v>17</v>
      </c>
    </row>
    <row r="1170" spans="1:10">
      <c r="A1170" s="3" t="s">
        <v>1146</v>
      </c>
      <c r="C1170">
        <v>1</v>
      </c>
      <c r="J1170">
        <v>17</v>
      </c>
    </row>
    <row r="1171" spans="1:10">
      <c r="A1171" s="3" t="s">
        <v>1147</v>
      </c>
      <c r="B1171">
        <v>2</v>
      </c>
      <c r="C1171">
        <v>1</v>
      </c>
      <c r="J1171">
        <v>17</v>
      </c>
    </row>
    <row r="1172" spans="1:10">
      <c r="A1172" s="3" t="s">
        <v>1148</v>
      </c>
      <c r="B1172">
        <v>2</v>
      </c>
      <c r="C1172">
        <v>1</v>
      </c>
      <c r="J1172">
        <v>17</v>
      </c>
    </row>
    <row r="1173" spans="1:10">
      <c r="A1173" s="3" t="s">
        <v>1149</v>
      </c>
      <c r="B1173">
        <v>2</v>
      </c>
      <c r="C1173">
        <v>1</v>
      </c>
      <c r="J1173">
        <v>17</v>
      </c>
    </row>
    <row r="1174" spans="1:10">
      <c r="A1174" s="3" t="s">
        <v>1150</v>
      </c>
      <c r="B1174">
        <v>2</v>
      </c>
      <c r="C1174">
        <v>1</v>
      </c>
      <c r="J1174">
        <v>17</v>
      </c>
    </row>
    <row r="1175" spans="1:10">
      <c r="A1175" s="3" t="s">
        <v>1151</v>
      </c>
      <c r="B1175">
        <v>2</v>
      </c>
      <c r="C1175">
        <v>1</v>
      </c>
      <c r="J1175">
        <v>17</v>
      </c>
    </row>
    <row r="1176" spans="1:10">
      <c r="A1176" s="3" t="s">
        <v>1152</v>
      </c>
      <c r="B1176">
        <v>2</v>
      </c>
      <c r="C1176">
        <v>1</v>
      </c>
      <c r="J1176">
        <v>17</v>
      </c>
    </row>
    <row r="1177" spans="1:10">
      <c r="A1177" s="3" t="s">
        <v>1153</v>
      </c>
      <c r="B1177">
        <v>2</v>
      </c>
      <c r="C1177">
        <v>1</v>
      </c>
      <c r="J1177">
        <v>17</v>
      </c>
    </row>
    <row r="1178" spans="1:10">
      <c r="A1178" s="3" t="s">
        <v>1154</v>
      </c>
      <c r="B1178">
        <v>2</v>
      </c>
      <c r="C1178">
        <v>1</v>
      </c>
      <c r="J1178">
        <v>17</v>
      </c>
    </row>
    <row r="1179" spans="1:10">
      <c r="A1179" s="3" t="s">
        <v>1155</v>
      </c>
      <c r="B1179">
        <v>2</v>
      </c>
      <c r="C1179">
        <v>1</v>
      </c>
      <c r="J1179">
        <v>17</v>
      </c>
    </row>
    <row r="1180" spans="1:10">
      <c r="A1180" s="3" t="s">
        <v>1156</v>
      </c>
      <c r="B1180">
        <v>2</v>
      </c>
      <c r="C1180">
        <v>1</v>
      </c>
      <c r="J1180">
        <v>17</v>
      </c>
    </row>
    <row r="1181" spans="1:10">
      <c r="A1181" s="3" t="s">
        <v>1157</v>
      </c>
      <c r="B1181">
        <v>2</v>
      </c>
      <c r="C1181">
        <v>1</v>
      </c>
      <c r="J1181">
        <v>17</v>
      </c>
    </row>
    <row r="1182" spans="1:10">
      <c r="A1182" s="3" t="s">
        <v>1158</v>
      </c>
      <c r="B1182">
        <v>2</v>
      </c>
      <c r="C1182">
        <v>1</v>
      </c>
      <c r="J1182">
        <v>17</v>
      </c>
    </row>
    <row r="1183" spans="1:10">
      <c r="A1183" s="3" t="s">
        <v>1159</v>
      </c>
      <c r="B1183">
        <v>2</v>
      </c>
      <c r="C1183">
        <v>1</v>
      </c>
      <c r="J1183">
        <v>17</v>
      </c>
    </row>
    <row r="1184" spans="1:10">
      <c r="A1184" s="3" t="s">
        <v>1160</v>
      </c>
      <c r="B1184">
        <v>2</v>
      </c>
      <c r="C1184">
        <v>1</v>
      </c>
      <c r="J1184">
        <v>17</v>
      </c>
    </row>
    <row r="1185" spans="1:13">
      <c r="A1185" s="3" t="s">
        <v>1161</v>
      </c>
      <c r="B1185">
        <v>2</v>
      </c>
      <c r="C1185">
        <v>1</v>
      </c>
      <c r="J1185">
        <v>17</v>
      </c>
    </row>
    <row r="1186" spans="1:13">
      <c r="A1186" s="3" t="s">
        <v>1162</v>
      </c>
      <c r="B1186">
        <v>2</v>
      </c>
      <c r="C1186">
        <v>1</v>
      </c>
      <c r="J1186">
        <v>17</v>
      </c>
    </row>
    <row r="1187" spans="1:13">
      <c r="A1187" s="3" t="s">
        <v>1163</v>
      </c>
      <c r="B1187">
        <v>2</v>
      </c>
      <c r="C1187">
        <v>1</v>
      </c>
      <c r="J1187">
        <v>17</v>
      </c>
    </row>
    <row r="1188" spans="1:13">
      <c r="A1188" s="3" t="s">
        <v>1164</v>
      </c>
      <c r="B1188">
        <v>2</v>
      </c>
      <c r="C1188">
        <v>1</v>
      </c>
      <c r="J1188">
        <v>17</v>
      </c>
    </row>
    <row r="1189" spans="1:13">
      <c r="A1189" s="3" t="s">
        <v>1165</v>
      </c>
      <c r="B1189">
        <v>2</v>
      </c>
      <c r="C1189">
        <v>1</v>
      </c>
      <c r="M1189">
        <v>2</v>
      </c>
    </row>
    <row r="1190" spans="1:13">
      <c r="A1190" s="3" t="s">
        <v>1166</v>
      </c>
      <c r="B1190">
        <v>2</v>
      </c>
      <c r="C1190">
        <v>1</v>
      </c>
      <c r="M1190">
        <v>2</v>
      </c>
    </row>
    <row r="1191" spans="1:13">
      <c r="A1191" s="3" t="s">
        <v>1167</v>
      </c>
      <c r="B1191">
        <v>2</v>
      </c>
      <c r="C1191">
        <v>1</v>
      </c>
      <c r="M1191">
        <v>2</v>
      </c>
    </row>
    <row r="1192" spans="1:13">
      <c r="A1192" s="3" t="s">
        <v>1168</v>
      </c>
      <c r="B1192">
        <v>2</v>
      </c>
      <c r="C1192">
        <v>1</v>
      </c>
      <c r="M1192">
        <v>2</v>
      </c>
    </row>
    <row r="1193" spans="1:13">
      <c r="A1193" s="3" t="s">
        <v>1169</v>
      </c>
      <c r="B1193">
        <v>2</v>
      </c>
      <c r="C1193">
        <v>1</v>
      </c>
      <c r="M1193">
        <v>2</v>
      </c>
    </row>
    <row r="1194" spans="1:13">
      <c r="A1194" s="3" t="s">
        <v>1170</v>
      </c>
      <c r="B1194">
        <v>2</v>
      </c>
      <c r="C1194">
        <v>1</v>
      </c>
      <c r="M1194">
        <v>2</v>
      </c>
    </row>
    <row r="1195" spans="1:13">
      <c r="A1195" s="3" t="s">
        <v>1171</v>
      </c>
      <c r="B1195">
        <v>2</v>
      </c>
      <c r="C1195">
        <v>1</v>
      </c>
      <c r="M1195">
        <v>2</v>
      </c>
    </row>
    <row r="1196" spans="1:13">
      <c r="A1196" s="3" t="s">
        <v>1172</v>
      </c>
      <c r="B1196">
        <v>2</v>
      </c>
      <c r="C1196">
        <v>1</v>
      </c>
      <c r="M1196">
        <v>2</v>
      </c>
    </row>
    <row r="1197" spans="1:13">
      <c r="A1197" s="3" t="s">
        <v>1173</v>
      </c>
      <c r="B1197">
        <v>2</v>
      </c>
      <c r="C1197">
        <v>1</v>
      </c>
      <c r="M1197">
        <v>2</v>
      </c>
    </row>
    <row r="1198" spans="1:13">
      <c r="A1198" s="3" t="s">
        <v>1174</v>
      </c>
      <c r="B1198">
        <v>2</v>
      </c>
      <c r="C1198">
        <v>1</v>
      </c>
      <c r="M1198">
        <v>2</v>
      </c>
    </row>
    <row r="1199" spans="1:13">
      <c r="A1199" s="3" t="s">
        <v>1175</v>
      </c>
      <c r="B1199">
        <v>2</v>
      </c>
      <c r="C1199">
        <v>1</v>
      </c>
      <c r="M1199">
        <v>2</v>
      </c>
    </row>
    <row r="1200" spans="1:13">
      <c r="A1200" s="3" t="s">
        <v>1176</v>
      </c>
      <c r="B1200">
        <v>2</v>
      </c>
      <c r="C1200">
        <v>1</v>
      </c>
      <c r="M1200">
        <v>2</v>
      </c>
    </row>
    <row r="1201" spans="1:13">
      <c r="A1201" s="3" t="s">
        <v>1177</v>
      </c>
      <c r="B1201">
        <v>2</v>
      </c>
      <c r="C1201">
        <v>1</v>
      </c>
      <c r="M1201">
        <v>2</v>
      </c>
    </row>
    <row r="1202" spans="1:13">
      <c r="A1202" s="3" t="s">
        <v>1178</v>
      </c>
      <c r="B1202">
        <v>2</v>
      </c>
      <c r="C1202">
        <v>1</v>
      </c>
      <c r="M1202">
        <v>2</v>
      </c>
    </row>
    <row r="1203" spans="1:13">
      <c r="A1203" s="3" t="s">
        <v>1179</v>
      </c>
      <c r="B1203">
        <v>2</v>
      </c>
      <c r="C1203">
        <v>1</v>
      </c>
      <c r="M1203">
        <v>2</v>
      </c>
    </row>
    <row r="1204" spans="1:13">
      <c r="A1204" s="3" t="s">
        <v>1180</v>
      </c>
      <c r="B1204">
        <v>2</v>
      </c>
      <c r="C1204">
        <v>1</v>
      </c>
      <c r="M1204">
        <v>2</v>
      </c>
    </row>
    <row r="1205" spans="1:13">
      <c r="A1205" s="3" t="s">
        <v>1181</v>
      </c>
      <c r="B1205">
        <v>2</v>
      </c>
      <c r="C1205">
        <v>1</v>
      </c>
      <c r="M1205">
        <v>2</v>
      </c>
    </row>
    <row r="1206" spans="1:13">
      <c r="A1206" s="3" t="s">
        <v>1182</v>
      </c>
      <c r="B1206">
        <v>2</v>
      </c>
      <c r="C1206">
        <v>1</v>
      </c>
      <c r="M1206">
        <v>2</v>
      </c>
    </row>
    <row r="1207" spans="1:13">
      <c r="A1207" s="3" t="s">
        <v>1183</v>
      </c>
      <c r="B1207">
        <v>2</v>
      </c>
      <c r="C1207">
        <v>1</v>
      </c>
      <c r="M1207">
        <v>2</v>
      </c>
    </row>
    <row r="1208" spans="1:13">
      <c r="A1208" s="3" t="s">
        <v>1184</v>
      </c>
      <c r="B1208">
        <v>2</v>
      </c>
      <c r="C1208">
        <v>1</v>
      </c>
      <c r="M1208">
        <v>2</v>
      </c>
    </row>
    <row r="1209" spans="1:13">
      <c r="A1209" s="3" t="s">
        <v>1185</v>
      </c>
      <c r="B1209">
        <v>2</v>
      </c>
      <c r="C1209">
        <v>1</v>
      </c>
      <c r="M1209">
        <v>2</v>
      </c>
    </row>
    <row r="1210" spans="1:13">
      <c r="A1210" s="3" t="s">
        <v>1186</v>
      </c>
      <c r="B1210">
        <v>2</v>
      </c>
      <c r="C1210">
        <v>1</v>
      </c>
      <c r="M1210">
        <v>2</v>
      </c>
    </row>
    <row r="1211" spans="1:13">
      <c r="A1211" s="3" t="s">
        <v>1187</v>
      </c>
      <c r="B1211">
        <v>2</v>
      </c>
      <c r="C1211">
        <v>1</v>
      </c>
      <c r="M1211">
        <v>2</v>
      </c>
    </row>
    <row r="1212" spans="1:13">
      <c r="A1212" s="3" t="s">
        <v>1188</v>
      </c>
      <c r="B1212">
        <v>2</v>
      </c>
      <c r="C1212">
        <v>1</v>
      </c>
      <c r="M1212">
        <v>2</v>
      </c>
    </row>
    <row r="1213" spans="1:13">
      <c r="A1213" s="3" t="s">
        <v>1189</v>
      </c>
      <c r="B1213">
        <v>2</v>
      </c>
      <c r="C1213">
        <v>1</v>
      </c>
      <c r="M1213">
        <v>2</v>
      </c>
    </row>
    <row r="1214" spans="1:13">
      <c r="A1214" s="3" t="s">
        <v>1190</v>
      </c>
      <c r="B1214">
        <v>2</v>
      </c>
      <c r="C1214">
        <v>1</v>
      </c>
      <c r="M1214">
        <v>2</v>
      </c>
    </row>
    <row r="1215" spans="1:13">
      <c r="A1215" s="3" t="s">
        <v>1191</v>
      </c>
      <c r="B1215">
        <v>2</v>
      </c>
      <c r="C1215">
        <v>1</v>
      </c>
      <c r="M1215">
        <v>2</v>
      </c>
    </row>
    <row r="1216" spans="1:13">
      <c r="A1216" s="3" t="s">
        <v>1192</v>
      </c>
      <c r="B1216">
        <v>2</v>
      </c>
      <c r="C1216">
        <v>1</v>
      </c>
      <c r="M1216">
        <v>2</v>
      </c>
    </row>
    <row r="1217" spans="1:49">
      <c r="A1217" s="3" t="s">
        <v>1193</v>
      </c>
      <c r="B1217">
        <v>2</v>
      </c>
      <c r="C1217">
        <v>1</v>
      </c>
      <c r="M1217">
        <v>2</v>
      </c>
    </row>
    <row r="1218" spans="1:49">
      <c r="A1218" s="3" t="s">
        <v>1194</v>
      </c>
      <c r="B1218">
        <v>2</v>
      </c>
      <c r="C1218">
        <v>1</v>
      </c>
      <c r="M1218">
        <v>2</v>
      </c>
    </row>
    <row r="1219" spans="1:49">
      <c r="A1219" s="3" t="s">
        <v>1195</v>
      </c>
      <c r="B1219">
        <v>2</v>
      </c>
      <c r="C1219">
        <v>1</v>
      </c>
      <c r="M1219">
        <v>2</v>
      </c>
    </row>
    <row r="1220" spans="1:49">
      <c r="A1220" s="3" t="s">
        <v>1196</v>
      </c>
      <c r="B1220">
        <v>2</v>
      </c>
      <c r="C1220">
        <v>1</v>
      </c>
      <c r="M1220">
        <v>2</v>
      </c>
    </row>
    <row r="1221" spans="1:49">
      <c r="A1221" s="3" t="s">
        <v>1197</v>
      </c>
      <c r="B1221">
        <v>2</v>
      </c>
      <c r="C1221">
        <v>1</v>
      </c>
      <c r="AW1221">
        <v>12</v>
      </c>
    </row>
    <row r="1222" spans="1:49">
      <c r="A1222" s="3" t="s">
        <v>1198</v>
      </c>
      <c r="B1222">
        <v>2</v>
      </c>
      <c r="C1222">
        <v>1</v>
      </c>
      <c r="J1222">
        <v>18</v>
      </c>
    </row>
    <row r="1223" spans="1:49">
      <c r="A1223" s="3" t="s">
        <v>1199</v>
      </c>
      <c r="B1223">
        <v>2</v>
      </c>
      <c r="C1223">
        <v>1</v>
      </c>
      <c r="J1223">
        <v>18</v>
      </c>
    </row>
    <row r="1224" spans="1:49">
      <c r="A1224" s="3" t="s">
        <v>1200</v>
      </c>
      <c r="B1224">
        <v>2</v>
      </c>
      <c r="C1224">
        <v>1</v>
      </c>
      <c r="J1224">
        <v>18</v>
      </c>
    </row>
    <row r="1225" spans="1:49">
      <c r="A1225" s="3" t="s">
        <v>1201</v>
      </c>
      <c r="B1225">
        <v>2</v>
      </c>
      <c r="C1225">
        <v>1</v>
      </c>
      <c r="J1225">
        <v>18</v>
      </c>
    </row>
    <row r="1226" spans="1:49">
      <c r="A1226" s="3" t="s">
        <v>1202</v>
      </c>
      <c r="B1226">
        <v>2</v>
      </c>
      <c r="C1226">
        <v>1</v>
      </c>
      <c r="J1226">
        <v>18</v>
      </c>
    </row>
    <row r="1227" spans="1:49">
      <c r="A1227" s="3" t="s">
        <v>1203</v>
      </c>
      <c r="B1227">
        <v>2</v>
      </c>
      <c r="C1227">
        <v>1</v>
      </c>
      <c r="J1227">
        <v>18</v>
      </c>
    </row>
    <row r="1228" spans="1:49">
      <c r="A1228" s="3" t="s">
        <v>1204</v>
      </c>
      <c r="B1228">
        <v>2</v>
      </c>
      <c r="C1228">
        <v>1</v>
      </c>
      <c r="J1228">
        <v>18</v>
      </c>
    </row>
    <row r="1229" spans="1:49">
      <c r="A1229" s="3" t="s">
        <v>1205</v>
      </c>
      <c r="B1229">
        <v>2</v>
      </c>
      <c r="C1229">
        <v>1</v>
      </c>
      <c r="J1229">
        <v>18</v>
      </c>
    </row>
    <row r="1230" spans="1:49">
      <c r="A1230" s="3" t="s">
        <v>1206</v>
      </c>
      <c r="B1230">
        <v>2</v>
      </c>
      <c r="J1230">
        <v>18</v>
      </c>
    </row>
    <row r="1231" spans="1:49">
      <c r="A1231" s="3" t="s">
        <v>1207</v>
      </c>
      <c r="B1231">
        <v>2</v>
      </c>
      <c r="J1231">
        <v>18</v>
      </c>
    </row>
    <row r="1232" spans="1:49">
      <c r="A1232" s="3" t="s">
        <v>1208</v>
      </c>
      <c r="B1232">
        <v>2</v>
      </c>
      <c r="J1232">
        <v>18</v>
      </c>
    </row>
    <row r="1233" spans="1:46">
      <c r="A1233" s="3" t="s">
        <v>1209</v>
      </c>
      <c r="B1233">
        <v>2</v>
      </c>
      <c r="J1233">
        <v>18</v>
      </c>
    </row>
    <row r="1234" spans="1:46">
      <c r="A1234" s="3" t="s">
        <v>1210</v>
      </c>
      <c r="B1234">
        <v>2</v>
      </c>
      <c r="AT1234">
        <v>4</v>
      </c>
    </row>
    <row r="1235" spans="1:46">
      <c r="A1235" s="3" t="s">
        <v>1211</v>
      </c>
      <c r="B1235">
        <v>2</v>
      </c>
      <c r="AT1235">
        <v>4</v>
      </c>
    </row>
    <row r="1236" spans="1:46">
      <c r="A1236" s="3" t="s">
        <v>1212</v>
      </c>
      <c r="B1236">
        <v>2</v>
      </c>
      <c r="AT1236">
        <v>4</v>
      </c>
    </row>
    <row r="1237" spans="1:46">
      <c r="A1237" s="3" t="s">
        <v>1213</v>
      </c>
      <c r="B1237">
        <v>2</v>
      </c>
      <c r="AT1237">
        <v>4</v>
      </c>
    </row>
    <row r="1238" spans="1:46">
      <c r="A1238" s="3" t="s">
        <v>1214</v>
      </c>
      <c r="B1238">
        <v>2</v>
      </c>
      <c r="AT1238">
        <v>4</v>
      </c>
    </row>
    <row r="1239" spans="1:46">
      <c r="A1239" s="3" t="s">
        <v>1215</v>
      </c>
      <c r="B1239">
        <v>2</v>
      </c>
      <c r="AT1239">
        <v>4</v>
      </c>
    </row>
    <row r="1240" spans="1:46">
      <c r="A1240" s="3" t="s">
        <v>1216</v>
      </c>
      <c r="B1240">
        <v>2</v>
      </c>
      <c r="AT1240">
        <v>4</v>
      </c>
    </row>
    <row r="1241" spans="1:46">
      <c r="A1241" s="3" t="s">
        <v>1217</v>
      </c>
      <c r="B1241">
        <v>2</v>
      </c>
      <c r="AT1241">
        <v>4</v>
      </c>
    </row>
    <row r="1242" spans="1:46">
      <c r="A1242" s="3" t="s">
        <v>1218</v>
      </c>
      <c r="B1242">
        <v>2</v>
      </c>
      <c r="AT1242">
        <v>4</v>
      </c>
    </row>
    <row r="1243" spans="1:46">
      <c r="A1243" s="3" t="s">
        <v>1219</v>
      </c>
      <c r="B1243">
        <v>2</v>
      </c>
      <c r="AT1243">
        <v>4</v>
      </c>
    </row>
    <row r="1244" spans="1:46">
      <c r="A1244" s="3" t="s">
        <v>1220</v>
      </c>
      <c r="B1244">
        <v>2</v>
      </c>
      <c r="AT1244">
        <v>4</v>
      </c>
    </row>
    <row r="1245" spans="1:46">
      <c r="A1245" s="3" t="s">
        <v>1221</v>
      </c>
      <c r="B1245">
        <v>2</v>
      </c>
      <c r="AT1245">
        <v>4</v>
      </c>
    </row>
    <row r="1246" spans="1:46">
      <c r="A1246" s="3" t="s">
        <v>1222</v>
      </c>
      <c r="B1246">
        <v>2</v>
      </c>
      <c r="AT1246">
        <v>4</v>
      </c>
    </row>
    <row r="1247" spans="1:46">
      <c r="A1247" s="3" t="s">
        <v>1223</v>
      </c>
      <c r="B1247">
        <v>2</v>
      </c>
      <c r="AT1247">
        <v>4</v>
      </c>
    </row>
    <row r="1248" spans="1:46">
      <c r="A1248" s="3" t="s">
        <v>1224</v>
      </c>
      <c r="B1248">
        <v>2</v>
      </c>
      <c r="AT1248">
        <v>4</v>
      </c>
    </row>
    <row r="1249" spans="1:46">
      <c r="A1249" s="3" t="s">
        <v>1225</v>
      </c>
      <c r="B1249">
        <v>2</v>
      </c>
      <c r="AT1249">
        <v>4</v>
      </c>
    </row>
    <row r="1250" spans="1:46">
      <c r="A1250" s="3" t="s">
        <v>1226</v>
      </c>
      <c r="B1250">
        <v>2</v>
      </c>
      <c r="P1250">
        <v>1</v>
      </c>
    </row>
    <row r="1251" spans="1:46">
      <c r="A1251" s="3" t="s">
        <v>1227</v>
      </c>
      <c r="B1251">
        <v>2</v>
      </c>
      <c r="P1251">
        <v>1</v>
      </c>
    </row>
    <row r="1252" spans="1:46">
      <c r="A1252" s="3" t="s">
        <v>1228</v>
      </c>
      <c r="B1252">
        <v>2</v>
      </c>
      <c r="P1252">
        <v>1</v>
      </c>
    </row>
    <row r="1253" spans="1:46">
      <c r="A1253" s="3" t="s">
        <v>1229</v>
      </c>
      <c r="B1253">
        <v>2</v>
      </c>
      <c r="P1253">
        <v>1</v>
      </c>
    </row>
    <row r="1254" spans="1:46">
      <c r="A1254" s="3" t="s">
        <v>1230</v>
      </c>
      <c r="B1254">
        <v>2</v>
      </c>
      <c r="P1254">
        <v>1</v>
      </c>
    </row>
    <row r="1255" spans="1:46">
      <c r="A1255" s="3" t="s">
        <v>1231</v>
      </c>
      <c r="B1255">
        <v>2</v>
      </c>
      <c r="P1255">
        <v>1</v>
      </c>
    </row>
    <row r="1256" spans="1:46">
      <c r="A1256" s="3" t="s">
        <v>1232</v>
      </c>
      <c r="B1256">
        <v>2</v>
      </c>
      <c r="P1256">
        <v>1</v>
      </c>
    </row>
    <row r="1257" spans="1:46">
      <c r="A1257" s="3" t="s">
        <v>1233</v>
      </c>
      <c r="B1257">
        <v>2</v>
      </c>
      <c r="P1257">
        <v>1</v>
      </c>
    </row>
    <row r="1258" spans="1:46">
      <c r="A1258" s="3" t="s">
        <v>1234</v>
      </c>
      <c r="B1258">
        <v>2</v>
      </c>
      <c r="P1258">
        <v>1</v>
      </c>
    </row>
    <row r="1259" spans="1:46">
      <c r="A1259" s="3" t="s">
        <v>1235</v>
      </c>
      <c r="B1259">
        <v>2</v>
      </c>
      <c r="P1259">
        <v>1</v>
      </c>
    </row>
    <row r="1260" spans="1:46">
      <c r="A1260" s="3" t="s">
        <v>1236</v>
      </c>
      <c r="B1260">
        <v>2</v>
      </c>
      <c r="P1260">
        <v>1</v>
      </c>
    </row>
    <row r="1261" spans="1:46">
      <c r="A1261" s="3" t="s">
        <v>1237</v>
      </c>
      <c r="B1261">
        <v>2</v>
      </c>
      <c r="P1261">
        <v>1</v>
      </c>
    </row>
    <row r="1262" spans="1:46">
      <c r="A1262" s="3" t="s">
        <v>1238</v>
      </c>
      <c r="B1262">
        <v>2</v>
      </c>
      <c r="J1262">
        <v>19</v>
      </c>
    </row>
    <row r="1263" spans="1:46">
      <c r="A1263" s="3" t="s">
        <v>1239</v>
      </c>
      <c r="B1263">
        <v>2</v>
      </c>
      <c r="J1263">
        <v>19</v>
      </c>
    </row>
    <row r="1264" spans="1:46">
      <c r="A1264" s="3" t="s">
        <v>1240</v>
      </c>
      <c r="B1264">
        <v>2</v>
      </c>
      <c r="J1264">
        <v>19</v>
      </c>
    </row>
    <row r="1265" spans="1:10">
      <c r="A1265" s="3" t="s">
        <v>1241</v>
      </c>
      <c r="B1265">
        <v>2</v>
      </c>
      <c r="J1265">
        <v>19</v>
      </c>
    </row>
    <row r="1266" spans="1:10">
      <c r="A1266" s="3" t="s">
        <v>1242</v>
      </c>
      <c r="B1266">
        <v>2</v>
      </c>
      <c r="J1266">
        <v>19</v>
      </c>
    </row>
    <row r="1267" spans="1:10">
      <c r="A1267" s="3" t="s">
        <v>1243</v>
      </c>
      <c r="B1267">
        <v>2</v>
      </c>
      <c r="J1267">
        <v>19</v>
      </c>
    </row>
    <row r="1268" spans="1:10">
      <c r="A1268" s="3" t="s">
        <v>1244</v>
      </c>
      <c r="B1268">
        <v>2</v>
      </c>
      <c r="J1268">
        <v>19</v>
      </c>
    </row>
    <row r="1269" spans="1:10">
      <c r="A1269" s="3" t="s">
        <v>1245</v>
      </c>
      <c r="B1269">
        <v>2</v>
      </c>
      <c r="J1269">
        <v>19</v>
      </c>
    </row>
    <row r="1270" spans="1:10">
      <c r="A1270" s="3" t="s">
        <v>1246</v>
      </c>
      <c r="B1270">
        <v>2</v>
      </c>
      <c r="J1270">
        <v>19</v>
      </c>
    </row>
    <row r="1271" spans="1:10">
      <c r="A1271" s="3" t="s">
        <v>1247</v>
      </c>
      <c r="B1271">
        <v>2</v>
      </c>
      <c r="J1271">
        <v>19</v>
      </c>
    </row>
    <row r="1272" spans="1:10">
      <c r="A1272" s="3" t="s">
        <v>1248</v>
      </c>
      <c r="B1272">
        <v>2</v>
      </c>
      <c r="J1272">
        <v>19</v>
      </c>
    </row>
    <row r="1273" spans="1:10">
      <c r="A1273" s="3" t="s">
        <v>1249</v>
      </c>
      <c r="B1273">
        <v>2</v>
      </c>
      <c r="J1273">
        <v>19</v>
      </c>
    </row>
    <row r="1274" spans="1:10">
      <c r="A1274" s="3" t="s">
        <v>1250</v>
      </c>
      <c r="B1274">
        <v>2</v>
      </c>
      <c r="J1274">
        <v>19</v>
      </c>
    </row>
    <row r="1275" spans="1:10">
      <c r="A1275" s="3" t="s">
        <v>1251</v>
      </c>
      <c r="B1275">
        <v>2</v>
      </c>
      <c r="J1275">
        <v>19</v>
      </c>
    </row>
    <row r="1276" spans="1:10">
      <c r="A1276" s="3" t="s">
        <v>1252</v>
      </c>
      <c r="B1276">
        <v>2</v>
      </c>
      <c r="J1276">
        <v>19</v>
      </c>
    </row>
    <row r="1277" spans="1:10">
      <c r="A1277" s="3" t="s">
        <v>1253</v>
      </c>
      <c r="B1277">
        <v>2</v>
      </c>
      <c r="J1277">
        <v>19</v>
      </c>
    </row>
    <row r="1278" spans="1:10">
      <c r="A1278" s="3" t="s">
        <v>1254</v>
      </c>
      <c r="B1278">
        <v>2</v>
      </c>
      <c r="J1278">
        <v>19</v>
      </c>
    </row>
    <row r="1279" spans="1:10">
      <c r="A1279" s="3" t="s">
        <v>1255</v>
      </c>
      <c r="B1279">
        <v>2</v>
      </c>
      <c r="J1279">
        <v>19</v>
      </c>
    </row>
    <row r="1280" spans="1:10">
      <c r="A1280" s="3" t="s">
        <v>1256</v>
      </c>
      <c r="B1280">
        <v>2</v>
      </c>
      <c r="J1280">
        <v>19</v>
      </c>
    </row>
    <row r="1281" spans="1:10">
      <c r="A1281" s="3" t="s">
        <v>1257</v>
      </c>
      <c r="B1281">
        <v>2</v>
      </c>
      <c r="J1281">
        <v>19</v>
      </c>
    </row>
    <row r="1282" spans="1:10">
      <c r="A1282" s="3" t="s">
        <v>1258</v>
      </c>
      <c r="B1282">
        <v>2</v>
      </c>
      <c r="J1282">
        <v>19</v>
      </c>
    </row>
    <row r="1283" spans="1:10">
      <c r="A1283" s="3" t="s">
        <v>1259</v>
      </c>
      <c r="B1283">
        <v>2</v>
      </c>
      <c r="J1283">
        <v>19</v>
      </c>
    </row>
    <row r="1284" spans="1:10">
      <c r="A1284" s="3" t="s">
        <v>1260</v>
      </c>
      <c r="B1284">
        <v>2</v>
      </c>
      <c r="J1284">
        <v>19</v>
      </c>
    </row>
    <row r="1285" spans="1:10">
      <c r="A1285" s="3" t="s">
        <v>1261</v>
      </c>
      <c r="B1285">
        <v>2</v>
      </c>
      <c r="J1285">
        <v>19</v>
      </c>
    </row>
    <row r="1286" spans="1:10">
      <c r="A1286" s="3" t="s">
        <v>1262</v>
      </c>
      <c r="B1286">
        <v>2</v>
      </c>
      <c r="J1286">
        <v>19</v>
      </c>
    </row>
    <row r="1287" spans="1:10">
      <c r="A1287" s="3" t="s">
        <v>1263</v>
      </c>
      <c r="B1287">
        <v>2</v>
      </c>
      <c r="J1287">
        <v>19</v>
      </c>
    </row>
    <row r="1288" spans="1:10">
      <c r="A1288" s="3" t="s">
        <v>1264</v>
      </c>
      <c r="B1288">
        <v>2</v>
      </c>
      <c r="J1288">
        <v>19</v>
      </c>
    </row>
    <row r="1289" spans="1:10">
      <c r="A1289" s="3" t="s">
        <v>1265</v>
      </c>
      <c r="B1289">
        <v>2</v>
      </c>
      <c r="J1289">
        <v>19</v>
      </c>
    </row>
    <row r="1290" spans="1:10">
      <c r="A1290" s="3" t="s">
        <v>1266</v>
      </c>
      <c r="B1290">
        <v>2</v>
      </c>
      <c r="J1290">
        <v>19</v>
      </c>
    </row>
    <row r="1291" spans="1:10">
      <c r="A1291" s="3" t="s">
        <v>1267</v>
      </c>
      <c r="B1291">
        <v>2</v>
      </c>
      <c r="J1291">
        <v>19</v>
      </c>
    </row>
    <row r="1292" spans="1:10">
      <c r="A1292" s="3" t="s">
        <v>1268</v>
      </c>
      <c r="B1292">
        <v>2</v>
      </c>
      <c r="J1292">
        <v>19</v>
      </c>
    </row>
    <row r="1293" spans="1:10">
      <c r="A1293" s="3" t="s">
        <v>1269</v>
      </c>
      <c r="B1293">
        <v>2</v>
      </c>
      <c r="J1293">
        <v>19</v>
      </c>
    </row>
    <row r="1294" spans="1:10">
      <c r="A1294" s="3" t="s">
        <v>1270</v>
      </c>
      <c r="B1294">
        <v>2</v>
      </c>
      <c r="J1294">
        <v>19</v>
      </c>
    </row>
    <row r="1295" spans="1:10">
      <c r="A1295" s="3" t="s">
        <v>1271</v>
      </c>
      <c r="B1295">
        <v>2</v>
      </c>
      <c r="J1295">
        <v>19</v>
      </c>
    </row>
    <row r="1296" spans="1:10">
      <c r="A1296" s="3" t="s">
        <v>1272</v>
      </c>
      <c r="B1296">
        <v>2</v>
      </c>
      <c r="J1296">
        <v>19</v>
      </c>
    </row>
    <row r="1297" spans="1:10">
      <c r="A1297" s="3" t="s">
        <v>1273</v>
      </c>
      <c r="B1297">
        <v>2</v>
      </c>
      <c r="J1297">
        <v>19</v>
      </c>
    </row>
    <row r="1298" spans="1:10">
      <c r="A1298" s="3" t="s">
        <v>1274</v>
      </c>
      <c r="B1298">
        <v>2</v>
      </c>
      <c r="J1298">
        <v>19</v>
      </c>
    </row>
    <row r="1299" spans="1:10">
      <c r="A1299" s="3" t="s">
        <v>1275</v>
      </c>
      <c r="B1299">
        <v>2</v>
      </c>
      <c r="J1299">
        <v>19</v>
      </c>
    </row>
    <row r="1300" spans="1:10">
      <c r="A1300" s="3" t="s">
        <v>1276</v>
      </c>
      <c r="B1300">
        <v>2</v>
      </c>
      <c r="J1300">
        <v>19</v>
      </c>
    </row>
    <row r="1301" spans="1:10">
      <c r="A1301" s="3" t="s">
        <v>1277</v>
      </c>
      <c r="B1301">
        <v>2</v>
      </c>
      <c r="J1301">
        <v>19</v>
      </c>
    </row>
    <row r="1302" spans="1:10">
      <c r="A1302" s="3" t="s">
        <v>1278</v>
      </c>
      <c r="B1302">
        <v>2</v>
      </c>
      <c r="J1302">
        <v>19</v>
      </c>
    </row>
    <row r="1303" spans="1:10">
      <c r="A1303" s="3" t="s">
        <v>1279</v>
      </c>
      <c r="B1303">
        <v>2</v>
      </c>
      <c r="J1303">
        <v>19</v>
      </c>
    </row>
    <row r="1304" spans="1:10">
      <c r="A1304" s="3" t="s">
        <v>1280</v>
      </c>
      <c r="B1304">
        <v>2</v>
      </c>
      <c r="J1304">
        <v>19</v>
      </c>
    </row>
    <row r="1305" spans="1:10">
      <c r="A1305" s="3" t="s">
        <v>1281</v>
      </c>
      <c r="B1305">
        <v>2</v>
      </c>
      <c r="J1305">
        <v>19</v>
      </c>
    </row>
    <row r="1306" spans="1:10">
      <c r="A1306" s="3" t="s">
        <v>1282</v>
      </c>
      <c r="B1306">
        <v>2</v>
      </c>
      <c r="J1306">
        <v>19</v>
      </c>
    </row>
    <row r="1307" spans="1:10">
      <c r="A1307" s="3" t="s">
        <v>1283</v>
      </c>
      <c r="B1307">
        <v>2</v>
      </c>
      <c r="J1307">
        <v>19</v>
      </c>
    </row>
    <row r="1308" spans="1:10">
      <c r="A1308" s="3" t="s">
        <v>1284</v>
      </c>
      <c r="B1308">
        <v>2</v>
      </c>
      <c r="J1308">
        <v>19</v>
      </c>
    </row>
    <row r="1309" spans="1:10">
      <c r="A1309" s="3" t="s">
        <v>1285</v>
      </c>
      <c r="B1309">
        <v>2</v>
      </c>
      <c r="J1309">
        <v>19</v>
      </c>
    </row>
    <row r="1310" spans="1:10">
      <c r="A1310" s="3" t="s">
        <v>1286</v>
      </c>
      <c r="B1310">
        <v>2</v>
      </c>
      <c r="J1310">
        <v>19</v>
      </c>
    </row>
    <row r="1311" spans="1:10">
      <c r="A1311" s="3" t="s">
        <v>1287</v>
      </c>
      <c r="B1311">
        <v>2</v>
      </c>
      <c r="J1311">
        <v>19</v>
      </c>
    </row>
    <row r="1312" spans="1:10">
      <c r="A1312" s="3" t="s">
        <v>1288</v>
      </c>
      <c r="B1312">
        <v>2</v>
      </c>
      <c r="J1312">
        <v>19</v>
      </c>
    </row>
    <row r="1313" spans="1:49">
      <c r="A1313" s="3" t="s">
        <v>1289</v>
      </c>
      <c r="B1313">
        <v>2</v>
      </c>
      <c r="J1313">
        <v>19</v>
      </c>
    </row>
    <row r="1314" spans="1:49">
      <c r="A1314" s="3" t="s">
        <v>1290</v>
      </c>
      <c r="B1314">
        <v>2</v>
      </c>
      <c r="E1314">
        <v>2</v>
      </c>
      <c r="J1314">
        <v>19</v>
      </c>
    </row>
    <row r="1315" spans="1:49">
      <c r="A1315" s="3" t="s">
        <v>1291</v>
      </c>
      <c r="B1315">
        <v>2</v>
      </c>
      <c r="E1315">
        <v>2</v>
      </c>
      <c r="J1315">
        <v>19</v>
      </c>
    </row>
    <row r="1316" spans="1:49">
      <c r="A1316" s="3" t="s">
        <v>1292</v>
      </c>
      <c r="B1316">
        <v>2</v>
      </c>
      <c r="E1316">
        <v>2</v>
      </c>
      <c r="J1316">
        <v>19</v>
      </c>
    </row>
    <row r="1317" spans="1:49">
      <c r="A1317" s="3" t="s">
        <v>1293</v>
      </c>
      <c r="B1317">
        <v>2</v>
      </c>
      <c r="E1317">
        <v>2</v>
      </c>
      <c r="J1317">
        <v>19</v>
      </c>
    </row>
    <row r="1318" spans="1:49">
      <c r="A1318" s="3" t="s">
        <v>1294</v>
      </c>
      <c r="B1318">
        <v>2</v>
      </c>
      <c r="E1318">
        <v>2</v>
      </c>
      <c r="J1318">
        <v>19</v>
      </c>
    </row>
    <row r="1319" spans="1:49">
      <c r="A1319" s="3" t="s">
        <v>1295</v>
      </c>
      <c r="B1319">
        <v>2</v>
      </c>
      <c r="E1319">
        <v>2</v>
      </c>
      <c r="J1319">
        <v>19</v>
      </c>
    </row>
    <row r="1320" spans="1:49">
      <c r="A1320" s="3" t="s">
        <v>1296</v>
      </c>
      <c r="B1320">
        <v>2</v>
      </c>
      <c r="E1320">
        <v>2</v>
      </c>
      <c r="AW1320">
        <v>13</v>
      </c>
    </row>
    <row r="1321" spans="1:49">
      <c r="A1321" s="3" t="s">
        <v>1297</v>
      </c>
      <c r="B1321">
        <v>2</v>
      </c>
      <c r="E1321">
        <v>2</v>
      </c>
      <c r="AW1321">
        <v>13</v>
      </c>
    </row>
    <row r="1322" spans="1:49">
      <c r="A1322" s="3" t="s">
        <v>1298</v>
      </c>
      <c r="B1322">
        <v>2</v>
      </c>
      <c r="E1322">
        <v>2</v>
      </c>
      <c r="AW1322">
        <v>13</v>
      </c>
    </row>
    <row r="1323" spans="1:49">
      <c r="A1323" s="3" t="s">
        <v>1299</v>
      </c>
      <c r="B1323">
        <v>2</v>
      </c>
      <c r="E1323">
        <v>2</v>
      </c>
      <c r="AW1323">
        <v>13</v>
      </c>
    </row>
    <row r="1324" spans="1:49">
      <c r="A1324" s="3" t="s">
        <v>1300</v>
      </c>
      <c r="B1324">
        <v>2</v>
      </c>
      <c r="E1324">
        <v>2</v>
      </c>
      <c r="J1324">
        <v>20</v>
      </c>
    </row>
    <row r="1325" spans="1:49">
      <c r="A1325" s="3" t="s">
        <v>1301</v>
      </c>
      <c r="B1325">
        <v>2</v>
      </c>
      <c r="E1325">
        <v>2</v>
      </c>
      <c r="J1325">
        <v>20</v>
      </c>
    </row>
    <row r="1326" spans="1:49">
      <c r="A1326" s="3" t="s">
        <v>1302</v>
      </c>
      <c r="B1326">
        <v>2</v>
      </c>
      <c r="E1326">
        <v>2</v>
      </c>
      <c r="J1326">
        <v>20</v>
      </c>
    </row>
    <row r="1327" spans="1:49">
      <c r="A1327" s="3" t="s">
        <v>1303</v>
      </c>
      <c r="B1327">
        <v>2</v>
      </c>
      <c r="E1327">
        <v>2</v>
      </c>
      <c r="J1327">
        <v>20</v>
      </c>
    </row>
    <row r="1328" spans="1:49">
      <c r="A1328" s="3" t="s">
        <v>1304</v>
      </c>
      <c r="B1328">
        <v>2</v>
      </c>
      <c r="E1328">
        <v>2</v>
      </c>
      <c r="J1328">
        <v>20</v>
      </c>
    </row>
    <row r="1329" spans="1:13">
      <c r="A1329" s="3" t="s">
        <v>1305</v>
      </c>
      <c r="B1329">
        <v>2</v>
      </c>
      <c r="E1329">
        <v>2</v>
      </c>
      <c r="J1329">
        <v>20</v>
      </c>
    </row>
    <row r="1330" spans="1:13">
      <c r="A1330" s="3" t="s">
        <v>1306</v>
      </c>
      <c r="B1330">
        <v>2</v>
      </c>
      <c r="E1330">
        <v>2</v>
      </c>
      <c r="M1330">
        <v>3</v>
      </c>
    </row>
    <row r="1331" spans="1:13">
      <c r="A1331" s="3" t="s">
        <v>1307</v>
      </c>
      <c r="B1331">
        <v>2</v>
      </c>
      <c r="E1331">
        <v>2</v>
      </c>
      <c r="M1331">
        <v>3</v>
      </c>
    </row>
    <row r="1332" spans="1:13">
      <c r="A1332" s="3" t="s">
        <v>1308</v>
      </c>
      <c r="B1332">
        <v>2</v>
      </c>
      <c r="E1332">
        <v>2</v>
      </c>
      <c r="M1332">
        <v>3</v>
      </c>
    </row>
    <row r="1333" spans="1:13">
      <c r="A1333" s="3" t="s">
        <v>1309</v>
      </c>
      <c r="B1333">
        <v>2</v>
      </c>
      <c r="E1333">
        <v>2</v>
      </c>
      <c r="M1333">
        <v>3</v>
      </c>
    </row>
    <row r="1334" spans="1:13">
      <c r="A1334" s="3" t="s">
        <v>1310</v>
      </c>
      <c r="B1334">
        <v>2</v>
      </c>
      <c r="E1334">
        <v>2</v>
      </c>
      <c r="M1334">
        <v>3</v>
      </c>
    </row>
    <row r="1335" spans="1:13">
      <c r="A1335" s="3" t="s">
        <v>1311</v>
      </c>
      <c r="B1335">
        <v>2</v>
      </c>
      <c r="E1335">
        <v>2</v>
      </c>
      <c r="M1335">
        <v>3</v>
      </c>
    </row>
    <row r="1336" spans="1:13">
      <c r="A1336" s="3" t="s">
        <v>1312</v>
      </c>
      <c r="B1336">
        <v>2</v>
      </c>
      <c r="E1336">
        <v>2</v>
      </c>
      <c r="M1336">
        <v>3</v>
      </c>
    </row>
    <row r="1337" spans="1:13">
      <c r="A1337" s="3" t="s">
        <v>1313</v>
      </c>
      <c r="B1337">
        <v>2</v>
      </c>
      <c r="E1337">
        <v>2</v>
      </c>
      <c r="M1337">
        <v>3</v>
      </c>
    </row>
    <row r="1338" spans="1:13">
      <c r="A1338" s="3" t="s">
        <v>1314</v>
      </c>
      <c r="B1338">
        <v>2</v>
      </c>
      <c r="E1338">
        <v>2</v>
      </c>
      <c r="M1338">
        <v>3</v>
      </c>
    </row>
    <row r="1339" spans="1:13">
      <c r="A1339" s="3" t="s">
        <v>1315</v>
      </c>
      <c r="B1339">
        <v>2</v>
      </c>
      <c r="E1339">
        <v>2</v>
      </c>
      <c r="M1339">
        <v>3</v>
      </c>
    </row>
    <row r="1340" spans="1:13">
      <c r="A1340" s="3" t="s">
        <v>1316</v>
      </c>
      <c r="B1340">
        <v>2</v>
      </c>
      <c r="E1340">
        <v>2</v>
      </c>
      <c r="M1340">
        <v>3</v>
      </c>
    </row>
    <row r="1341" spans="1:13">
      <c r="A1341" s="3" t="s">
        <v>1317</v>
      </c>
      <c r="B1341">
        <v>2</v>
      </c>
      <c r="E1341">
        <v>2</v>
      </c>
      <c r="M1341">
        <v>3</v>
      </c>
    </row>
    <row r="1342" spans="1:13">
      <c r="A1342" s="3" t="s">
        <v>1318</v>
      </c>
      <c r="B1342">
        <v>2</v>
      </c>
      <c r="E1342">
        <v>2</v>
      </c>
      <c r="M1342">
        <v>3</v>
      </c>
    </row>
    <row r="1343" spans="1:13">
      <c r="A1343" s="3" t="s">
        <v>1319</v>
      </c>
      <c r="B1343">
        <v>2</v>
      </c>
      <c r="E1343">
        <v>2</v>
      </c>
      <c r="M1343">
        <v>3</v>
      </c>
    </row>
    <row r="1344" spans="1:13">
      <c r="A1344" s="3" t="s">
        <v>1320</v>
      </c>
      <c r="B1344">
        <v>2</v>
      </c>
      <c r="E1344">
        <v>2</v>
      </c>
      <c r="M1344">
        <v>3</v>
      </c>
    </row>
    <row r="1345" spans="1:49">
      <c r="A1345" s="3" t="s">
        <v>1321</v>
      </c>
      <c r="B1345">
        <v>2</v>
      </c>
      <c r="E1345">
        <v>2</v>
      </c>
      <c r="M1345">
        <v>3</v>
      </c>
    </row>
    <row r="1346" spans="1:49">
      <c r="A1346" s="3" t="s">
        <v>1322</v>
      </c>
      <c r="B1346">
        <v>2</v>
      </c>
      <c r="E1346">
        <v>2</v>
      </c>
      <c r="M1346">
        <v>3</v>
      </c>
    </row>
    <row r="1347" spans="1:49">
      <c r="A1347" s="3" t="s">
        <v>1323</v>
      </c>
      <c r="B1347">
        <v>2</v>
      </c>
      <c r="E1347">
        <v>2</v>
      </c>
      <c r="M1347">
        <v>3</v>
      </c>
    </row>
    <row r="1348" spans="1:49">
      <c r="A1348" s="3" t="s">
        <v>1324</v>
      </c>
      <c r="B1348">
        <v>2</v>
      </c>
      <c r="E1348">
        <v>2</v>
      </c>
      <c r="M1348">
        <v>3</v>
      </c>
    </row>
    <row r="1349" spans="1:49">
      <c r="A1349" s="3" t="s">
        <v>1325</v>
      </c>
      <c r="B1349">
        <v>2</v>
      </c>
      <c r="E1349">
        <v>2</v>
      </c>
      <c r="M1349">
        <v>3</v>
      </c>
    </row>
    <row r="1350" spans="1:49">
      <c r="A1350" s="3" t="s">
        <v>1326</v>
      </c>
      <c r="B1350">
        <v>2</v>
      </c>
      <c r="E1350">
        <v>2</v>
      </c>
      <c r="AW1350">
        <v>14</v>
      </c>
    </row>
    <row r="1351" spans="1:49">
      <c r="A1351" s="3" t="s">
        <v>1327</v>
      </c>
      <c r="B1351">
        <v>2</v>
      </c>
      <c r="E1351">
        <v>2</v>
      </c>
      <c r="AW1351">
        <v>14</v>
      </c>
    </row>
    <row r="1352" spans="1:49">
      <c r="A1352" s="3" t="s">
        <v>1328</v>
      </c>
      <c r="B1352">
        <v>2</v>
      </c>
      <c r="E1352">
        <v>2</v>
      </c>
      <c r="AW1352">
        <v>14</v>
      </c>
    </row>
    <row r="1353" spans="1:49">
      <c r="A1353" s="3" t="s">
        <v>1329</v>
      </c>
      <c r="B1353">
        <v>2</v>
      </c>
      <c r="E1353">
        <v>2</v>
      </c>
      <c r="AW1353">
        <v>14</v>
      </c>
    </row>
    <row r="1354" spans="1:49">
      <c r="A1354" s="3" t="s">
        <v>1330</v>
      </c>
      <c r="B1354">
        <v>2</v>
      </c>
      <c r="E1354">
        <v>2</v>
      </c>
      <c r="AW1354">
        <v>14</v>
      </c>
    </row>
    <row r="1355" spans="1:49">
      <c r="A1355" s="3" t="s">
        <v>1331</v>
      </c>
      <c r="B1355">
        <v>2</v>
      </c>
      <c r="E1355">
        <v>2</v>
      </c>
      <c r="AW1355">
        <v>14</v>
      </c>
    </row>
    <row r="1356" spans="1:49">
      <c r="A1356" s="3" t="s">
        <v>1332</v>
      </c>
      <c r="B1356">
        <v>2</v>
      </c>
      <c r="E1356">
        <v>2</v>
      </c>
      <c r="AW1356">
        <v>14</v>
      </c>
    </row>
    <row r="1357" spans="1:49">
      <c r="A1357" s="3" t="s">
        <v>1333</v>
      </c>
      <c r="B1357">
        <v>2</v>
      </c>
      <c r="E1357">
        <v>2</v>
      </c>
      <c r="AW1357">
        <v>14</v>
      </c>
    </row>
    <row r="1358" spans="1:49">
      <c r="A1358" s="3" t="s">
        <v>1334</v>
      </c>
      <c r="B1358">
        <v>2</v>
      </c>
      <c r="E1358">
        <v>2</v>
      </c>
      <c r="AW1358">
        <v>14</v>
      </c>
    </row>
    <row r="1359" spans="1:49">
      <c r="A1359" s="3" t="s">
        <v>1335</v>
      </c>
      <c r="B1359">
        <v>2</v>
      </c>
      <c r="E1359">
        <v>2</v>
      </c>
      <c r="J1359">
        <v>21</v>
      </c>
    </row>
    <row r="1360" spans="1:49">
      <c r="A1360" s="3" t="s">
        <v>1336</v>
      </c>
      <c r="B1360">
        <v>2</v>
      </c>
      <c r="E1360">
        <v>2</v>
      </c>
      <c r="J1360">
        <v>21</v>
      </c>
    </row>
    <row r="1361" spans="1:10">
      <c r="A1361" s="3" t="s">
        <v>1337</v>
      </c>
      <c r="B1361">
        <v>2</v>
      </c>
      <c r="E1361">
        <v>2</v>
      </c>
      <c r="J1361">
        <v>21</v>
      </c>
    </row>
    <row r="1362" spans="1:10">
      <c r="A1362" s="3" t="s">
        <v>1338</v>
      </c>
      <c r="B1362">
        <v>2</v>
      </c>
      <c r="E1362">
        <v>2</v>
      </c>
      <c r="J1362">
        <v>21</v>
      </c>
    </row>
    <row r="1363" spans="1:10">
      <c r="A1363" s="3" t="s">
        <v>1339</v>
      </c>
      <c r="B1363">
        <v>2</v>
      </c>
      <c r="E1363">
        <v>2</v>
      </c>
      <c r="J1363">
        <v>21</v>
      </c>
    </row>
    <row r="1364" spans="1:10">
      <c r="A1364" s="3" t="s">
        <v>1340</v>
      </c>
      <c r="B1364">
        <v>2</v>
      </c>
      <c r="E1364">
        <v>2</v>
      </c>
      <c r="J1364">
        <v>21</v>
      </c>
    </row>
    <row r="1365" spans="1:10">
      <c r="A1365" s="3" t="s">
        <v>1341</v>
      </c>
      <c r="B1365">
        <v>2</v>
      </c>
      <c r="E1365">
        <v>2</v>
      </c>
      <c r="J1365">
        <v>21</v>
      </c>
    </row>
    <row r="1366" spans="1:10">
      <c r="A1366" s="3" t="s">
        <v>1342</v>
      </c>
      <c r="B1366">
        <v>2</v>
      </c>
      <c r="E1366">
        <v>2</v>
      </c>
      <c r="J1366">
        <v>21</v>
      </c>
    </row>
    <row r="1367" spans="1:10">
      <c r="A1367" s="3" t="s">
        <v>1343</v>
      </c>
      <c r="B1367">
        <v>2</v>
      </c>
      <c r="E1367">
        <v>2</v>
      </c>
      <c r="J1367">
        <v>21</v>
      </c>
    </row>
    <row r="1368" spans="1:10">
      <c r="A1368" s="3" t="s">
        <v>1344</v>
      </c>
      <c r="E1368">
        <v>2</v>
      </c>
      <c r="J1368">
        <v>21</v>
      </c>
    </row>
    <row r="1369" spans="1:10">
      <c r="A1369" s="3" t="s">
        <v>1345</v>
      </c>
      <c r="E1369">
        <v>2</v>
      </c>
      <c r="J1369">
        <v>21</v>
      </c>
    </row>
    <row r="1370" spans="1:10">
      <c r="A1370" s="3" t="s">
        <v>1346</v>
      </c>
      <c r="E1370">
        <v>2</v>
      </c>
      <c r="J1370">
        <v>21</v>
      </c>
    </row>
    <row r="1371" spans="1:10">
      <c r="A1371" s="3" t="s">
        <v>1347</v>
      </c>
      <c r="E1371">
        <v>2</v>
      </c>
      <c r="J1371">
        <v>21</v>
      </c>
    </row>
    <row r="1372" spans="1:10">
      <c r="A1372" s="3" t="s">
        <v>1348</v>
      </c>
      <c r="E1372">
        <v>2</v>
      </c>
      <c r="J1372">
        <v>21</v>
      </c>
    </row>
    <row r="1373" spans="1:10">
      <c r="A1373" s="3" t="s">
        <v>1349</v>
      </c>
      <c r="E1373">
        <v>2</v>
      </c>
      <c r="J1373">
        <v>21</v>
      </c>
    </row>
    <row r="1374" spans="1:10">
      <c r="A1374" s="3" t="s">
        <v>1350</v>
      </c>
      <c r="E1374">
        <v>2</v>
      </c>
      <c r="J1374">
        <v>21</v>
      </c>
    </row>
    <row r="1375" spans="1:10">
      <c r="A1375" s="3" t="s">
        <v>1351</v>
      </c>
      <c r="E1375">
        <v>2</v>
      </c>
      <c r="J1375">
        <v>21</v>
      </c>
    </row>
    <row r="1376" spans="1:10">
      <c r="A1376" s="3" t="s">
        <v>1352</v>
      </c>
      <c r="E1376">
        <v>2</v>
      </c>
      <c r="J1376">
        <v>21</v>
      </c>
    </row>
    <row r="1377" spans="1:10">
      <c r="A1377" s="3" t="s">
        <v>1353</v>
      </c>
      <c r="E1377">
        <v>2</v>
      </c>
      <c r="J1377">
        <v>21</v>
      </c>
    </row>
    <row r="1378" spans="1:10">
      <c r="A1378" s="3" t="s">
        <v>1354</v>
      </c>
      <c r="E1378">
        <v>2</v>
      </c>
      <c r="J1378">
        <v>21</v>
      </c>
    </row>
    <row r="1379" spans="1:10">
      <c r="A1379" s="3" t="s">
        <v>1355</v>
      </c>
      <c r="E1379">
        <v>2</v>
      </c>
      <c r="J1379">
        <v>21</v>
      </c>
    </row>
    <row r="1380" spans="1:10">
      <c r="A1380" s="3" t="s">
        <v>1356</v>
      </c>
      <c r="E1380">
        <v>2</v>
      </c>
      <c r="J1380">
        <v>21</v>
      </c>
    </row>
    <row r="1381" spans="1:10">
      <c r="A1381" s="3" t="s">
        <v>1357</v>
      </c>
      <c r="E1381">
        <v>2</v>
      </c>
      <c r="J1381">
        <v>21</v>
      </c>
    </row>
    <row r="1382" spans="1:10">
      <c r="A1382" s="3" t="s">
        <v>1358</v>
      </c>
      <c r="E1382">
        <v>2</v>
      </c>
      <c r="J1382">
        <v>21</v>
      </c>
    </row>
    <row r="1383" spans="1:10">
      <c r="A1383" s="3" t="s">
        <v>1359</v>
      </c>
      <c r="E1383">
        <v>2</v>
      </c>
      <c r="J1383">
        <v>21</v>
      </c>
    </row>
    <row r="1384" spans="1:10">
      <c r="A1384" s="3" t="s">
        <v>1360</v>
      </c>
      <c r="E1384">
        <v>2</v>
      </c>
      <c r="J1384">
        <v>21</v>
      </c>
    </row>
    <row r="1385" spans="1:10">
      <c r="A1385" s="3" t="s">
        <v>1361</v>
      </c>
      <c r="E1385">
        <v>2</v>
      </c>
      <c r="J1385">
        <v>21</v>
      </c>
    </row>
    <row r="1386" spans="1:10">
      <c r="A1386" s="3" t="s">
        <v>1362</v>
      </c>
      <c r="E1386">
        <v>2</v>
      </c>
      <c r="J1386">
        <v>21</v>
      </c>
    </row>
    <row r="1387" spans="1:10">
      <c r="A1387" s="3" t="s">
        <v>1363</v>
      </c>
      <c r="E1387">
        <v>2</v>
      </c>
      <c r="J1387">
        <v>21</v>
      </c>
    </row>
    <row r="1388" spans="1:10">
      <c r="A1388" s="3" t="s">
        <v>1364</v>
      </c>
      <c r="E1388">
        <v>2</v>
      </c>
      <c r="J1388">
        <v>21</v>
      </c>
    </row>
    <row r="1389" spans="1:10">
      <c r="A1389" s="3" t="s">
        <v>1365</v>
      </c>
      <c r="E1389">
        <v>2</v>
      </c>
      <c r="J1389">
        <v>21</v>
      </c>
    </row>
    <row r="1390" spans="1:10">
      <c r="A1390" s="3" t="s">
        <v>1366</v>
      </c>
      <c r="E1390">
        <v>2</v>
      </c>
      <c r="J1390">
        <v>21</v>
      </c>
    </row>
    <row r="1391" spans="1:10">
      <c r="A1391" s="3" t="s">
        <v>1367</v>
      </c>
      <c r="E1391">
        <v>2</v>
      </c>
      <c r="J1391">
        <v>21</v>
      </c>
    </row>
    <row r="1392" spans="1:10">
      <c r="A1392" s="3" t="s">
        <v>1368</v>
      </c>
      <c r="E1392">
        <v>2</v>
      </c>
      <c r="J1392">
        <v>21</v>
      </c>
    </row>
    <row r="1393" spans="1:10">
      <c r="A1393" s="3" t="s">
        <v>1369</v>
      </c>
      <c r="E1393">
        <v>2</v>
      </c>
      <c r="J1393">
        <v>21</v>
      </c>
    </row>
    <row r="1394" spans="1:10">
      <c r="A1394" s="3" t="s">
        <v>1370</v>
      </c>
      <c r="E1394">
        <v>2</v>
      </c>
      <c r="J1394">
        <v>21</v>
      </c>
    </row>
    <row r="1395" spans="1:10">
      <c r="A1395" s="3" t="s">
        <v>1371</v>
      </c>
      <c r="E1395">
        <v>2</v>
      </c>
      <c r="J1395">
        <v>21</v>
      </c>
    </row>
    <row r="1396" spans="1:10">
      <c r="A1396" s="3" t="s">
        <v>1372</v>
      </c>
      <c r="E1396">
        <v>2</v>
      </c>
      <c r="J1396">
        <v>21</v>
      </c>
    </row>
    <row r="1397" spans="1:10">
      <c r="A1397" s="3" t="s">
        <v>1373</v>
      </c>
      <c r="E1397">
        <v>2</v>
      </c>
      <c r="J1397">
        <v>21</v>
      </c>
    </row>
    <row r="1398" spans="1:10">
      <c r="A1398" s="3" t="s">
        <v>1374</v>
      </c>
      <c r="E1398">
        <v>2</v>
      </c>
      <c r="J1398">
        <v>21</v>
      </c>
    </row>
    <row r="1399" spans="1:10">
      <c r="A1399" s="3" t="s">
        <v>1375</v>
      </c>
      <c r="E1399">
        <v>2</v>
      </c>
      <c r="J1399">
        <v>21</v>
      </c>
    </row>
    <row r="1400" spans="1:10">
      <c r="A1400" s="3" t="s">
        <v>1376</v>
      </c>
      <c r="E1400">
        <v>2</v>
      </c>
      <c r="J1400">
        <v>21</v>
      </c>
    </row>
    <row r="1401" spans="1:10">
      <c r="A1401" s="3" t="s">
        <v>1377</v>
      </c>
      <c r="E1401">
        <v>2</v>
      </c>
      <c r="J1401">
        <v>21</v>
      </c>
    </row>
    <row r="1402" spans="1:10">
      <c r="A1402" s="3" t="s">
        <v>1378</v>
      </c>
      <c r="E1402">
        <v>2</v>
      </c>
      <c r="J1402">
        <v>21</v>
      </c>
    </row>
    <row r="1403" spans="1:10">
      <c r="A1403" s="3" t="s">
        <v>1379</v>
      </c>
      <c r="E1403">
        <v>2</v>
      </c>
      <c r="J1403">
        <v>21</v>
      </c>
    </row>
    <row r="1404" spans="1:10">
      <c r="A1404" s="3" t="s">
        <v>1380</v>
      </c>
      <c r="E1404">
        <v>2</v>
      </c>
      <c r="J1404">
        <v>21</v>
      </c>
    </row>
    <row r="1405" spans="1:10">
      <c r="A1405" s="3" t="s">
        <v>1381</v>
      </c>
      <c r="E1405">
        <v>2</v>
      </c>
      <c r="J1405">
        <v>21</v>
      </c>
    </row>
    <row r="1406" spans="1:10">
      <c r="A1406" s="3" t="s">
        <v>1382</v>
      </c>
      <c r="E1406">
        <v>2</v>
      </c>
      <c r="J1406">
        <v>21</v>
      </c>
    </row>
    <row r="1407" spans="1:10">
      <c r="A1407" s="3" t="s">
        <v>1383</v>
      </c>
      <c r="E1407">
        <v>2</v>
      </c>
      <c r="J1407">
        <v>21</v>
      </c>
    </row>
    <row r="1408" spans="1:10">
      <c r="A1408" s="3" t="s">
        <v>1384</v>
      </c>
      <c r="E1408">
        <v>2</v>
      </c>
      <c r="J1408">
        <v>21</v>
      </c>
    </row>
    <row r="1409" spans="1:49">
      <c r="A1409" s="3" t="s">
        <v>1385</v>
      </c>
      <c r="E1409">
        <v>2</v>
      </c>
      <c r="J1409">
        <v>21</v>
      </c>
    </row>
    <row r="1410" spans="1:49">
      <c r="A1410" s="3" t="s">
        <v>1386</v>
      </c>
      <c r="E1410">
        <v>2</v>
      </c>
      <c r="J1410">
        <v>21</v>
      </c>
    </row>
    <row r="1411" spans="1:49">
      <c r="A1411" s="3" t="s">
        <v>1387</v>
      </c>
      <c r="E1411">
        <v>2</v>
      </c>
      <c r="J1411">
        <v>21</v>
      </c>
    </row>
    <row r="1412" spans="1:49">
      <c r="A1412" s="3" t="s">
        <v>1388</v>
      </c>
      <c r="E1412">
        <v>2</v>
      </c>
      <c r="J1412">
        <v>21</v>
      </c>
    </row>
    <row r="1413" spans="1:49">
      <c r="A1413" s="3" t="s">
        <v>1389</v>
      </c>
      <c r="E1413">
        <v>2</v>
      </c>
      <c r="J1413">
        <v>21</v>
      </c>
    </row>
    <row r="1414" spans="1:49">
      <c r="A1414" s="3" t="s">
        <v>1390</v>
      </c>
      <c r="E1414">
        <v>2</v>
      </c>
      <c r="J1414">
        <v>21</v>
      </c>
    </row>
    <row r="1415" spans="1:49">
      <c r="A1415" s="3" t="s">
        <v>1391</v>
      </c>
      <c r="E1415">
        <v>2</v>
      </c>
      <c r="J1415">
        <v>21</v>
      </c>
    </row>
    <row r="1416" spans="1:49">
      <c r="A1416" s="3" t="s">
        <v>1392</v>
      </c>
      <c r="E1416">
        <v>2</v>
      </c>
      <c r="J1416">
        <v>21</v>
      </c>
    </row>
    <row r="1417" spans="1:49">
      <c r="A1417" s="3" t="s">
        <v>1393</v>
      </c>
      <c r="E1417">
        <v>2</v>
      </c>
      <c r="AW1417">
        <v>15</v>
      </c>
    </row>
    <row r="1418" spans="1:49">
      <c r="A1418" s="3" t="s">
        <v>1394</v>
      </c>
      <c r="E1418">
        <v>2</v>
      </c>
      <c r="AW1418">
        <v>15</v>
      </c>
    </row>
    <row r="1419" spans="1:49">
      <c r="A1419" s="3" t="s">
        <v>1395</v>
      </c>
      <c r="E1419">
        <v>2</v>
      </c>
      <c r="AW1419">
        <v>15</v>
      </c>
    </row>
    <row r="1420" spans="1:49">
      <c r="A1420" s="3" t="s">
        <v>1396</v>
      </c>
      <c r="E1420">
        <v>2</v>
      </c>
      <c r="AW1420">
        <v>15</v>
      </c>
    </row>
    <row r="1421" spans="1:49">
      <c r="A1421" s="3" t="s">
        <v>1397</v>
      </c>
      <c r="E1421">
        <v>2</v>
      </c>
      <c r="AW1421">
        <v>15</v>
      </c>
    </row>
    <row r="1422" spans="1:49">
      <c r="A1422" s="3" t="s">
        <v>1398</v>
      </c>
      <c r="E1422">
        <v>2</v>
      </c>
      <c r="J1422">
        <v>22</v>
      </c>
    </row>
    <row r="1423" spans="1:49">
      <c r="A1423" s="3" t="s">
        <v>1399</v>
      </c>
      <c r="E1423">
        <v>2</v>
      </c>
      <c r="J1423">
        <v>22</v>
      </c>
    </row>
    <row r="1424" spans="1:49">
      <c r="A1424" s="3" t="s">
        <v>1400</v>
      </c>
      <c r="E1424">
        <v>2</v>
      </c>
      <c r="J1424">
        <v>22</v>
      </c>
    </row>
    <row r="1425" spans="1:11">
      <c r="A1425" s="3" t="s">
        <v>1401</v>
      </c>
      <c r="E1425">
        <v>2</v>
      </c>
      <c r="J1425">
        <v>22</v>
      </c>
    </row>
    <row r="1426" spans="1:11">
      <c r="A1426" s="3" t="s">
        <v>1402</v>
      </c>
      <c r="E1426">
        <v>2</v>
      </c>
      <c r="J1426">
        <v>22</v>
      </c>
    </row>
    <row r="1427" spans="1:11">
      <c r="A1427" s="3" t="s">
        <v>1403</v>
      </c>
      <c r="E1427">
        <v>2</v>
      </c>
      <c r="K1427">
        <v>3</v>
      </c>
    </row>
    <row r="1428" spans="1:11">
      <c r="A1428" s="3" t="s">
        <v>1404</v>
      </c>
      <c r="E1428">
        <v>2</v>
      </c>
      <c r="K1428">
        <v>3</v>
      </c>
    </row>
    <row r="1429" spans="1:11">
      <c r="A1429" s="3" t="s">
        <v>1405</v>
      </c>
      <c r="E1429">
        <v>2</v>
      </c>
      <c r="K1429">
        <v>3</v>
      </c>
    </row>
    <row r="1430" spans="1:11">
      <c r="A1430" s="3" t="s">
        <v>1406</v>
      </c>
      <c r="E1430">
        <v>2</v>
      </c>
      <c r="K1430">
        <v>3</v>
      </c>
    </row>
    <row r="1431" spans="1:11">
      <c r="A1431" s="3" t="s">
        <v>1407</v>
      </c>
      <c r="E1431">
        <v>2</v>
      </c>
      <c r="K1431">
        <v>3</v>
      </c>
    </row>
    <row r="1432" spans="1:11">
      <c r="A1432" s="3" t="s">
        <v>1408</v>
      </c>
      <c r="E1432">
        <v>2</v>
      </c>
      <c r="K1432">
        <v>3</v>
      </c>
    </row>
    <row r="1433" spans="1:11">
      <c r="A1433" s="3" t="s">
        <v>1409</v>
      </c>
      <c r="E1433">
        <v>2</v>
      </c>
      <c r="K1433">
        <v>3</v>
      </c>
    </row>
    <row r="1434" spans="1:11">
      <c r="A1434" s="3" t="s">
        <v>1410</v>
      </c>
      <c r="E1434">
        <v>2</v>
      </c>
      <c r="K1434">
        <v>3</v>
      </c>
    </row>
    <row r="1435" spans="1:11">
      <c r="A1435" s="3" t="s">
        <v>1411</v>
      </c>
      <c r="E1435">
        <v>2</v>
      </c>
      <c r="K1435">
        <v>3</v>
      </c>
    </row>
    <row r="1436" spans="1:11">
      <c r="A1436" s="3" t="s">
        <v>1412</v>
      </c>
      <c r="E1436">
        <v>2</v>
      </c>
      <c r="K1436">
        <v>3</v>
      </c>
    </row>
    <row r="1437" spans="1:11">
      <c r="A1437" s="3" t="s">
        <v>1413</v>
      </c>
      <c r="E1437">
        <v>2</v>
      </c>
      <c r="K1437">
        <v>3</v>
      </c>
    </row>
    <row r="1438" spans="1:11">
      <c r="A1438" s="3" t="s">
        <v>1414</v>
      </c>
      <c r="E1438">
        <v>2</v>
      </c>
      <c r="K1438">
        <v>3</v>
      </c>
    </row>
    <row r="1439" spans="1:11">
      <c r="A1439" s="3" t="s">
        <v>1415</v>
      </c>
      <c r="E1439">
        <v>2</v>
      </c>
      <c r="K1439">
        <v>3</v>
      </c>
    </row>
    <row r="1440" spans="1:11">
      <c r="A1440" s="3" t="s">
        <v>1416</v>
      </c>
      <c r="E1440">
        <v>2</v>
      </c>
      <c r="K1440">
        <v>3</v>
      </c>
    </row>
    <row r="1441" spans="1:11">
      <c r="A1441" s="3" t="s">
        <v>1417</v>
      </c>
      <c r="E1441">
        <v>2</v>
      </c>
      <c r="K1441">
        <v>3</v>
      </c>
    </row>
    <row r="1442" spans="1:11">
      <c r="A1442" s="3" t="s">
        <v>1418</v>
      </c>
      <c r="E1442">
        <v>2</v>
      </c>
      <c r="K1442">
        <v>3</v>
      </c>
    </row>
    <row r="1443" spans="1:11">
      <c r="A1443" s="3" t="s">
        <v>1419</v>
      </c>
      <c r="E1443">
        <v>2</v>
      </c>
      <c r="K1443">
        <v>3</v>
      </c>
    </row>
    <row r="1444" spans="1:11">
      <c r="A1444" s="3" t="s">
        <v>1420</v>
      </c>
      <c r="E1444">
        <v>2</v>
      </c>
      <c r="K1444">
        <v>3</v>
      </c>
    </row>
    <row r="1445" spans="1:11">
      <c r="A1445" s="3" t="s">
        <v>1421</v>
      </c>
      <c r="E1445">
        <v>2</v>
      </c>
      <c r="K1445">
        <v>3</v>
      </c>
    </row>
    <row r="1446" spans="1:11">
      <c r="A1446" s="3" t="s">
        <v>1422</v>
      </c>
      <c r="E1446">
        <v>2</v>
      </c>
      <c r="K1446">
        <v>3</v>
      </c>
    </row>
    <row r="1447" spans="1:11">
      <c r="A1447" s="3" t="s">
        <v>1423</v>
      </c>
      <c r="E1447">
        <v>2</v>
      </c>
      <c r="K1447">
        <v>3</v>
      </c>
    </row>
    <row r="1448" spans="1:11">
      <c r="A1448" s="3" t="s">
        <v>1424</v>
      </c>
      <c r="E1448">
        <v>2</v>
      </c>
      <c r="K1448">
        <v>3</v>
      </c>
    </row>
    <row r="1449" spans="1:11">
      <c r="A1449" s="3" t="s">
        <v>1425</v>
      </c>
      <c r="E1449">
        <v>2</v>
      </c>
      <c r="K1449">
        <v>3</v>
      </c>
    </row>
    <row r="1450" spans="1:11">
      <c r="A1450" s="3" t="s">
        <v>1426</v>
      </c>
      <c r="E1450">
        <v>2</v>
      </c>
      <c r="K1450">
        <v>3</v>
      </c>
    </row>
    <row r="1451" spans="1:11">
      <c r="A1451" s="3" t="s">
        <v>1427</v>
      </c>
      <c r="E1451">
        <v>2</v>
      </c>
      <c r="K1451">
        <v>3</v>
      </c>
    </row>
    <row r="1452" spans="1:11">
      <c r="A1452" s="3" t="s">
        <v>1428</v>
      </c>
      <c r="E1452">
        <v>2</v>
      </c>
      <c r="K1452">
        <v>3</v>
      </c>
    </row>
    <row r="1453" spans="1:11">
      <c r="A1453" s="3" t="s">
        <v>1429</v>
      </c>
      <c r="E1453">
        <v>2</v>
      </c>
      <c r="K1453">
        <v>3</v>
      </c>
    </row>
    <row r="1454" spans="1:11">
      <c r="A1454" s="3" t="s">
        <v>1430</v>
      </c>
      <c r="E1454">
        <v>2</v>
      </c>
      <c r="K1454">
        <v>3</v>
      </c>
    </row>
    <row r="1455" spans="1:11">
      <c r="A1455" s="3" t="s">
        <v>1431</v>
      </c>
      <c r="E1455">
        <v>2</v>
      </c>
      <c r="K1455">
        <v>3</v>
      </c>
    </row>
    <row r="1456" spans="1:11">
      <c r="A1456" s="3" t="s">
        <v>1432</v>
      </c>
      <c r="E1456">
        <v>2</v>
      </c>
      <c r="K1456">
        <v>3</v>
      </c>
    </row>
    <row r="1457" spans="1:11">
      <c r="A1457" s="3" t="s">
        <v>1433</v>
      </c>
      <c r="E1457">
        <v>2</v>
      </c>
      <c r="K1457">
        <v>3</v>
      </c>
    </row>
    <row r="1458" spans="1:11">
      <c r="A1458" s="3" t="s">
        <v>1434</v>
      </c>
      <c r="E1458">
        <v>2</v>
      </c>
      <c r="K1458">
        <v>3</v>
      </c>
    </row>
    <row r="1459" spans="1:11">
      <c r="A1459" s="3" t="s">
        <v>1435</v>
      </c>
      <c r="E1459">
        <v>2</v>
      </c>
      <c r="K1459">
        <v>3</v>
      </c>
    </row>
    <row r="1460" spans="1:11">
      <c r="A1460" s="3" t="s">
        <v>1436</v>
      </c>
      <c r="E1460">
        <v>2</v>
      </c>
      <c r="K1460">
        <v>3</v>
      </c>
    </row>
    <row r="1461" spans="1:11">
      <c r="A1461" s="3" t="s">
        <v>1437</v>
      </c>
      <c r="E1461">
        <v>2</v>
      </c>
      <c r="K1461">
        <v>3</v>
      </c>
    </row>
    <row r="1462" spans="1:11">
      <c r="A1462" s="3" t="s">
        <v>1438</v>
      </c>
      <c r="E1462">
        <v>2</v>
      </c>
      <c r="K1462">
        <v>3</v>
      </c>
    </row>
    <row r="1463" spans="1:11">
      <c r="A1463" s="3" t="s">
        <v>1439</v>
      </c>
      <c r="E1463">
        <v>2</v>
      </c>
      <c r="K1463">
        <v>3</v>
      </c>
    </row>
    <row r="1464" spans="1:11">
      <c r="A1464" s="3" t="s">
        <v>1440</v>
      </c>
      <c r="E1464">
        <v>2</v>
      </c>
      <c r="K1464">
        <v>3</v>
      </c>
    </row>
    <row r="1465" spans="1:11">
      <c r="A1465" s="3" t="s">
        <v>1441</v>
      </c>
      <c r="E1465">
        <v>2</v>
      </c>
      <c r="K1465">
        <v>3</v>
      </c>
    </row>
    <row r="1466" spans="1:11">
      <c r="A1466" s="3" t="s">
        <v>1442</v>
      </c>
      <c r="E1466">
        <v>2</v>
      </c>
      <c r="K1466">
        <v>3</v>
      </c>
    </row>
    <row r="1467" spans="1:11">
      <c r="A1467" s="3" t="s">
        <v>1443</v>
      </c>
      <c r="E1467">
        <v>2</v>
      </c>
      <c r="K1467">
        <v>3</v>
      </c>
    </row>
    <row r="1468" spans="1:11">
      <c r="A1468" s="3" t="s">
        <v>1444</v>
      </c>
      <c r="E1468">
        <v>2</v>
      </c>
      <c r="K1468">
        <v>3</v>
      </c>
    </row>
    <row r="1469" spans="1:11">
      <c r="A1469" s="3" t="s">
        <v>1445</v>
      </c>
      <c r="E1469">
        <v>2</v>
      </c>
      <c r="K1469">
        <v>3</v>
      </c>
    </row>
    <row r="1470" spans="1:11">
      <c r="A1470" s="3" t="s">
        <v>1446</v>
      </c>
      <c r="E1470">
        <v>2</v>
      </c>
      <c r="K1470">
        <v>3</v>
      </c>
    </row>
    <row r="1471" spans="1:11">
      <c r="A1471" s="3" t="s">
        <v>1447</v>
      </c>
      <c r="E1471">
        <v>2</v>
      </c>
      <c r="K1471">
        <v>3</v>
      </c>
    </row>
    <row r="1472" spans="1:11">
      <c r="A1472" s="3" t="s">
        <v>1448</v>
      </c>
      <c r="E1472">
        <v>2</v>
      </c>
      <c r="K1472">
        <v>3</v>
      </c>
    </row>
    <row r="1473" spans="1:49">
      <c r="A1473" s="3" t="s">
        <v>1449</v>
      </c>
      <c r="E1473">
        <v>2</v>
      </c>
      <c r="K1473">
        <v>3</v>
      </c>
    </row>
    <row r="1474" spans="1:49">
      <c r="A1474" s="3" t="s">
        <v>1450</v>
      </c>
      <c r="E1474">
        <v>2</v>
      </c>
      <c r="K1474">
        <v>3</v>
      </c>
    </row>
    <row r="1475" spans="1:49">
      <c r="A1475" s="3" t="s">
        <v>1451</v>
      </c>
      <c r="E1475">
        <v>2</v>
      </c>
      <c r="K1475">
        <v>3</v>
      </c>
    </row>
    <row r="1476" spans="1:49">
      <c r="A1476" s="3" t="s">
        <v>1452</v>
      </c>
      <c r="E1476">
        <v>2</v>
      </c>
      <c r="K1476">
        <v>3</v>
      </c>
    </row>
    <row r="1477" spans="1:49">
      <c r="A1477" s="3" t="s">
        <v>1453</v>
      </c>
      <c r="E1477">
        <v>2</v>
      </c>
      <c r="K1477">
        <v>3</v>
      </c>
    </row>
    <row r="1478" spans="1:49">
      <c r="A1478" s="3" t="s">
        <v>1454</v>
      </c>
      <c r="E1478">
        <v>2</v>
      </c>
      <c r="K1478">
        <v>3</v>
      </c>
    </row>
    <row r="1479" spans="1:49">
      <c r="A1479" s="3" t="s">
        <v>1455</v>
      </c>
      <c r="E1479">
        <v>2</v>
      </c>
      <c r="K1479">
        <v>3</v>
      </c>
    </row>
    <row r="1480" spans="1:49">
      <c r="A1480" s="3" t="s">
        <v>1456</v>
      </c>
      <c r="E1480">
        <v>2</v>
      </c>
      <c r="K1480">
        <v>3</v>
      </c>
    </row>
    <row r="1481" spans="1:49">
      <c r="A1481" s="3" t="s">
        <v>1457</v>
      </c>
      <c r="E1481">
        <v>2</v>
      </c>
      <c r="K1481">
        <v>3</v>
      </c>
    </row>
    <row r="1482" spans="1:49">
      <c r="A1482" s="3" t="s">
        <v>1458</v>
      </c>
      <c r="E1482">
        <v>2</v>
      </c>
      <c r="AW1482">
        <v>16</v>
      </c>
    </row>
    <row r="1483" spans="1:49">
      <c r="A1483" s="3" t="s">
        <v>1459</v>
      </c>
      <c r="E1483">
        <v>2</v>
      </c>
      <c r="J1483">
        <v>23</v>
      </c>
    </row>
    <row r="1484" spans="1:49">
      <c r="A1484" s="3" t="s">
        <v>1460</v>
      </c>
      <c r="E1484">
        <v>2</v>
      </c>
      <c r="J1484">
        <v>23</v>
      </c>
    </row>
    <row r="1485" spans="1:49">
      <c r="A1485" s="3" t="s">
        <v>1461</v>
      </c>
      <c r="E1485">
        <v>2</v>
      </c>
      <c r="J1485">
        <v>23</v>
      </c>
    </row>
    <row r="1486" spans="1:49">
      <c r="A1486" s="3" t="s">
        <v>1462</v>
      </c>
      <c r="D1486">
        <v>2</v>
      </c>
      <c r="E1486">
        <v>2</v>
      </c>
      <c r="J1486">
        <v>23</v>
      </c>
    </row>
    <row r="1487" spans="1:49">
      <c r="A1487" s="3" t="s">
        <v>1463</v>
      </c>
      <c r="D1487">
        <v>2</v>
      </c>
      <c r="E1487">
        <v>2</v>
      </c>
      <c r="J1487">
        <v>23</v>
      </c>
    </row>
    <row r="1488" spans="1:49">
      <c r="A1488" s="3" t="s">
        <v>1464</v>
      </c>
      <c r="D1488">
        <v>2</v>
      </c>
      <c r="E1488">
        <v>2</v>
      </c>
      <c r="J1488">
        <v>23</v>
      </c>
    </row>
    <row r="1489" spans="1:13">
      <c r="A1489" s="3" t="s">
        <v>1465</v>
      </c>
      <c r="D1489">
        <v>2</v>
      </c>
      <c r="E1489">
        <v>2</v>
      </c>
      <c r="J1489">
        <v>23</v>
      </c>
    </row>
    <row r="1490" spans="1:13">
      <c r="A1490" s="3" t="s">
        <v>1466</v>
      </c>
      <c r="D1490">
        <v>2</v>
      </c>
      <c r="E1490">
        <v>2</v>
      </c>
      <c r="J1490">
        <v>23</v>
      </c>
    </row>
    <row r="1491" spans="1:13">
      <c r="A1491" s="3" t="s">
        <v>1467</v>
      </c>
      <c r="D1491">
        <v>2</v>
      </c>
      <c r="E1491">
        <v>2</v>
      </c>
      <c r="J1491">
        <v>23</v>
      </c>
    </row>
    <row r="1492" spans="1:13">
      <c r="A1492" s="3" t="s">
        <v>1468</v>
      </c>
      <c r="D1492">
        <v>2</v>
      </c>
      <c r="E1492">
        <v>2</v>
      </c>
      <c r="J1492">
        <v>23</v>
      </c>
    </row>
    <row r="1493" spans="1:13">
      <c r="A1493" s="3" t="s">
        <v>1469</v>
      </c>
      <c r="D1493">
        <v>2</v>
      </c>
      <c r="E1493">
        <v>2</v>
      </c>
      <c r="J1493">
        <v>23</v>
      </c>
    </row>
    <row r="1494" spans="1:13">
      <c r="A1494" s="3" t="s">
        <v>1470</v>
      </c>
      <c r="D1494">
        <v>2</v>
      </c>
      <c r="E1494">
        <v>2</v>
      </c>
      <c r="J1494">
        <v>23</v>
      </c>
    </row>
    <row r="1495" spans="1:13">
      <c r="A1495" s="3" t="s">
        <v>1471</v>
      </c>
      <c r="D1495">
        <v>2</v>
      </c>
      <c r="E1495">
        <v>2</v>
      </c>
      <c r="M1495">
        <v>4</v>
      </c>
    </row>
    <row r="1496" spans="1:13">
      <c r="A1496" s="3" t="s">
        <v>1472</v>
      </c>
      <c r="D1496">
        <v>2</v>
      </c>
      <c r="E1496">
        <v>2</v>
      </c>
      <c r="M1496">
        <v>4</v>
      </c>
    </row>
    <row r="1497" spans="1:13">
      <c r="A1497" s="3" t="s">
        <v>1473</v>
      </c>
      <c r="D1497">
        <v>2</v>
      </c>
      <c r="E1497">
        <v>2</v>
      </c>
      <c r="M1497">
        <v>4</v>
      </c>
    </row>
    <row r="1498" spans="1:13">
      <c r="A1498" s="3" t="s">
        <v>1474</v>
      </c>
      <c r="D1498">
        <v>2</v>
      </c>
      <c r="E1498">
        <v>2</v>
      </c>
      <c r="M1498">
        <v>4</v>
      </c>
    </row>
    <row r="1499" spans="1:13">
      <c r="A1499" s="3" t="s">
        <v>1475</v>
      </c>
      <c r="D1499">
        <v>2</v>
      </c>
      <c r="E1499">
        <v>2</v>
      </c>
      <c r="M1499">
        <v>4</v>
      </c>
    </row>
    <row r="1500" spans="1:13">
      <c r="A1500" s="3" t="s">
        <v>1476</v>
      </c>
      <c r="D1500">
        <v>2</v>
      </c>
      <c r="E1500">
        <v>2</v>
      </c>
      <c r="M1500">
        <v>4</v>
      </c>
    </row>
    <row r="1501" spans="1:13">
      <c r="A1501" s="3" t="s">
        <v>1477</v>
      </c>
      <c r="D1501">
        <v>2</v>
      </c>
      <c r="E1501">
        <v>2</v>
      </c>
      <c r="M1501">
        <v>4</v>
      </c>
    </row>
    <row r="1502" spans="1:13">
      <c r="A1502" s="3" t="s">
        <v>1478</v>
      </c>
      <c r="D1502">
        <v>2</v>
      </c>
      <c r="E1502">
        <v>2</v>
      </c>
      <c r="M1502">
        <v>4</v>
      </c>
    </row>
    <row r="1503" spans="1:13">
      <c r="A1503" s="3" t="s">
        <v>1479</v>
      </c>
      <c r="D1503">
        <v>2</v>
      </c>
      <c r="E1503">
        <v>2</v>
      </c>
      <c r="M1503">
        <v>4</v>
      </c>
    </row>
    <row r="1504" spans="1:13">
      <c r="A1504" s="3" t="s">
        <v>1480</v>
      </c>
      <c r="D1504">
        <v>2</v>
      </c>
      <c r="E1504">
        <v>2</v>
      </c>
      <c r="M1504">
        <v>4</v>
      </c>
    </row>
    <row r="1505" spans="1:13">
      <c r="A1505" s="3" t="s">
        <v>1481</v>
      </c>
      <c r="D1505">
        <v>2</v>
      </c>
      <c r="E1505">
        <v>2</v>
      </c>
      <c r="M1505">
        <v>4</v>
      </c>
    </row>
    <row r="1506" spans="1:13">
      <c r="A1506" s="3" t="s">
        <v>1482</v>
      </c>
      <c r="D1506">
        <v>2</v>
      </c>
      <c r="E1506">
        <v>2</v>
      </c>
      <c r="M1506">
        <v>4</v>
      </c>
    </row>
    <row r="1507" spans="1:13">
      <c r="A1507" s="3" t="s">
        <v>1483</v>
      </c>
      <c r="D1507">
        <v>2</v>
      </c>
      <c r="E1507">
        <v>2</v>
      </c>
      <c r="M1507">
        <v>4</v>
      </c>
    </row>
    <row r="1508" spans="1:13">
      <c r="A1508" s="3" t="s">
        <v>1484</v>
      </c>
      <c r="D1508">
        <v>2</v>
      </c>
      <c r="E1508">
        <v>2</v>
      </c>
      <c r="M1508">
        <v>4</v>
      </c>
    </row>
    <row r="1509" spans="1:13">
      <c r="A1509" s="3" t="s">
        <v>1485</v>
      </c>
      <c r="D1509">
        <v>2</v>
      </c>
      <c r="E1509">
        <v>2</v>
      </c>
      <c r="M1509">
        <v>4</v>
      </c>
    </row>
    <row r="1510" spans="1:13">
      <c r="A1510" s="3" t="s">
        <v>1486</v>
      </c>
      <c r="D1510">
        <v>2</v>
      </c>
      <c r="E1510">
        <v>2</v>
      </c>
      <c r="M1510">
        <v>4</v>
      </c>
    </row>
    <row r="1511" spans="1:13">
      <c r="A1511" s="3" t="s">
        <v>1487</v>
      </c>
      <c r="D1511">
        <v>2</v>
      </c>
      <c r="E1511">
        <v>2</v>
      </c>
      <c r="M1511">
        <v>4</v>
      </c>
    </row>
    <row r="1512" spans="1:13">
      <c r="A1512" s="3" t="s">
        <v>1488</v>
      </c>
      <c r="D1512">
        <v>2</v>
      </c>
      <c r="E1512">
        <v>2</v>
      </c>
      <c r="M1512">
        <v>4</v>
      </c>
    </row>
    <row r="1513" spans="1:13">
      <c r="A1513" s="3" t="s">
        <v>1489</v>
      </c>
      <c r="D1513">
        <v>2</v>
      </c>
      <c r="E1513">
        <v>2</v>
      </c>
      <c r="M1513">
        <v>4</v>
      </c>
    </row>
    <row r="1514" spans="1:13">
      <c r="A1514" s="3" t="s">
        <v>1490</v>
      </c>
      <c r="D1514">
        <v>2</v>
      </c>
      <c r="E1514">
        <v>2</v>
      </c>
      <c r="M1514">
        <v>4</v>
      </c>
    </row>
    <row r="1515" spans="1:13">
      <c r="A1515" s="3" t="s">
        <v>1491</v>
      </c>
      <c r="D1515">
        <v>2</v>
      </c>
      <c r="E1515">
        <v>2</v>
      </c>
      <c r="M1515">
        <v>4</v>
      </c>
    </row>
    <row r="1516" spans="1:13">
      <c r="A1516" s="3" t="s">
        <v>1492</v>
      </c>
      <c r="D1516">
        <v>2</v>
      </c>
      <c r="E1516">
        <v>2</v>
      </c>
      <c r="M1516">
        <v>4</v>
      </c>
    </row>
    <row r="1517" spans="1:13">
      <c r="A1517" s="3" t="s">
        <v>1493</v>
      </c>
      <c r="D1517">
        <v>2</v>
      </c>
      <c r="E1517">
        <v>2</v>
      </c>
      <c r="M1517">
        <v>4</v>
      </c>
    </row>
    <row r="1518" spans="1:13">
      <c r="A1518" s="3" t="s">
        <v>1494</v>
      </c>
      <c r="D1518">
        <v>2</v>
      </c>
      <c r="E1518">
        <v>2</v>
      </c>
      <c r="M1518">
        <v>4</v>
      </c>
    </row>
    <row r="1519" spans="1:13">
      <c r="A1519" s="3" t="s">
        <v>1495</v>
      </c>
      <c r="D1519">
        <v>2</v>
      </c>
      <c r="E1519">
        <v>2</v>
      </c>
      <c r="M1519">
        <v>4</v>
      </c>
    </row>
    <row r="1520" spans="1:13">
      <c r="A1520" s="3" t="s">
        <v>1496</v>
      </c>
      <c r="D1520">
        <v>2</v>
      </c>
      <c r="E1520">
        <v>2</v>
      </c>
      <c r="M1520">
        <v>4</v>
      </c>
    </row>
    <row r="1521" spans="1:13">
      <c r="A1521" s="3" t="s">
        <v>1497</v>
      </c>
      <c r="D1521">
        <v>2</v>
      </c>
      <c r="E1521">
        <v>2</v>
      </c>
      <c r="M1521">
        <v>4</v>
      </c>
    </row>
    <row r="1522" spans="1:13">
      <c r="A1522" s="3" t="s">
        <v>1498</v>
      </c>
      <c r="D1522">
        <v>2</v>
      </c>
      <c r="E1522">
        <v>2</v>
      </c>
      <c r="M1522">
        <v>4</v>
      </c>
    </row>
    <row r="1523" spans="1:13">
      <c r="A1523" s="3" t="s">
        <v>1499</v>
      </c>
      <c r="D1523">
        <v>2</v>
      </c>
      <c r="E1523">
        <v>2</v>
      </c>
      <c r="M1523">
        <v>4</v>
      </c>
    </row>
    <row r="1524" spans="1:13">
      <c r="A1524" s="3" t="s">
        <v>1500</v>
      </c>
      <c r="D1524">
        <v>2</v>
      </c>
      <c r="E1524">
        <v>2</v>
      </c>
      <c r="M1524">
        <v>4</v>
      </c>
    </row>
    <row r="1525" spans="1:13">
      <c r="A1525" s="3" t="s">
        <v>1501</v>
      </c>
      <c r="D1525">
        <v>2</v>
      </c>
      <c r="E1525">
        <v>2</v>
      </c>
      <c r="M1525">
        <v>4</v>
      </c>
    </row>
    <row r="1526" spans="1:13">
      <c r="A1526" s="3" t="s">
        <v>1502</v>
      </c>
      <c r="D1526">
        <v>2</v>
      </c>
      <c r="E1526">
        <v>2</v>
      </c>
      <c r="M1526">
        <v>4</v>
      </c>
    </row>
    <row r="1527" spans="1:13">
      <c r="A1527" s="3" t="s">
        <v>1503</v>
      </c>
      <c r="D1527">
        <v>2</v>
      </c>
      <c r="E1527">
        <v>2</v>
      </c>
      <c r="M1527">
        <v>4</v>
      </c>
    </row>
    <row r="1528" spans="1:13">
      <c r="A1528" s="3" t="s">
        <v>1504</v>
      </c>
      <c r="D1528">
        <v>2</v>
      </c>
      <c r="E1528">
        <v>2</v>
      </c>
      <c r="M1528">
        <v>4</v>
      </c>
    </row>
    <row r="1529" spans="1:13">
      <c r="A1529" s="3" t="s">
        <v>1505</v>
      </c>
      <c r="D1529">
        <v>2</v>
      </c>
      <c r="E1529">
        <v>2</v>
      </c>
      <c r="M1529">
        <v>4</v>
      </c>
    </row>
    <row r="1530" spans="1:13">
      <c r="A1530" s="3" t="s">
        <v>1506</v>
      </c>
      <c r="D1530">
        <v>2</v>
      </c>
      <c r="E1530">
        <v>2</v>
      </c>
      <c r="M1530">
        <v>4</v>
      </c>
    </row>
    <row r="1531" spans="1:13">
      <c r="A1531" s="3" t="s">
        <v>1507</v>
      </c>
      <c r="D1531">
        <v>2</v>
      </c>
      <c r="E1531">
        <v>2</v>
      </c>
      <c r="M1531">
        <v>4</v>
      </c>
    </row>
    <row r="1532" spans="1:13">
      <c r="A1532" s="3" t="s">
        <v>1508</v>
      </c>
      <c r="D1532">
        <v>2</v>
      </c>
      <c r="E1532">
        <v>2</v>
      </c>
      <c r="M1532">
        <v>4</v>
      </c>
    </row>
    <row r="1533" spans="1:13">
      <c r="A1533" s="3" t="s">
        <v>1509</v>
      </c>
      <c r="D1533">
        <v>2</v>
      </c>
      <c r="E1533">
        <v>2</v>
      </c>
      <c r="M1533">
        <v>4</v>
      </c>
    </row>
    <row r="1534" spans="1:13">
      <c r="A1534" s="3" t="s">
        <v>1510</v>
      </c>
      <c r="D1534">
        <v>2</v>
      </c>
      <c r="E1534">
        <v>2</v>
      </c>
      <c r="M1534">
        <v>4</v>
      </c>
    </row>
    <row r="1535" spans="1:13">
      <c r="A1535" s="3" t="s">
        <v>1511</v>
      </c>
      <c r="D1535">
        <v>2</v>
      </c>
      <c r="E1535">
        <v>2</v>
      </c>
      <c r="M1535">
        <v>4</v>
      </c>
    </row>
    <row r="1536" spans="1:13">
      <c r="A1536" s="3" t="s">
        <v>1512</v>
      </c>
      <c r="D1536">
        <v>2</v>
      </c>
      <c r="E1536">
        <v>2</v>
      </c>
      <c r="M1536">
        <v>4</v>
      </c>
    </row>
    <row r="1537" spans="1:13">
      <c r="A1537" s="3" t="s">
        <v>1513</v>
      </c>
      <c r="D1537">
        <v>2</v>
      </c>
      <c r="E1537">
        <v>2</v>
      </c>
      <c r="M1537">
        <v>4</v>
      </c>
    </row>
    <row r="1538" spans="1:13">
      <c r="A1538" s="3" t="s">
        <v>1514</v>
      </c>
      <c r="D1538">
        <v>2</v>
      </c>
      <c r="E1538">
        <v>2</v>
      </c>
      <c r="M1538">
        <v>4</v>
      </c>
    </row>
    <row r="1539" spans="1:13">
      <c r="A1539" s="3" t="s">
        <v>1515</v>
      </c>
      <c r="D1539">
        <v>2</v>
      </c>
      <c r="E1539">
        <v>2</v>
      </c>
      <c r="M1539">
        <v>4</v>
      </c>
    </row>
    <row r="1540" spans="1:13">
      <c r="A1540" s="3" t="s">
        <v>1516</v>
      </c>
      <c r="D1540">
        <v>2</v>
      </c>
      <c r="E1540">
        <v>2</v>
      </c>
      <c r="M1540">
        <v>4</v>
      </c>
    </row>
    <row r="1541" spans="1:13">
      <c r="A1541" s="3" t="s">
        <v>1517</v>
      </c>
      <c r="D1541">
        <v>2</v>
      </c>
      <c r="E1541">
        <v>2</v>
      </c>
      <c r="M1541">
        <v>4</v>
      </c>
    </row>
    <row r="1542" spans="1:13">
      <c r="A1542" s="3" t="s">
        <v>1518</v>
      </c>
      <c r="D1542">
        <v>2</v>
      </c>
      <c r="E1542">
        <v>2</v>
      </c>
      <c r="J1542">
        <v>24</v>
      </c>
    </row>
    <row r="1543" spans="1:13">
      <c r="A1543" s="3" t="s">
        <v>1519</v>
      </c>
      <c r="D1543">
        <v>2</v>
      </c>
      <c r="E1543">
        <v>2</v>
      </c>
      <c r="J1543">
        <v>24</v>
      </c>
    </row>
    <row r="1544" spans="1:13">
      <c r="A1544" s="3" t="s">
        <v>1520</v>
      </c>
      <c r="D1544">
        <v>2</v>
      </c>
      <c r="E1544">
        <v>2</v>
      </c>
      <c r="J1544">
        <v>24</v>
      </c>
    </row>
    <row r="1545" spans="1:13">
      <c r="A1545" s="3" t="s">
        <v>1521</v>
      </c>
      <c r="D1545">
        <v>2</v>
      </c>
      <c r="E1545">
        <v>2</v>
      </c>
      <c r="J1545">
        <v>24</v>
      </c>
    </row>
    <row r="1546" spans="1:13">
      <c r="A1546" s="3" t="s">
        <v>1522</v>
      </c>
      <c r="D1546">
        <v>2</v>
      </c>
      <c r="E1546">
        <v>2</v>
      </c>
      <c r="J1546">
        <v>24</v>
      </c>
    </row>
    <row r="1547" spans="1:13">
      <c r="A1547" s="3" t="s">
        <v>1523</v>
      </c>
      <c r="D1547">
        <v>2</v>
      </c>
      <c r="E1547">
        <v>2</v>
      </c>
      <c r="J1547">
        <v>24</v>
      </c>
    </row>
    <row r="1548" spans="1:13">
      <c r="A1548" s="3" t="s">
        <v>1524</v>
      </c>
      <c r="D1548">
        <v>2</v>
      </c>
      <c r="J1548">
        <v>24</v>
      </c>
    </row>
    <row r="1549" spans="1:13">
      <c r="A1549" s="3" t="s">
        <v>1525</v>
      </c>
      <c r="D1549">
        <v>2</v>
      </c>
      <c r="J1549">
        <v>24</v>
      </c>
    </row>
    <row r="1550" spans="1:13">
      <c r="A1550" s="3" t="s">
        <v>1526</v>
      </c>
      <c r="D1550">
        <v>2</v>
      </c>
      <c r="J1550">
        <v>24</v>
      </c>
    </row>
    <row r="1551" spans="1:13">
      <c r="A1551" s="3" t="s">
        <v>1527</v>
      </c>
      <c r="D1551">
        <v>2</v>
      </c>
      <c r="J1551">
        <v>24</v>
      </c>
    </row>
    <row r="1552" spans="1:13">
      <c r="A1552" s="3" t="s">
        <v>1528</v>
      </c>
      <c r="D1552">
        <v>2</v>
      </c>
      <c r="J1552">
        <v>24</v>
      </c>
    </row>
    <row r="1553" spans="1:10">
      <c r="A1553" s="3" t="s">
        <v>1529</v>
      </c>
      <c r="D1553">
        <v>2</v>
      </c>
      <c r="J1553">
        <v>24</v>
      </c>
    </row>
    <row r="1554" spans="1:10">
      <c r="A1554" s="3" t="s">
        <v>1530</v>
      </c>
      <c r="D1554">
        <v>2</v>
      </c>
      <c r="J1554">
        <v>24</v>
      </c>
    </row>
    <row r="1555" spans="1:10">
      <c r="A1555" s="3" t="s">
        <v>1531</v>
      </c>
      <c r="D1555">
        <v>2</v>
      </c>
      <c r="J1555">
        <v>24</v>
      </c>
    </row>
    <row r="1556" spans="1:10">
      <c r="A1556" s="3" t="s">
        <v>1532</v>
      </c>
      <c r="D1556">
        <v>2</v>
      </c>
      <c r="J1556">
        <v>24</v>
      </c>
    </row>
    <row r="1557" spans="1:10">
      <c r="A1557" s="3" t="s">
        <v>1533</v>
      </c>
      <c r="D1557">
        <v>2</v>
      </c>
      <c r="J1557">
        <v>24</v>
      </c>
    </row>
    <row r="1558" spans="1:10">
      <c r="A1558" s="3" t="s">
        <v>1534</v>
      </c>
      <c r="D1558">
        <v>2</v>
      </c>
      <c r="J1558">
        <v>24</v>
      </c>
    </row>
    <row r="1559" spans="1:10">
      <c r="A1559" s="3" t="s">
        <v>1535</v>
      </c>
      <c r="D1559">
        <v>2</v>
      </c>
      <c r="J1559">
        <v>24</v>
      </c>
    </row>
    <row r="1560" spans="1:10">
      <c r="A1560" s="3" t="s">
        <v>1536</v>
      </c>
      <c r="D1560">
        <v>2</v>
      </c>
      <c r="J1560">
        <v>24</v>
      </c>
    </row>
    <row r="1561" spans="1:10">
      <c r="A1561" s="3" t="s">
        <v>1537</v>
      </c>
      <c r="D1561">
        <v>2</v>
      </c>
      <c r="J1561">
        <v>24</v>
      </c>
    </row>
    <row r="1562" spans="1:10">
      <c r="A1562" s="3" t="s">
        <v>1538</v>
      </c>
      <c r="D1562">
        <v>2</v>
      </c>
      <c r="J1562">
        <v>24</v>
      </c>
    </row>
    <row r="1563" spans="1:10">
      <c r="A1563" s="3" t="s">
        <v>1539</v>
      </c>
      <c r="D1563">
        <v>2</v>
      </c>
      <c r="J1563">
        <v>24</v>
      </c>
    </row>
    <row r="1564" spans="1:10">
      <c r="A1564" s="3" t="s">
        <v>1540</v>
      </c>
      <c r="D1564">
        <v>2</v>
      </c>
      <c r="J1564">
        <v>24</v>
      </c>
    </row>
    <row r="1565" spans="1:10">
      <c r="A1565" s="3" t="s">
        <v>1541</v>
      </c>
      <c r="D1565">
        <v>2</v>
      </c>
      <c r="J1565">
        <v>24</v>
      </c>
    </row>
    <row r="1566" spans="1:10">
      <c r="A1566" s="3" t="s">
        <v>1542</v>
      </c>
      <c r="D1566">
        <v>2</v>
      </c>
      <c r="J1566">
        <v>24</v>
      </c>
    </row>
    <row r="1567" spans="1:10">
      <c r="A1567" s="3" t="s">
        <v>1543</v>
      </c>
      <c r="D1567">
        <v>2</v>
      </c>
      <c r="J1567">
        <v>24</v>
      </c>
    </row>
    <row r="1568" spans="1:10">
      <c r="A1568" s="3" t="s">
        <v>1544</v>
      </c>
      <c r="D1568">
        <v>2</v>
      </c>
      <c r="J1568">
        <v>24</v>
      </c>
    </row>
    <row r="1569" spans="1:10">
      <c r="A1569" s="3" t="s">
        <v>1545</v>
      </c>
      <c r="D1569">
        <v>2</v>
      </c>
      <c r="J1569">
        <v>24</v>
      </c>
    </row>
    <row r="1570" spans="1:10">
      <c r="A1570" s="3" t="s">
        <v>1546</v>
      </c>
      <c r="D1570">
        <v>2</v>
      </c>
      <c r="J1570">
        <v>24</v>
      </c>
    </row>
    <row r="1571" spans="1:10">
      <c r="A1571" s="3" t="s">
        <v>1547</v>
      </c>
      <c r="D1571">
        <v>2</v>
      </c>
      <c r="J1571">
        <v>24</v>
      </c>
    </row>
    <row r="1572" spans="1:10">
      <c r="A1572" s="3" t="s">
        <v>1548</v>
      </c>
      <c r="D1572">
        <v>2</v>
      </c>
      <c r="J1572">
        <v>24</v>
      </c>
    </row>
    <row r="1573" spans="1:10">
      <c r="A1573" s="3" t="s">
        <v>1549</v>
      </c>
      <c r="D1573">
        <v>2</v>
      </c>
      <c r="J1573">
        <v>24</v>
      </c>
    </row>
    <row r="1574" spans="1:10">
      <c r="A1574" s="3" t="s">
        <v>1550</v>
      </c>
      <c r="D1574">
        <v>2</v>
      </c>
      <c r="J1574">
        <v>24</v>
      </c>
    </row>
    <row r="1575" spans="1:10">
      <c r="A1575" s="3" t="s">
        <v>1551</v>
      </c>
      <c r="D1575">
        <v>2</v>
      </c>
      <c r="J1575">
        <v>24</v>
      </c>
    </row>
    <row r="1576" spans="1:10">
      <c r="A1576" s="3" t="s">
        <v>1552</v>
      </c>
      <c r="D1576">
        <v>2</v>
      </c>
      <c r="J1576">
        <v>24</v>
      </c>
    </row>
    <row r="1577" spans="1:10">
      <c r="A1577" s="3" t="s">
        <v>1553</v>
      </c>
      <c r="D1577">
        <v>2</v>
      </c>
      <c r="J1577">
        <v>24</v>
      </c>
    </row>
    <row r="1578" spans="1:10">
      <c r="A1578" s="3" t="s">
        <v>1554</v>
      </c>
      <c r="D1578">
        <v>2</v>
      </c>
      <c r="J1578">
        <v>24</v>
      </c>
    </row>
    <row r="1579" spans="1:10">
      <c r="A1579" s="3" t="s">
        <v>1555</v>
      </c>
      <c r="D1579">
        <v>2</v>
      </c>
      <c r="J1579">
        <v>24</v>
      </c>
    </row>
    <row r="1580" spans="1:10">
      <c r="A1580" s="3" t="s">
        <v>1556</v>
      </c>
      <c r="D1580">
        <v>2</v>
      </c>
      <c r="J1580">
        <v>24</v>
      </c>
    </row>
    <row r="1581" spans="1:10">
      <c r="A1581" s="3" t="s">
        <v>1557</v>
      </c>
      <c r="D1581">
        <v>2</v>
      </c>
      <c r="J1581">
        <v>24</v>
      </c>
    </row>
    <row r="1582" spans="1:10">
      <c r="A1582" s="3" t="s">
        <v>1558</v>
      </c>
      <c r="D1582">
        <v>2</v>
      </c>
      <c r="J1582">
        <v>24</v>
      </c>
    </row>
    <row r="1583" spans="1:10">
      <c r="A1583" s="3" t="s">
        <v>1559</v>
      </c>
      <c r="D1583">
        <v>2</v>
      </c>
      <c r="J1583">
        <v>24</v>
      </c>
    </row>
    <row r="1584" spans="1:10">
      <c r="A1584" s="3" t="s">
        <v>1560</v>
      </c>
      <c r="D1584">
        <v>2</v>
      </c>
      <c r="J1584">
        <v>24</v>
      </c>
    </row>
    <row r="1585" spans="1:28">
      <c r="A1585" s="3" t="s">
        <v>1561</v>
      </c>
      <c r="D1585">
        <v>2</v>
      </c>
      <c r="J1585">
        <v>24</v>
      </c>
    </row>
    <row r="1586" spans="1:28">
      <c r="A1586" s="3" t="s">
        <v>1562</v>
      </c>
      <c r="D1586">
        <v>2</v>
      </c>
      <c r="J1586">
        <v>24</v>
      </c>
    </row>
    <row r="1587" spans="1:28">
      <c r="A1587" s="3" t="s">
        <v>1563</v>
      </c>
      <c r="D1587">
        <v>2</v>
      </c>
      <c r="J1587">
        <v>24</v>
      </c>
    </row>
    <row r="1588" spans="1:28">
      <c r="A1588" s="3" t="s">
        <v>1564</v>
      </c>
      <c r="D1588">
        <v>2</v>
      </c>
      <c r="J1588">
        <v>24</v>
      </c>
    </row>
    <row r="1589" spans="1:28">
      <c r="A1589" s="3" t="s">
        <v>1565</v>
      </c>
      <c r="D1589">
        <v>2</v>
      </c>
      <c r="J1589">
        <v>24</v>
      </c>
    </row>
    <row r="1590" spans="1:28">
      <c r="A1590" s="3" t="s">
        <v>1566</v>
      </c>
      <c r="D1590">
        <v>2</v>
      </c>
      <c r="J1590">
        <v>24</v>
      </c>
    </row>
    <row r="1591" spans="1:28">
      <c r="A1591" s="3" t="s">
        <v>1567</v>
      </c>
      <c r="D1591">
        <v>2</v>
      </c>
      <c r="J1591">
        <v>24</v>
      </c>
    </row>
    <row r="1592" spans="1:28">
      <c r="A1592" s="3" t="s">
        <v>1568</v>
      </c>
      <c r="D1592">
        <v>2</v>
      </c>
      <c r="J1592">
        <v>24</v>
      </c>
    </row>
    <row r="1593" spans="1:28">
      <c r="A1593" s="3" t="s">
        <v>1569</v>
      </c>
      <c r="D1593">
        <v>2</v>
      </c>
      <c r="J1593">
        <v>24</v>
      </c>
    </row>
    <row r="1594" spans="1:28">
      <c r="A1594" s="3" t="s">
        <v>1570</v>
      </c>
      <c r="D1594">
        <v>2</v>
      </c>
      <c r="J1594">
        <v>24</v>
      </c>
    </row>
    <row r="1595" spans="1:28">
      <c r="A1595" s="3" t="s">
        <v>1571</v>
      </c>
      <c r="D1595">
        <v>2</v>
      </c>
      <c r="AB1595">
        <v>2</v>
      </c>
    </row>
    <row r="1596" spans="1:28">
      <c r="A1596" s="3" t="s">
        <v>1572</v>
      </c>
      <c r="D1596">
        <v>2</v>
      </c>
      <c r="AB1596">
        <v>2</v>
      </c>
    </row>
    <row r="1597" spans="1:28">
      <c r="A1597" s="3" t="s">
        <v>1573</v>
      </c>
      <c r="D1597">
        <v>2</v>
      </c>
      <c r="AB1597">
        <v>2</v>
      </c>
    </row>
    <row r="1598" spans="1:28">
      <c r="A1598" s="3" t="s">
        <v>1574</v>
      </c>
      <c r="D1598">
        <v>2</v>
      </c>
      <c r="AB1598">
        <v>2</v>
      </c>
    </row>
    <row r="1599" spans="1:28">
      <c r="A1599" s="3" t="s">
        <v>1575</v>
      </c>
      <c r="D1599">
        <v>2</v>
      </c>
      <c r="AB1599">
        <v>2</v>
      </c>
    </row>
    <row r="1600" spans="1:28">
      <c r="A1600" s="3" t="s">
        <v>1576</v>
      </c>
      <c r="D1600">
        <v>2</v>
      </c>
      <c r="AB1600">
        <v>2</v>
      </c>
    </row>
    <row r="1601" spans="1:28">
      <c r="A1601" s="3" t="s">
        <v>1577</v>
      </c>
      <c r="D1601">
        <v>2</v>
      </c>
      <c r="AB1601">
        <v>2</v>
      </c>
    </row>
    <row r="1602" spans="1:28">
      <c r="A1602" s="3" t="s">
        <v>1578</v>
      </c>
      <c r="D1602">
        <v>2</v>
      </c>
      <c r="AB1602">
        <v>2</v>
      </c>
    </row>
    <row r="1603" spans="1:28">
      <c r="A1603" s="3" t="s">
        <v>1579</v>
      </c>
      <c r="D1603">
        <v>2</v>
      </c>
      <c r="AB1603">
        <v>2</v>
      </c>
    </row>
    <row r="1604" spans="1:28">
      <c r="A1604" s="3" t="s">
        <v>1580</v>
      </c>
      <c r="D1604">
        <v>2</v>
      </c>
      <c r="AB1604">
        <v>2</v>
      </c>
    </row>
    <row r="1605" spans="1:28">
      <c r="A1605" s="3" t="s">
        <v>1581</v>
      </c>
      <c r="D1605">
        <v>2</v>
      </c>
      <c r="AB1605">
        <v>2</v>
      </c>
    </row>
    <row r="1606" spans="1:28">
      <c r="A1606" s="3" t="s">
        <v>1582</v>
      </c>
      <c r="D1606">
        <v>2</v>
      </c>
      <c r="AB1606">
        <v>2</v>
      </c>
    </row>
    <row r="1607" spans="1:28">
      <c r="A1607" s="3" t="s">
        <v>1583</v>
      </c>
      <c r="D1607">
        <v>2</v>
      </c>
      <c r="AB1607">
        <v>2</v>
      </c>
    </row>
    <row r="1608" spans="1:28">
      <c r="A1608" s="3" t="s">
        <v>1584</v>
      </c>
      <c r="D1608">
        <v>2</v>
      </c>
      <c r="AB1608">
        <v>2</v>
      </c>
    </row>
    <row r="1609" spans="1:28">
      <c r="A1609" s="3" t="s">
        <v>1585</v>
      </c>
      <c r="D1609">
        <v>2</v>
      </c>
      <c r="AB1609">
        <v>2</v>
      </c>
    </row>
    <row r="1610" spans="1:28">
      <c r="A1610" s="3" t="s">
        <v>1586</v>
      </c>
      <c r="D1610">
        <v>2</v>
      </c>
      <c r="AB1610">
        <v>2</v>
      </c>
    </row>
    <row r="1611" spans="1:28">
      <c r="A1611" s="3" t="s">
        <v>1587</v>
      </c>
      <c r="D1611">
        <v>2</v>
      </c>
      <c r="AB1611">
        <v>2</v>
      </c>
    </row>
    <row r="1612" spans="1:28">
      <c r="A1612" s="3" t="s">
        <v>1588</v>
      </c>
      <c r="D1612">
        <v>2</v>
      </c>
      <c r="AB1612">
        <v>2</v>
      </c>
    </row>
    <row r="1613" spans="1:28">
      <c r="A1613" s="3" t="s">
        <v>1589</v>
      </c>
      <c r="D1613">
        <v>2</v>
      </c>
      <c r="AB1613">
        <v>2</v>
      </c>
    </row>
    <row r="1614" spans="1:28">
      <c r="A1614" s="3" t="s">
        <v>1590</v>
      </c>
      <c r="D1614">
        <v>2</v>
      </c>
      <c r="AB1614">
        <v>2</v>
      </c>
    </row>
    <row r="1615" spans="1:28">
      <c r="A1615" s="3" t="s">
        <v>1591</v>
      </c>
      <c r="D1615">
        <v>2</v>
      </c>
      <c r="AB1615">
        <v>2</v>
      </c>
    </row>
    <row r="1616" spans="1:28">
      <c r="A1616" s="3" t="s">
        <v>1592</v>
      </c>
      <c r="D1616">
        <v>2</v>
      </c>
      <c r="AB1616">
        <v>2</v>
      </c>
    </row>
    <row r="1617" spans="1:29">
      <c r="A1617" s="3" t="s">
        <v>1593</v>
      </c>
      <c r="D1617">
        <v>2</v>
      </c>
      <c r="AB1617">
        <v>2</v>
      </c>
    </row>
    <row r="1618" spans="1:29">
      <c r="A1618" s="3" t="s">
        <v>1594</v>
      </c>
      <c r="D1618">
        <v>2</v>
      </c>
      <c r="AB1618">
        <v>2</v>
      </c>
    </row>
    <row r="1619" spans="1:29">
      <c r="A1619" s="3" t="s">
        <v>1595</v>
      </c>
      <c r="D1619">
        <v>2</v>
      </c>
      <c r="AB1619">
        <v>2</v>
      </c>
    </row>
    <row r="1620" spans="1:29">
      <c r="A1620" s="3" t="s">
        <v>1596</v>
      </c>
      <c r="D1620">
        <v>2</v>
      </c>
      <c r="AB1620">
        <v>2</v>
      </c>
    </row>
    <row r="1621" spans="1:29">
      <c r="A1621" s="3" t="s">
        <v>1597</v>
      </c>
      <c r="D1621">
        <v>2</v>
      </c>
      <c r="AB1621">
        <v>2</v>
      </c>
    </row>
    <row r="1622" spans="1:29">
      <c r="A1622" s="3" t="s">
        <v>1598</v>
      </c>
      <c r="D1622">
        <v>2</v>
      </c>
      <c r="AB1622">
        <v>2</v>
      </c>
    </row>
    <row r="1623" spans="1:29">
      <c r="A1623" s="3" t="s">
        <v>1599</v>
      </c>
      <c r="D1623">
        <v>2</v>
      </c>
      <c r="AC1623">
        <v>1</v>
      </c>
    </row>
    <row r="1624" spans="1:29">
      <c r="A1624" s="3" t="s">
        <v>1600</v>
      </c>
      <c r="D1624">
        <v>2</v>
      </c>
      <c r="AC1624">
        <v>1</v>
      </c>
    </row>
    <row r="1625" spans="1:29">
      <c r="A1625" s="3" t="s">
        <v>1601</v>
      </c>
      <c r="D1625">
        <v>2</v>
      </c>
      <c r="AC1625">
        <v>1</v>
      </c>
    </row>
    <row r="1626" spans="1:29">
      <c r="A1626" s="3" t="s">
        <v>1602</v>
      </c>
      <c r="D1626">
        <v>2</v>
      </c>
      <c r="AC1626">
        <v>1</v>
      </c>
    </row>
    <row r="1627" spans="1:29">
      <c r="A1627" s="3" t="s">
        <v>1603</v>
      </c>
      <c r="D1627">
        <v>2</v>
      </c>
      <c r="AC1627">
        <v>1</v>
      </c>
    </row>
    <row r="1628" spans="1:29">
      <c r="A1628" s="3" t="s">
        <v>1604</v>
      </c>
      <c r="D1628">
        <v>2</v>
      </c>
      <c r="AC1628">
        <v>1</v>
      </c>
    </row>
    <row r="1629" spans="1:29">
      <c r="A1629" s="3" t="s">
        <v>1605</v>
      </c>
      <c r="D1629">
        <v>2</v>
      </c>
      <c r="AC1629">
        <v>1</v>
      </c>
    </row>
    <row r="1630" spans="1:29">
      <c r="A1630" s="3" t="s">
        <v>1606</v>
      </c>
      <c r="D1630">
        <v>2</v>
      </c>
      <c r="AC1630">
        <v>1</v>
      </c>
    </row>
    <row r="1631" spans="1:29">
      <c r="A1631" s="3" t="s">
        <v>1607</v>
      </c>
      <c r="D1631">
        <v>2</v>
      </c>
      <c r="AC1631">
        <v>1</v>
      </c>
    </row>
    <row r="1632" spans="1:29">
      <c r="A1632" s="3" t="s">
        <v>1608</v>
      </c>
      <c r="D1632">
        <v>2</v>
      </c>
      <c r="AC1632">
        <v>1</v>
      </c>
    </row>
    <row r="1633" spans="1:29">
      <c r="A1633" s="3" t="s">
        <v>1609</v>
      </c>
      <c r="D1633">
        <v>2</v>
      </c>
      <c r="AC1633">
        <v>1</v>
      </c>
    </row>
    <row r="1634" spans="1:29">
      <c r="A1634" s="3" t="s">
        <v>1610</v>
      </c>
      <c r="D1634">
        <v>2</v>
      </c>
      <c r="AC1634">
        <v>1</v>
      </c>
    </row>
    <row r="1635" spans="1:29">
      <c r="A1635" s="3" t="s">
        <v>1611</v>
      </c>
      <c r="D1635">
        <v>2</v>
      </c>
      <c r="AC1635">
        <v>1</v>
      </c>
    </row>
    <row r="1636" spans="1:29">
      <c r="A1636" s="3" t="s">
        <v>1612</v>
      </c>
      <c r="D1636">
        <v>2</v>
      </c>
      <c r="AC1636">
        <v>1</v>
      </c>
    </row>
    <row r="1637" spans="1:29">
      <c r="A1637" s="3" t="s">
        <v>1613</v>
      </c>
      <c r="D1637">
        <v>2</v>
      </c>
      <c r="AC1637">
        <v>1</v>
      </c>
    </row>
    <row r="1638" spans="1:29">
      <c r="A1638" s="3" t="s">
        <v>1614</v>
      </c>
      <c r="D1638">
        <v>2</v>
      </c>
      <c r="AC1638">
        <v>1</v>
      </c>
    </row>
    <row r="1639" spans="1:29">
      <c r="A1639" s="3" t="s">
        <v>1615</v>
      </c>
      <c r="D1639">
        <v>2</v>
      </c>
      <c r="AC1639">
        <v>1</v>
      </c>
    </row>
    <row r="1640" spans="1:29">
      <c r="A1640" s="3" t="s">
        <v>1616</v>
      </c>
      <c r="D1640">
        <v>2</v>
      </c>
      <c r="AC1640">
        <v>1</v>
      </c>
    </row>
    <row r="1641" spans="1:29">
      <c r="A1641" s="3" t="s">
        <v>1617</v>
      </c>
      <c r="D1641">
        <v>2</v>
      </c>
      <c r="AC1641">
        <v>1</v>
      </c>
    </row>
    <row r="1642" spans="1:29">
      <c r="A1642" s="3" t="s">
        <v>1618</v>
      </c>
      <c r="D1642">
        <v>2</v>
      </c>
      <c r="AC1642">
        <v>1</v>
      </c>
    </row>
    <row r="1643" spans="1:29">
      <c r="A1643" s="3" t="s">
        <v>1619</v>
      </c>
      <c r="D1643">
        <v>2</v>
      </c>
      <c r="AC1643">
        <v>1</v>
      </c>
    </row>
    <row r="1644" spans="1:29">
      <c r="A1644" s="3" t="s">
        <v>1620</v>
      </c>
      <c r="D1644">
        <v>2</v>
      </c>
      <c r="AC1644">
        <v>1</v>
      </c>
    </row>
    <row r="1645" spans="1:29">
      <c r="A1645" s="3" t="s">
        <v>1621</v>
      </c>
      <c r="D1645">
        <v>2</v>
      </c>
      <c r="AC1645">
        <v>1</v>
      </c>
    </row>
    <row r="1646" spans="1:29">
      <c r="A1646" s="3" t="s">
        <v>1622</v>
      </c>
      <c r="D1646">
        <v>2</v>
      </c>
      <c r="AC1646">
        <v>1</v>
      </c>
    </row>
    <row r="1647" spans="1:29">
      <c r="A1647" s="3" t="s">
        <v>1623</v>
      </c>
      <c r="D1647">
        <v>2</v>
      </c>
      <c r="AC1647">
        <v>1</v>
      </c>
    </row>
    <row r="1648" spans="1:29">
      <c r="A1648" s="3" t="s">
        <v>1624</v>
      </c>
      <c r="D1648">
        <v>2</v>
      </c>
      <c r="AC1648">
        <v>1</v>
      </c>
    </row>
    <row r="1649" spans="1:29">
      <c r="A1649" s="3" t="s">
        <v>1625</v>
      </c>
      <c r="D1649">
        <v>2</v>
      </c>
      <c r="AC1649">
        <v>1</v>
      </c>
    </row>
    <row r="1650" spans="1:29">
      <c r="A1650" s="3" t="s">
        <v>1626</v>
      </c>
      <c r="D1650">
        <v>2</v>
      </c>
      <c r="AC1650">
        <v>1</v>
      </c>
    </row>
    <row r="1651" spans="1:29">
      <c r="A1651" s="3" t="s">
        <v>1627</v>
      </c>
      <c r="D1651">
        <v>2</v>
      </c>
      <c r="AC1651">
        <v>1</v>
      </c>
    </row>
    <row r="1652" spans="1:29">
      <c r="A1652" s="3" t="s">
        <v>1628</v>
      </c>
      <c r="D1652">
        <v>2</v>
      </c>
      <c r="AC1652">
        <v>1</v>
      </c>
    </row>
    <row r="1653" spans="1:29">
      <c r="A1653" s="3" t="s">
        <v>1629</v>
      </c>
      <c r="D1653">
        <v>2</v>
      </c>
      <c r="AC1653">
        <v>1</v>
      </c>
    </row>
    <row r="1654" spans="1:29">
      <c r="A1654" s="3" t="s">
        <v>1630</v>
      </c>
      <c r="D1654">
        <v>2</v>
      </c>
      <c r="AC1654">
        <v>1</v>
      </c>
    </row>
    <row r="1655" spans="1:29">
      <c r="A1655" s="3" t="s">
        <v>1631</v>
      </c>
      <c r="D1655">
        <v>2</v>
      </c>
      <c r="AC1655">
        <v>1</v>
      </c>
    </row>
    <row r="1656" spans="1:29">
      <c r="A1656" s="3" t="s">
        <v>1632</v>
      </c>
      <c r="D1656">
        <v>2</v>
      </c>
      <c r="AC1656">
        <v>1</v>
      </c>
    </row>
    <row r="1657" spans="1:29">
      <c r="A1657" s="3" t="s">
        <v>1633</v>
      </c>
      <c r="D1657">
        <v>2</v>
      </c>
      <c r="AC1657">
        <v>1</v>
      </c>
    </row>
    <row r="1658" spans="1:29">
      <c r="A1658" s="3" t="s">
        <v>1634</v>
      </c>
      <c r="D1658">
        <v>2</v>
      </c>
      <c r="AC1658">
        <v>1</v>
      </c>
    </row>
    <row r="1659" spans="1:29">
      <c r="A1659" s="3" t="s">
        <v>1635</v>
      </c>
      <c r="D1659">
        <v>2</v>
      </c>
      <c r="AC1659">
        <v>1</v>
      </c>
    </row>
    <row r="1660" spans="1:29">
      <c r="A1660" s="3" t="s">
        <v>1636</v>
      </c>
      <c r="D1660">
        <v>2</v>
      </c>
      <c r="AC1660">
        <v>1</v>
      </c>
    </row>
    <row r="1661" spans="1:29">
      <c r="A1661" s="3" t="s">
        <v>1637</v>
      </c>
      <c r="D1661">
        <v>2</v>
      </c>
      <c r="AC1661">
        <v>1</v>
      </c>
    </row>
    <row r="1662" spans="1:29">
      <c r="A1662" s="3" t="s">
        <v>1638</v>
      </c>
      <c r="D1662">
        <v>2</v>
      </c>
      <c r="AC1662">
        <v>1</v>
      </c>
    </row>
    <row r="1663" spans="1:29">
      <c r="A1663" s="3" t="s">
        <v>1639</v>
      </c>
      <c r="D1663">
        <v>2</v>
      </c>
      <c r="AC1663">
        <v>1</v>
      </c>
    </row>
    <row r="1664" spans="1:29">
      <c r="A1664" s="3" t="s">
        <v>1640</v>
      </c>
      <c r="D1664">
        <v>2</v>
      </c>
      <c r="AC1664">
        <v>1</v>
      </c>
    </row>
    <row r="1665" spans="1:29">
      <c r="A1665" s="3" t="s">
        <v>1641</v>
      </c>
      <c r="D1665">
        <v>2</v>
      </c>
      <c r="AC1665">
        <v>1</v>
      </c>
    </row>
    <row r="1666" spans="1:29">
      <c r="A1666" s="3" t="s">
        <v>1642</v>
      </c>
      <c r="D1666">
        <v>2</v>
      </c>
      <c r="AC1666">
        <v>1</v>
      </c>
    </row>
    <row r="1667" spans="1:29">
      <c r="A1667" s="3" t="s">
        <v>1643</v>
      </c>
      <c r="D1667">
        <v>2</v>
      </c>
      <c r="AC1667">
        <v>1</v>
      </c>
    </row>
    <row r="1668" spans="1:29">
      <c r="A1668" s="3" t="s">
        <v>1644</v>
      </c>
      <c r="D1668">
        <v>2</v>
      </c>
      <c r="AC1668">
        <v>1</v>
      </c>
    </row>
    <row r="1669" spans="1:29">
      <c r="A1669" s="3" t="s">
        <v>1645</v>
      </c>
      <c r="D1669">
        <v>2</v>
      </c>
      <c r="AC1669">
        <v>1</v>
      </c>
    </row>
    <row r="1670" spans="1:29">
      <c r="A1670" s="3" t="s">
        <v>1646</v>
      </c>
      <c r="D1670">
        <v>2</v>
      </c>
      <c r="AC1670">
        <v>1</v>
      </c>
    </row>
    <row r="1671" spans="1:29">
      <c r="A1671" s="3" t="s">
        <v>1647</v>
      </c>
      <c r="D1671">
        <v>2</v>
      </c>
      <c r="AC1671">
        <v>1</v>
      </c>
    </row>
    <row r="1672" spans="1:29">
      <c r="A1672" s="3" t="s">
        <v>1648</v>
      </c>
      <c r="D1672">
        <v>2</v>
      </c>
      <c r="AC1672">
        <v>1</v>
      </c>
    </row>
    <row r="1673" spans="1:29">
      <c r="A1673" s="3" t="s">
        <v>1649</v>
      </c>
      <c r="D1673">
        <v>2</v>
      </c>
      <c r="AC1673">
        <v>1</v>
      </c>
    </row>
    <row r="1674" spans="1:29">
      <c r="A1674" s="3" t="s">
        <v>1650</v>
      </c>
      <c r="D1674">
        <v>2</v>
      </c>
      <c r="AC1674">
        <v>1</v>
      </c>
    </row>
    <row r="1675" spans="1:29">
      <c r="A1675" s="3" t="s">
        <v>1651</v>
      </c>
      <c r="D1675">
        <v>2</v>
      </c>
      <c r="AC1675">
        <v>1</v>
      </c>
    </row>
    <row r="1676" spans="1:29">
      <c r="A1676" s="3" t="s">
        <v>1652</v>
      </c>
      <c r="D1676">
        <v>2</v>
      </c>
      <c r="AC1676">
        <v>1</v>
      </c>
    </row>
    <row r="1677" spans="1:29">
      <c r="A1677" s="3" t="s">
        <v>1653</v>
      </c>
      <c r="D1677">
        <v>2</v>
      </c>
      <c r="AC1677">
        <v>1</v>
      </c>
    </row>
    <row r="1678" spans="1:29">
      <c r="A1678" s="3" t="s">
        <v>1654</v>
      </c>
      <c r="D1678">
        <v>2</v>
      </c>
      <c r="AC1678">
        <v>1</v>
      </c>
    </row>
    <row r="1679" spans="1:29">
      <c r="A1679" s="3" t="s">
        <v>1655</v>
      </c>
      <c r="D1679">
        <v>2</v>
      </c>
      <c r="AC1679">
        <v>1</v>
      </c>
    </row>
    <row r="1680" spans="1:29">
      <c r="A1680" s="3" t="s">
        <v>1656</v>
      </c>
      <c r="D1680">
        <v>2</v>
      </c>
      <c r="AC1680">
        <v>1</v>
      </c>
    </row>
    <row r="1681" spans="1:29">
      <c r="A1681" s="3" t="s">
        <v>1657</v>
      </c>
      <c r="D1681">
        <v>2</v>
      </c>
      <c r="AC1681">
        <v>1</v>
      </c>
    </row>
    <row r="1682" spans="1:29">
      <c r="A1682" s="3" t="s">
        <v>1658</v>
      </c>
      <c r="D1682">
        <v>2</v>
      </c>
      <c r="AC1682">
        <v>1</v>
      </c>
    </row>
    <row r="1683" spans="1:29">
      <c r="A1683" s="3" t="s">
        <v>1659</v>
      </c>
      <c r="D1683">
        <v>2</v>
      </c>
      <c r="AC1683">
        <v>1</v>
      </c>
    </row>
    <row r="1684" spans="1:29">
      <c r="A1684" s="3" t="s">
        <v>1660</v>
      </c>
      <c r="D1684">
        <v>2</v>
      </c>
      <c r="AC1684">
        <v>1</v>
      </c>
    </row>
    <row r="1685" spans="1:29">
      <c r="A1685" s="3" t="s">
        <v>1661</v>
      </c>
      <c r="D1685">
        <v>2</v>
      </c>
      <c r="AC1685">
        <v>1</v>
      </c>
    </row>
    <row r="1686" spans="1:29">
      <c r="A1686" s="3" t="s">
        <v>1662</v>
      </c>
      <c r="D1686">
        <v>2</v>
      </c>
      <c r="AC1686">
        <v>1</v>
      </c>
    </row>
    <row r="1687" spans="1:29">
      <c r="A1687" s="3" t="s">
        <v>1663</v>
      </c>
      <c r="D1687">
        <v>2</v>
      </c>
      <c r="AC1687">
        <v>1</v>
      </c>
    </row>
    <row r="1688" spans="1:29">
      <c r="A1688" s="3" t="s">
        <v>1664</v>
      </c>
      <c r="D1688">
        <v>2</v>
      </c>
      <c r="AC1688">
        <v>1</v>
      </c>
    </row>
    <row r="1689" spans="1:29">
      <c r="A1689" s="3" t="s">
        <v>1665</v>
      </c>
      <c r="D1689">
        <v>2</v>
      </c>
      <c r="AC1689">
        <v>1</v>
      </c>
    </row>
    <row r="1690" spans="1:29">
      <c r="A1690" s="3" t="s">
        <v>1666</v>
      </c>
      <c r="D1690">
        <v>2</v>
      </c>
      <c r="AC1690">
        <v>1</v>
      </c>
    </row>
    <row r="1691" spans="1:29">
      <c r="A1691" s="3" t="s">
        <v>1667</v>
      </c>
      <c r="D1691">
        <v>2</v>
      </c>
      <c r="AC1691">
        <v>1</v>
      </c>
    </row>
    <row r="1692" spans="1:29">
      <c r="A1692" s="3" t="s">
        <v>1668</v>
      </c>
      <c r="D1692">
        <v>2</v>
      </c>
      <c r="AC1692">
        <v>1</v>
      </c>
    </row>
    <row r="1693" spans="1:29">
      <c r="A1693" s="3" t="s">
        <v>1669</v>
      </c>
      <c r="D1693">
        <v>2</v>
      </c>
      <c r="AC1693">
        <v>1</v>
      </c>
    </row>
    <row r="1694" spans="1:29">
      <c r="A1694" s="3" t="s">
        <v>1670</v>
      </c>
      <c r="D1694">
        <v>2</v>
      </c>
      <c r="AC1694">
        <v>1</v>
      </c>
    </row>
    <row r="1695" spans="1:29">
      <c r="A1695" s="3" t="s">
        <v>1671</v>
      </c>
      <c r="D1695">
        <v>2</v>
      </c>
      <c r="AC1695">
        <v>1</v>
      </c>
    </row>
    <row r="1696" spans="1:29">
      <c r="A1696" s="3" t="s">
        <v>1672</v>
      </c>
      <c r="D1696">
        <v>2</v>
      </c>
      <c r="AC1696">
        <v>1</v>
      </c>
    </row>
    <row r="1697" spans="1:29">
      <c r="A1697" s="3" t="s">
        <v>1673</v>
      </c>
      <c r="D1697">
        <v>2</v>
      </c>
      <c r="AC1697">
        <v>1</v>
      </c>
    </row>
    <row r="1698" spans="1:29">
      <c r="A1698" s="3" t="s">
        <v>1674</v>
      </c>
      <c r="D1698">
        <v>2</v>
      </c>
      <c r="AC1698">
        <v>1</v>
      </c>
    </row>
    <row r="1699" spans="1:29">
      <c r="A1699" s="3" t="s">
        <v>1675</v>
      </c>
      <c r="D1699">
        <v>2</v>
      </c>
      <c r="AC1699">
        <v>1</v>
      </c>
    </row>
    <row r="1700" spans="1:29">
      <c r="A1700" s="3" t="s">
        <v>1676</v>
      </c>
      <c r="D1700">
        <v>2</v>
      </c>
      <c r="AC1700">
        <v>1</v>
      </c>
    </row>
    <row r="1701" spans="1:29">
      <c r="A1701" s="3" t="s">
        <v>1677</v>
      </c>
      <c r="D1701">
        <v>2</v>
      </c>
      <c r="AC1701">
        <v>1</v>
      </c>
    </row>
    <row r="1702" spans="1:29">
      <c r="A1702" s="3" t="s">
        <v>1678</v>
      </c>
      <c r="D1702">
        <v>2</v>
      </c>
      <c r="AC1702">
        <v>1</v>
      </c>
    </row>
    <row r="1703" spans="1:29">
      <c r="A1703" s="3" t="s">
        <v>1679</v>
      </c>
      <c r="D1703">
        <v>2</v>
      </c>
      <c r="AC1703">
        <v>1</v>
      </c>
    </row>
    <row r="1704" spans="1:29">
      <c r="A1704" s="3" t="s">
        <v>1680</v>
      </c>
      <c r="D1704">
        <v>2</v>
      </c>
      <c r="AC1704">
        <v>1</v>
      </c>
    </row>
    <row r="1705" spans="1:29">
      <c r="A1705" s="3" t="s">
        <v>1681</v>
      </c>
      <c r="D1705">
        <v>2</v>
      </c>
      <c r="AC1705">
        <v>1</v>
      </c>
    </row>
    <row r="1706" spans="1:29">
      <c r="A1706" s="3" t="s">
        <v>1682</v>
      </c>
      <c r="D1706">
        <v>2</v>
      </c>
      <c r="AC1706">
        <v>1</v>
      </c>
    </row>
    <row r="1707" spans="1:29">
      <c r="A1707" s="3" t="s">
        <v>1683</v>
      </c>
      <c r="D1707">
        <v>2</v>
      </c>
      <c r="AC1707">
        <v>1</v>
      </c>
    </row>
    <row r="1708" spans="1:29">
      <c r="A1708" s="3" t="s">
        <v>1684</v>
      </c>
      <c r="D1708">
        <v>2</v>
      </c>
      <c r="AC1708">
        <v>1</v>
      </c>
    </row>
    <row r="1709" spans="1:29">
      <c r="A1709" s="3" t="s">
        <v>1685</v>
      </c>
      <c r="D1709">
        <v>2</v>
      </c>
      <c r="AC1709">
        <v>1</v>
      </c>
    </row>
    <row r="1710" spans="1:29">
      <c r="A1710" s="3" t="s">
        <v>1686</v>
      </c>
      <c r="D1710">
        <v>2</v>
      </c>
      <c r="AC1710">
        <v>1</v>
      </c>
    </row>
    <row r="1711" spans="1:29">
      <c r="A1711" s="3" t="s">
        <v>1687</v>
      </c>
      <c r="D1711">
        <v>2</v>
      </c>
      <c r="AC1711">
        <v>1</v>
      </c>
    </row>
    <row r="1712" spans="1:29">
      <c r="A1712" s="3" t="s">
        <v>1688</v>
      </c>
      <c r="D1712">
        <v>2</v>
      </c>
      <c r="AC1712">
        <v>1</v>
      </c>
    </row>
    <row r="1713" spans="1:29">
      <c r="A1713" s="3" t="s">
        <v>1689</v>
      </c>
      <c r="D1713">
        <v>2</v>
      </c>
      <c r="AC1713">
        <v>1</v>
      </c>
    </row>
    <row r="1714" spans="1:29">
      <c r="A1714" s="3" t="s">
        <v>1690</v>
      </c>
      <c r="D1714">
        <v>2</v>
      </c>
      <c r="AC1714">
        <v>1</v>
      </c>
    </row>
    <row r="1715" spans="1:29">
      <c r="A1715" s="3" t="s">
        <v>1691</v>
      </c>
      <c r="D1715">
        <v>2</v>
      </c>
      <c r="AC1715">
        <v>1</v>
      </c>
    </row>
    <row r="1716" spans="1:29">
      <c r="A1716" s="3" t="s">
        <v>1692</v>
      </c>
      <c r="D1716">
        <v>2</v>
      </c>
      <c r="AC1716">
        <v>1</v>
      </c>
    </row>
    <row r="1717" spans="1:29">
      <c r="A1717" s="3" t="s">
        <v>1693</v>
      </c>
      <c r="D1717">
        <v>2</v>
      </c>
      <c r="AC1717">
        <v>1</v>
      </c>
    </row>
    <row r="1718" spans="1:29">
      <c r="A1718" s="3" t="s">
        <v>1694</v>
      </c>
      <c r="D1718">
        <v>2</v>
      </c>
      <c r="AC1718">
        <v>1</v>
      </c>
    </row>
    <row r="1719" spans="1:29">
      <c r="A1719" s="3" t="s">
        <v>1695</v>
      </c>
      <c r="D1719">
        <v>2</v>
      </c>
      <c r="AC1719">
        <v>1</v>
      </c>
    </row>
    <row r="1720" spans="1:29">
      <c r="A1720" s="3" t="s">
        <v>1696</v>
      </c>
      <c r="D1720">
        <v>2</v>
      </c>
      <c r="AC1720">
        <v>1</v>
      </c>
    </row>
    <row r="1721" spans="1:29">
      <c r="A1721" s="3" t="s">
        <v>1697</v>
      </c>
      <c r="D1721">
        <v>2</v>
      </c>
      <c r="AC1721">
        <v>1</v>
      </c>
    </row>
    <row r="1722" spans="1:29">
      <c r="A1722" s="3" t="s">
        <v>1698</v>
      </c>
      <c r="D1722">
        <v>2</v>
      </c>
      <c r="AC1722">
        <v>1</v>
      </c>
    </row>
    <row r="1723" spans="1:29">
      <c r="A1723" s="3" t="s">
        <v>1699</v>
      </c>
      <c r="D1723">
        <v>2</v>
      </c>
      <c r="AC1723">
        <v>1</v>
      </c>
    </row>
    <row r="1724" spans="1:29">
      <c r="A1724" s="3" t="s">
        <v>1700</v>
      </c>
      <c r="D1724">
        <v>2</v>
      </c>
      <c r="AC1724">
        <v>1</v>
      </c>
    </row>
    <row r="1725" spans="1:29">
      <c r="A1725" s="3" t="s">
        <v>1701</v>
      </c>
      <c r="D1725">
        <v>2</v>
      </c>
      <c r="AC1725">
        <v>1</v>
      </c>
    </row>
    <row r="1726" spans="1:29">
      <c r="A1726" s="3" t="s">
        <v>1702</v>
      </c>
      <c r="D1726">
        <v>2</v>
      </c>
      <c r="AC1726">
        <v>1</v>
      </c>
    </row>
    <row r="1727" spans="1:29">
      <c r="A1727" s="3" t="s">
        <v>1703</v>
      </c>
      <c r="D1727">
        <v>2</v>
      </c>
      <c r="AC1727">
        <v>1</v>
      </c>
    </row>
    <row r="1728" spans="1:29">
      <c r="A1728" s="3" t="s">
        <v>1704</v>
      </c>
      <c r="D1728">
        <v>2</v>
      </c>
      <c r="AC1728">
        <v>1</v>
      </c>
    </row>
    <row r="1729" spans="1:29">
      <c r="A1729" s="3" t="s">
        <v>1705</v>
      </c>
      <c r="D1729">
        <v>2</v>
      </c>
      <c r="AC1729">
        <v>1</v>
      </c>
    </row>
    <row r="1730" spans="1:29">
      <c r="A1730" s="3" t="s">
        <v>1706</v>
      </c>
      <c r="D1730">
        <v>2</v>
      </c>
      <c r="AC1730">
        <v>1</v>
      </c>
    </row>
    <row r="1731" spans="1:29">
      <c r="A1731" s="3" t="s">
        <v>1707</v>
      </c>
      <c r="D1731">
        <v>2</v>
      </c>
      <c r="AC1731">
        <v>1</v>
      </c>
    </row>
    <row r="1732" spans="1:29">
      <c r="A1732" s="3" t="s">
        <v>1708</v>
      </c>
      <c r="D1732">
        <v>2</v>
      </c>
      <c r="AC1732">
        <v>1</v>
      </c>
    </row>
    <row r="1733" spans="1:29">
      <c r="A1733" s="3" t="s">
        <v>1709</v>
      </c>
      <c r="D1733">
        <v>2</v>
      </c>
      <c r="AC1733">
        <v>1</v>
      </c>
    </row>
    <row r="1734" spans="1:29">
      <c r="A1734" s="3" t="s">
        <v>1710</v>
      </c>
      <c r="D1734">
        <v>2</v>
      </c>
      <c r="AC1734">
        <v>1</v>
      </c>
    </row>
    <row r="1735" spans="1:29">
      <c r="A1735" s="3" t="s">
        <v>1711</v>
      </c>
      <c r="D1735">
        <v>2</v>
      </c>
      <c r="AC1735">
        <v>1</v>
      </c>
    </row>
    <row r="1736" spans="1:29">
      <c r="A1736" s="3" t="s">
        <v>1712</v>
      </c>
      <c r="D1736">
        <v>2</v>
      </c>
      <c r="AC1736">
        <v>1</v>
      </c>
    </row>
    <row r="1737" spans="1:29">
      <c r="A1737" s="3" t="s">
        <v>1713</v>
      </c>
      <c r="D1737">
        <v>2</v>
      </c>
      <c r="AC1737">
        <v>1</v>
      </c>
    </row>
    <row r="1738" spans="1:29">
      <c r="A1738" s="3" t="s">
        <v>1714</v>
      </c>
      <c r="D1738">
        <v>2</v>
      </c>
      <c r="AC1738">
        <v>1</v>
      </c>
    </row>
    <row r="1739" spans="1:29">
      <c r="A1739" s="3" t="s">
        <v>1715</v>
      </c>
      <c r="D1739">
        <v>2</v>
      </c>
      <c r="AC1739">
        <v>1</v>
      </c>
    </row>
    <row r="1740" spans="1:29">
      <c r="A1740" s="3" t="s">
        <v>1716</v>
      </c>
      <c r="D1740">
        <v>2</v>
      </c>
      <c r="AC1740">
        <v>1</v>
      </c>
    </row>
    <row r="1741" spans="1:29">
      <c r="A1741" s="3" t="s">
        <v>1717</v>
      </c>
      <c r="D1741">
        <v>2</v>
      </c>
      <c r="AC1741">
        <v>1</v>
      </c>
    </row>
    <row r="1742" spans="1:29">
      <c r="A1742" s="3" t="s">
        <v>1718</v>
      </c>
      <c r="D1742">
        <v>2</v>
      </c>
      <c r="AC1742">
        <v>1</v>
      </c>
    </row>
    <row r="1743" spans="1:29">
      <c r="A1743" s="3" t="s">
        <v>1719</v>
      </c>
      <c r="D1743">
        <v>2</v>
      </c>
      <c r="AC1743">
        <v>1</v>
      </c>
    </row>
    <row r="1744" spans="1:29">
      <c r="A1744" s="3" t="s">
        <v>1720</v>
      </c>
      <c r="D1744">
        <v>2</v>
      </c>
      <c r="AC1744">
        <v>1</v>
      </c>
    </row>
    <row r="1745" spans="1:29">
      <c r="A1745" s="3" t="s">
        <v>1721</v>
      </c>
      <c r="D1745">
        <v>2</v>
      </c>
      <c r="AC1745">
        <v>1</v>
      </c>
    </row>
    <row r="1746" spans="1:29">
      <c r="A1746" s="3" t="s">
        <v>1722</v>
      </c>
      <c r="D1746">
        <v>2</v>
      </c>
      <c r="AC1746">
        <v>1</v>
      </c>
    </row>
    <row r="1747" spans="1:29">
      <c r="A1747" s="3" t="s">
        <v>1723</v>
      </c>
      <c r="D1747">
        <v>2</v>
      </c>
      <c r="AC1747">
        <v>1</v>
      </c>
    </row>
    <row r="1748" spans="1:29">
      <c r="A1748" s="3" t="s">
        <v>1724</v>
      </c>
      <c r="D1748">
        <v>2</v>
      </c>
      <c r="AC1748">
        <v>1</v>
      </c>
    </row>
    <row r="1749" spans="1:29">
      <c r="A1749" s="3" t="s">
        <v>1725</v>
      </c>
      <c r="D1749">
        <v>2</v>
      </c>
      <c r="AC1749">
        <v>1</v>
      </c>
    </row>
    <row r="1750" spans="1:29">
      <c r="A1750" s="3" t="s">
        <v>1726</v>
      </c>
      <c r="D1750">
        <v>2</v>
      </c>
      <c r="AC1750">
        <v>1</v>
      </c>
    </row>
    <row r="1751" spans="1:29">
      <c r="A1751" s="3" t="s">
        <v>1727</v>
      </c>
      <c r="D1751">
        <v>2</v>
      </c>
      <c r="AC1751">
        <v>1</v>
      </c>
    </row>
    <row r="1752" spans="1:29">
      <c r="A1752" s="3" t="s">
        <v>1728</v>
      </c>
      <c r="D1752">
        <v>2</v>
      </c>
      <c r="AC1752">
        <v>1</v>
      </c>
    </row>
    <row r="1753" spans="1:29">
      <c r="A1753" s="3" t="s">
        <v>1729</v>
      </c>
      <c r="D1753">
        <v>2</v>
      </c>
      <c r="AC1753">
        <v>1</v>
      </c>
    </row>
    <row r="1754" spans="1:29">
      <c r="A1754" s="3" t="s">
        <v>1730</v>
      </c>
      <c r="D1754">
        <v>2</v>
      </c>
      <c r="AC1754">
        <v>1</v>
      </c>
    </row>
    <row r="1755" spans="1:29">
      <c r="A1755" s="3" t="s">
        <v>1731</v>
      </c>
      <c r="D1755">
        <v>2</v>
      </c>
      <c r="AC1755">
        <v>1</v>
      </c>
    </row>
    <row r="1756" spans="1:29">
      <c r="A1756" s="3" t="s">
        <v>1732</v>
      </c>
      <c r="D1756">
        <v>2</v>
      </c>
      <c r="AC1756">
        <v>1</v>
      </c>
    </row>
    <row r="1757" spans="1:29">
      <c r="A1757" s="3" t="s">
        <v>1733</v>
      </c>
      <c r="D1757">
        <v>2</v>
      </c>
      <c r="AC1757">
        <v>1</v>
      </c>
    </row>
    <row r="1758" spans="1:29">
      <c r="A1758" s="3" t="s">
        <v>1734</v>
      </c>
      <c r="D1758">
        <v>2</v>
      </c>
      <c r="AC1758">
        <v>1</v>
      </c>
    </row>
    <row r="1759" spans="1:29">
      <c r="A1759" s="3" t="s">
        <v>1735</v>
      </c>
      <c r="D1759">
        <v>2</v>
      </c>
      <c r="AC1759">
        <v>1</v>
      </c>
    </row>
    <row r="1760" spans="1:29">
      <c r="A1760" s="3" t="s">
        <v>1736</v>
      </c>
      <c r="D1760">
        <v>2</v>
      </c>
      <c r="AC1760">
        <v>1</v>
      </c>
    </row>
    <row r="1761" spans="1:29">
      <c r="A1761" s="3" t="s">
        <v>1737</v>
      </c>
      <c r="D1761">
        <v>2</v>
      </c>
      <c r="AC1761">
        <v>1</v>
      </c>
    </row>
    <row r="1762" spans="1:29">
      <c r="A1762" s="3" t="s">
        <v>1738</v>
      </c>
      <c r="D1762">
        <v>2</v>
      </c>
      <c r="AC1762">
        <v>1</v>
      </c>
    </row>
    <row r="1763" spans="1:29">
      <c r="A1763" s="3" t="s">
        <v>1739</v>
      </c>
      <c r="D1763">
        <v>2</v>
      </c>
      <c r="AC1763">
        <v>1</v>
      </c>
    </row>
    <row r="1764" spans="1:29">
      <c r="A1764" s="3" t="s">
        <v>1740</v>
      </c>
      <c r="D1764">
        <v>2</v>
      </c>
      <c r="AC1764">
        <v>1</v>
      </c>
    </row>
    <row r="1765" spans="1:29">
      <c r="A1765" s="3" t="s">
        <v>1741</v>
      </c>
      <c r="D1765">
        <v>2</v>
      </c>
      <c r="AC1765">
        <v>1</v>
      </c>
    </row>
    <row r="1766" spans="1:29">
      <c r="A1766" s="3" t="s">
        <v>1742</v>
      </c>
      <c r="D1766">
        <v>2</v>
      </c>
      <c r="AC1766">
        <v>1</v>
      </c>
    </row>
    <row r="1767" spans="1:29">
      <c r="A1767" s="3" t="s">
        <v>1743</v>
      </c>
      <c r="D1767">
        <v>2</v>
      </c>
      <c r="AC1767">
        <v>1</v>
      </c>
    </row>
    <row r="1768" spans="1:29">
      <c r="A1768" s="3" t="s">
        <v>1744</v>
      </c>
      <c r="D1768">
        <v>2</v>
      </c>
      <c r="AC1768">
        <v>1</v>
      </c>
    </row>
    <row r="1769" spans="1:29">
      <c r="A1769" s="3" t="s">
        <v>1745</v>
      </c>
      <c r="D1769">
        <v>2</v>
      </c>
      <c r="AC1769">
        <v>1</v>
      </c>
    </row>
    <row r="1770" spans="1:29">
      <c r="A1770" s="3" t="s">
        <v>1746</v>
      </c>
      <c r="D1770">
        <v>2</v>
      </c>
      <c r="AC1770">
        <v>1</v>
      </c>
    </row>
    <row r="1771" spans="1:29">
      <c r="A1771" s="3" t="s">
        <v>1747</v>
      </c>
      <c r="D1771">
        <v>2</v>
      </c>
      <c r="AC1771">
        <v>1</v>
      </c>
    </row>
    <row r="1772" spans="1:29">
      <c r="A1772" s="3" t="s">
        <v>1748</v>
      </c>
      <c r="D1772">
        <v>2</v>
      </c>
      <c r="AC1772">
        <v>1</v>
      </c>
    </row>
    <row r="1773" spans="1:29">
      <c r="A1773" s="3" t="s">
        <v>1749</v>
      </c>
      <c r="D1773">
        <v>2</v>
      </c>
      <c r="AC1773">
        <v>1</v>
      </c>
    </row>
    <row r="1774" spans="1:29">
      <c r="A1774" s="3" t="s">
        <v>1750</v>
      </c>
      <c r="D1774">
        <v>2</v>
      </c>
      <c r="AC1774">
        <v>1</v>
      </c>
    </row>
    <row r="1775" spans="1:29">
      <c r="A1775" s="3" t="s">
        <v>1751</v>
      </c>
      <c r="D1775">
        <v>2</v>
      </c>
      <c r="AC1775">
        <v>1</v>
      </c>
    </row>
    <row r="1776" spans="1:29">
      <c r="A1776" s="3" t="s">
        <v>1752</v>
      </c>
      <c r="D1776">
        <v>2</v>
      </c>
      <c r="AC1776">
        <v>1</v>
      </c>
    </row>
    <row r="1777" spans="1:29">
      <c r="A1777" s="3" t="s">
        <v>1753</v>
      </c>
      <c r="D1777">
        <v>2</v>
      </c>
      <c r="AC1777">
        <v>1</v>
      </c>
    </row>
    <row r="1778" spans="1:29">
      <c r="A1778" s="3" t="s">
        <v>1754</v>
      </c>
      <c r="D1778">
        <v>2</v>
      </c>
      <c r="AC1778">
        <v>1</v>
      </c>
    </row>
    <row r="1779" spans="1:29">
      <c r="A1779" s="3" t="s">
        <v>1755</v>
      </c>
      <c r="D1779">
        <v>2</v>
      </c>
      <c r="AC1779">
        <v>1</v>
      </c>
    </row>
    <row r="1780" spans="1:29">
      <c r="A1780" s="3" t="s">
        <v>1756</v>
      </c>
      <c r="D1780">
        <v>2</v>
      </c>
      <c r="AC1780">
        <v>1</v>
      </c>
    </row>
    <row r="1781" spans="1:29">
      <c r="A1781" s="3" t="s">
        <v>1757</v>
      </c>
      <c r="D1781">
        <v>2</v>
      </c>
      <c r="AC1781">
        <v>1</v>
      </c>
    </row>
    <row r="1782" spans="1:29">
      <c r="A1782" s="3" t="s">
        <v>1758</v>
      </c>
      <c r="D1782">
        <v>2</v>
      </c>
      <c r="AC1782">
        <v>1</v>
      </c>
    </row>
    <row r="1783" spans="1:29">
      <c r="A1783" s="3" t="s">
        <v>1759</v>
      </c>
      <c r="D1783">
        <v>2</v>
      </c>
      <c r="AC1783">
        <v>1</v>
      </c>
    </row>
    <row r="1784" spans="1:29">
      <c r="A1784" s="3" t="s">
        <v>1760</v>
      </c>
      <c r="D1784">
        <v>2</v>
      </c>
      <c r="AC1784">
        <v>1</v>
      </c>
    </row>
    <row r="1785" spans="1:29">
      <c r="A1785" s="3" t="s">
        <v>1761</v>
      </c>
      <c r="D1785">
        <v>2</v>
      </c>
      <c r="AC1785">
        <v>1</v>
      </c>
    </row>
    <row r="1786" spans="1:29">
      <c r="A1786" s="3" t="s">
        <v>1762</v>
      </c>
      <c r="D1786">
        <v>2</v>
      </c>
      <c r="AC1786">
        <v>1</v>
      </c>
    </row>
    <row r="1787" spans="1:29">
      <c r="A1787" s="3" t="s">
        <v>1763</v>
      </c>
      <c r="D1787">
        <v>2</v>
      </c>
      <c r="AC1787">
        <v>1</v>
      </c>
    </row>
    <row r="1788" spans="1:29">
      <c r="A1788" s="3" t="s">
        <v>1764</v>
      </c>
      <c r="D1788">
        <v>2</v>
      </c>
      <c r="AC1788">
        <v>1</v>
      </c>
    </row>
    <row r="1789" spans="1:29">
      <c r="A1789" s="3" t="s">
        <v>1765</v>
      </c>
      <c r="D1789">
        <v>2</v>
      </c>
      <c r="AC1789">
        <v>1</v>
      </c>
    </row>
    <row r="1790" spans="1:29">
      <c r="A1790" s="3" t="s">
        <v>1766</v>
      </c>
      <c r="D1790">
        <v>2</v>
      </c>
      <c r="AC1790">
        <v>1</v>
      </c>
    </row>
    <row r="1791" spans="1:29">
      <c r="A1791" s="3" t="s">
        <v>1767</v>
      </c>
      <c r="D1791">
        <v>2</v>
      </c>
      <c r="AC1791">
        <v>1</v>
      </c>
    </row>
    <row r="1792" spans="1:29">
      <c r="A1792" s="3" t="s">
        <v>1768</v>
      </c>
      <c r="D1792">
        <v>2</v>
      </c>
      <c r="AC1792">
        <v>1</v>
      </c>
    </row>
    <row r="1793" spans="1:29">
      <c r="A1793" s="3" t="s">
        <v>1769</v>
      </c>
      <c r="D1793">
        <v>2</v>
      </c>
      <c r="AC1793">
        <v>1</v>
      </c>
    </row>
    <row r="1794" spans="1:29">
      <c r="A1794" s="3" t="s">
        <v>1770</v>
      </c>
      <c r="D1794">
        <v>2</v>
      </c>
      <c r="AC1794">
        <v>1</v>
      </c>
    </row>
    <row r="1795" spans="1:29">
      <c r="A1795" s="3" t="s">
        <v>1771</v>
      </c>
      <c r="D1795">
        <v>2</v>
      </c>
      <c r="AC1795">
        <v>1</v>
      </c>
    </row>
    <row r="1796" spans="1:29">
      <c r="A1796" s="3" t="s">
        <v>1772</v>
      </c>
      <c r="D1796">
        <v>2</v>
      </c>
      <c r="AC1796">
        <v>1</v>
      </c>
    </row>
    <row r="1797" spans="1:29">
      <c r="A1797" s="3" t="s">
        <v>1773</v>
      </c>
      <c r="D1797">
        <v>2</v>
      </c>
      <c r="AC1797">
        <v>1</v>
      </c>
    </row>
    <row r="1798" spans="1:29">
      <c r="A1798" s="3" t="s">
        <v>1774</v>
      </c>
      <c r="D1798">
        <v>2</v>
      </c>
      <c r="AC1798">
        <v>1</v>
      </c>
    </row>
    <row r="1799" spans="1:29">
      <c r="A1799" s="3" t="s">
        <v>1775</v>
      </c>
      <c r="D1799">
        <v>2</v>
      </c>
      <c r="AC1799">
        <v>1</v>
      </c>
    </row>
    <row r="1800" spans="1:29">
      <c r="A1800" s="3" t="s">
        <v>1776</v>
      </c>
      <c r="D1800">
        <v>2</v>
      </c>
      <c r="AC1800">
        <v>1</v>
      </c>
    </row>
    <row r="1801" spans="1:29">
      <c r="A1801" s="3" t="s">
        <v>1777</v>
      </c>
      <c r="D1801">
        <v>2</v>
      </c>
      <c r="AC1801">
        <v>1</v>
      </c>
    </row>
    <row r="1802" spans="1:29">
      <c r="A1802" s="3" t="s">
        <v>1778</v>
      </c>
      <c r="D1802">
        <v>2</v>
      </c>
      <c r="AC1802">
        <v>1</v>
      </c>
    </row>
    <row r="1803" spans="1:29">
      <c r="A1803" s="3" t="s">
        <v>1779</v>
      </c>
      <c r="D1803">
        <v>2</v>
      </c>
      <c r="AC1803">
        <v>1</v>
      </c>
    </row>
    <row r="1804" spans="1:29">
      <c r="A1804" s="3" t="s">
        <v>1780</v>
      </c>
      <c r="D1804">
        <v>2</v>
      </c>
      <c r="AC1804">
        <v>1</v>
      </c>
    </row>
    <row r="1805" spans="1:29">
      <c r="A1805" s="3" t="s">
        <v>1781</v>
      </c>
      <c r="D1805">
        <v>2</v>
      </c>
      <c r="AC1805">
        <v>1</v>
      </c>
    </row>
    <row r="1806" spans="1:29">
      <c r="A1806" s="3" t="s">
        <v>1782</v>
      </c>
      <c r="D1806">
        <v>2</v>
      </c>
      <c r="AC1806">
        <v>1</v>
      </c>
    </row>
    <row r="1807" spans="1:29">
      <c r="A1807" s="3" t="s">
        <v>1783</v>
      </c>
      <c r="D1807">
        <v>2</v>
      </c>
      <c r="AC1807">
        <v>1</v>
      </c>
    </row>
    <row r="1808" spans="1:29">
      <c r="A1808" s="3" t="s">
        <v>1784</v>
      </c>
      <c r="D1808">
        <v>2</v>
      </c>
      <c r="AC1808">
        <v>1</v>
      </c>
    </row>
    <row r="1809" spans="1:29">
      <c r="A1809" s="3" t="s">
        <v>1785</v>
      </c>
      <c r="D1809">
        <v>2</v>
      </c>
      <c r="AC1809">
        <v>1</v>
      </c>
    </row>
    <row r="1810" spans="1:29">
      <c r="A1810" s="3" t="s">
        <v>1786</v>
      </c>
      <c r="D1810">
        <v>2</v>
      </c>
      <c r="AC1810">
        <v>1</v>
      </c>
    </row>
    <row r="1811" spans="1:29">
      <c r="A1811" s="3" t="s">
        <v>1787</v>
      </c>
      <c r="D1811">
        <v>2</v>
      </c>
      <c r="AC1811">
        <v>1</v>
      </c>
    </row>
    <row r="1812" spans="1:29">
      <c r="A1812" s="3" t="s">
        <v>1788</v>
      </c>
      <c r="D1812">
        <v>2</v>
      </c>
      <c r="AC1812">
        <v>1</v>
      </c>
    </row>
    <row r="1813" spans="1:29">
      <c r="A1813" s="3" t="s">
        <v>1789</v>
      </c>
      <c r="D1813">
        <v>2</v>
      </c>
      <c r="AC1813">
        <v>1</v>
      </c>
    </row>
    <row r="1814" spans="1:29">
      <c r="A1814" s="3" t="s">
        <v>1790</v>
      </c>
      <c r="D1814">
        <v>2</v>
      </c>
      <c r="AC1814">
        <v>1</v>
      </c>
    </row>
    <row r="1815" spans="1:29">
      <c r="A1815" s="3" t="s">
        <v>1791</v>
      </c>
      <c r="D1815">
        <v>2</v>
      </c>
      <c r="AC1815">
        <v>1</v>
      </c>
    </row>
    <row r="1816" spans="1:29">
      <c r="A1816" s="3" t="s">
        <v>1792</v>
      </c>
      <c r="D1816">
        <v>2</v>
      </c>
      <c r="AC1816">
        <v>1</v>
      </c>
    </row>
    <row r="1817" spans="1:29">
      <c r="A1817" s="3" t="s">
        <v>1793</v>
      </c>
      <c r="D1817">
        <v>2</v>
      </c>
      <c r="AC1817">
        <v>1</v>
      </c>
    </row>
    <row r="1818" spans="1:29">
      <c r="A1818" s="3" t="s">
        <v>1794</v>
      </c>
      <c r="D1818">
        <v>2</v>
      </c>
      <c r="AC1818">
        <v>1</v>
      </c>
    </row>
    <row r="1819" spans="1:29">
      <c r="A1819" s="3" t="s">
        <v>1795</v>
      </c>
      <c r="D1819">
        <v>2</v>
      </c>
      <c r="AC1819">
        <v>1</v>
      </c>
    </row>
    <row r="1820" spans="1:29">
      <c r="A1820" s="3" t="s">
        <v>1796</v>
      </c>
      <c r="D1820">
        <v>2</v>
      </c>
      <c r="AC1820">
        <v>1</v>
      </c>
    </row>
    <row r="1821" spans="1:29">
      <c r="A1821" s="3" t="s">
        <v>1797</v>
      </c>
      <c r="D1821">
        <v>2</v>
      </c>
      <c r="AC1821">
        <v>1</v>
      </c>
    </row>
    <row r="1822" spans="1:29">
      <c r="A1822" s="3" t="s">
        <v>1798</v>
      </c>
      <c r="D1822">
        <v>2</v>
      </c>
      <c r="AC1822">
        <v>1</v>
      </c>
    </row>
    <row r="1823" spans="1:29">
      <c r="A1823" s="3" t="s">
        <v>1799</v>
      </c>
      <c r="D1823">
        <v>2</v>
      </c>
      <c r="AC1823">
        <v>1</v>
      </c>
    </row>
    <row r="1824" spans="1:29">
      <c r="A1824" s="3" t="s">
        <v>1800</v>
      </c>
      <c r="D1824">
        <v>2</v>
      </c>
      <c r="AC1824">
        <v>1</v>
      </c>
    </row>
    <row r="1825" spans="1:29">
      <c r="A1825" s="3" t="s">
        <v>1801</v>
      </c>
      <c r="D1825">
        <v>2</v>
      </c>
      <c r="AC1825">
        <v>1</v>
      </c>
    </row>
    <row r="1826" spans="1:29">
      <c r="A1826" s="3" t="s">
        <v>1802</v>
      </c>
      <c r="D1826">
        <v>2</v>
      </c>
      <c r="AC1826">
        <v>1</v>
      </c>
    </row>
    <row r="1827" spans="1:29">
      <c r="A1827" s="3" t="s">
        <v>1803</v>
      </c>
      <c r="D1827">
        <v>2</v>
      </c>
      <c r="AC1827">
        <v>1</v>
      </c>
    </row>
    <row r="1828" spans="1:29">
      <c r="A1828" s="3" t="s">
        <v>1804</v>
      </c>
      <c r="D1828">
        <v>2</v>
      </c>
      <c r="AC1828">
        <v>1</v>
      </c>
    </row>
    <row r="1829" spans="1:29">
      <c r="A1829" s="3" t="s">
        <v>1805</v>
      </c>
      <c r="D1829">
        <v>2</v>
      </c>
      <c r="AC1829">
        <v>1</v>
      </c>
    </row>
    <row r="1830" spans="1:29">
      <c r="A1830" s="3" t="s">
        <v>1806</v>
      </c>
      <c r="D1830">
        <v>2</v>
      </c>
      <c r="AC1830">
        <v>1</v>
      </c>
    </row>
    <row r="1831" spans="1:29">
      <c r="A1831" s="3" t="s">
        <v>1807</v>
      </c>
      <c r="D1831">
        <v>2</v>
      </c>
      <c r="AC1831">
        <v>1</v>
      </c>
    </row>
    <row r="1832" spans="1:29">
      <c r="A1832" s="3" t="s">
        <v>1808</v>
      </c>
      <c r="D1832">
        <v>2</v>
      </c>
      <c r="AC1832">
        <v>1</v>
      </c>
    </row>
    <row r="1833" spans="1:29">
      <c r="A1833" s="3" t="s">
        <v>1809</v>
      </c>
      <c r="D1833">
        <v>2</v>
      </c>
      <c r="AC1833">
        <v>1</v>
      </c>
    </row>
    <row r="1834" spans="1:29">
      <c r="A1834" s="3" t="s">
        <v>1810</v>
      </c>
      <c r="D1834">
        <v>2</v>
      </c>
      <c r="AC1834">
        <v>1</v>
      </c>
    </row>
    <row r="1835" spans="1:29">
      <c r="A1835" s="3" t="s">
        <v>1811</v>
      </c>
      <c r="D1835">
        <v>2</v>
      </c>
      <c r="AC1835">
        <v>1</v>
      </c>
    </row>
    <row r="1836" spans="1:29">
      <c r="A1836" s="3" t="s">
        <v>1812</v>
      </c>
      <c r="D1836">
        <v>2</v>
      </c>
      <c r="AC1836">
        <v>1</v>
      </c>
    </row>
    <row r="1837" spans="1:29">
      <c r="A1837" s="3" t="s">
        <v>1813</v>
      </c>
      <c r="D1837">
        <v>2</v>
      </c>
      <c r="AC1837">
        <v>1</v>
      </c>
    </row>
    <row r="1838" spans="1:29">
      <c r="A1838" s="3" t="s">
        <v>1814</v>
      </c>
      <c r="D1838">
        <v>2</v>
      </c>
      <c r="AC1838">
        <v>1</v>
      </c>
    </row>
    <row r="1839" spans="1:29">
      <c r="A1839" s="3" t="s">
        <v>1815</v>
      </c>
      <c r="D1839">
        <v>2</v>
      </c>
      <c r="AC1839">
        <v>1</v>
      </c>
    </row>
    <row r="1840" spans="1:29">
      <c r="A1840" s="3" t="s">
        <v>1816</v>
      </c>
      <c r="D1840">
        <v>2</v>
      </c>
      <c r="AC1840">
        <v>1</v>
      </c>
    </row>
    <row r="1841" spans="1:29">
      <c r="A1841" s="3" t="s">
        <v>1817</v>
      </c>
      <c r="D1841">
        <v>2</v>
      </c>
      <c r="AC1841">
        <v>1</v>
      </c>
    </row>
    <row r="1842" spans="1:29">
      <c r="A1842" s="3" t="s">
        <v>1818</v>
      </c>
      <c r="D1842">
        <v>2</v>
      </c>
      <c r="AC1842">
        <v>1</v>
      </c>
    </row>
    <row r="1843" spans="1:29">
      <c r="A1843" s="3" t="s">
        <v>1819</v>
      </c>
      <c r="D1843">
        <v>2</v>
      </c>
      <c r="AC1843">
        <v>1</v>
      </c>
    </row>
    <row r="1844" spans="1:29">
      <c r="A1844" s="3" t="s">
        <v>1820</v>
      </c>
      <c r="D1844">
        <v>2</v>
      </c>
      <c r="AC1844">
        <v>1</v>
      </c>
    </row>
    <row r="1845" spans="1:29">
      <c r="A1845" s="3" t="s">
        <v>1821</v>
      </c>
      <c r="D1845">
        <v>2</v>
      </c>
      <c r="AC1845">
        <v>1</v>
      </c>
    </row>
    <row r="1846" spans="1:29">
      <c r="A1846" s="3" t="s">
        <v>1822</v>
      </c>
      <c r="D1846">
        <v>2</v>
      </c>
      <c r="AC1846">
        <v>1</v>
      </c>
    </row>
    <row r="1847" spans="1:29">
      <c r="A1847" s="3" t="s">
        <v>1823</v>
      </c>
      <c r="D1847">
        <v>2</v>
      </c>
      <c r="AC1847">
        <v>1</v>
      </c>
    </row>
    <row r="1848" spans="1:29">
      <c r="A1848" s="3" t="s">
        <v>1824</v>
      </c>
      <c r="D1848">
        <v>2</v>
      </c>
      <c r="AC1848">
        <v>1</v>
      </c>
    </row>
    <row r="1849" spans="1:29">
      <c r="A1849" s="3" t="s">
        <v>1825</v>
      </c>
      <c r="D1849">
        <v>2</v>
      </c>
      <c r="AC1849">
        <v>1</v>
      </c>
    </row>
    <row r="1850" spans="1:29">
      <c r="A1850" s="3" t="s">
        <v>1826</v>
      </c>
      <c r="D1850">
        <v>2</v>
      </c>
      <c r="AC1850">
        <v>1</v>
      </c>
    </row>
    <row r="1851" spans="1:29">
      <c r="A1851" s="3" t="s">
        <v>1827</v>
      </c>
      <c r="D1851">
        <v>2</v>
      </c>
      <c r="AC1851">
        <v>1</v>
      </c>
    </row>
    <row r="1852" spans="1:29">
      <c r="A1852" s="3" t="s">
        <v>1828</v>
      </c>
      <c r="D1852">
        <v>2</v>
      </c>
      <c r="AC1852">
        <v>1</v>
      </c>
    </row>
    <row r="1853" spans="1:29">
      <c r="A1853" s="3" t="s">
        <v>1829</v>
      </c>
      <c r="D1853">
        <v>2</v>
      </c>
      <c r="AC1853">
        <v>1</v>
      </c>
    </row>
    <row r="1854" spans="1:29">
      <c r="A1854" s="3" t="s">
        <v>1830</v>
      </c>
      <c r="D1854">
        <v>2</v>
      </c>
      <c r="AC1854">
        <v>1</v>
      </c>
    </row>
    <row r="1855" spans="1:29">
      <c r="A1855" s="3" t="s">
        <v>1831</v>
      </c>
      <c r="D1855">
        <v>2</v>
      </c>
      <c r="AC1855">
        <v>1</v>
      </c>
    </row>
    <row r="1856" spans="1:29">
      <c r="A1856" s="3" t="s">
        <v>1832</v>
      </c>
      <c r="D1856">
        <v>2</v>
      </c>
      <c r="AC1856">
        <v>1</v>
      </c>
    </row>
    <row r="1857" spans="1:29">
      <c r="A1857" s="3" t="s">
        <v>1833</v>
      </c>
      <c r="D1857">
        <v>2</v>
      </c>
      <c r="AC1857">
        <v>1</v>
      </c>
    </row>
    <row r="1858" spans="1:29">
      <c r="A1858" s="3" t="s">
        <v>1834</v>
      </c>
      <c r="D1858">
        <v>2</v>
      </c>
      <c r="AC1858">
        <v>1</v>
      </c>
    </row>
    <row r="1859" spans="1:29">
      <c r="A1859" s="3" t="s">
        <v>1835</v>
      </c>
      <c r="D1859">
        <v>2</v>
      </c>
      <c r="AC1859">
        <v>1</v>
      </c>
    </row>
    <row r="1860" spans="1:29">
      <c r="A1860" s="3" t="s">
        <v>1836</v>
      </c>
      <c r="D1860">
        <v>2</v>
      </c>
      <c r="AC1860">
        <v>1</v>
      </c>
    </row>
    <row r="1861" spans="1:29">
      <c r="A1861" s="3" t="s">
        <v>1837</v>
      </c>
      <c r="D1861">
        <v>2</v>
      </c>
      <c r="AC1861">
        <v>1</v>
      </c>
    </row>
    <row r="1862" spans="1:29">
      <c r="A1862" s="3" t="s">
        <v>1838</v>
      </c>
      <c r="D1862">
        <v>2</v>
      </c>
      <c r="AC1862">
        <v>1</v>
      </c>
    </row>
    <row r="1863" spans="1:29">
      <c r="A1863" s="3" t="s">
        <v>1839</v>
      </c>
      <c r="D1863">
        <v>2</v>
      </c>
      <c r="AC1863">
        <v>1</v>
      </c>
    </row>
    <row r="1864" spans="1:29">
      <c r="A1864" s="3" t="s">
        <v>1840</v>
      </c>
      <c r="D1864">
        <v>2</v>
      </c>
      <c r="AC1864">
        <v>1</v>
      </c>
    </row>
    <row r="1865" spans="1:29">
      <c r="A1865" s="3" t="s">
        <v>1841</v>
      </c>
      <c r="D1865">
        <v>2</v>
      </c>
      <c r="AC1865">
        <v>1</v>
      </c>
    </row>
    <row r="1866" spans="1:29">
      <c r="A1866" s="3" t="s">
        <v>1842</v>
      </c>
      <c r="D1866">
        <v>2</v>
      </c>
      <c r="AC1866">
        <v>1</v>
      </c>
    </row>
    <row r="1867" spans="1:29">
      <c r="A1867" s="3" t="s">
        <v>1843</v>
      </c>
      <c r="D1867">
        <v>2</v>
      </c>
      <c r="AC1867">
        <v>1</v>
      </c>
    </row>
    <row r="1868" spans="1:29">
      <c r="A1868" s="3" t="s">
        <v>1844</v>
      </c>
      <c r="D1868">
        <v>2</v>
      </c>
      <c r="AC1868">
        <v>1</v>
      </c>
    </row>
    <row r="1869" spans="1:29">
      <c r="A1869" s="3" t="s">
        <v>1845</v>
      </c>
      <c r="D1869">
        <v>2</v>
      </c>
      <c r="AC1869">
        <v>1</v>
      </c>
    </row>
    <row r="1870" spans="1:29">
      <c r="A1870" s="3" t="s">
        <v>1846</v>
      </c>
      <c r="D1870">
        <v>2</v>
      </c>
      <c r="AC1870">
        <v>1</v>
      </c>
    </row>
    <row r="1871" spans="1:29">
      <c r="A1871" s="3" t="s">
        <v>1847</v>
      </c>
      <c r="D1871">
        <v>2</v>
      </c>
      <c r="AC1871">
        <v>1</v>
      </c>
    </row>
    <row r="1872" spans="1:29">
      <c r="A1872" s="3" t="s">
        <v>1848</v>
      </c>
      <c r="D1872">
        <v>2</v>
      </c>
      <c r="AC1872">
        <v>1</v>
      </c>
    </row>
    <row r="1873" spans="1:29">
      <c r="A1873" s="3" t="s">
        <v>1849</v>
      </c>
      <c r="D1873">
        <v>2</v>
      </c>
      <c r="AC1873">
        <v>1</v>
      </c>
    </row>
    <row r="1874" spans="1:29">
      <c r="A1874" s="3" t="s">
        <v>1850</v>
      </c>
      <c r="D1874">
        <v>2</v>
      </c>
      <c r="AC1874">
        <v>1</v>
      </c>
    </row>
    <row r="1875" spans="1:29">
      <c r="A1875" s="3" t="s">
        <v>1851</v>
      </c>
      <c r="D1875">
        <v>2</v>
      </c>
      <c r="AC1875">
        <v>1</v>
      </c>
    </row>
    <row r="1876" spans="1:29">
      <c r="A1876" s="3" t="s">
        <v>1852</v>
      </c>
      <c r="D1876">
        <v>2</v>
      </c>
      <c r="AC1876">
        <v>1</v>
      </c>
    </row>
    <row r="1877" spans="1:29">
      <c r="A1877" s="3" t="s">
        <v>1853</v>
      </c>
      <c r="D1877">
        <v>2</v>
      </c>
      <c r="AC1877">
        <v>1</v>
      </c>
    </row>
    <row r="1878" spans="1:29">
      <c r="A1878" s="3" t="s">
        <v>1854</v>
      </c>
      <c r="D1878">
        <v>2</v>
      </c>
      <c r="AC1878">
        <v>1</v>
      </c>
    </row>
    <row r="1879" spans="1:29">
      <c r="A1879" s="3" t="s">
        <v>1855</v>
      </c>
      <c r="D1879">
        <v>2</v>
      </c>
      <c r="AC1879">
        <v>1</v>
      </c>
    </row>
    <row r="1880" spans="1:29">
      <c r="A1880" s="3" t="s">
        <v>1856</v>
      </c>
      <c r="D1880">
        <v>2</v>
      </c>
      <c r="AC1880">
        <v>1</v>
      </c>
    </row>
    <row r="1881" spans="1:29">
      <c r="A1881" s="3" t="s">
        <v>1857</v>
      </c>
      <c r="D1881">
        <v>2</v>
      </c>
      <c r="AC1881">
        <v>1</v>
      </c>
    </row>
    <row r="1882" spans="1:29">
      <c r="A1882" s="3" t="s">
        <v>1858</v>
      </c>
      <c r="D1882">
        <v>2</v>
      </c>
      <c r="AC1882">
        <v>1</v>
      </c>
    </row>
    <row r="1883" spans="1:29">
      <c r="A1883" s="3" t="s">
        <v>1859</v>
      </c>
      <c r="D1883">
        <v>2</v>
      </c>
      <c r="AC1883">
        <v>1</v>
      </c>
    </row>
    <row r="1884" spans="1:29">
      <c r="A1884" s="3" t="s">
        <v>1860</v>
      </c>
      <c r="D1884">
        <v>2</v>
      </c>
      <c r="AC1884">
        <v>1</v>
      </c>
    </row>
    <row r="1885" spans="1:29">
      <c r="A1885" s="3" t="s">
        <v>1861</v>
      </c>
      <c r="D1885">
        <v>2</v>
      </c>
      <c r="AC1885">
        <v>1</v>
      </c>
    </row>
    <row r="1886" spans="1:29">
      <c r="A1886" s="3" t="s">
        <v>1862</v>
      </c>
      <c r="D1886">
        <v>2</v>
      </c>
      <c r="AC1886">
        <v>1</v>
      </c>
    </row>
    <row r="1887" spans="1:29">
      <c r="A1887" s="3" t="s">
        <v>1863</v>
      </c>
      <c r="D1887">
        <v>2</v>
      </c>
      <c r="AC1887">
        <v>1</v>
      </c>
    </row>
    <row r="1888" spans="1:29">
      <c r="A1888" s="3" t="s">
        <v>1864</v>
      </c>
      <c r="D1888">
        <v>2</v>
      </c>
      <c r="L1888">
        <v>1</v>
      </c>
    </row>
    <row r="1889" spans="1:12">
      <c r="A1889" s="3" t="s">
        <v>1865</v>
      </c>
      <c r="D1889">
        <v>2</v>
      </c>
      <c r="L1889">
        <v>1</v>
      </c>
    </row>
    <row r="1890" spans="1:12">
      <c r="A1890" s="3" t="s">
        <v>1866</v>
      </c>
      <c r="D1890">
        <v>2</v>
      </c>
      <c r="L1890">
        <v>1</v>
      </c>
    </row>
    <row r="1891" spans="1:12">
      <c r="A1891" s="3" t="s">
        <v>1867</v>
      </c>
      <c r="D1891">
        <v>2</v>
      </c>
      <c r="L1891">
        <v>1</v>
      </c>
    </row>
    <row r="1892" spans="1:12">
      <c r="A1892" s="3" t="s">
        <v>1868</v>
      </c>
      <c r="D1892">
        <v>2</v>
      </c>
      <c r="L1892">
        <v>1</v>
      </c>
    </row>
    <row r="1893" spans="1:12">
      <c r="A1893" s="3" t="s">
        <v>1869</v>
      </c>
      <c r="D1893">
        <v>2</v>
      </c>
      <c r="L1893">
        <v>1</v>
      </c>
    </row>
    <row r="1894" spans="1:12">
      <c r="A1894" s="3" t="s">
        <v>1870</v>
      </c>
      <c r="D1894">
        <v>2</v>
      </c>
      <c r="L1894">
        <v>1</v>
      </c>
    </row>
    <row r="1895" spans="1:12">
      <c r="A1895" s="3" t="s">
        <v>1871</v>
      </c>
      <c r="D1895">
        <v>2</v>
      </c>
      <c r="L1895">
        <v>1</v>
      </c>
    </row>
    <row r="1896" spans="1:12">
      <c r="A1896" s="3" t="s">
        <v>1872</v>
      </c>
      <c r="D1896">
        <v>2</v>
      </c>
      <c r="L1896">
        <v>1</v>
      </c>
    </row>
    <row r="1897" spans="1:12">
      <c r="A1897" s="3" t="s">
        <v>1873</v>
      </c>
      <c r="D1897">
        <v>2</v>
      </c>
      <c r="L1897">
        <v>1</v>
      </c>
    </row>
    <row r="1898" spans="1:12">
      <c r="A1898" s="3" t="s">
        <v>1874</v>
      </c>
      <c r="D1898">
        <v>2</v>
      </c>
      <c r="L1898">
        <v>1</v>
      </c>
    </row>
    <row r="1899" spans="1:12">
      <c r="A1899" s="3" t="s">
        <v>1875</v>
      </c>
      <c r="D1899">
        <v>2</v>
      </c>
      <c r="L1899">
        <v>1</v>
      </c>
    </row>
    <row r="1900" spans="1:12">
      <c r="A1900" s="3" t="s">
        <v>1876</v>
      </c>
      <c r="D1900">
        <v>2</v>
      </c>
      <c r="L1900">
        <v>1</v>
      </c>
    </row>
    <row r="1901" spans="1:12">
      <c r="A1901" s="3" t="s">
        <v>1877</v>
      </c>
      <c r="D1901">
        <v>2</v>
      </c>
      <c r="L1901">
        <v>1</v>
      </c>
    </row>
    <row r="1902" spans="1:12">
      <c r="A1902" s="3" t="s">
        <v>1878</v>
      </c>
      <c r="D1902">
        <v>2</v>
      </c>
      <c r="L1902">
        <v>1</v>
      </c>
    </row>
    <row r="1903" spans="1:12">
      <c r="A1903" s="3" t="s">
        <v>1879</v>
      </c>
      <c r="D1903">
        <v>2</v>
      </c>
      <c r="L1903">
        <v>1</v>
      </c>
    </row>
    <row r="1904" spans="1:12">
      <c r="A1904" s="3" t="s">
        <v>1880</v>
      </c>
      <c r="D1904">
        <v>2</v>
      </c>
      <c r="L1904">
        <v>1</v>
      </c>
    </row>
    <row r="1905" spans="1:12">
      <c r="A1905" s="3" t="s">
        <v>1881</v>
      </c>
      <c r="D1905">
        <v>2</v>
      </c>
      <c r="L1905">
        <v>1</v>
      </c>
    </row>
    <row r="1906" spans="1:12">
      <c r="A1906" s="3" t="s">
        <v>1882</v>
      </c>
      <c r="D1906">
        <v>2</v>
      </c>
      <c r="L1906">
        <v>1</v>
      </c>
    </row>
    <row r="1907" spans="1:12">
      <c r="A1907" s="3" t="s">
        <v>1883</v>
      </c>
      <c r="D1907">
        <v>2</v>
      </c>
      <c r="L1907">
        <v>1</v>
      </c>
    </row>
    <row r="1908" spans="1:12">
      <c r="A1908" s="3" t="s">
        <v>1884</v>
      </c>
      <c r="D1908">
        <v>2</v>
      </c>
      <c r="L1908">
        <v>1</v>
      </c>
    </row>
    <row r="1909" spans="1:12">
      <c r="A1909" s="3" t="s">
        <v>1885</v>
      </c>
      <c r="D1909">
        <v>2</v>
      </c>
      <c r="L1909">
        <v>1</v>
      </c>
    </row>
    <row r="1910" spans="1:12">
      <c r="A1910" s="3" t="s">
        <v>1886</v>
      </c>
      <c r="D1910">
        <v>2</v>
      </c>
      <c r="L1910">
        <v>1</v>
      </c>
    </row>
    <row r="1911" spans="1:12">
      <c r="A1911" s="3" t="s">
        <v>1887</v>
      </c>
      <c r="D1911">
        <v>2</v>
      </c>
      <c r="L1911">
        <v>1</v>
      </c>
    </row>
    <row r="1912" spans="1:12">
      <c r="A1912" s="3" t="s">
        <v>1888</v>
      </c>
      <c r="D1912">
        <v>2</v>
      </c>
      <c r="L1912">
        <v>1</v>
      </c>
    </row>
    <row r="1913" spans="1:12">
      <c r="A1913" s="3" t="s">
        <v>1889</v>
      </c>
      <c r="D1913">
        <v>2</v>
      </c>
      <c r="L1913">
        <v>1</v>
      </c>
    </row>
    <row r="1914" spans="1:12">
      <c r="A1914" s="3" t="s">
        <v>1890</v>
      </c>
      <c r="D1914">
        <v>2</v>
      </c>
      <c r="L1914">
        <v>1</v>
      </c>
    </row>
    <row r="1915" spans="1:12">
      <c r="A1915" s="3" t="s">
        <v>1891</v>
      </c>
      <c r="D1915">
        <v>2</v>
      </c>
      <c r="L1915">
        <v>1</v>
      </c>
    </row>
    <row r="1916" spans="1:12">
      <c r="A1916" s="3" t="s">
        <v>1892</v>
      </c>
      <c r="D1916">
        <v>2</v>
      </c>
      <c r="L1916">
        <v>1</v>
      </c>
    </row>
    <row r="1917" spans="1:12">
      <c r="A1917" s="3" t="s">
        <v>1893</v>
      </c>
      <c r="D1917">
        <v>2</v>
      </c>
      <c r="L1917">
        <v>1</v>
      </c>
    </row>
    <row r="1918" spans="1:12">
      <c r="A1918" s="3" t="s">
        <v>1894</v>
      </c>
      <c r="D1918">
        <v>2</v>
      </c>
      <c r="L1918">
        <v>1</v>
      </c>
    </row>
    <row r="1919" spans="1:12">
      <c r="A1919" s="3" t="s">
        <v>1895</v>
      </c>
      <c r="D1919">
        <v>2</v>
      </c>
      <c r="L1919">
        <v>1</v>
      </c>
    </row>
    <row r="1920" spans="1:12">
      <c r="A1920" s="3" t="s">
        <v>1896</v>
      </c>
      <c r="D1920">
        <v>2</v>
      </c>
      <c r="L1920">
        <v>1</v>
      </c>
    </row>
    <row r="1921" spans="1:12">
      <c r="A1921" s="3" t="s">
        <v>1897</v>
      </c>
      <c r="D1921">
        <v>2</v>
      </c>
      <c r="L1921">
        <v>1</v>
      </c>
    </row>
    <row r="1922" spans="1:12">
      <c r="A1922" s="3" t="s">
        <v>1898</v>
      </c>
      <c r="D1922">
        <v>2</v>
      </c>
      <c r="L1922">
        <v>1</v>
      </c>
    </row>
    <row r="1923" spans="1:12">
      <c r="A1923" s="3" t="s">
        <v>1899</v>
      </c>
      <c r="D1923">
        <v>2</v>
      </c>
      <c r="L1923">
        <v>1</v>
      </c>
    </row>
    <row r="1924" spans="1:12">
      <c r="A1924" s="3" t="s">
        <v>1900</v>
      </c>
      <c r="D1924">
        <v>2</v>
      </c>
      <c r="L1924">
        <v>1</v>
      </c>
    </row>
    <row r="1925" spans="1:12">
      <c r="A1925" s="3" t="s">
        <v>1901</v>
      </c>
      <c r="D1925">
        <v>2</v>
      </c>
      <c r="L1925">
        <v>1</v>
      </c>
    </row>
    <row r="1926" spans="1:12">
      <c r="A1926" s="3" t="s">
        <v>1902</v>
      </c>
      <c r="D1926">
        <v>2</v>
      </c>
      <c r="L1926">
        <v>1</v>
      </c>
    </row>
    <row r="1927" spans="1:12">
      <c r="A1927" s="3" t="s">
        <v>1903</v>
      </c>
      <c r="D1927">
        <v>2</v>
      </c>
      <c r="L1927">
        <v>1</v>
      </c>
    </row>
    <row r="1928" spans="1:12">
      <c r="A1928" s="3" t="s">
        <v>1904</v>
      </c>
      <c r="D1928">
        <v>2</v>
      </c>
      <c r="L1928">
        <v>1</v>
      </c>
    </row>
    <row r="1929" spans="1:12">
      <c r="A1929" s="3" t="s">
        <v>1905</v>
      </c>
      <c r="D1929">
        <v>2</v>
      </c>
      <c r="L1929">
        <v>1</v>
      </c>
    </row>
    <row r="1930" spans="1:12">
      <c r="A1930" s="3" t="s">
        <v>1906</v>
      </c>
      <c r="D1930">
        <v>2</v>
      </c>
      <c r="L1930">
        <v>1</v>
      </c>
    </row>
    <row r="1931" spans="1:12">
      <c r="A1931" s="3" t="s">
        <v>1907</v>
      </c>
      <c r="D1931">
        <v>2</v>
      </c>
      <c r="L1931">
        <v>1</v>
      </c>
    </row>
    <row r="1932" spans="1:12">
      <c r="A1932" s="3" t="s">
        <v>1908</v>
      </c>
      <c r="D1932">
        <v>2</v>
      </c>
      <c r="L1932">
        <v>1</v>
      </c>
    </row>
    <row r="1933" spans="1:12">
      <c r="A1933" s="3" t="s">
        <v>1909</v>
      </c>
      <c r="D1933">
        <v>2</v>
      </c>
      <c r="L1933">
        <v>1</v>
      </c>
    </row>
    <row r="1934" spans="1:12">
      <c r="A1934" s="3" t="s">
        <v>1910</v>
      </c>
      <c r="D1934">
        <v>2</v>
      </c>
      <c r="H1934">
        <v>1</v>
      </c>
      <c r="L1934">
        <v>1</v>
      </c>
    </row>
    <row r="1935" spans="1:12">
      <c r="A1935" s="3" t="s">
        <v>1911</v>
      </c>
      <c r="D1935">
        <v>2</v>
      </c>
      <c r="H1935">
        <v>1</v>
      </c>
      <c r="L1935">
        <v>1</v>
      </c>
    </row>
    <row r="1936" spans="1:12">
      <c r="A1936" s="3" t="s">
        <v>1912</v>
      </c>
      <c r="D1936">
        <v>2</v>
      </c>
      <c r="H1936">
        <v>1</v>
      </c>
      <c r="L1936">
        <v>1</v>
      </c>
    </row>
    <row r="1937" spans="1:12">
      <c r="A1937" s="3" t="s">
        <v>1913</v>
      </c>
      <c r="D1937">
        <v>2</v>
      </c>
      <c r="H1937">
        <v>1</v>
      </c>
      <c r="L1937">
        <v>1</v>
      </c>
    </row>
    <row r="1938" spans="1:12">
      <c r="A1938" s="3" t="s">
        <v>1914</v>
      </c>
      <c r="D1938">
        <v>2</v>
      </c>
      <c r="H1938">
        <v>1</v>
      </c>
      <c r="L1938">
        <v>1</v>
      </c>
    </row>
    <row r="1939" spans="1:12">
      <c r="A1939" s="3" t="s">
        <v>1915</v>
      </c>
      <c r="D1939">
        <v>2</v>
      </c>
      <c r="H1939">
        <v>1</v>
      </c>
      <c r="L1939">
        <v>1</v>
      </c>
    </row>
    <row r="1940" spans="1:12">
      <c r="A1940" s="3" t="s">
        <v>1916</v>
      </c>
      <c r="D1940">
        <v>2</v>
      </c>
      <c r="H1940">
        <v>1</v>
      </c>
      <c r="L1940">
        <v>1</v>
      </c>
    </row>
    <row r="1941" spans="1:12">
      <c r="A1941" s="3" t="s">
        <v>1917</v>
      </c>
      <c r="D1941">
        <v>2</v>
      </c>
      <c r="H1941">
        <v>1</v>
      </c>
      <c r="L1941">
        <v>1</v>
      </c>
    </row>
    <row r="1942" spans="1:12">
      <c r="A1942" s="3" t="s">
        <v>1918</v>
      </c>
      <c r="D1942">
        <v>2</v>
      </c>
      <c r="H1942">
        <v>1</v>
      </c>
      <c r="L1942">
        <v>1</v>
      </c>
    </row>
    <row r="1943" spans="1:12">
      <c r="A1943" s="3" t="s">
        <v>1919</v>
      </c>
      <c r="D1943">
        <v>2</v>
      </c>
      <c r="H1943">
        <v>1</v>
      </c>
      <c r="L1943">
        <v>1</v>
      </c>
    </row>
    <row r="1944" spans="1:12">
      <c r="A1944" s="3" t="s">
        <v>1920</v>
      </c>
      <c r="D1944">
        <v>2</v>
      </c>
      <c r="H1944">
        <v>1</v>
      </c>
      <c r="L1944">
        <v>1</v>
      </c>
    </row>
    <row r="1945" spans="1:12">
      <c r="A1945" s="3" t="s">
        <v>1921</v>
      </c>
      <c r="D1945">
        <v>2</v>
      </c>
      <c r="H1945">
        <v>1</v>
      </c>
      <c r="L1945">
        <v>1</v>
      </c>
    </row>
    <row r="1946" spans="1:12">
      <c r="A1946" s="3" t="s">
        <v>1922</v>
      </c>
      <c r="D1946">
        <v>2</v>
      </c>
      <c r="J1946">
        <v>25</v>
      </c>
    </row>
    <row r="1947" spans="1:12">
      <c r="A1947" s="3" t="s">
        <v>1923</v>
      </c>
      <c r="D1947">
        <v>2</v>
      </c>
      <c r="J1947">
        <v>25</v>
      </c>
    </row>
    <row r="1948" spans="1:12">
      <c r="A1948" s="3" t="s">
        <v>1924</v>
      </c>
      <c r="D1948">
        <v>2</v>
      </c>
      <c r="J1948">
        <v>25</v>
      </c>
    </row>
    <row r="1949" spans="1:12">
      <c r="A1949" s="3" t="s">
        <v>1925</v>
      </c>
      <c r="D1949">
        <v>2</v>
      </c>
      <c r="J1949">
        <v>25</v>
      </c>
    </row>
    <row r="1950" spans="1:12">
      <c r="A1950" s="3" t="s">
        <v>1926</v>
      </c>
      <c r="D1950">
        <v>2</v>
      </c>
      <c r="J1950">
        <v>25</v>
      </c>
    </row>
    <row r="1951" spans="1:12">
      <c r="A1951" s="3" t="s">
        <v>1927</v>
      </c>
      <c r="D1951">
        <v>2</v>
      </c>
      <c r="J1951">
        <v>25</v>
      </c>
    </row>
    <row r="1952" spans="1:12">
      <c r="A1952" s="3" t="s">
        <v>1928</v>
      </c>
      <c r="D1952">
        <v>2</v>
      </c>
      <c r="J1952">
        <v>25</v>
      </c>
    </row>
    <row r="1953" spans="1:10">
      <c r="A1953" s="3" t="s">
        <v>1929</v>
      </c>
      <c r="D1953">
        <v>2</v>
      </c>
      <c r="J1953">
        <v>25</v>
      </c>
    </row>
    <row r="1954" spans="1:10">
      <c r="A1954" s="3" t="s">
        <v>1930</v>
      </c>
      <c r="D1954">
        <v>2</v>
      </c>
      <c r="J1954">
        <v>25</v>
      </c>
    </row>
    <row r="1955" spans="1:10">
      <c r="A1955" s="3" t="s">
        <v>1931</v>
      </c>
      <c r="D1955">
        <v>2</v>
      </c>
      <c r="J1955">
        <v>25</v>
      </c>
    </row>
    <row r="1956" spans="1:10">
      <c r="A1956" s="3" t="s">
        <v>1932</v>
      </c>
      <c r="D1956">
        <v>2</v>
      </c>
      <c r="J1956">
        <v>25</v>
      </c>
    </row>
    <row r="1957" spans="1:10">
      <c r="A1957" s="3" t="s">
        <v>1933</v>
      </c>
      <c r="D1957">
        <v>2</v>
      </c>
      <c r="J1957">
        <v>25</v>
      </c>
    </row>
    <row r="1958" spans="1:10">
      <c r="A1958" s="3" t="s">
        <v>1934</v>
      </c>
      <c r="D1958">
        <v>2</v>
      </c>
      <c r="J1958">
        <v>25</v>
      </c>
    </row>
    <row r="1959" spans="1:10">
      <c r="A1959" s="3" t="s">
        <v>1935</v>
      </c>
      <c r="D1959">
        <v>2</v>
      </c>
      <c r="J1959">
        <v>25</v>
      </c>
    </row>
    <row r="1960" spans="1:10">
      <c r="A1960" s="3" t="s">
        <v>1936</v>
      </c>
      <c r="D1960">
        <v>2</v>
      </c>
      <c r="J1960">
        <v>25</v>
      </c>
    </row>
    <row r="1961" spans="1:10">
      <c r="A1961" s="3" t="s">
        <v>1937</v>
      </c>
      <c r="D1961">
        <v>2</v>
      </c>
      <c r="J1961">
        <v>25</v>
      </c>
    </row>
    <row r="1962" spans="1:10">
      <c r="A1962" s="3" t="s">
        <v>1938</v>
      </c>
      <c r="D1962">
        <v>2</v>
      </c>
      <c r="J1962">
        <v>25</v>
      </c>
    </row>
    <row r="1963" spans="1:10">
      <c r="A1963" s="3" t="s">
        <v>1939</v>
      </c>
      <c r="D1963">
        <v>2</v>
      </c>
      <c r="J1963">
        <v>25</v>
      </c>
    </row>
    <row r="1964" spans="1:10">
      <c r="A1964" s="3" t="s">
        <v>1940</v>
      </c>
      <c r="D1964">
        <v>2</v>
      </c>
      <c r="J1964">
        <v>25</v>
      </c>
    </row>
    <row r="1965" spans="1:10">
      <c r="A1965" s="3" t="s">
        <v>1941</v>
      </c>
      <c r="D1965">
        <v>2</v>
      </c>
      <c r="J1965">
        <v>25</v>
      </c>
    </row>
    <row r="1966" spans="1:10">
      <c r="A1966" s="3" t="s">
        <v>1942</v>
      </c>
      <c r="D1966">
        <v>2</v>
      </c>
      <c r="J1966">
        <v>25</v>
      </c>
    </row>
    <row r="1967" spans="1:10">
      <c r="A1967" s="3" t="s">
        <v>1943</v>
      </c>
      <c r="D1967">
        <v>2</v>
      </c>
      <c r="J1967">
        <v>25</v>
      </c>
    </row>
    <row r="1968" spans="1:10">
      <c r="A1968" s="3" t="s">
        <v>1944</v>
      </c>
      <c r="D1968">
        <v>2</v>
      </c>
      <c r="J1968">
        <v>25</v>
      </c>
    </row>
    <row r="1969" spans="1:30">
      <c r="A1969" s="3" t="s">
        <v>1945</v>
      </c>
      <c r="D1969">
        <v>2</v>
      </c>
      <c r="J1969">
        <v>25</v>
      </c>
    </row>
    <row r="1970" spans="1:30">
      <c r="A1970" s="3" t="s">
        <v>1946</v>
      </c>
      <c r="D1970">
        <v>2</v>
      </c>
      <c r="J1970">
        <v>25</v>
      </c>
    </row>
    <row r="1971" spans="1:30">
      <c r="A1971" s="3" t="s">
        <v>1947</v>
      </c>
      <c r="D1971">
        <v>2</v>
      </c>
      <c r="J1971">
        <v>25</v>
      </c>
    </row>
    <row r="1972" spans="1:30">
      <c r="A1972" s="3" t="s">
        <v>1948</v>
      </c>
      <c r="D1972">
        <v>2</v>
      </c>
      <c r="J1972">
        <v>25</v>
      </c>
    </row>
    <row r="1973" spans="1:30">
      <c r="A1973" s="3" t="s">
        <v>1949</v>
      </c>
      <c r="D1973">
        <v>2</v>
      </c>
      <c r="J1973">
        <v>25</v>
      </c>
    </row>
    <row r="1974" spans="1:30">
      <c r="A1974" s="3" t="s">
        <v>1950</v>
      </c>
      <c r="D1974">
        <v>2</v>
      </c>
      <c r="J1974">
        <v>25</v>
      </c>
    </row>
    <row r="1975" spans="1:30">
      <c r="A1975" s="3" t="s">
        <v>1951</v>
      </c>
      <c r="D1975">
        <v>2</v>
      </c>
      <c r="J1975">
        <v>25</v>
      </c>
    </row>
    <row r="1976" spans="1:30">
      <c r="A1976" s="3" t="s">
        <v>1952</v>
      </c>
      <c r="D1976">
        <v>2</v>
      </c>
      <c r="AD1976">
        <v>1</v>
      </c>
    </row>
    <row r="1977" spans="1:30">
      <c r="A1977" s="3" t="s">
        <v>1953</v>
      </c>
      <c r="D1977">
        <v>2</v>
      </c>
      <c r="AD1977">
        <v>1</v>
      </c>
    </row>
    <row r="1978" spans="1:30">
      <c r="A1978" s="3" t="s">
        <v>1954</v>
      </c>
      <c r="D1978">
        <v>2</v>
      </c>
      <c r="AD1978">
        <v>1</v>
      </c>
    </row>
    <row r="1979" spans="1:30">
      <c r="A1979" s="3" t="s">
        <v>1955</v>
      </c>
      <c r="D1979">
        <v>2</v>
      </c>
      <c r="AD1979">
        <v>1</v>
      </c>
    </row>
    <row r="1980" spans="1:30">
      <c r="A1980" s="3" t="s">
        <v>1956</v>
      </c>
      <c r="D1980">
        <v>2</v>
      </c>
      <c r="AD1980">
        <v>1</v>
      </c>
    </row>
    <row r="1981" spans="1:30">
      <c r="A1981" s="3" t="s">
        <v>1957</v>
      </c>
      <c r="D1981">
        <v>2</v>
      </c>
      <c r="AD1981">
        <v>1</v>
      </c>
    </row>
    <row r="1982" spans="1:30">
      <c r="A1982" s="3" t="s">
        <v>1958</v>
      </c>
      <c r="D1982">
        <v>2</v>
      </c>
      <c r="AD1982">
        <v>1</v>
      </c>
    </row>
    <row r="1983" spans="1:30">
      <c r="A1983" s="3" t="s">
        <v>1959</v>
      </c>
      <c r="D1983">
        <v>2</v>
      </c>
      <c r="AD1983">
        <v>1</v>
      </c>
    </row>
    <row r="1984" spans="1:30">
      <c r="A1984" s="3" t="s">
        <v>1960</v>
      </c>
      <c r="D1984">
        <v>2</v>
      </c>
      <c r="AD1984">
        <v>1</v>
      </c>
    </row>
    <row r="1985" spans="1:30">
      <c r="A1985" s="3" t="s">
        <v>1961</v>
      </c>
      <c r="D1985">
        <v>2</v>
      </c>
      <c r="AD1985">
        <v>1</v>
      </c>
    </row>
    <row r="1986" spans="1:30">
      <c r="A1986" s="3" t="s">
        <v>1962</v>
      </c>
      <c r="D1986">
        <v>2</v>
      </c>
      <c r="AD1986">
        <v>1</v>
      </c>
    </row>
    <row r="1987" spans="1:30">
      <c r="A1987" s="3" t="s">
        <v>1963</v>
      </c>
      <c r="D1987">
        <v>2</v>
      </c>
      <c r="AD1987">
        <v>1</v>
      </c>
    </row>
    <row r="1988" spans="1:30">
      <c r="A1988" s="3" t="s">
        <v>1964</v>
      </c>
      <c r="D1988">
        <v>2</v>
      </c>
      <c r="AD1988">
        <v>1</v>
      </c>
    </row>
    <row r="1989" spans="1:30">
      <c r="A1989" s="3" t="s">
        <v>1965</v>
      </c>
      <c r="D1989">
        <v>2</v>
      </c>
      <c r="AD1989">
        <v>1</v>
      </c>
    </row>
    <row r="1990" spans="1:30">
      <c r="A1990" s="3" t="s">
        <v>1966</v>
      </c>
      <c r="D1990">
        <v>2</v>
      </c>
      <c r="AD1990">
        <v>1</v>
      </c>
    </row>
    <row r="1991" spans="1:30">
      <c r="A1991" s="3" t="s">
        <v>1967</v>
      </c>
      <c r="D1991">
        <v>2</v>
      </c>
      <c r="AD1991">
        <v>1</v>
      </c>
    </row>
    <row r="1992" spans="1:30">
      <c r="A1992" s="3" t="s">
        <v>1968</v>
      </c>
      <c r="D1992">
        <v>2</v>
      </c>
      <c r="AD1992">
        <v>1</v>
      </c>
    </row>
    <row r="1993" spans="1:30">
      <c r="A1993" s="3" t="s">
        <v>1969</v>
      </c>
      <c r="D1993">
        <v>2</v>
      </c>
      <c r="AD1993">
        <v>1</v>
      </c>
    </row>
    <row r="1994" spans="1:30">
      <c r="A1994" s="3" t="s">
        <v>1970</v>
      </c>
      <c r="D1994">
        <v>2</v>
      </c>
      <c r="AD1994">
        <v>1</v>
      </c>
    </row>
    <row r="1995" spans="1:30">
      <c r="A1995" s="3" t="s">
        <v>1971</v>
      </c>
      <c r="D1995">
        <v>2</v>
      </c>
      <c r="AD1995">
        <v>1</v>
      </c>
    </row>
    <row r="1996" spans="1:30">
      <c r="A1996" s="3" t="s">
        <v>1972</v>
      </c>
      <c r="D1996">
        <v>2</v>
      </c>
      <c r="AD1996">
        <v>1</v>
      </c>
    </row>
    <row r="1997" spans="1:30">
      <c r="A1997" s="3" t="s">
        <v>1973</v>
      </c>
      <c r="D1997">
        <v>2</v>
      </c>
      <c r="AD1997">
        <v>1</v>
      </c>
    </row>
    <row r="1998" spans="1:30">
      <c r="A1998" s="3" t="s">
        <v>1974</v>
      </c>
      <c r="D1998">
        <v>2</v>
      </c>
      <c r="AD1998">
        <v>1</v>
      </c>
    </row>
    <row r="1999" spans="1:30">
      <c r="A1999" s="3" t="s">
        <v>1975</v>
      </c>
      <c r="D1999">
        <v>2</v>
      </c>
      <c r="AD1999">
        <v>1</v>
      </c>
    </row>
    <row r="2000" spans="1:30">
      <c r="A2000" s="3" t="s">
        <v>1976</v>
      </c>
      <c r="D2000">
        <v>2</v>
      </c>
      <c r="AD2000">
        <v>1</v>
      </c>
    </row>
    <row r="2001" spans="1:30">
      <c r="A2001" s="3" t="s">
        <v>1977</v>
      </c>
      <c r="D2001">
        <v>2</v>
      </c>
      <c r="AD2001">
        <v>1</v>
      </c>
    </row>
    <row r="2002" spans="1:30">
      <c r="A2002" s="3" t="s">
        <v>1978</v>
      </c>
      <c r="D2002">
        <v>2</v>
      </c>
      <c r="AD2002">
        <v>1</v>
      </c>
    </row>
    <row r="2003" spans="1:30">
      <c r="A2003" s="3" t="s">
        <v>1979</v>
      </c>
      <c r="D2003">
        <v>2</v>
      </c>
      <c r="AD2003">
        <v>1</v>
      </c>
    </row>
    <row r="2004" spans="1:30">
      <c r="A2004" s="3" t="s">
        <v>1980</v>
      </c>
      <c r="D2004">
        <v>2</v>
      </c>
      <c r="AD2004">
        <v>1</v>
      </c>
    </row>
    <row r="2005" spans="1:30">
      <c r="A2005" s="3" t="s">
        <v>1981</v>
      </c>
      <c r="D2005">
        <v>2</v>
      </c>
      <c r="AD2005">
        <v>1</v>
      </c>
    </row>
    <row r="2006" spans="1:30">
      <c r="A2006" s="3" t="s">
        <v>1982</v>
      </c>
      <c r="D2006">
        <v>2</v>
      </c>
      <c r="AD2006">
        <v>1</v>
      </c>
    </row>
    <row r="2007" spans="1:30">
      <c r="A2007" s="3" t="s">
        <v>1983</v>
      </c>
      <c r="D2007">
        <v>2</v>
      </c>
      <c r="AD2007">
        <v>1</v>
      </c>
    </row>
    <row r="2008" spans="1:30">
      <c r="A2008" s="3" t="s">
        <v>1984</v>
      </c>
      <c r="D2008">
        <v>2</v>
      </c>
      <c r="AD2008">
        <v>1</v>
      </c>
    </row>
    <row r="2009" spans="1:30">
      <c r="A2009" s="3" t="s">
        <v>1985</v>
      </c>
      <c r="D2009">
        <v>2</v>
      </c>
      <c r="AD2009">
        <v>1</v>
      </c>
    </row>
    <row r="2010" spans="1:30">
      <c r="A2010" s="3" t="s">
        <v>1986</v>
      </c>
      <c r="D2010">
        <v>2</v>
      </c>
      <c r="AD2010">
        <v>1</v>
      </c>
    </row>
    <row r="2011" spans="1:30">
      <c r="A2011" s="3" t="s">
        <v>1987</v>
      </c>
      <c r="D2011">
        <v>2</v>
      </c>
      <c r="AD2011">
        <v>1</v>
      </c>
    </row>
    <row r="2012" spans="1:30">
      <c r="A2012" s="3" t="s">
        <v>1988</v>
      </c>
      <c r="D2012">
        <v>2</v>
      </c>
      <c r="AD2012">
        <v>1</v>
      </c>
    </row>
    <row r="2013" spans="1:30">
      <c r="A2013" s="3" t="s">
        <v>1989</v>
      </c>
      <c r="D2013">
        <v>2</v>
      </c>
      <c r="AD2013">
        <v>1</v>
      </c>
    </row>
    <row r="2014" spans="1:30">
      <c r="A2014" s="3" t="s">
        <v>1990</v>
      </c>
      <c r="D2014">
        <v>2</v>
      </c>
      <c r="AD2014">
        <v>1</v>
      </c>
    </row>
    <row r="2015" spans="1:30">
      <c r="A2015" s="3" t="s">
        <v>1991</v>
      </c>
      <c r="D2015">
        <v>2</v>
      </c>
      <c r="AD2015">
        <v>1</v>
      </c>
    </row>
    <row r="2016" spans="1:30">
      <c r="A2016" s="3" t="s">
        <v>1992</v>
      </c>
      <c r="D2016">
        <v>2</v>
      </c>
      <c r="AD2016">
        <v>1</v>
      </c>
    </row>
    <row r="2017" spans="1:30">
      <c r="A2017" s="3" t="s">
        <v>1993</v>
      </c>
      <c r="D2017">
        <v>2</v>
      </c>
      <c r="AD2017">
        <v>1</v>
      </c>
    </row>
    <row r="2018" spans="1:30">
      <c r="A2018" s="3" t="s">
        <v>1994</v>
      </c>
      <c r="D2018">
        <v>2</v>
      </c>
      <c r="AD2018">
        <v>1</v>
      </c>
    </row>
    <row r="2019" spans="1:30">
      <c r="A2019" s="3" t="s">
        <v>1995</v>
      </c>
      <c r="D2019">
        <v>2</v>
      </c>
      <c r="AD2019">
        <v>1</v>
      </c>
    </row>
    <row r="2020" spans="1:30">
      <c r="A2020" s="3" t="s">
        <v>1996</v>
      </c>
      <c r="D2020">
        <v>2</v>
      </c>
      <c r="AD2020">
        <v>1</v>
      </c>
    </row>
    <row r="2021" spans="1:30">
      <c r="A2021" s="3" t="s">
        <v>1997</v>
      </c>
      <c r="D2021">
        <v>2</v>
      </c>
      <c r="AD2021">
        <v>1</v>
      </c>
    </row>
    <row r="2022" spans="1:30">
      <c r="A2022" s="3" t="s">
        <v>1998</v>
      </c>
      <c r="D2022">
        <v>2</v>
      </c>
      <c r="AD2022">
        <v>1</v>
      </c>
    </row>
    <row r="2023" spans="1:30">
      <c r="A2023" s="3" t="s">
        <v>1999</v>
      </c>
      <c r="D2023">
        <v>2</v>
      </c>
      <c r="AD2023">
        <v>1</v>
      </c>
    </row>
    <row r="2024" spans="1:30">
      <c r="A2024" s="3" t="s">
        <v>2000</v>
      </c>
      <c r="D2024">
        <v>2</v>
      </c>
      <c r="AD2024">
        <v>1</v>
      </c>
    </row>
    <row r="2025" spans="1:30">
      <c r="A2025" s="3" t="s">
        <v>2001</v>
      </c>
      <c r="D2025">
        <v>2</v>
      </c>
      <c r="AD2025">
        <v>1</v>
      </c>
    </row>
    <row r="2026" spans="1:30">
      <c r="A2026" s="3" t="s">
        <v>2002</v>
      </c>
      <c r="D2026">
        <v>2</v>
      </c>
      <c r="AD2026">
        <v>1</v>
      </c>
    </row>
    <row r="2027" spans="1:30">
      <c r="A2027" s="3" t="s">
        <v>2003</v>
      </c>
      <c r="D2027">
        <v>2</v>
      </c>
      <c r="AD2027">
        <v>1</v>
      </c>
    </row>
    <row r="2028" spans="1:30">
      <c r="A2028" s="3" t="s">
        <v>2004</v>
      </c>
      <c r="D2028">
        <v>2</v>
      </c>
      <c r="AD2028">
        <v>1</v>
      </c>
    </row>
    <row r="2029" spans="1:30">
      <c r="A2029" s="3" t="s">
        <v>2005</v>
      </c>
      <c r="D2029">
        <v>2</v>
      </c>
      <c r="AD2029">
        <v>1</v>
      </c>
    </row>
    <row r="2030" spans="1:30">
      <c r="A2030" s="3" t="s">
        <v>2006</v>
      </c>
      <c r="D2030">
        <v>2</v>
      </c>
      <c r="AD2030">
        <v>1</v>
      </c>
    </row>
    <row r="2031" spans="1:30">
      <c r="A2031" s="3" t="s">
        <v>2007</v>
      </c>
      <c r="D2031">
        <v>2</v>
      </c>
      <c r="AD2031">
        <v>1</v>
      </c>
    </row>
    <row r="2032" spans="1:30">
      <c r="A2032" s="3" t="s">
        <v>2008</v>
      </c>
      <c r="D2032">
        <v>2</v>
      </c>
      <c r="AD2032">
        <v>1</v>
      </c>
    </row>
    <row r="2033" spans="1:30">
      <c r="A2033" s="3" t="s">
        <v>2009</v>
      </c>
      <c r="D2033">
        <v>2</v>
      </c>
      <c r="AD2033">
        <v>1</v>
      </c>
    </row>
    <row r="2034" spans="1:30">
      <c r="A2034" s="3" t="s">
        <v>2010</v>
      </c>
      <c r="D2034">
        <v>2</v>
      </c>
      <c r="AD2034">
        <v>1</v>
      </c>
    </row>
    <row r="2035" spans="1:30">
      <c r="A2035" s="3" t="s">
        <v>2011</v>
      </c>
      <c r="D2035">
        <v>2</v>
      </c>
      <c r="AD2035">
        <v>1</v>
      </c>
    </row>
    <row r="2036" spans="1:30">
      <c r="A2036" s="3" t="s">
        <v>2012</v>
      </c>
      <c r="D2036">
        <v>2</v>
      </c>
      <c r="AD2036">
        <v>1</v>
      </c>
    </row>
    <row r="2037" spans="1:30">
      <c r="A2037" s="3" t="s">
        <v>2013</v>
      </c>
      <c r="D2037">
        <v>2</v>
      </c>
      <c r="AD2037">
        <v>1</v>
      </c>
    </row>
    <row r="2038" spans="1:30">
      <c r="A2038" s="3" t="s">
        <v>2014</v>
      </c>
      <c r="D2038">
        <v>2</v>
      </c>
      <c r="AD2038">
        <v>1</v>
      </c>
    </row>
    <row r="2039" spans="1:30">
      <c r="A2039" s="3" t="s">
        <v>2015</v>
      </c>
      <c r="D2039">
        <v>2</v>
      </c>
      <c r="AD2039">
        <v>1</v>
      </c>
    </row>
    <row r="2040" spans="1:30">
      <c r="A2040" s="3" t="s">
        <v>2016</v>
      </c>
      <c r="D2040">
        <v>2</v>
      </c>
      <c r="AD2040">
        <v>1</v>
      </c>
    </row>
    <row r="2041" spans="1:30">
      <c r="A2041" s="3" t="s">
        <v>2017</v>
      </c>
      <c r="D2041">
        <v>2</v>
      </c>
      <c r="AD2041">
        <v>1</v>
      </c>
    </row>
    <row r="2042" spans="1:30">
      <c r="A2042" s="3" t="s">
        <v>2018</v>
      </c>
      <c r="D2042">
        <v>2</v>
      </c>
      <c r="AD2042">
        <v>1</v>
      </c>
    </row>
    <row r="2043" spans="1:30">
      <c r="A2043" s="3" t="s">
        <v>2019</v>
      </c>
      <c r="D2043">
        <v>2</v>
      </c>
      <c r="AD2043">
        <v>1</v>
      </c>
    </row>
    <row r="2044" spans="1:30">
      <c r="A2044" s="3" t="s">
        <v>2020</v>
      </c>
      <c r="D2044">
        <v>2</v>
      </c>
      <c r="AD2044">
        <v>1</v>
      </c>
    </row>
    <row r="2045" spans="1:30">
      <c r="A2045" s="3" t="s">
        <v>2021</v>
      </c>
      <c r="D2045">
        <v>2</v>
      </c>
      <c r="AD2045">
        <v>1</v>
      </c>
    </row>
    <row r="2046" spans="1:30">
      <c r="A2046" s="3" t="s">
        <v>2022</v>
      </c>
      <c r="D2046">
        <v>2</v>
      </c>
      <c r="AD2046">
        <v>1</v>
      </c>
    </row>
    <row r="2047" spans="1:30">
      <c r="A2047" s="3" t="s">
        <v>2023</v>
      </c>
      <c r="D2047">
        <v>2</v>
      </c>
      <c r="AD2047">
        <v>1</v>
      </c>
    </row>
    <row r="2048" spans="1:30">
      <c r="A2048" s="3" t="s">
        <v>2024</v>
      </c>
      <c r="D2048">
        <v>2</v>
      </c>
      <c r="AD2048">
        <v>1</v>
      </c>
    </row>
    <row r="2049" spans="1:30">
      <c r="A2049" s="3" t="s">
        <v>2025</v>
      </c>
      <c r="D2049">
        <v>2</v>
      </c>
      <c r="AD2049">
        <v>1</v>
      </c>
    </row>
    <row r="2050" spans="1:30">
      <c r="A2050" s="3" t="s">
        <v>2026</v>
      </c>
      <c r="D2050">
        <v>2</v>
      </c>
      <c r="AD2050">
        <v>1</v>
      </c>
    </row>
    <row r="2051" spans="1:30">
      <c r="A2051" s="3" t="s">
        <v>2027</v>
      </c>
      <c r="D2051">
        <v>2</v>
      </c>
      <c r="AD2051">
        <v>1</v>
      </c>
    </row>
    <row r="2052" spans="1:30">
      <c r="A2052" s="3" t="s">
        <v>2028</v>
      </c>
      <c r="D2052">
        <v>2</v>
      </c>
      <c r="AD2052">
        <v>1</v>
      </c>
    </row>
    <row r="2053" spans="1:30">
      <c r="A2053" s="3" t="s">
        <v>2029</v>
      </c>
      <c r="D2053">
        <v>2</v>
      </c>
      <c r="AD2053">
        <v>1</v>
      </c>
    </row>
    <row r="2054" spans="1:30">
      <c r="A2054" s="3" t="s">
        <v>2030</v>
      </c>
      <c r="D2054">
        <v>2</v>
      </c>
      <c r="AD2054">
        <v>1</v>
      </c>
    </row>
    <row r="2055" spans="1:30">
      <c r="A2055" s="3" t="s">
        <v>2031</v>
      </c>
      <c r="D2055">
        <v>2</v>
      </c>
      <c r="AD2055">
        <v>1</v>
      </c>
    </row>
    <row r="2056" spans="1:30">
      <c r="A2056" s="3" t="s">
        <v>2032</v>
      </c>
      <c r="D2056">
        <v>2</v>
      </c>
      <c r="J2056">
        <v>26</v>
      </c>
    </row>
    <row r="2057" spans="1:30">
      <c r="A2057" s="3" t="s">
        <v>2033</v>
      </c>
      <c r="D2057">
        <v>2</v>
      </c>
      <c r="J2057">
        <v>26</v>
      </c>
    </row>
    <row r="2058" spans="1:30">
      <c r="A2058" s="3" t="s">
        <v>2034</v>
      </c>
      <c r="D2058">
        <v>2</v>
      </c>
      <c r="J2058">
        <v>26</v>
      </c>
    </row>
    <row r="2059" spans="1:30">
      <c r="A2059" s="3" t="s">
        <v>2035</v>
      </c>
      <c r="D2059">
        <v>2</v>
      </c>
      <c r="J2059">
        <v>26</v>
      </c>
    </row>
    <row r="2060" spans="1:30">
      <c r="A2060" s="3" t="s">
        <v>2036</v>
      </c>
      <c r="D2060">
        <v>2</v>
      </c>
      <c r="J2060">
        <v>26</v>
      </c>
    </row>
    <row r="2061" spans="1:30">
      <c r="A2061" s="3" t="s">
        <v>2037</v>
      </c>
      <c r="D2061">
        <v>2</v>
      </c>
      <c r="J2061">
        <v>26</v>
      </c>
    </row>
    <row r="2062" spans="1:30">
      <c r="A2062" s="3" t="s">
        <v>2038</v>
      </c>
      <c r="D2062">
        <v>2</v>
      </c>
      <c r="J2062">
        <v>26</v>
      </c>
    </row>
    <row r="2063" spans="1:30">
      <c r="A2063" s="3" t="s">
        <v>2039</v>
      </c>
      <c r="D2063">
        <v>2</v>
      </c>
      <c r="J2063">
        <v>26</v>
      </c>
    </row>
    <row r="2064" spans="1:30">
      <c r="A2064" s="3" t="s">
        <v>2040</v>
      </c>
      <c r="D2064">
        <v>2</v>
      </c>
      <c r="J2064">
        <v>26</v>
      </c>
    </row>
    <row r="2065" spans="1:46">
      <c r="A2065" s="3" t="s">
        <v>2041</v>
      </c>
      <c r="D2065">
        <v>2</v>
      </c>
      <c r="J2065">
        <v>26</v>
      </c>
    </row>
    <row r="2066" spans="1:46">
      <c r="A2066" s="3" t="s">
        <v>2042</v>
      </c>
      <c r="D2066">
        <v>2</v>
      </c>
      <c r="J2066">
        <v>26</v>
      </c>
    </row>
    <row r="2067" spans="1:46">
      <c r="A2067" s="3" t="s">
        <v>2043</v>
      </c>
      <c r="D2067">
        <v>2</v>
      </c>
      <c r="J2067">
        <v>26</v>
      </c>
    </row>
    <row r="2068" spans="1:46">
      <c r="A2068" s="3" t="s">
        <v>2044</v>
      </c>
      <c r="D2068">
        <v>2</v>
      </c>
      <c r="E2068">
        <v>3</v>
      </c>
      <c r="J2068">
        <v>26</v>
      </c>
    </row>
    <row r="2069" spans="1:46">
      <c r="A2069" s="3" t="s">
        <v>2045</v>
      </c>
      <c r="D2069">
        <v>2</v>
      </c>
      <c r="E2069">
        <v>3</v>
      </c>
      <c r="J2069">
        <v>26</v>
      </c>
    </row>
    <row r="2070" spans="1:46">
      <c r="A2070" s="3" t="s">
        <v>2046</v>
      </c>
      <c r="D2070">
        <v>2</v>
      </c>
      <c r="E2070">
        <v>3</v>
      </c>
      <c r="J2070">
        <v>26</v>
      </c>
    </row>
    <row r="2071" spans="1:46">
      <c r="A2071" s="3" t="s">
        <v>2047</v>
      </c>
      <c r="D2071">
        <v>2</v>
      </c>
      <c r="E2071">
        <v>3</v>
      </c>
      <c r="J2071">
        <v>26</v>
      </c>
    </row>
    <row r="2072" spans="1:46">
      <c r="A2072" s="3" t="s">
        <v>2048</v>
      </c>
      <c r="D2072">
        <v>2</v>
      </c>
      <c r="E2072">
        <v>3</v>
      </c>
      <c r="J2072">
        <v>26</v>
      </c>
    </row>
    <row r="2073" spans="1:46">
      <c r="A2073" s="3" t="s">
        <v>2049</v>
      </c>
      <c r="D2073">
        <v>2</v>
      </c>
      <c r="E2073">
        <v>3</v>
      </c>
      <c r="J2073">
        <v>26</v>
      </c>
    </row>
    <row r="2074" spans="1:46">
      <c r="A2074" s="3" t="s">
        <v>2050</v>
      </c>
      <c r="D2074">
        <v>2</v>
      </c>
      <c r="E2074">
        <v>3</v>
      </c>
      <c r="J2074">
        <v>26</v>
      </c>
    </row>
    <row r="2075" spans="1:46">
      <c r="A2075" s="3" t="s">
        <v>2051</v>
      </c>
      <c r="D2075">
        <v>2</v>
      </c>
      <c r="E2075">
        <v>3</v>
      </c>
      <c r="AT2075">
        <v>5</v>
      </c>
    </row>
    <row r="2076" spans="1:46">
      <c r="A2076" s="3" t="s">
        <v>2052</v>
      </c>
      <c r="D2076">
        <v>2</v>
      </c>
      <c r="E2076">
        <v>3</v>
      </c>
      <c r="AT2076">
        <v>5</v>
      </c>
    </row>
    <row r="2077" spans="1:46">
      <c r="A2077" s="3" t="s">
        <v>2053</v>
      </c>
      <c r="D2077">
        <v>2</v>
      </c>
      <c r="E2077">
        <v>3</v>
      </c>
      <c r="AT2077">
        <v>5</v>
      </c>
    </row>
    <row r="2078" spans="1:46">
      <c r="A2078" s="3" t="s">
        <v>2054</v>
      </c>
      <c r="D2078">
        <v>2</v>
      </c>
      <c r="E2078">
        <v>3</v>
      </c>
      <c r="AT2078">
        <v>5</v>
      </c>
    </row>
    <row r="2079" spans="1:46">
      <c r="A2079" s="3" t="s">
        <v>2055</v>
      </c>
      <c r="D2079">
        <v>2</v>
      </c>
      <c r="E2079">
        <v>3</v>
      </c>
      <c r="AT2079">
        <v>5</v>
      </c>
    </row>
    <row r="2080" spans="1:46">
      <c r="A2080" s="3" t="s">
        <v>2056</v>
      </c>
      <c r="D2080">
        <v>2</v>
      </c>
      <c r="E2080">
        <v>3</v>
      </c>
      <c r="AT2080">
        <v>5</v>
      </c>
    </row>
    <row r="2081" spans="1:46">
      <c r="A2081" s="3" t="s">
        <v>2057</v>
      </c>
      <c r="D2081">
        <v>2</v>
      </c>
      <c r="E2081">
        <v>3</v>
      </c>
      <c r="AT2081">
        <v>5</v>
      </c>
    </row>
    <row r="2082" spans="1:46">
      <c r="A2082" s="3" t="s">
        <v>2058</v>
      </c>
      <c r="D2082">
        <v>2</v>
      </c>
      <c r="E2082">
        <v>3</v>
      </c>
      <c r="AT2082">
        <v>5</v>
      </c>
    </row>
    <row r="2083" spans="1:46">
      <c r="A2083" s="3" t="s">
        <v>2059</v>
      </c>
      <c r="D2083">
        <v>2</v>
      </c>
      <c r="E2083">
        <v>3</v>
      </c>
      <c r="AT2083">
        <v>5</v>
      </c>
    </row>
    <row r="2084" spans="1:46">
      <c r="A2084" s="3" t="s">
        <v>2060</v>
      </c>
      <c r="D2084">
        <v>2</v>
      </c>
      <c r="E2084">
        <v>3</v>
      </c>
      <c r="AT2084">
        <v>5</v>
      </c>
    </row>
    <row r="2085" spans="1:46">
      <c r="A2085" s="3" t="s">
        <v>2061</v>
      </c>
      <c r="D2085">
        <v>2</v>
      </c>
      <c r="E2085">
        <v>3</v>
      </c>
      <c r="AT2085">
        <v>5</v>
      </c>
    </row>
    <row r="2086" spans="1:46">
      <c r="A2086" s="3" t="s">
        <v>2062</v>
      </c>
      <c r="D2086">
        <v>2</v>
      </c>
      <c r="E2086">
        <v>3</v>
      </c>
      <c r="AT2086">
        <v>5</v>
      </c>
    </row>
    <row r="2087" spans="1:46">
      <c r="A2087" s="3" t="s">
        <v>2063</v>
      </c>
      <c r="D2087">
        <v>2</v>
      </c>
      <c r="E2087">
        <v>3</v>
      </c>
      <c r="AT2087">
        <v>5</v>
      </c>
    </row>
    <row r="2088" spans="1:46">
      <c r="A2088" s="3" t="s">
        <v>2064</v>
      </c>
      <c r="D2088">
        <v>2</v>
      </c>
      <c r="E2088">
        <v>3</v>
      </c>
      <c r="AT2088">
        <v>5</v>
      </c>
    </row>
    <row r="2089" spans="1:46">
      <c r="A2089" s="3" t="s">
        <v>2065</v>
      </c>
      <c r="D2089">
        <v>2</v>
      </c>
      <c r="E2089">
        <v>3</v>
      </c>
      <c r="AT2089">
        <v>5</v>
      </c>
    </row>
    <row r="2090" spans="1:46">
      <c r="A2090" s="3" t="s">
        <v>2066</v>
      </c>
      <c r="D2090">
        <v>2</v>
      </c>
      <c r="E2090">
        <v>3</v>
      </c>
      <c r="AT2090">
        <v>5</v>
      </c>
    </row>
    <row r="2091" spans="1:46">
      <c r="A2091" s="3" t="s">
        <v>2067</v>
      </c>
      <c r="D2091">
        <v>2</v>
      </c>
      <c r="E2091">
        <v>3</v>
      </c>
      <c r="AT2091">
        <v>5</v>
      </c>
    </row>
    <row r="2092" spans="1:46">
      <c r="A2092" s="3" t="s">
        <v>2068</v>
      </c>
      <c r="D2092">
        <v>2</v>
      </c>
      <c r="E2092">
        <v>3</v>
      </c>
      <c r="AT2092">
        <v>5</v>
      </c>
    </row>
    <row r="2093" spans="1:46">
      <c r="A2093" s="3" t="s">
        <v>2069</v>
      </c>
      <c r="D2093">
        <v>2</v>
      </c>
      <c r="E2093">
        <v>3</v>
      </c>
      <c r="AT2093">
        <v>5</v>
      </c>
    </row>
    <row r="2094" spans="1:46">
      <c r="A2094" s="3" t="s">
        <v>2070</v>
      </c>
      <c r="D2094">
        <v>2</v>
      </c>
      <c r="E2094">
        <v>3</v>
      </c>
      <c r="AT2094">
        <v>5</v>
      </c>
    </row>
    <row r="2095" spans="1:46">
      <c r="A2095" s="3" t="s">
        <v>2071</v>
      </c>
      <c r="D2095">
        <v>2</v>
      </c>
      <c r="E2095">
        <v>3</v>
      </c>
      <c r="AT2095">
        <v>5</v>
      </c>
    </row>
    <row r="2096" spans="1:46">
      <c r="A2096" s="3" t="s">
        <v>2072</v>
      </c>
      <c r="D2096">
        <v>2</v>
      </c>
      <c r="E2096">
        <v>3</v>
      </c>
      <c r="AT2096">
        <v>5</v>
      </c>
    </row>
    <row r="2097" spans="1:46">
      <c r="A2097" s="3" t="s">
        <v>2073</v>
      </c>
      <c r="D2097">
        <v>2</v>
      </c>
      <c r="E2097">
        <v>3</v>
      </c>
      <c r="AT2097">
        <v>5</v>
      </c>
    </row>
    <row r="2098" spans="1:46">
      <c r="A2098" s="3" t="s">
        <v>2074</v>
      </c>
      <c r="D2098">
        <v>2</v>
      </c>
      <c r="E2098">
        <v>3</v>
      </c>
      <c r="AT2098">
        <v>5</v>
      </c>
    </row>
    <row r="2099" spans="1:46">
      <c r="A2099" s="3" t="s">
        <v>2075</v>
      </c>
      <c r="D2099">
        <v>2</v>
      </c>
      <c r="E2099">
        <v>3</v>
      </c>
      <c r="AT2099">
        <v>5</v>
      </c>
    </row>
    <row r="2100" spans="1:46">
      <c r="A2100" s="3" t="s">
        <v>2076</v>
      </c>
      <c r="D2100">
        <v>2</v>
      </c>
      <c r="E2100">
        <v>3</v>
      </c>
      <c r="AT2100">
        <v>5</v>
      </c>
    </row>
    <row r="2101" spans="1:46">
      <c r="A2101" s="3" t="s">
        <v>2077</v>
      </c>
      <c r="D2101">
        <v>2</v>
      </c>
      <c r="E2101">
        <v>3</v>
      </c>
      <c r="AT2101">
        <v>5</v>
      </c>
    </row>
    <row r="2102" spans="1:46">
      <c r="A2102" s="3" t="s">
        <v>2078</v>
      </c>
      <c r="D2102">
        <v>2</v>
      </c>
      <c r="E2102">
        <v>3</v>
      </c>
      <c r="AT2102">
        <v>5</v>
      </c>
    </row>
    <row r="2103" spans="1:46">
      <c r="A2103" s="3" t="s">
        <v>2079</v>
      </c>
      <c r="D2103">
        <v>2</v>
      </c>
      <c r="E2103">
        <v>3</v>
      </c>
      <c r="AT2103">
        <v>5</v>
      </c>
    </row>
    <row r="2104" spans="1:46">
      <c r="A2104" s="3" t="s">
        <v>2080</v>
      </c>
      <c r="D2104">
        <v>2</v>
      </c>
      <c r="E2104">
        <v>3</v>
      </c>
      <c r="AT2104">
        <v>5</v>
      </c>
    </row>
    <row r="2105" spans="1:46">
      <c r="A2105" s="3" t="s">
        <v>2081</v>
      </c>
      <c r="D2105">
        <v>2</v>
      </c>
      <c r="E2105">
        <v>3</v>
      </c>
      <c r="J2105">
        <v>27</v>
      </c>
    </row>
    <row r="2106" spans="1:46">
      <c r="A2106" s="3" t="s">
        <v>2082</v>
      </c>
      <c r="D2106">
        <v>2</v>
      </c>
      <c r="E2106">
        <v>3</v>
      </c>
      <c r="J2106">
        <v>27</v>
      </c>
    </row>
    <row r="2107" spans="1:46">
      <c r="A2107" s="3" t="s">
        <v>2083</v>
      </c>
      <c r="D2107">
        <v>2</v>
      </c>
      <c r="E2107">
        <v>3</v>
      </c>
      <c r="J2107">
        <v>27</v>
      </c>
    </row>
    <row r="2108" spans="1:46">
      <c r="A2108" s="3" t="s">
        <v>2084</v>
      </c>
      <c r="D2108">
        <v>2</v>
      </c>
      <c r="E2108">
        <v>3</v>
      </c>
      <c r="J2108">
        <v>27</v>
      </c>
    </row>
    <row r="2109" spans="1:46">
      <c r="A2109" s="3" t="s">
        <v>2085</v>
      </c>
      <c r="D2109">
        <v>2</v>
      </c>
      <c r="E2109">
        <v>3</v>
      </c>
      <c r="J2109">
        <v>27</v>
      </c>
    </row>
    <row r="2110" spans="1:46">
      <c r="A2110" s="3" t="s">
        <v>2086</v>
      </c>
      <c r="D2110">
        <v>2</v>
      </c>
      <c r="E2110">
        <v>3</v>
      </c>
      <c r="J2110">
        <v>27</v>
      </c>
    </row>
    <row r="2111" spans="1:46">
      <c r="A2111" s="3" t="s">
        <v>2087</v>
      </c>
      <c r="D2111">
        <v>2</v>
      </c>
      <c r="E2111">
        <v>3</v>
      </c>
      <c r="J2111">
        <v>27</v>
      </c>
    </row>
    <row r="2112" spans="1:46">
      <c r="A2112" s="3" t="s">
        <v>2088</v>
      </c>
      <c r="D2112">
        <v>2</v>
      </c>
      <c r="E2112">
        <v>3</v>
      </c>
      <c r="J2112">
        <v>27</v>
      </c>
    </row>
    <row r="2113" spans="1:46">
      <c r="A2113" s="3" t="s">
        <v>2089</v>
      </c>
      <c r="D2113">
        <v>2</v>
      </c>
      <c r="E2113">
        <v>3</v>
      </c>
      <c r="J2113">
        <v>27</v>
      </c>
    </row>
    <row r="2114" spans="1:46">
      <c r="A2114" s="3" t="s">
        <v>2090</v>
      </c>
      <c r="E2114">
        <v>3</v>
      </c>
      <c r="J2114">
        <v>27</v>
      </c>
    </row>
    <row r="2115" spans="1:46">
      <c r="A2115" s="3" t="s">
        <v>2091</v>
      </c>
      <c r="E2115">
        <v>3</v>
      </c>
      <c r="J2115">
        <v>27</v>
      </c>
    </row>
    <row r="2116" spans="1:46">
      <c r="A2116" s="3" t="s">
        <v>2092</v>
      </c>
      <c r="E2116">
        <v>3</v>
      </c>
      <c r="AT2116">
        <v>6</v>
      </c>
    </row>
    <row r="2117" spans="1:46">
      <c r="A2117" s="3" t="s">
        <v>2093</v>
      </c>
      <c r="E2117">
        <v>3</v>
      </c>
      <c r="AT2117">
        <v>6</v>
      </c>
    </row>
    <row r="2118" spans="1:46">
      <c r="A2118" s="3" t="s">
        <v>2094</v>
      </c>
      <c r="E2118">
        <v>3</v>
      </c>
      <c r="AT2118">
        <v>6</v>
      </c>
    </row>
    <row r="2119" spans="1:46">
      <c r="A2119" s="3" t="s">
        <v>2095</v>
      </c>
      <c r="E2119">
        <v>3</v>
      </c>
      <c r="AT2119">
        <v>6</v>
      </c>
    </row>
    <row r="2120" spans="1:46">
      <c r="A2120" s="3" t="s">
        <v>2096</v>
      </c>
      <c r="E2120">
        <v>3</v>
      </c>
      <c r="AT2120">
        <v>6</v>
      </c>
    </row>
    <row r="2121" spans="1:46">
      <c r="A2121" s="3" t="s">
        <v>2097</v>
      </c>
      <c r="E2121">
        <v>3</v>
      </c>
      <c r="AT2121">
        <v>6</v>
      </c>
    </row>
    <row r="2122" spans="1:46">
      <c r="A2122" s="3" t="s">
        <v>2098</v>
      </c>
      <c r="E2122">
        <v>3</v>
      </c>
      <c r="AT2122">
        <v>6</v>
      </c>
    </row>
    <row r="2123" spans="1:46">
      <c r="A2123" s="3" t="s">
        <v>2099</v>
      </c>
      <c r="E2123">
        <v>3</v>
      </c>
      <c r="J2123">
        <v>28</v>
      </c>
    </row>
    <row r="2124" spans="1:46">
      <c r="A2124" s="3" t="s">
        <v>2100</v>
      </c>
      <c r="E2124">
        <v>3</v>
      </c>
      <c r="J2124">
        <v>28</v>
      </c>
    </row>
    <row r="2125" spans="1:46">
      <c r="A2125" s="3" t="s">
        <v>2101</v>
      </c>
      <c r="E2125">
        <v>3</v>
      </c>
      <c r="J2125">
        <v>28</v>
      </c>
    </row>
    <row r="2126" spans="1:46">
      <c r="A2126" s="3" t="s">
        <v>2102</v>
      </c>
      <c r="E2126">
        <v>3</v>
      </c>
      <c r="J2126">
        <v>28</v>
      </c>
    </row>
    <row r="2127" spans="1:46">
      <c r="A2127" s="3" t="s">
        <v>2103</v>
      </c>
      <c r="E2127">
        <v>3</v>
      </c>
      <c r="J2127">
        <v>28</v>
      </c>
    </row>
    <row r="2128" spans="1:46">
      <c r="A2128" s="3" t="s">
        <v>2104</v>
      </c>
      <c r="E2128">
        <v>3</v>
      </c>
      <c r="J2128">
        <v>28</v>
      </c>
    </row>
    <row r="2129" spans="1:49">
      <c r="A2129" s="3" t="s">
        <v>2105</v>
      </c>
      <c r="E2129">
        <v>3</v>
      </c>
      <c r="J2129">
        <v>28</v>
      </c>
    </row>
    <row r="2130" spans="1:49">
      <c r="A2130" s="3" t="s">
        <v>2106</v>
      </c>
      <c r="E2130">
        <v>3</v>
      </c>
      <c r="J2130">
        <v>28</v>
      </c>
    </row>
    <row r="2131" spans="1:49">
      <c r="A2131" s="3" t="s">
        <v>2107</v>
      </c>
      <c r="E2131">
        <v>3</v>
      </c>
      <c r="AW2131">
        <v>17</v>
      </c>
    </row>
    <row r="2132" spans="1:49">
      <c r="A2132" s="3" t="s">
        <v>2108</v>
      </c>
      <c r="E2132">
        <v>3</v>
      </c>
      <c r="AW2132">
        <v>17</v>
      </c>
    </row>
    <row r="2133" spans="1:49">
      <c r="A2133" s="3" t="s">
        <v>2109</v>
      </c>
      <c r="E2133">
        <v>3</v>
      </c>
      <c r="AW2133">
        <v>17</v>
      </c>
    </row>
    <row r="2134" spans="1:49">
      <c r="A2134" s="3" t="s">
        <v>2110</v>
      </c>
      <c r="E2134">
        <v>3</v>
      </c>
      <c r="AW2134">
        <v>17</v>
      </c>
    </row>
    <row r="2135" spans="1:49">
      <c r="A2135" s="3" t="s">
        <v>2111</v>
      </c>
      <c r="E2135">
        <v>3</v>
      </c>
      <c r="AW2135">
        <v>17</v>
      </c>
    </row>
    <row r="2136" spans="1:49">
      <c r="A2136" s="3" t="s">
        <v>2112</v>
      </c>
      <c r="E2136">
        <v>3</v>
      </c>
      <c r="AW2136">
        <v>17</v>
      </c>
    </row>
    <row r="2137" spans="1:49">
      <c r="A2137" s="3" t="s">
        <v>2113</v>
      </c>
      <c r="E2137">
        <v>3</v>
      </c>
      <c r="AW2137">
        <v>17</v>
      </c>
    </row>
    <row r="2138" spans="1:49">
      <c r="A2138" s="3" t="s">
        <v>2114</v>
      </c>
      <c r="E2138">
        <v>3</v>
      </c>
      <c r="J2138">
        <v>29</v>
      </c>
    </row>
    <row r="2139" spans="1:49">
      <c r="A2139" s="3" t="s">
        <v>2115</v>
      </c>
      <c r="E2139">
        <v>3</v>
      </c>
      <c r="J2139">
        <v>29</v>
      </c>
    </row>
    <row r="2140" spans="1:49">
      <c r="A2140" s="3" t="s">
        <v>2116</v>
      </c>
      <c r="E2140">
        <v>3</v>
      </c>
      <c r="J2140">
        <v>29</v>
      </c>
    </row>
    <row r="2141" spans="1:49">
      <c r="A2141" s="3" t="s">
        <v>2117</v>
      </c>
      <c r="E2141">
        <v>3</v>
      </c>
      <c r="J2141">
        <v>29</v>
      </c>
    </row>
    <row r="2142" spans="1:49">
      <c r="A2142" s="3" t="s">
        <v>2118</v>
      </c>
      <c r="E2142">
        <v>3</v>
      </c>
      <c r="J2142">
        <v>29</v>
      </c>
    </row>
    <row r="2143" spans="1:49">
      <c r="A2143" s="3" t="s">
        <v>2119</v>
      </c>
      <c r="E2143">
        <v>3</v>
      </c>
      <c r="J2143">
        <v>29</v>
      </c>
    </row>
    <row r="2144" spans="1:49">
      <c r="A2144" s="3" t="s">
        <v>2120</v>
      </c>
      <c r="E2144">
        <v>3</v>
      </c>
      <c r="J2144">
        <v>29</v>
      </c>
    </row>
    <row r="2145" spans="1:10">
      <c r="A2145" s="3" t="s">
        <v>2121</v>
      </c>
      <c r="E2145">
        <v>3</v>
      </c>
      <c r="J2145">
        <v>29</v>
      </c>
    </row>
    <row r="2146" spans="1:10">
      <c r="A2146" s="3" t="s">
        <v>2122</v>
      </c>
      <c r="E2146">
        <v>3</v>
      </c>
      <c r="J2146">
        <v>29</v>
      </c>
    </row>
    <row r="2147" spans="1:10">
      <c r="A2147" s="3" t="s">
        <v>2123</v>
      </c>
      <c r="E2147">
        <v>3</v>
      </c>
      <c r="J2147">
        <v>29</v>
      </c>
    </row>
    <row r="2148" spans="1:10">
      <c r="A2148" s="3" t="s">
        <v>2124</v>
      </c>
      <c r="E2148">
        <v>3</v>
      </c>
      <c r="J2148">
        <v>29</v>
      </c>
    </row>
    <row r="2149" spans="1:10">
      <c r="A2149" s="3" t="s">
        <v>2125</v>
      </c>
      <c r="E2149">
        <v>3</v>
      </c>
      <c r="J2149">
        <v>29</v>
      </c>
    </row>
    <row r="2150" spans="1:10">
      <c r="A2150" s="3" t="s">
        <v>2126</v>
      </c>
      <c r="E2150">
        <v>3</v>
      </c>
      <c r="J2150">
        <v>29</v>
      </c>
    </row>
    <row r="2151" spans="1:10">
      <c r="A2151" s="3" t="s">
        <v>2127</v>
      </c>
      <c r="E2151">
        <v>3</v>
      </c>
      <c r="J2151">
        <v>29</v>
      </c>
    </row>
    <row r="2152" spans="1:10">
      <c r="A2152" s="3" t="s">
        <v>2128</v>
      </c>
      <c r="E2152">
        <v>3</v>
      </c>
      <c r="J2152">
        <v>29</v>
      </c>
    </row>
    <row r="2153" spans="1:10">
      <c r="A2153" s="3" t="s">
        <v>2129</v>
      </c>
      <c r="E2153">
        <v>3</v>
      </c>
      <c r="J2153">
        <v>29</v>
      </c>
    </row>
    <row r="2154" spans="1:10">
      <c r="A2154" s="3" t="s">
        <v>2130</v>
      </c>
      <c r="E2154">
        <v>3</v>
      </c>
      <c r="J2154">
        <v>29</v>
      </c>
    </row>
    <row r="2155" spans="1:10">
      <c r="A2155" s="3" t="s">
        <v>2131</v>
      </c>
      <c r="E2155">
        <v>3</v>
      </c>
      <c r="J2155">
        <v>29</v>
      </c>
    </row>
    <row r="2156" spans="1:10">
      <c r="A2156" s="3" t="s">
        <v>2132</v>
      </c>
      <c r="E2156">
        <v>3</v>
      </c>
      <c r="J2156">
        <v>29</v>
      </c>
    </row>
    <row r="2157" spans="1:10">
      <c r="A2157" s="3" t="s">
        <v>2133</v>
      </c>
      <c r="E2157">
        <v>3</v>
      </c>
      <c r="J2157">
        <v>29</v>
      </c>
    </row>
    <row r="2158" spans="1:10">
      <c r="A2158" s="3" t="s">
        <v>2134</v>
      </c>
      <c r="E2158">
        <v>3</v>
      </c>
      <c r="J2158">
        <v>29</v>
      </c>
    </row>
    <row r="2159" spans="1:10">
      <c r="A2159" s="3" t="s">
        <v>2135</v>
      </c>
      <c r="E2159">
        <v>3</v>
      </c>
      <c r="J2159">
        <v>29</v>
      </c>
    </row>
    <row r="2160" spans="1:10">
      <c r="A2160" s="3" t="s">
        <v>2136</v>
      </c>
      <c r="E2160">
        <v>3</v>
      </c>
      <c r="J2160">
        <v>29</v>
      </c>
    </row>
    <row r="2161" spans="1:38">
      <c r="A2161" s="3" t="s">
        <v>2137</v>
      </c>
      <c r="E2161">
        <v>3</v>
      </c>
      <c r="J2161">
        <v>29</v>
      </c>
    </row>
    <row r="2162" spans="1:38">
      <c r="A2162" s="3" t="s">
        <v>2138</v>
      </c>
      <c r="E2162">
        <v>3</v>
      </c>
      <c r="AL2162">
        <v>1</v>
      </c>
    </row>
    <row r="2163" spans="1:38">
      <c r="A2163" s="3" t="s">
        <v>2139</v>
      </c>
      <c r="E2163">
        <v>3</v>
      </c>
      <c r="AL2163">
        <v>1</v>
      </c>
    </row>
    <row r="2164" spans="1:38">
      <c r="A2164" s="3" t="s">
        <v>2140</v>
      </c>
      <c r="E2164">
        <v>3</v>
      </c>
      <c r="AL2164">
        <v>1</v>
      </c>
    </row>
    <row r="2165" spans="1:38">
      <c r="A2165" s="3" t="s">
        <v>2141</v>
      </c>
      <c r="E2165">
        <v>3</v>
      </c>
      <c r="AL2165">
        <v>1</v>
      </c>
    </row>
    <row r="2166" spans="1:38">
      <c r="A2166" s="3" t="s">
        <v>2142</v>
      </c>
      <c r="E2166">
        <v>3</v>
      </c>
      <c r="AL2166">
        <v>1</v>
      </c>
    </row>
    <row r="2167" spans="1:38">
      <c r="A2167" s="3" t="s">
        <v>2143</v>
      </c>
      <c r="E2167">
        <v>3</v>
      </c>
      <c r="AL2167">
        <v>1</v>
      </c>
    </row>
    <row r="2168" spans="1:38">
      <c r="A2168" s="3" t="s">
        <v>2144</v>
      </c>
      <c r="E2168">
        <v>3</v>
      </c>
      <c r="AL2168">
        <v>1</v>
      </c>
    </row>
    <row r="2169" spans="1:38">
      <c r="A2169" s="3" t="s">
        <v>2145</v>
      </c>
      <c r="E2169">
        <v>3</v>
      </c>
      <c r="AL2169">
        <v>1</v>
      </c>
    </row>
    <row r="2170" spans="1:38">
      <c r="A2170" s="3" t="s">
        <v>2146</v>
      </c>
      <c r="E2170">
        <v>3</v>
      </c>
      <c r="AL2170">
        <v>1</v>
      </c>
    </row>
    <row r="2171" spans="1:38">
      <c r="A2171" s="3" t="s">
        <v>2147</v>
      </c>
      <c r="E2171">
        <v>3</v>
      </c>
      <c r="AL2171">
        <v>1</v>
      </c>
    </row>
    <row r="2172" spans="1:38">
      <c r="A2172" s="3" t="s">
        <v>2148</v>
      </c>
      <c r="E2172">
        <v>3</v>
      </c>
      <c r="AL2172">
        <v>1</v>
      </c>
    </row>
    <row r="2173" spans="1:38">
      <c r="A2173" s="3" t="s">
        <v>2149</v>
      </c>
      <c r="E2173">
        <v>3</v>
      </c>
      <c r="AL2173">
        <v>1</v>
      </c>
    </row>
    <row r="2174" spans="1:38">
      <c r="A2174" s="3" t="s">
        <v>2150</v>
      </c>
      <c r="E2174">
        <v>3</v>
      </c>
      <c r="AL2174">
        <v>1</v>
      </c>
    </row>
    <row r="2175" spans="1:38">
      <c r="A2175" s="3" t="s">
        <v>2151</v>
      </c>
      <c r="E2175">
        <v>3</v>
      </c>
      <c r="AL2175">
        <v>1</v>
      </c>
    </row>
    <row r="2176" spans="1:38">
      <c r="A2176" s="3" t="s">
        <v>2152</v>
      </c>
      <c r="E2176">
        <v>3</v>
      </c>
      <c r="AL2176">
        <v>1</v>
      </c>
    </row>
    <row r="2177" spans="1:38">
      <c r="A2177" s="3" t="s">
        <v>2153</v>
      </c>
      <c r="E2177">
        <v>3</v>
      </c>
      <c r="AL2177">
        <v>1</v>
      </c>
    </row>
    <row r="2178" spans="1:38">
      <c r="A2178" s="3" t="s">
        <v>2154</v>
      </c>
      <c r="E2178">
        <v>3</v>
      </c>
      <c r="AL2178">
        <v>1</v>
      </c>
    </row>
    <row r="2179" spans="1:38">
      <c r="A2179" s="3" t="s">
        <v>2155</v>
      </c>
      <c r="E2179">
        <v>3</v>
      </c>
      <c r="AL2179">
        <v>1</v>
      </c>
    </row>
    <row r="2180" spans="1:38">
      <c r="A2180" s="3" t="s">
        <v>2156</v>
      </c>
      <c r="E2180">
        <v>3</v>
      </c>
      <c r="AL2180">
        <v>1</v>
      </c>
    </row>
    <row r="2181" spans="1:38">
      <c r="A2181" s="3" t="s">
        <v>2157</v>
      </c>
      <c r="E2181">
        <v>3</v>
      </c>
      <c r="AL2181">
        <v>1</v>
      </c>
    </row>
    <row r="2182" spans="1:38">
      <c r="A2182" s="3" t="s">
        <v>2158</v>
      </c>
      <c r="E2182">
        <v>3</v>
      </c>
      <c r="AL2182">
        <v>1</v>
      </c>
    </row>
    <row r="2183" spans="1:38">
      <c r="A2183" s="3" t="s">
        <v>2159</v>
      </c>
      <c r="E2183">
        <v>3</v>
      </c>
      <c r="AL2183">
        <v>1</v>
      </c>
    </row>
    <row r="2184" spans="1:38">
      <c r="A2184" s="3" t="s">
        <v>2160</v>
      </c>
      <c r="E2184">
        <v>3</v>
      </c>
      <c r="AL2184">
        <v>1</v>
      </c>
    </row>
    <row r="2185" spans="1:38">
      <c r="A2185" s="3" t="s">
        <v>2161</v>
      </c>
      <c r="E2185">
        <v>3</v>
      </c>
      <c r="AL2185">
        <v>1</v>
      </c>
    </row>
    <row r="2186" spans="1:38">
      <c r="A2186" s="3" t="s">
        <v>2162</v>
      </c>
      <c r="E2186">
        <v>3</v>
      </c>
      <c r="AL2186">
        <v>1</v>
      </c>
    </row>
    <row r="2187" spans="1:38">
      <c r="A2187" s="3" t="s">
        <v>2163</v>
      </c>
      <c r="E2187">
        <v>3</v>
      </c>
      <c r="AL2187">
        <v>1</v>
      </c>
    </row>
    <row r="2188" spans="1:38">
      <c r="A2188" s="3" t="s">
        <v>2164</v>
      </c>
      <c r="E2188">
        <v>3</v>
      </c>
      <c r="AL2188">
        <v>1</v>
      </c>
    </row>
    <row r="2189" spans="1:38">
      <c r="A2189" s="3" t="s">
        <v>2165</v>
      </c>
      <c r="E2189">
        <v>3</v>
      </c>
      <c r="AL2189">
        <v>1</v>
      </c>
    </row>
    <row r="2190" spans="1:38">
      <c r="A2190" s="3" t="s">
        <v>2166</v>
      </c>
      <c r="E2190">
        <v>3</v>
      </c>
      <c r="AL2190">
        <v>1</v>
      </c>
    </row>
    <row r="2191" spans="1:38">
      <c r="A2191" s="3" t="s">
        <v>2167</v>
      </c>
      <c r="E2191">
        <v>3</v>
      </c>
      <c r="AL2191">
        <v>1</v>
      </c>
    </row>
    <row r="2192" spans="1:38">
      <c r="A2192" s="3" t="s">
        <v>2168</v>
      </c>
      <c r="E2192">
        <v>3</v>
      </c>
      <c r="AL2192">
        <v>1</v>
      </c>
    </row>
    <row r="2193" spans="1:49">
      <c r="A2193" s="3" t="s">
        <v>2169</v>
      </c>
      <c r="E2193">
        <v>3</v>
      </c>
      <c r="AL2193">
        <v>1</v>
      </c>
    </row>
    <row r="2194" spans="1:49">
      <c r="A2194" s="3" t="s">
        <v>2170</v>
      </c>
      <c r="E2194">
        <v>3</v>
      </c>
      <c r="AL2194">
        <v>1</v>
      </c>
    </row>
    <row r="2195" spans="1:49">
      <c r="A2195" s="3" t="s">
        <v>2171</v>
      </c>
      <c r="E2195">
        <v>3</v>
      </c>
      <c r="AL2195">
        <v>1</v>
      </c>
    </row>
    <row r="2196" spans="1:49">
      <c r="A2196" s="3" t="s">
        <v>2172</v>
      </c>
      <c r="E2196">
        <v>3</v>
      </c>
      <c r="AW2196">
        <v>18</v>
      </c>
    </row>
    <row r="2197" spans="1:49">
      <c r="A2197" s="3" t="s">
        <v>2173</v>
      </c>
      <c r="E2197">
        <v>3</v>
      </c>
      <c r="AW2197">
        <v>18</v>
      </c>
    </row>
    <row r="2198" spans="1:49">
      <c r="A2198" s="3" t="s">
        <v>2174</v>
      </c>
      <c r="E2198">
        <v>3</v>
      </c>
      <c r="J2198">
        <v>30</v>
      </c>
    </row>
    <row r="2199" spans="1:49">
      <c r="A2199" s="3" t="s">
        <v>2175</v>
      </c>
      <c r="E2199">
        <v>3</v>
      </c>
      <c r="J2199">
        <v>30</v>
      </c>
    </row>
    <row r="2200" spans="1:49">
      <c r="A2200" s="3" t="s">
        <v>2176</v>
      </c>
      <c r="E2200">
        <v>3</v>
      </c>
      <c r="J2200">
        <v>30</v>
      </c>
    </row>
    <row r="2201" spans="1:49">
      <c r="A2201" s="3" t="s">
        <v>2177</v>
      </c>
      <c r="E2201">
        <v>3</v>
      </c>
      <c r="J2201">
        <v>30</v>
      </c>
    </row>
    <row r="2202" spans="1:49">
      <c r="A2202" s="3" t="s">
        <v>2178</v>
      </c>
      <c r="E2202">
        <v>3</v>
      </c>
      <c r="J2202">
        <v>30</v>
      </c>
    </row>
    <row r="2203" spans="1:49">
      <c r="A2203" s="3" t="s">
        <v>2179</v>
      </c>
      <c r="E2203">
        <v>3</v>
      </c>
      <c r="J2203">
        <v>30</v>
      </c>
    </row>
    <row r="2204" spans="1:49">
      <c r="A2204" s="3" t="s">
        <v>2180</v>
      </c>
      <c r="E2204">
        <v>3</v>
      </c>
      <c r="J2204">
        <v>30</v>
      </c>
    </row>
    <row r="2205" spans="1:49">
      <c r="A2205" s="3" t="s">
        <v>2181</v>
      </c>
      <c r="E2205">
        <v>3</v>
      </c>
      <c r="J2205">
        <v>30</v>
      </c>
    </row>
    <row r="2206" spans="1:49">
      <c r="A2206" s="3" t="s">
        <v>2182</v>
      </c>
      <c r="E2206">
        <v>3</v>
      </c>
      <c r="J2206">
        <v>30</v>
      </c>
    </row>
    <row r="2207" spans="1:49">
      <c r="A2207" s="3" t="s">
        <v>2183</v>
      </c>
      <c r="E2207">
        <v>3</v>
      </c>
      <c r="J2207">
        <v>30</v>
      </c>
    </row>
    <row r="2208" spans="1:49">
      <c r="A2208" s="3" t="s">
        <v>2184</v>
      </c>
      <c r="E2208">
        <v>3</v>
      </c>
      <c r="J2208">
        <v>30</v>
      </c>
    </row>
    <row r="2209" spans="1:10">
      <c r="A2209" s="3" t="s">
        <v>2185</v>
      </c>
      <c r="E2209">
        <v>3</v>
      </c>
      <c r="J2209">
        <v>30</v>
      </c>
    </row>
    <row r="2210" spans="1:10">
      <c r="A2210" s="3" t="s">
        <v>2186</v>
      </c>
      <c r="B2210">
        <v>3</v>
      </c>
      <c r="E2210">
        <v>3</v>
      </c>
      <c r="J2210">
        <v>30</v>
      </c>
    </row>
    <row r="2211" spans="1:10">
      <c r="A2211" s="3" t="s">
        <v>2187</v>
      </c>
      <c r="B2211">
        <v>3</v>
      </c>
      <c r="E2211">
        <v>3</v>
      </c>
      <c r="J2211">
        <v>30</v>
      </c>
    </row>
    <row r="2212" spans="1:10">
      <c r="A2212" s="3" t="s">
        <v>2188</v>
      </c>
      <c r="B2212">
        <v>3</v>
      </c>
      <c r="E2212">
        <v>3</v>
      </c>
      <c r="J2212">
        <v>30</v>
      </c>
    </row>
    <row r="2213" spans="1:10">
      <c r="A2213" s="3" t="s">
        <v>2189</v>
      </c>
      <c r="B2213">
        <v>3</v>
      </c>
      <c r="E2213">
        <v>3</v>
      </c>
      <c r="J2213">
        <v>30</v>
      </c>
    </row>
    <row r="2214" spans="1:10">
      <c r="A2214" s="3" t="s">
        <v>2190</v>
      </c>
      <c r="B2214">
        <v>3</v>
      </c>
      <c r="E2214">
        <v>3</v>
      </c>
      <c r="J2214">
        <v>30</v>
      </c>
    </row>
    <row r="2215" spans="1:10">
      <c r="A2215" s="3" t="s">
        <v>2191</v>
      </c>
      <c r="B2215">
        <v>3</v>
      </c>
      <c r="E2215">
        <v>3</v>
      </c>
      <c r="J2215">
        <v>30</v>
      </c>
    </row>
    <row r="2216" spans="1:10">
      <c r="A2216" s="3" t="s">
        <v>2192</v>
      </c>
      <c r="B2216">
        <v>3</v>
      </c>
      <c r="E2216">
        <v>3</v>
      </c>
      <c r="J2216">
        <v>30</v>
      </c>
    </row>
    <row r="2217" spans="1:10">
      <c r="A2217" s="3" t="s">
        <v>2193</v>
      </c>
      <c r="B2217">
        <v>3</v>
      </c>
      <c r="E2217">
        <v>3</v>
      </c>
      <c r="J2217">
        <v>30</v>
      </c>
    </row>
    <row r="2218" spans="1:10">
      <c r="A2218" s="3" t="s">
        <v>2194</v>
      </c>
      <c r="B2218">
        <v>3</v>
      </c>
      <c r="E2218">
        <v>3</v>
      </c>
      <c r="J2218">
        <v>30</v>
      </c>
    </row>
    <row r="2219" spans="1:10">
      <c r="A2219" s="3" t="s">
        <v>2195</v>
      </c>
      <c r="B2219">
        <v>3</v>
      </c>
      <c r="E2219">
        <v>3</v>
      </c>
      <c r="J2219">
        <v>30</v>
      </c>
    </row>
    <row r="2220" spans="1:10">
      <c r="A2220" s="3" t="s">
        <v>2196</v>
      </c>
      <c r="B2220">
        <v>3</v>
      </c>
      <c r="E2220">
        <v>3</v>
      </c>
      <c r="J2220">
        <v>30</v>
      </c>
    </row>
    <row r="2221" spans="1:10">
      <c r="A2221" s="3" t="s">
        <v>2197</v>
      </c>
      <c r="B2221">
        <v>3</v>
      </c>
      <c r="E2221">
        <v>3</v>
      </c>
      <c r="J2221">
        <v>30</v>
      </c>
    </row>
    <row r="2222" spans="1:10">
      <c r="A2222" s="3" t="s">
        <v>2198</v>
      </c>
      <c r="B2222">
        <v>3</v>
      </c>
      <c r="E2222">
        <v>3</v>
      </c>
      <c r="J2222">
        <v>30</v>
      </c>
    </row>
    <row r="2223" spans="1:10">
      <c r="A2223" s="3" t="s">
        <v>2199</v>
      </c>
      <c r="B2223">
        <v>3</v>
      </c>
      <c r="E2223">
        <v>3</v>
      </c>
      <c r="J2223">
        <v>30</v>
      </c>
    </row>
    <row r="2224" spans="1:10">
      <c r="A2224" s="3" t="s">
        <v>2200</v>
      </c>
      <c r="B2224">
        <v>3</v>
      </c>
      <c r="E2224">
        <v>3</v>
      </c>
      <c r="J2224">
        <v>30</v>
      </c>
    </row>
    <row r="2225" spans="1:49">
      <c r="A2225" s="3" t="s">
        <v>2201</v>
      </c>
      <c r="B2225">
        <v>3</v>
      </c>
      <c r="E2225">
        <v>3</v>
      </c>
      <c r="J2225">
        <v>30</v>
      </c>
    </row>
    <row r="2226" spans="1:49">
      <c r="A2226" s="3" t="s">
        <v>2202</v>
      </c>
      <c r="B2226">
        <v>3</v>
      </c>
      <c r="E2226">
        <v>3</v>
      </c>
      <c r="J2226">
        <v>30</v>
      </c>
    </row>
    <row r="2227" spans="1:49">
      <c r="A2227" s="3" t="s">
        <v>2203</v>
      </c>
      <c r="B2227">
        <v>3</v>
      </c>
      <c r="E2227">
        <v>3</v>
      </c>
      <c r="J2227">
        <v>30</v>
      </c>
    </row>
    <row r="2228" spans="1:49">
      <c r="A2228" s="3" t="s">
        <v>2204</v>
      </c>
      <c r="B2228">
        <v>3</v>
      </c>
      <c r="E2228">
        <v>3</v>
      </c>
      <c r="J2228">
        <v>30</v>
      </c>
    </row>
    <row r="2229" spans="1:49">
      <c r="A2229" s="3" t="s">
        <v>2205</v>
      </c>
      <c r="B2229">
        <v>3</v>
      </c>
      <c r="E2229">
        <v>3</v>
      </c>
      <c r="J2229">
        <v>30</v>
      </c>
    </row>
    <row r="2230" spans="1:49">
      <c r="A2230" s="3" t="s">
        <v>2206</v>
      </c>
      <c r="B2230">
        <v>3</v>
      </c>
      <c r="E2230">
        <v>3</v>
      </c>
      <c r="J2230">
        <v>30</v>
      </c>
    </row>
    <row r="2231" spans="1:49">
      <c r="A2231" s="3" t="s">
        <v>2207</v>
      </c>
      <c r="B2231">
        <v>3</v>
      </c>
      <c r="E2231">
        <v>3</v>
      </c>
      <c r="J2231">
        <v>30</v>
      </c>
    </row>
    <row r="2232" spans="1:49">
      <c r="A2232" s="3" t="s">
        <v>2208</v>
      </c>
      <c r="B2232">
        <v>3</v>
      </c>
      <c r="E2232">
        <v>3</v>
      </c>
      <c r="J2232">
        <v>30</v>
      </c>
    </row>
    <row r="2233" spans="1:49">
      <c r="A2233" s="3" t="s">
        <v>2209</v>
      </c>
      <c r="B2233">
        <v>3</v>
      </c>
      <c r="E2233">
        <v>3</v>
      </c>
      <c r="J2233">
        <v>30</v>
      </c>
    </row>
    <row r="2234" spans="1:49">
      <c r="A2234" s="3" t="s">
        <v>2210</v>
      </c>
      <c r="B2234">
        <v>3</v>
      </c>
      <c r="E2234">
        <v>3</v>
      </c>
      <c r="AW2234">
        <v>19</v>
      </c>
    </row>
    <row r="2235" spans="1:49">
      <c r="A2235" s="3" t="s">
        <v>2211</v>
      </c>
      <c r="B2235">
        <v>3</v>
      </c>
      <c r="E2235">
        <v>3</v>
      </c>
      <c r="AW2235">
        <v>19</v>
      </c>
    </row>
    <row r="2236" spans="1:49">
      <c r="A2236" s="3" t="s">
        <v>2212</v>
      </c>
      <c r="B2236">
        <v>3</v>
      </c>
      <c r="E2236">
        <v>3</v>
      </c>
      <c r="AW2236">
        <v>19</v>
      </c>
    </row>
    <row r="2237" spans="1:49">
      <c r="A2237" s="3" t="s">
        <v>2213</v>
      </c>
      <c r="B2237">
        <v>3</v>
      </c>
      <c r="E2237">
        <v>3</v>
      </c>
      <c r="AW2237">
        <v>19</v>
      </c>
    </row>
    <row r="2238" spans="1:49">
      <c r="A2238" s="3" t="s">
        <v>2214</v>
      </c>
      <c r="B2238">
        <v>3</v>
      </c>
      <c r="E2238">
        <v>3</v>
      </c>
      <c r="AW2238">
        <v>19</v>
      </c>
    </row>
    <row r="2239" spans="1:49">
      <c r="A2239" s="3" t="s">
        <v>2215</v>
      </c>
      <c r="B2239">
        <v>3</v>
      </c>
      <c r="E2239">
        <v>3</v>
      </c>
      <c r="AW2239">
        <v>19</v>
      </c>
    </row>
    <row r="2240" spans="1:49">
      <c r="A2240" s="3" t="s">
        <v>2216</v>
      </c>
      <c r="B2240">
        <v>3</v>
      </c>
      <c r="E2240">
        <v>3</v>
      </c>
      <c r="AW2240">
        <v>19</v>
      </c>
    </row>
    <row r="2241" spans="1:49">
      <c r="A2241" s="3" t="s">
        <v>2217</v>
      </c>
      <c r="B2241">
        <v>3</v>
      </c>
      <c r="E2241">
        <v>3</v>
      </c>
      <c r="AW2241">
        <v>19</v>
      </c>
    </row>
    <row r="2242" spans="1:49">
      <c r="A2242" s="3" t="s">
        <v>2218</v>
      </c>
      <c r="B2242">
        <v>3</v>
      </c>
      <c r="E2242">
        <v>3</v>
      </c>
      <c r="J2242">
        <v>31</v>
      </c>
    </row>
    <row r="2243" spans="1:49">
      <c r="A2243" s="3" t="s">
        <v>2219</v>
      </c>
      <c r="B2243">
        <v>3</v>
      </c>
      <c r="E2243">
        <v>3</v>
      </c>
      <c r="J2243">
        <v>31</v>
      </c>
    </row>
    <row r="2244" spans="1:49">
      <c r="A2244" s="3" t="s">
        <v>2220</v>
      </c>
      <c r="B2244">
        <v>3</v>
      </c>
      <c r="E2244">
        <v>3</v>
      </c>
      <c r="J2244">
        <v>31</v>
      </c>
    </row>
    <row r="2245" spans="1:49">
      <c r="A2245" s="3" t="s">
        <v>2221</v>
      </c>
      <c r="B2245">
        <v>3</v>
      </c>
      <c r="E2245">
        <v>3</v>
      </c>
      <c r="J2245">
        <v>31</v>
      </c>
    </row>
    <row r="2246" spans="1:49">
      <c r="A2246" s="3" t="s">
        <v>2222</v>
      </c>
      <c r="B2246">
        <v>3</v>
      </c>
      <c r="E2246">
        <v>3</v>
      </c>
      <c r="J2246">
        <v>31</v>
      </c>
    </row>
    <row r="2247" spans="1:49">
      <c r="A2247" s="3" t="s">
        <v>2223</v>
      </c>
      <c r="B2247">
        <v>3</v>
      </c>
      <c r="E2247">
        <v>3</v>
      </c>
      <c r="J2247">
        <v>31</v>
      </c>
    </row>
    <row r="2248" spans="1:49">
      <c r="A2248" s="3" t="s">
        <v>2224</v>
      </c>
      <c r="B2248">
        <v>3</v>
      </c>
      <c r="E2248">
        <v>3</v>
      </c>
      <c r="J2248">
        <v>31</v>
      </c>
    </row>
    <row r="2249" spans="1:49">
      <c r="A2249" s="3" t="s">
        <v>2225</v>
      </c>
      <c r="B2249">
        <v>3</v>
      </c>
      <c r="J2249">
        <v>31</v>
      </c>
    </row>
    <row r="2250" spans="1:49">
      <c r="A2250" s="3" t="s">
        <v>2226</v>
      </c>
      <c r="B2250">
        <v>3</v>
      </c>
      <c r="J2250">
        <v>31</v>
      </c>
    </row>
    <row r="2251" spans="1:49">
      <c r="A2251" s="3" t="s">
        <v>2227</v>
      </c>
      <c r="B2251">
        <v>3</v>
      </c>
      <c r="J2251">
        <v>31</v>
      </c>
    </row>
    <row r="2252" spans="1:49">
      <c r="A2252" s="3" t="s">
        <v>2228</v>
      </c>
      <c r="B2252">
        <v>3</v>
      </c>
      <c r="J2252">
        <v>31</v>
      </c>
    </row>
    <row r="2253" spans="1:49">
      <c r="A2253" s="3" t="s">
        <v>2229</v>
      </c>
      <c r="B2253">
        <v>3</v>
      </c>
      <c r="AW2253">
        <v>20</v>
      </c>
    </row>
    <row r="2254" spans="1:49">
      <c r="A2254" s="3" t="s">
        <v>2230</v>
      </c>
      <c r="B2254">
        <v>3</v>
      </c>
      <c r="AW2254">
        <v>20</v>
      </c>
    </row>
    <row r="2255" spans="1:49">
      <c r="A2255" s="3" t="s">
        <v>2231</v>
      </c>
      <c r="B2255">
        <v>3</v>
      </c>
      <c r="AW2255">
        <v>20</v>
      </c>
    </row>
    <row r="2256" spans="1:49">
      <c r="A2256" s="3" t="s">
        <v>2232</v>
      </c>
      <c r="B2256">
        <v>3</v>
      </c>
      <c r="AW2256">
        <v>20</v>
      </c>
    </row>
    <row r="2257" spans="1:49">
      <c r="A2257" s="3" t="s">
        <v>2233</v>
      </c>
      <c r="B2257">
        <v>3</v>
      </c>
      <c r="AW2257">
        <v>20</v>
      </c>
    </row>
    <row r="2258" spans="1:49">
      <c r="A2258" s="3" t="s">
        <v>2234</v>
      </c>
      <c r="B2258">
        <v>3</v>
      </c>
      <c r="J2258">
        <v>32</v>
      </c>
    </row>
    <row r="2259" spans="1:49">
      <c r="A2259" s="3" t="s">
        <v>2235</v>
      </c>
      <c r="B2259">
        <v>3</v>
      </c>
      <c r="J2259">
        <v>32</v>
      </c>
    </row>
    <row r="2260" spans="1:49">
      <c r="A2260" s="3" t="s">
        <v>2236</v>
      </c>
      <c r="B2260">
        <v>3</v>
      </c>
      <c r="J2260">
        <v>32</v>
      </c>
    </row>
    <row r="2261" spans="1:49">
      <c r="A2261" s="3" t="s">
        <v>2237</v>
      </c>
      <c r="B2261">
        <v>3</v>
      </c>
      <c r="J2261">
        <v>32</v>
      </c>
    </row>
    <row r="2262" spans="1:49">
      <c r="A2262" s="3" t="s">
        <v>2238</v>
      </c>
      <c r="B2262">
        <v>3</v>
      </c>
      <c r="J2262">
        <v>32</v>
      </c>
    </row>
    <row r="2263" spans="1:49">
      <c r="A2263" s="3" t="s">
        <v>2239</v>
      </c>
      <c r="B2263">
        <v>3</v>
      </c>
      <c r="J2263">
        <v>32</v>
      </c>
    </row>
    <row r="2264" spans="1:49">
      <c r="A2264" s="3" t="s">
        <v>2240</v>
      </c>
      <c r="B2264">
        <v>3</v>
      </c>
      <c r="J2264">
        <v>32</v>
      </c>
    </row>
    <row r="2265" spans="1:49">
      <c r="A2265" s="3" t="s">
        <v>2241</v>
      </c>
      <c r="B2265">
        <v>3</v>
      </c>
      <c r="J2265">
        <v>32</v>
      </c>
    </row>
    <row r="2266" spans="1:49">
      <c r="A2266" s="3" t="s">
        <v>2242</v>
      </c>
      <c r="B2266">
        <v>3</v>
      </c>
      <c r="J2266">
        <v>32</v>
      </c>
    </row>
    <row r="2267" spans="1:49">
      <c r="A2267" s="3" t="s">
        <v>2243</v>
      </c>
      <c r="B2267">
        <v>3</v>
      </c>
      <c r="J2267">
        <v>32</v>
      </c>
    </row>
    <row r="2268" spans="1:49">
      <c r="A2268" s="3" t="s">
        <v>2244</v>
      </c>
      <c r="B2268">
        <v>3</v>
      </c>
      <c r="J2268">
        <v>32</v>
      </c>
    </row>
    <row r="2269" spans="1:49">
      <c r="A2269" s="3" t="s">
        <v>2245</v>
      </c>
      <c r="B2269">
        <v>3</v>
      </c>
      <c r="J2269">
        <v>32</v>
      </c>
    </row>
    <row r="2270" spans="1:49">
      <c r="A2270" s="3" t="s">
        <v>2246</v>
      </c>
      <c r="B2270">
        <v>3</v>
      </c>
      <c r="J2270">
        <v>32</v>
      </c>
    </row>
    <row r="2271" spans="1:49">
      <c r="A2271" s="3" t="s">
        <v>2247</v>
      </c>
      <c r="B2271">
        <v>3</v>
      </c>
      <c r="J2271">
        <v>32</v>
      </c>
    </row>
    <row r="2272" spans="1:49">
      <c r="A2272" s="3" t="s">
        <v>2248</v>
      </c>
      <c r="B2272">
        <v>3</v>
      </c>
      <c r="J2272">
        <v>32</v>
      </c>
    </row>
    <row r="2273" spans="1:10">
      <c r="A2273" s="3" t="s">
        <v>2249</v>
      </c>
      <c r="B2273">
        <v>3</v>
      </c>
      <c r="J2273">
        <v>32</v>
      </c>
    </row>
    <row r="2274" spans="1:10">
      <c r="A2274" s="3" t="s">
        <v>2250</v>
      </c>
      <c r="B2274">
        <v>3</v>
      </c>
      <c r="J2274">
        <v>32</v>
      </c>
    </row>
    <row r="2275" spans="1:10">
      <c r="A2275" s="3" t="s">
        <v>2251</v>
      </c>
      <c r="B2275">
        <v>3</v>
      </c>
      <c r="J2275">
        <v>32</v>
      </c>
    </row>
    <row r="2276" spans="1:10">
      <c r="A2276" s="3" t="s">
        <v>2252</v>
      </c>
      <c r="B2276">
        <v>3</v>
      </c>
      <c r="J2276">
        <v>32</v>
      </c>
    </row>
    <row r="2277" spans="1:10">
      <c r="A2277" s="3" t="s">
        <v>2253</v>
      </c>
      <c r="B2277">
        <v>3</v>
      </c>
      <c r="J2277">
        <v>32</v>
      </c>
    </row>
    <row r="2278" spans="1:10">
      <c r="A2278" s="3" t="s">
        <v>2254</v>
      </c>
      <c r="B2278">
        <v>3</v>
      </c>
      <c r="J2278">
        <v>32</v>
      </c>
    </row>
    <row r="2279" spans="1:10">
      <c r="A2279" s="3" t="s">
        <v>2255</v>
      </c>
      <c r="B2279">
        <v>3</v>
      </c>
      <c r="J2279">
        <v>32</v>
      </c>
    </row>
    <row r="2280" spans="1:10">
      <c r="A2280" s="3" t="s">
        <v>2256</v>
      </c>
      <c r="B2280">
        <v>3</v>
      </c>
      <c r="J2280">
        <v>32</v>
      </c>
    </row>
    <row r="2281" spans="1:10">
      <c r="A2281" s="3" t="s">
        <v>2257</v>
      </c>
      <c r="B2281">
        <v>3</v>
      </c>
      <c r="J2281">
        <v>32</v>
      </c>
    </row>
    <row r="2282" spans="1:10">
      <c r="A2282" s="3" t="s">
        <v>2258</v>
      </c>
      <c r="B2282">
        <v>3</v>
      </c>
      <c r="J2282">
        <v>32</v>
      </c>
    </row>
    <row r="2283" spans="1:10">
      <c r="A2283" s="3" t="s">
        <v>2259</v>
      </c>
      <c r="B2283">
        <v>3</v>
      </c>
      <c r="J2283">
        <v>32</v>
      </c>
    </row>
    <row r="2284" spans="1:10">
      <c r="A2284" s="3" t="s">
        <v>2260</v>
      </c>
      <c r="B2284">
        <v>3</v>
      </c>
      <c r="J2284">
        <v>32</v>
      </c>
    </row>
    <row r="2285" spans="1:10">
      <c r="A2285" s="3" t="s">
        <v>2261</v>
      </c>
      <c r="B2285">
        <v>3</v>
      </c>
      <c r="J2285">
        <v>32</v>
      </c>
    </row>
    <row r="2286" spans="1:10">
      <c r="A2286" s="3" t="s">
        <v>2262</v>
      </c>
      <c r="B2286">
        <v>3</v>
      </c>
      <c r="J2286">
        <v>32</v>
      </c>
    </row>
    <row r="2287" spans="1:10">
      <c r="A2287" s="3" t="s">
        <v>2263</v>
      </c>
      <c r="B2287">
        <v>3</v>
      </c>
      <c r="J2287">
        <v>32</v>
      </c>
    </row>
    <row r="2288" spans="1:10">
      <c r="A2288" s="3" t="s">
        <v>2264</v>
      </c>
      <c r="B2288">
        <v>3</v>
      </c>
      <c r="J2288">
        <v>32</v>
      </c>
    </row>
    <row r="2289" spans="1:10">
      <c r="A2289" s="3" t="s">
        <v>2265</v>
      </c>
      <c r="B2289">
        <v>3</v>
      </c>
      <c r="J2289">
        <v>32</v>
      </c>
    </row>
    <row r="2290" spans="1:10">
      <c r="A2290" s="3" t="s">
        <v>2266</v>
      </c>
      <c r="B2290">
        <v>3</v>
      </c>
      <c r="J2290">
        <v>32</v>
      </c>
    </row>
    <row r="2291" spans="1:10">
      <c r="A2291" s="3" t="s">
        <v>2267</v>
      </c>
      <c r="B2291">
        <v>3</v>
      </c>
      <c r="J2291">
        <v>32</v>
      </c>
    </row>
    <row r="2292" spans="1:10">
      <c r="A2292" s="3" t="s">
        <v>2268</v>
      </c>
      <c r="B2292">
        <v>3</v>
      </c>
      <c r="J2292">
        <v>32</v>
      </c>
    </row>
    <row r="2293" spans="1:10">
      <c r="A2293" s="3" t="s">
        <v>2269</v>
      </c>
      <c r="B2293">
        <v>3</v>
      </c>
      <c r="J2293">
        <v>32</v>
      </c>
    </row>
    <row r="2294" spans="1:10">
      <c r="A2294" s="3" t="s">
        <v>2270</v>
      </c>
      <c r="B2294">
        <v>3</v>
      </c>
      <c r="J2294">
        <v>32</v>
      </c>
    </row>
    <row r="2295" spans="1:10">
      <c r="A2295" s="3" t="s">
        <v>2271</v>
      </c>
      <c r="B2295">
        <v>3</v>
      </c>
      <c r="J2295">
        <v>32</v>
      </c>
    </row>
    <row r="2296" spans="1:10">
      <c r="A2296" s="3" t="s">
        <v>2272</v>
      </c>
      <c r="B2296">
        <v>3</v>
      </c>
      <c r="J2296">
        <v>32</v>
      </c>
    </row>
    <row r="2297" spans="1:10">
      <c r="A2297" s="3" t="s">
        <v>2273</v>
      </c>
      <c r="B2297">
        <v>3</v>
      </c>
      <c r="J2297">
        <v>32</v>
      </c>
    </row>
    <row r="2298" spans="1:10">
      <c r="A2298" s="3" t="s">
        <v>2274</v>
      </c>
      <c r="B2298">
        <v>3</v>
      </c>
      <c r="J2298">
        <v>32</v>
      </c>
    </row>
    <row r="2299" spans="1:10">
      <c r="A2299" s="3" t="s">
        <v>2275</v>
      </c>
      <c r="B2299">
        <v>3</v>
      </c>
      <c r="J2299">
        <v>32</v>
      </c>
    </row>
    <row r="2300" spans="1:10">
      <c r="A2300" s="3" t="s">
        <v>2276</v>
      </c>
      <c r="B2300">
        <v>3</v>
      </c>
      <c r="J2300">
        <v>32</v>
      </c>
    </row>
    <row r="2301" spans="1:10">
      <c r="A2301" s="3" t="s">
        <v>2277</v>
      </c>
      <c r="B2301">
        <v>3</v>
      </c>
      <c r="J2301">
        <v>32</v>
      </c>
    </row>
    <row r="2302" spans="1:10">
      <c r="A2302" s="3" t="s">
        <v>2278</v>
      </c>
      <c r="B2302">
        <v>3</v>
      </c>
      <c r="J2302">
        <v>32</v>
      </c>
    </row>
    <row r="2303" spans="1:10">
      <c r="A2303" s="3" t="s">
        <v>2279</v>
      </c>
      <c r="B2303">
        <v>3</v>
      </c>
      <c r="J2303">
        <v>32</v>
      </c>
    </row>
    <row r="2304" spans="1:10">
      <c r="A2304" s="3" t="s">
        <v>2280</v>
      </c>
      <c r="B2304">
        <v>3</v>
      </c>
      <c r="J2304">
        <v>32</v>
      </c>
    </row>
    <row r="2305" spans="1:49">
      <c r="A2305" s="3" t="s">
        <v>2281</v>
      </c>
      <c r="B2305">
        <v>3</v>
      </c>
      <c r="J2305">
        <v>32</v>
      </c>
    </row>
    <row r="2306" spans="1:49">
      <c r="A2306" s="3" t="s">
        <v>2282</v>
      </c>
      <c r="B2306">
        <v>3</v>
      </c>
      <c r="J2306">
        <v>32</v>
      </c>
    </row>
    <row r="2307" spans="1:49">
      <c r="A2307" s="3" t="s">
        <v>2283</v>
      </c>
      <c r="B2307">
        <v>3</v>
      </c>
      <c r="J2307">
        <v>32</v>
      </c>
    </row>
    <row r="2308" spans="1:49">
      <c r="A2308" s="3" t="s">
        <v>2284</v>
      </c>
      <c r="B2308">
        <v>3</v>
      </c>
      <c r="J2308">
        <v>32</v>
      </c>
    </row>
    <row r="2309" spans="1:49">
      <c r="A2309" s="3" t="s">
        <v>2285</v>
      </c>
      <c r="B2309">
        <v>3</v>
      </c>
      <c r="J2309">
        <v>32</v>
      </c>
    </row>
    <row r="2310" spans="1:49">
      <c r="A2310" s="3" t="s">
        <v>2286</v>
      </c>
      <c r="B2310">
        <v>3</v>
      </c>
      <c r="J2310">
        <v>32</v>
      </c>
    </row>
    <row r="2311" spans="1:49">
      <c r="A2311" s="3" t="s">
        <v>2287</v>
      </c>
      <c r="B2311">
        <v>3</v>
      </c>
      <c r="J2311">
        <v>32</v>
      </c>
    </row>
    <row r="2312" spans="1:49">
      <c r="A2312" s="3" t="s">
        <v>2288</v>
      </c>
      <c r="B2312">
        <v>3</v>
      </c>
      <c r="J2312">
        <v>32</v>
      </c>
    </row>
    <row r="2313" spans="1:49">
      <c r="A2313" s="3" t="s">
        <v>2289</v>
      </c>
      <c r="B2313">
        <v>3</v>
      </c>
      <c r="J2313">
        <v>32</v>
      </c>
    </row>
    <row r="2314" spans="1:49">
      <c r="A2314" s="3" t="s">
        <v>2290</v>
      </c>
      <c r="B2314">
        <v>3</v>
      </c>
      <c r="J2314">
        <v>32</v>
      </c>
    </row>
    <row r="2315" spans="1:49">
      <c r="A2315" s="3" t="s">
        <v>2291</v>
      </c>
      <c r="B2315">
        <v>3</v>
      </c>
      <c r="C2315">
        <v>2</v>
      </c>
      <c r="J2315">
        <v>32</v>
      </c>
    </row>
    <row r="2316" spans="1:49">
      <c r="A2316" s="3" t="s">
        <v>2292</v>
      </c>
      <c r="B2316">
        <v>3</v>
      </c>
      <c r="C2316">
        <v>2</v>
      </c>
      <c r="J2316">
        <v>32</v>
      </c>
    </row>
    <row r="2317" spans="1:49">
      <c r="A2317" s="3" t="s">
        <v>2293</v>
      </c>
      <c r="B2317">
        <v>3</v>
      </c>
      <c r="C2317">
        <v>2</v>
      </c>
      <c r="J2317">
        <v>32</v>
      </c>
    </row>
    <row r="2318" spans="1:49">
      <c r="A2318" s="3" t="s">
        <v>2294</v>
      </c>
      <c r="B2318">
        <v>3</v>
      </c>
      <c r="C2318">
        <v>2</v>
      </c>
      <c r="J2318">
        <v>32</v>
      </c>
    </row>
    <row r="2319" spans="1:49">
      <c r="A2319" s="3" t="s">
        <v>2295</v>
      </c>
      <c r="B2319">
        <v>3</v>
      </c>
      <c r="C2319">
        <v>2</v>
      </c>
      <c r="J2319">
        <v>32</v>
      </c>
    </row>
    <row r="2320" spans="1:49">
      <c r="A2320" s="3" t="s">
        <v>2296</v>
      </c>
      <c r="B2320">
        <v>3</v>
      </c>
      <c r="C2320">
        <v>2</v>
      </c>
      <c r="AW2320">
        <v>21</v>
      </c>
    </row>
    <row r="2321" spans="1:49">
      <c r="A2321" s="3" t="s">
        <v>2297</v>
      </c>
      <c r="B2321">
        <v>3</v>
      </c>
      <c r="C2321">
        <v>2</v>
      </c>
      <c r="AW2321">
        <v>21</v>
      </c>
    </row>
    <row r="2322" spans="1:49">
      <c r="A2322" s="3" t="s">
        <v>2298</v>
      </c>
      <c r="B2322">
        <v>3</v>
      </c>
      <c r="C2322">
        <v>2</v>
      </c>
      <c r="AW2322">
        <v>21</v>
      </c>
    </row>
    <row r="2323" spans="1:49">
      <c r="A2323" s="3" t="s">
        <v>2299</v>
      </c>
      <c r="B2323">
        <v>3</v>
      </c>
      <c r="C2323">
        <v>2</v>
      </c>
      <c r="AW2323">
        <v>21</v>
      </c>
    </row>
    <row r="2324" spans="1:49">
      <c r="A2324" s="3" t="s">
        <v>2300</v>
      </c>
      <c r="B2324">
        <v>3</v>
      </c>
      <c r="C2324">
        <v>2</v>
      </c>
      <c r="AW2324">
        <v>21</v>
      </c>
    </row>
    <row r="2325" spans="1:49">
      <c r="A2325" s="3" t="s">
        <v>2301</v>
      </c>
      <c r="B2325">
        <v>3</v>
      </c>
      <c r="C2325">
        <v>2</v>
      </c>
      <c r="AW2325">
        <v>21</v>
      </c>
    </row>
    <row r="2326" spans="1:49">
      <c r="A2326" s="3" t="s">
        <v>2302</v>
      </c>
      <c r="B2326">
        <v>3</v>
      </c>
      <c r="C2326">
        <v>2</v>
      </c>
      <c r="AW2326">
        <v>21</v>
      </c>
    </row>
    <row r="2327" spans="1:49">
      <c r="A2327" s="3" t="s">
        <v>2303</v>
      </c>
      <c r="B2327">
        <v>3</v>
      </c>
      <c r="C2327">
        <v>2</v>
      </c>
      <c r="AW2327">
        <v>21</v>
      </c>
    </row>
    <row r="2328" spans="1:49">
      <c r="A2328" s="3" t="s">
        <v>2304</v>
      </c>
      <c r="B2328">
        <v>3</v>
      </c>
      <c r="C2328">
        <v>2</v>
      </c>
      <c r="AW2328">
        <v>21</v>
      </c>
    </row>
    <row r="2329" spans="1:49">
      <c r="A2329" s="3" t="s">
        <v>2305</v>
      </c>
      <c r="B2329">
        <v>3</v>
      </c>
      <c r="C2329">
        <v>2</v>
      </c>
      <c r="AW2329">
        <v>21</v>
      </c>
    </row>
    <row r="2330" spans="1:49">
      <c r="A2330" s="3" t="s">
        <v>2306</v>
      </c>
      <c r="B2330">
        <v>3</v>
      </c>
      <c r="C2330">
        <v>2</v>
      </c>
      <c r="AW2330">
        <v>21</v>
      </c>
    </row>
    <row r="2331" spans="1:49">
      <c r="A2331" s="3" t="s">
        <v>2307</v>
      </c>
      <c r="B2331">
        <v>3</v>
      </c>
      <c r="C2331">
        <v>2</v>
      </c>
      <c r="AW2331">
        <v>21</v>
      </c>
    </row>
    <row r="2332" spans="1:49">
      <c r="A2332" s="3" t="s">
        <v>2308</v>
      </c>
      <c r="B2332">
        <v>3</v>
      </c>
      <c r="C2332">
        <v>2</v>
      </c>
      <c r="AW2332">
        <v>21</v>
      </c>
    </row>
    <row r="2333" spans="1:49">
      <c r="A2333" s="3" t="s">
        <v>2309</v>
      </c>
      <c r="B2333">
        <v>3</v>
      </c>
      <c r="C2333">
        <v>2</v>
      </c>
      <c r="AW2333">
        <v>21</v>
      </c>
    </row>
    <row r="2334" spans="1:49">
      <c r="A2334" s="3" t="s">
        <v>2310</v>
      </c>
      <c r="B2334">
        <v>3</v>
      </c>
      <c r="C2334">
        <v>2</v>
      </c>
      <c r="AW2334">
        <v>21</v>
      </c>
    </row>
    <row r="2335" spans="1:49">
      <c r="A2335" s="3" t="s">
        <v>2311</v>
      </c>
      <c r="B2335">
        <v>3</v>
      </c>
      <c r="C2335">
        <v>2</v>
      </c>
      <c r="AW2335">
        <v>21</v>
      </c>
    </row>
    <row r="2336" spans="1:49">
      <c r="A2336" s="3" t="s">
        <v>2312</v>
      </c>
      <c r="B2336">
        <v>3</v>
      </c>
      <c r="C2336">
        <v>2</v>
      </c>
      <c r="AW2336">
        <v>21</v>
      </c>
    </row>
    <row r="2337" spans="1:49">
      <c r="A2337" s="3" t="s">
        <v>2313</v>
      </c>
      <c r="B2337">
        <v>3</v>
      </c>
      <c r="C2337">
        <v>2</v>
      </c>
      <c r="AW2337">
        <v>21</v>
      </c>
    </row>
    <row r="2338" spans="1:49">
      <c r="A2338" s="3" t="s">
        <v>2314</v>
      </c>
      <c r="B2338">
        <v>3</v>
      </c>
      <c r="C2338">
        <v>2</v>
      </c>
      <c r="AW2338">
        <v>21</v>
      </c>
    </row>
    <row r="2339" spans="1:49">
      <c r="A2339" s="3" t="s">
        <v>2315</v>
      </c>
      <c r="B2339">
        <v>3</v>
      </c>
      <c r="C2339">
        <v>2</v>
      </c>
      <c r="AW2339">
        <v>21</v>
      </c>
    </row>
    <row r="2340" spans="1:49">
      <c r="A2340" s="3" t="s">
        <v>2316</v>
      </c>
      <c r="B2340">
        <v>3</v>
      </c>
      <c r="C2340">
        <v>2</v>
      </c>
      <c r="AW2340">
        <v>21</v>
      </c>
    </row>
    <row r="2341" spans="1:49">
      <c r="A2341" s="3" t="s">
        <v>2317</v>
      </c>
      <c r="B2341">
        <v>3</v>
      </c>
      <c r="C2341">
        <v>2</v>
      </c>
      <c r="AW2341">
        <v>21</v>
      </c>
    </row>
    <row r="2342" spans="1:49">
      <c r="A2342" s="3" t="s">
        <v>2318</v>
      </c>
      <c r="B2342">
        <v>3</v>
      </c>
      <c r="C2342">
        <v>2</v>
      </c>
      <c r="AW2342">
        <v>21</v>
      </c>
    </row>
    <row r="2343" spans="1:49">
      <c r="A2343" s="3" t="s">
        <v>2319</v>
      </c>
      <c r="B2343">
        <v>3</v>
      </c>
      <c r="C2343">
        <v>2</v>
      </c>
      <c r="AW2343">
        <v>21</v>
      </c>
    </row>
    <row r="2344" spans="1:49">
      <c r="A2344" s="3" t="s">
        <v>2320</v>
      </c>
      <c r="B2344">
        <v>3</v>
      </c>
      <c r="C2344">
        <v>2</v>
      </c>
      <c r="AW2344">
        <v>21</v>
      </c>
    </row>
    <row r="2345" spans="1:49">
      <c r="A2345" s="3" t="s">
        <v>2321</v>
      </c>
      <c r="B2345">
        <v>3</v>
      </c>
      <c r="C2345">
        <v>2</v>
      </c>
      <c r="AW2345">
        <v>21</v>
      </c>
    </row>
    <row r="2346" spans="1:49">
      <c r="A2346" s="3" t="s">
        <v>2322</v>
      </c>
      <c r="B2346">
        <v>3</v>
      </c>
      <c r="C2346">
        <v>2</v>
      </c>
      <c r="AW2346">
        <v>21</v>
      </c>
    </row>
    <row r="2347" spans="1:49">
      <c r="A2347" s="3" t="s">
        <v>2323</v>
      </c>
      <c r="B2347">
        <v>3</v>
      </c>
      <c r="C2347">
        <v>2</v>
      </c>
      <c r="AW2347">
        <v>21</v>
      </c>
    </row>
    <row r="2348" spans="1:49">
      <c r="A2348" s="3" t="s">
        <v>2324</v>
      </c>
      <c r="B2348">
        <v>3</v>
      </c>
      <c r="C2348">
        <v>2</v>
      </c>
      <c r="J2348">
        <v>33</v>
      </c>
    </row>
    <row r="2349" spans="1:49">
      <c r="A2349" s="3" t="s">
        <v>2325</v>
      </c>
      <c r="B2349">
        <v>3</v>
      </c>
      <c r="C2349">
        <v>2</v>
      </c>
      <c r="J2349">
        <v>33</v>
      </c>
    </row>
    <row r="2350" spans="1:49">
      <c r="A2350" s="3" t="s">
        <v>2326</v>
      </c>
      <c r="B2350">
        <v>3</v>
      </c>
      <c r="C2350">
        <v>2</v>
      </c>
      <c r="J2350">
        <v>33</v>
      </c>
    </row>
    <row r="2351" spans="1:49">
      <c r="A2351" s="3" t="s">
        <v>2327</v>
      </c>
      <c r="B2351">
        <v>3</v>
      </c>
      <c r="C2351">
        <v>2</v>
      </c>
      <c r="J2351">
        <v>33</v>
      </c>
    </row>
    <row r="2352" spans="1:49">
      <c r="A2352" s="3" t="s">
        <v>2328</v>
      </c>
      <c r="B2352">
        <v>3</v>
      </c>
      <c r="C2352">
        <v>2</v>
      </c>
      <c r="J2352">
        <v>33</v>
      </c>
    </row>
    <row r="2353" spans="1:49">
      <c r="A2353" s="3" t="s">
        <v>2329</v>
      </c>
      <c r="B2353">
        <v>3</v>
      </c>
      <c r="C2353">
        <v>2</v>
      </c>
      <c r="J2353">
        <v>33</v>
      </c>
    </row>
    <row r="2354" spans="1:49">
      <c r="A2354" s="3" t="s">
        <v>2330</v>
      </c>
      <c r="B2354">
        <v>3</v>
      </c>
      <c r="C2354">
        <v>2</v>
      </c>
      <c r="J2354">
        <v>33</v>
      </c>
    </row>
    <row r="2355" spans="1:49">
      <c r="A2355" s="3" t="s">
        <v>2331</v>
      </c>
      <c r="B2355">
        <v>3</v>
      </c>
      <c r="C2355">
        <v>2</v>
      </c>
      <c r="J2355">
        <v>33</v>
      </c>
    </row>
    <row r="2356" spans="1:49">
      <c r="A2356" s="3" t="s">
        <v>2332</v>
      </c>
      <c r="B2356">
        <v>3</v>
      </c>
      <c r="C2356">
        <v>2</v>
      </c>
      <c r="AW2356">
        <v>22</v>
      </c>
    </row>
    <row r="2357" spans="1:49">
      <c r="A2357" s="3" t="s">
        <v>2333</v>
      </c>
      <c r="B2357">
        <v>3</v>
      </c>
      <c r="C2357">
        <v>2</v>
      </c>
      <c r="AW2357">
        <v>22</v>
      </c>
    </row>
    <row r="2358" spans="1:49">
      <c r="A2358" s="3" t="s">
        <v>2334</v>
      </c>
      <c r="B2358">
        <v>3</v>
      </c>
      <c r="C2358">
        <v>2</v>
      </c>
      <c r="AW2358">
        <v>22</v>
      </c>
    </row>
    <row r="2359" spans="1:49">
      <c r="A2359" s="3" t="s">
        <v>2335</v>
      </c>
      <c r="B2359">
        <v>3</v>
      </c>
      <c r="C2359">
        <v>2</v>
      </c>
      <c r="AW2359">
        <v>22</v>
      </c>
    </row>
    <row r="2360" spans="1:49">
      <c r="A2360" s="3" t="s">
        <v>2336</v>
      </c>
      <c r="B2360">
        <v>3</v>
      </c>
      <c r="C2360">
        <v>2</v>
      </c>
      <c r="AW2360">
        <v>22</v>
      </c>
    </row>
    <row r="2361" spans="1:49">
      <c r="A2361" s="3" t="s">
        <v>2337</v>
      </c>
      <c r="B2361">
        <v>3</v>
      </c>
      <c r="C2361">
        <v>2</v>
      </c>
      <c r="AW2361">
        <v>22</v>
      </c>
    </row>
    <row r="2362" spans="1:49">
      <c r="A2362" s="3" t="s">
        <v>2338</v>
      </c>
      <c r="B2362">
        <v>3</v>
      </c>
      <c r="C2362">
        <v>2</v>
      </c>
      <c r="AW2362">
        <v>22</v>
      </c>
    </row>
    <row r="2363" spans="1:49">
      <c r="A2363" s="3" t="s">
        <v>2339</v>
      </c>
      <c r="B2363">
        <v>3</v>
      </c>
      <c r="C2363">
        <v>2</v>
      </c>
      <c r="AW2363">
        <v>22</v>
      </c>
    </row>
    <row r="2364" spans="1:49">
      <c r="A2364" s="3" t="s">
        <v>2340</v>
      </c>
      <c r="B2364">
        <v>3</v>
      </c>
      <c r="C2364">
        <v>2</v>
      </c>
      <c r="AW2364">
        <v>22</v>
      </c>
    </row>
    <row r="2365" spans="1:49">
      <c r="A2365" s="3" t="s">
        <v>2341</v>
      </c>
      <c r="B2365">
        <v>3</v>
      </c>
      <c r="C2365">
        <v>2</v>
      </c>
      <c r="J2365">
        <v>34</v>
      </c>
    </row>
    <row r="2366" spans="1:49">
      <c r="A2366" s="3" t="s">
        <v>2342</v>
      </c>
      <c r="B2366">
        <v>3</v>
      </c>
      <c r="C2366">
        <v>2</v>
      </c>
      <c r="J2366">
        <v>34</v>
      </c>
    </row>
    <row r="2367" spans="1:49">
      <c r="A2367" s="3" t="s">
        <v>2343</v>
      </c>
      <c r="B2367">
        <v>3</v>
      </c>
      <c r="C2367">
        <v>2</v>
      </c>
      <c r="J2367">
        <v>34</v>
      </c>
    </row>
    <row r="2368" spans="1:49">
      <c r="A2368" s="3" t="s">
        <v>2344</v>
      </c>
      <c r="B2368">
        <v>3</v>
      </c>
      <c r="C2368">
        <v>2</v>
      </c>
      <c r="J2368">
        <v>34</v>
      </c>
    </row>
    <row r="2369" spans="1:10">
      <c r="A2369" s="3" t="s">
        <v>2345</v>
      </c>
      <c r="B2369">
        <v>3</v>
      </c>
      <c r="C2369">
        <v>2</v>
      </c>
      <c r="J2369">
        <v>34</v>
      </c>
    </row>
    <row r="2370" spans="1:10">
      <c r="A2370" s="3" t="s">
        <v>2346</v>
      </c>
      <c r="B2370">
        <v>3</v>
      </c>
      <c r="C2370">
        <v>2</v>
      </c>
      <c r="J2370">
        <v>34</v>
      </c>
    </row>
    <row r="2371" spans="1:10">
      <c r="A2371" s="3" t="s">
        <v>2347</v>
      </c>
      <c r="C2371">
        <v>2</v>
      </c>
      <c r="J2371">
        <v>34</v>
      </c>
    </row>
    <row r="2372" spans="1:10">
      <c r="A2372" s="3" t="s">
        <v>2348</v>
      </c>
      <c r="C2372">
        <v>2</v>
      </c>
      <c r="J2372">
        <v>34</v>
      </c>
    </row>
    <row r="2373" spans="1:10">
      <c r="A2373" s="3" t="s">
        <v>2349</v>
      </c>
      <c r="C2373">
        <v>2</v>
      </c>
      <c r="J2373">
        <v>34</v>
      </c>
    </row>
    <row r="2374" spans="1:10">
      <c r="A2374" s="3" t="s">
        <v>2350</v>
      </c>
      <c r="C2374">
        <v>2</v>
      </c>
      <c r="J2374">
        <v>34</v>
      </c>
    </row>
    <row r="2375" spans="1:10">
      <c r="A2375" s="3" t="s">
        <v>2351</v>
      </c>
      <c r="C2375">
        <v>2</v>
      </c>
      <c r="J2375">
        <v>34</v>
      </c>
    </row>
    <row r="2376" spans="1:10">
      <c r="A2376" s="3" t="s">
        <v>2352</v>
      </c>
      <c r="C2376">
        <v>2</v>
      </c>
      <c r="J2376">
        <v>34</v>
      </c>
    </row>
    <row r="2377" spans="1:10">
      <c r="A2377" s="3" t="s">
        <v>2353</v>
      </c>
      <c r="C2377">
        <v>2</v>
      </c>
      <c r="J2377">
        <v>34</v>
      </c>
    </row>
    <row r="2378" spans="1:10">
      <c r="A2378" s="3" t="s">
        <v>2354</v>
      </c>
      <c r="C2378">
        <v>2</v>
      </c>
      <c r="J2378">
        <v>34</v>
      </c>
    </row>
    <row r="2379" spans="1:10">
      <c r="A2379" s="3" t="s">
        <v>2355</v>
      </c>
      <c r="C2379">
        <v>2</v>
      </c>
      <c r="J2379">
        <v>34</v>
      </c>
    </row>
    <row r="2380" spans="1:10">
      <c r="A2380" s="3" t="s">
        <v>2356</v>
      </c>
      <c r="C2380">
        <v>2</v>
      </c>
      <c r="J2380">
        <v>34</v>
      </c>
    </row>
    <row r="2381" spans="1:10">
      <c r="A2381" s="3" t="s">
        <v>2357</v>
      </c>
      <c r="C2381">
        <v>2</v>
      </c>
      <c r="J2381">
        <v>34</v>
      </c>
    </row>
    <row r="2382" spans="1:10">
      <c r="A2382" s="3" t="s">
        <v>2358</v>
      </c>
      <c r="C2382">
        <v>2</v>
      </c>
      <c r="J2382">
        <v>34</v>
      </c>
    </row>
    <row r="2383" spans="1:10">
      <c r="A2383" s="3" t="s">
        <v>2359</v>
      </c>
      <c r="C2383">
        <v>2</v>
      </c>
      <c r="J2383">
        <v>34</v>
      </c>
    </row>
    <row r="2384" spans="1:10">
      <c r="A2384" s="3" t="s">
        <v>2360</v>
      </c>
      <c r="C2384">
        <v>2</v>
      </c>
      <c r="J2384">
        <v>34</v>
      </c>
    </row>
    <row r="2385" spans="1:10">
      <c r="A2385" s="3" t="s">
        <v>2361</v>
      </c>
      <c r="C2385">
        <v>2</v>
      </c>
      <c r="J2385">
        <v>34</v>
      </c>
    </row>
    <row r="2386" spans="1:10">
      <c r="A2386" s="3" t="s">
        <v>2362</v>
      </c>
      <c r="C2386">
        <v>2</v>
      </c>
      <c r="J2386">
        <v>34</v>
      </c>
    </row>
    <row r="2387" spans="1:10">
      <c r="A2387" s="3" t="s">
        <v>2363</v>
      </c>
      <c r="C2387">
        <v>2</v>
      </c>
      <c r="J2387">
        <v>34</v>
      </c>
    </row>
    <row r="2388" spans="1:10">
      <c r="A2388" s="3" t="s">
        <v>2364</v>
      </c>
      <c r="C2388">
        <v>2</v>
      </c>
      <c r="J2388">
        <v>34</v>
      </c>
    </row>
    <row r="2389" spans="1:10">
      <c r="A2389" s="3" t="s">
        <v>2365</v>
      </c>
      <c r="C2389">
        <v>2</v>
      </c>
      <c r="J2389">
        <v>34</v>
      </c>
    </row>
    <row r="2390" spans="1:10">
      <c r="A2390" s="3" t="s">
        <v>2366</v>
      </c>
      <c r="C2390">
        <v>2</v>
      </c>
      <c r="J2390">
        <v>34</v>
      </c>
    </row>
    <row r="2391" spans="1:10">
      <c r="A2391" s="3" t="s">
        <v>2367</v>
      </c>
      <c r="C2391">
        <v>2</v>
      </c>
      <c r="J2391">
        <v>34</v>
      </c>
    </row>
    <row r="2392" spans="1:10">
      <c r="A2392" s="3" t="s">
        <v>2368</v>
      </c>
      <c r="C2392">
        <v>2</v>
      </c>
      <c r="J2392">
        <v>34</v>
      </c>
    </row>
    <row r="2393" spans="1:10">
      <c r="A2393" s="3" t="s">
        <v>2369</v>
      </c>
      <c r="C2393">
        <v>2</v>
      </c>
      <c r="J2393">
        <v>34</v>
      </c>
    </row>
    <row r="2394" spans="1:10">
      <c r="A2394" s="3" t="s">
        <v>2370</v>
      </c>
      <c r="C2394">
        <v>2</v>
      </c>
      <c r="J2394">
        <v>34</v>
      </c>
    </row>
    <row r="2395" spans="1:10">
      <c r="A2395" s="3" t="s">
        <v>2371</v>
      </c>
      <c r="C2395">
        <v>2</v>
      </c>
      <c r="J2395">
        <v>34</v>
      </c>
    </row>
    <row r="2396" spans="1:10">
      <c r="A2396" s="3" t="s">
        <v>2372</v>
      </c>
      <c r="C2396">
        <v>2</v>
      </c>
      <c r="J2396">
        <v>34</v>
      </c>
    </row>
    <row r="2397" spans="1:10">
      <c r="A2397" s="3" t="s">
        <v>2373</v>
      </c>
      <c r="C2397">
        <v>2</v>
      </c>
      <c r="J2397">
        <v>34</v>
      </c>
    </row>
    <row r="2398" spans="1:10">
      <c r="A2398" s="3" t="s">
        <v>2374</v>
      </c>
      <c r="C2398">
        <v>2</v>
      </c>
      <c r="J2398">
        <v>34</v>
      </c>
    </row>
    <row r="2399" spans="1:10">
      <c r="A2399" s="3" t="s">
        <v>2375</v>
      </c>
      <c r="C2399">
        <v>2</v>
      </c>
      <c r="J2399">
        <v>34</v>
      </c>
    </row>
    <row r="2400" spans="1:10">
      <c r="A2400" s="3" t="s">
        <v>2376</v>
      </c>
      <c r="C2400">
        <v>2</v>
      </c>
      <c r="J2400">
        <v>34</v>
      </c>
    </row>
    <row r="2401" spans="1:10">
      <c r="A2401" s="3" t="s">
        <v>2377</v>
      </c>
      <c r="C2401">
        <v>2</v>
      </c>
      <c r="J2401">
        <v>34</v>
      </c>
    </row>
    <row r="2402" spans="1:10">
      <c r="A2402" s="3" t="s">
        <v>2378</v>
      </c>
      <c r="C2402">
        <v>2</v>
      </c>
      <c r="J2402">
        <v>34</v>
      </c>
    </row>
    <row r="2403" spans="1:10">
      <c r="A2403" s="3" t="s">
        <v>2379</v>
      </c>
      <c r="C2403">
        <v>2</v>
      </c>
      <c r="J2403">
        <v>34</v>
      </c>
    </row>
    <row r="2404" spans="1:10">
      <c r="A2404" s="3" t="s">
        <v>2380</v>
      </c>
      <c r="C2404">
        <v>2</v>
      </c>
      <c r="J2404">
        <v>34</v>
      </c>
    </row>
    <row r="2405" spans="1:10">
      <c r="A2405" s="3" t="s">
        <v>2381</v>
      </c>
      <c r="C2405">
        <v>2</v>
      </c>
      <c r="J2405">
        <v>34</v>
      </c>
    </row>
    <row r="2406" spans="1:10">
      <c r="A2406" s="3" t="s">
        <v>2382</v>
      </c>
      <c r="C2406">
        <v>2</v>
      </c>
      <c r="J2406">
        <v>34</v>
      </c>
    </row>
    <row r="2407" spans="1:10">
      <c r="A2407" s="3" t="s">
        <v>2383</v>
      </c>
      <c r="C2407">
        <v>2</v>
      </c>
      <c r="J2407">
        <v>34</v>
      </c>
    </row>
    <row r="2408" spans="1:10">
      <c r="A2408" s="3" t="s">
        <v>2384</v>
      </c>
      <c r="C2408">
        <v>2</v>
      </c>
      <c r="J2408">
        <v>34</v>
      </c>
    </row>
    <row r="2409" spans="1:10">
      <c r="A2409" s="3" t="s">
        <v>2385</v>
      </c>
      <c r="C2409">
        <v>2</v>
      </c>
      <c r="J2409">
        <v>34</v>
      </c>
    </row>
    <row r="2410" spans="1:10">
      <c r="A2410" s="3" t="s">
        <v>2386</v>
      </c>
      <c r="C2410">
        <v>2</v>
      </c>
      <c r="J2410">
        <v>34</v>
      </c>
    </row>
    <row r="2411" spans="1:10">
      <c r="A2411" s="3" t="s">
        <v>2387</v>
      </c>
      <c r="C2411">
        <v>2</v>
      </c>
      <c r="J2411">
        <v>34</v>
      </c>
    </row>
    <row r="2412" spans="1:10">
      <c r="A2412" s="3" t="s">
        <v>2388</v>
      </c>
      <c r="C2412">
        <v>2</v>
      </c>
      <c r="J2412">
        <v>34</v>
      </c>
    </row>
    <row r="2413" spans="1:10">
      <c r="A2413" s="3" t="s">
        <v>2389</v>
      </c>
      <c r="C2413">
        <v>2</v>
      </c>
      <c r="J2413">
        <v>34</v>
      </c>
    </row>
    <row r="2414" spans="1:10">
      <c r="A2414" s="3" t="s">
        <v>2390</v>
      </c>
      <c r="C2414">
        <v>2</v>
      </c>
      <c r="D2414">
        <v>3</v>
      </c>
      <c r="J2414">
        <v>34</v>
      </c>
    </row>
    <row r="2415" spans="1:10">
      <c r="A2415" s="3" t="s">
        <v>2391</v>
      </c>
      <c r="C2415">
        <v>2</v>
      </c>
      <c r="D2415">
        <v>3</v>
      </c>
      <c r="J2415">
        <v>34</v>
      </c>
    </row>
    <row r="2416" spans="1:10">
      <c r="A2416" s="3" t="s">
        <v>2392</v>
      </c>
      <c r="C2416">
        <v>2</v>
      </c>
      <c r="D2416">
        <v>3</v>
      </c>
      <c r="J2416">
        <v>34</v>
      </c>
    </row>
    <row r="2417" spans="1:13">
      <c r="A2417" s="3" t="s">
        <v>2393</v>
      </c>
      <c r="C2417">
        <v>2</v>
      </c>
      <c r="D2417">
        <v>3</v>
      </c>
      <c r="J2417">
        <v>34</v>
      </c>
    </row>
    <row r="2418" spans="1:13">
      <c r="A2418" s="3" t="s">
        <v>2394</v>
      </c>
      <c r="C2418">
        <v>2</v>
      </c>
      <c r="D2418">
        <v>3</v>
      </c>
      <c r="J2418">
        <v>34</v>
      </c>
    </row>
    <row r="2419" spans="1:13">
      <c r="A2419" s="3" t="s">
        <v>2395</v>
      </c>
      <c r="C2419">
        <v>2</v>
      </c>
      <c r="D2419">
        <v>3</v>
      </c>
      <c r="J2419">
        <v>34</v>
      </c>
    </row>
    <row r="2420" spans="1:13">
      <c r="A2420" s="3" t="s">
        <v>2396</v>
      </c>
      <c r="C2420">
        <v>2</v>
      </c>
      <c r="D2420">
        <v>3</v>
      </c>
      <c r="J2420">
        <v>34</v>
      </c>
    </row>
    <row r="2421" spans="1:13">
      <c r="A2421" s="3" t="s">
        <v>2397</v>
      </c>
      <c r="C2421">
        <v>2</v>
      </c>
      <c r="D2421">
        <v>3</v>
      </c>
      <c r="J2421">
        <v>34</v>
      </c>
    </row>
    <row r="2422" spans="1:13">
      <c r="A2422" s="3" t="s">
        <v>2398</v>
      </c>
      <c r="C2422">
        <v>2</v>
      </c>
      <c r="D2422">
        <v>3</v>
      </c>
      <c r="J2422">
        <v>34</v>
      </c>
    </row>
    <row r="2423" spans="1:13">
      <c r="A2423" s="3" t="s">
        <v>2399</v>
      </c>
      <c r="C2423">
        <v>2</v>
      </c>
      <c r="D2423">
        <v>3</v>
      </c>
      <c r="J2423">
        <v>34</v>
      </c>
    </row>
    <row r="2424" spans="1:13">
      <c r="A2424" s="3" t="s">
        <v>2400</v>
      </c>
      <c r="C2424">
        <v>2</v>
      </c>
      <c r="D2424">
        <v>3</v>
      </c>
      <c r="M2424">
        <v>5</v>
      </c>
    </row>
    <row r="2425" spans="1:13">
      <c r="A2425" s="3" t="s">
        <v>2401</v>
      </c>
      <c r="C2425">
        <v>2</v>
      </c>
      <c r="D2425">
        <v>3</v>
      </c>
      <c r="M2425">
        <v>5</v>
      </c>
    </row>
    <row r="2426" spans="1:13">
      <c r="A2426" s="3" t="s">
        <v>2402</v>
      </c>
      <c r="C2426">
        <v>2</v>
      </c>
      <c r="D2426">
        <v>3</v>
      </c>
      <c r="M2426">
        <v>5</v>
      </c>
    </row>
    <row r="2427" spans="1:13">
      <c r="A2427" s="3" t="s">
        <v>2403</v>
      </c>
      <c r="C2427">
        <v>2</v>
      </c>
      <c r="D2427">
        <v>3</v>
      </c>
      <c r="M2427">
        <v>5</v>
      </c>
    </row>
    <row r="2428" spans="1:13">
      <c r="A2428" s="3" t="s">
        <v>2404</v>
      </c>
      <c r="C2428">
        <v>2</v>
      </c>
      <c r="D2428">
        <v>3</v>
      </c>
      <c r="M2428">
        <v>5</v>
      </c>
    </row>
    <row r="2429" spans="1:13">
      <c r="A2429" s="3" t="s">
        <v>2405</v>
      </c>
      <c r="C2429">
        <v>2</v>
      </c>
      <c r="D2429">
        <v>3</v>
      </c>
      <c r="M2429">
        <v>5</v>
      </c>
    </row>
    <row r="2430" spans="1:13">
      <c r="A2430" s="3" t="s">
        <v>2406</v>
      </c>
      <c r="C2430">
        <v>2</v>
      </c>
      <c r="D2430">
        <v>3</v>
      </c>
      <c r="M2430">
        <v>5</v>
      </c>
    </row>
    <row r="2431" spans="1:13">
      <c r="A2431" s="3" t="s">
        <v>2407</v>
      </c>
      <c r="C2431">
        <v>2</v>
      </c>
      <c r="D2431">
        <v>3</v>
      </c>
      <c r="M2431">
        <v>5</v>
      </c>
    </row>
    <row r="2432" spans="1:13">
      <c r="A2432" s="3" t="s">
        <v>2408</v>
      </c>
      <c r="C2432">
        <v>2</v>
      </c>
      <c r="D2432">
        <v>3</v>
      </c>
      <c r="M2432">
        <v>5</v>
      </c>
    </row>
    <row r="2433" spans="1:13">
      <c r="A2433" s="3" t="s">
        <v>2409</v>
      </c>
      <c r="C2433">
        <v>2</v>
      </c>
      <c r="D2433">
        <v>3</v>
      </c>
      <c r="M2433">
        <v>5</v>
      </c>
    </row>
    <row r="2434" spans="1:13">
      <c r="A2434" s="3" t="s">
        <v>2410</v>
      </c>
      <c r="C2434">
        <v>2</v>
      </c>
      <c r="D2434">
        <v>3</v>
      </c>
      <c r="M2434">
        <v>5</v>
      </c>
    </row>
    <row r="2435" spans="1:13">
      <c r="A2435" s="3" t="s">
        <v>2411</v>
      </c>
      <c r="C2435">
        <v>2</v>
      </c>
      <c r="D2435">
        <v>3</v>
      </c>
      <c r="M2435">
        <v>5</v>
      </c>
    </row>
    <row r="2436" spans="1:13">
      <c r="A2436" s="3" t="s">
        <v>2412</v>
      </c>
      <c r="C2436">
        <v>2</v>
      </c>
      <c r="D2436">
        <v>3</v>
      </c>
      <c r="M2436">
        <v>5</v>
      </c>
    </row>
    <row r="2437" spans="1:13">
      <c r="A2437" s="3" t="s">
        <v>2413</v>
      </c>
      <c r="C2437">
        <v>2</v>
      </c>
      <c r="D2437">
        <v>3</v>
      </c>
      <c r="J2437">
        <v>35</v>
      </c>
    </row>
    <row r="2438" spans="1:13">
      <c r="A2438" s="3" t="s">
        <v>2414</v>
      </c>
      <c r="C2438">
        <v>2</v>
      </c>
      <c r="D2438">
        <v>3</v>
      </c>
      <c r="J2438">
        <v>35</v>
      </c>
    </row>
    <row r="2439" spans="1:13">
      <c r="A2439" s="3" t="s">
        <v>2415</v>
      </c>
      <c r="C2439">
        <v>2</v>
      </c>
      <c r="D2439">
        <v>3</v>
      </c>
      <c r="J2439">
        <v>35</v>
      </c>
    </row>
    <row r="2440" spans="1:13">
      <c r="A2440" s="3" t="s">
        <v>2416</v>
      </c>
      <c r="C2440">
        <v>2</v>
      </c>
      <c r="D2440">
        <v>3</v>
      </c>
      <c r="J2440">
        <v>35</v>
      </c>
    </row>
    <row r="2441" spans="1:13">
      <c r="A2441" s="3" t="s">
        <v>2417</v>
      </c>
      <c r="C2441">
        <v>2</v>
      </c>
      <c r="D2441">
        <v>3</v>
      </c>
      <c r="J2441">
        <v>35</v>
      </c>
    </row>
    <row r="2442" spans="1:13">
      <c r="A2442" s="3" t="s">
        <v>2418</v>
      </c>
      <c r="C2442">
        <v>2</v>
      </c>
      <c r="D2442">
        <v>3</v>
      </c>
      <c r="J2442">
        <v>35</v>
      </c>
    </row>
    <row r="2443" spans="1:13">
      <c r="A2443" s="3" t="s">
        <v>2419</v>
      </c>
      <c r="C2443">
        <v>2</v>
      </c>
      <c r="D2443">
        <v>3</v>
      </c>
      <c r="J2443">
        <v>35</v>
      </c>
    </row>
    <row r="2444" spans="1:13">
      <c r="A2444" s="3" t="s">
        <v>2420</v>
      </c>
      <c r="C2444">
        <v>2</v>
      </c>
      <c r="D2444">
        <v>3</v>
      </c>
      <c r="J2444">
        <v>35</v>
      </c>
    </row>
    <row r="2445" spans="1:13">
      <c r="A2445" s="3" t="s">
        <v>2421</v>
      </c>
      <c r="C2445">
        <v>2</v>
      </c>
      <c r="D2445">
        <v>3</v>
      </c>
      <c r="J2445">
        <v>35</v>
      </c>
    </row>
    <row r="2446" spans="1:13">
      <c r="A2446" s="3" t="s">
        <v>2422</v>
      </c>
      <c r="C2446">
        <v>2</v>
      </c>
      <c r="D2446">
        <v>3</v>
      </c>
      <c r="J2446">
        <v>35</v>
      </c>
    </row>
    <row r="2447" spans="1:13">
      <c r="A2447" s="3" t="s">
        <v>2423</v>
      </c>
      <c r="C2447">
        <v>2</v>
      </c>
      <c r="D2447">
        <v>3</v>
      </c>
      <c r="J2447">
        <v>35</v>
      </c>
    </row>
    <row r="2448" spans="1:13">
      <c r="A2448" s="3" t="s">
        <v>2424</v>
      </c>
      <c r="C2448">
        <v>2</v>
      </c>
      <c r="D2448">
        <v>3</v>
      </c>
      <c r="J2448">
        <v>35</v>
      </c>
    </row>
    <row r="2449" spans="1:10">
      <c r="A2449" s="3" t="s">
        <v>2425</v>
      </c>
      <c r="C2449">
        <v>2</v>
      </c>
      <c r="D2449">
        <v>3</v>
      </c>
      <c r="J2449">
        <v>35</v>
      </c>
    </row>
    <row r="2450" spans="1:10">
      <c r="A2450" s="3" t="s">
        <v>2426</v>
      </c>
      <c r="C2450">
        <v>2</v>
      </c>
      <c r="D2450">
        <v>3</v>
      </c>
      <c r="J2450">
        <v>35</v>
      </c>
    </row>
    <row r="2451" spans="1:10">
      <c r="A2451" s="3" t="s">
        <v>2427</v>
      </c>
      <c r="D2451">
        <v>3</v>
      </c>
      <c r="J2451">
        <v>35</v>
      </c>
    </row>
    <row r="2452" spans="1:10">
      <c r="A2452" s="3" t="s">
        <v>2428</v>
      </c>
      <c r="D2452">
        <v>3</v>
      </c>
      <c r="J2452">
        <v>35</v>
      </c>
    </row>
    <row r="2453" spans="1:10">
      <c r="A2453" s="3" t="s">
        <v>2429</v>
      </c>
      <c r="D2453">
        <v>3</v>
      </c>
      <c r="J2453">
        <v>35</v>
      </c>
    </row>
    <row r="2454" spans="1:10">
      <c r="A2454" s="3" t="s">
        <v>2430</v>
      </c>
      <c r="D2454">
        <v>3</v>
      </c>
      <c r="J2454">
        <v>35</v>
      </c>
    </row>
    <row r="2455" spans="1:10">
      <c r="A2455" s="3" t="s">
        <v>2431</v>
      </c>
      <c r="D2455">
        <v>3</v>
      </c>
      <c r="J2455">
        <v>35</v>
      </c>
    </row>
    <row r="2456" spans="1:10">
      <c r="A2456" s="3" t="s">
        <v>2432</v>
      </c>
      <c r="D2456">
        <v>3</v>
      </c>
      <c r="J2456">
        <v>35</v>
      </c>
    </row>
    <row r="2457" spans="1:10">
      <c r="A2457" s="3" t="s">
        <v>2433</v>
      </c>
      <c r="D2457">
        <v>3</v>
      </c>
      <c r="J2457">
        <v>35</v>
      </c>
    </row>
    <row r="2458" spans="1:10">
      <c r="A2458" s="3" t="s">
        <v>2434</v>
      </c>
      <c r="D2458">
        <v>3</v>
      </c>
      <c r="J2458">
        <v>35</v>
      </c>
    </row>
    <row r="2459" spans="1:10">
      <c r="A2459" s="3" t="s">
        <v>2435</v>
      </c>
      <c r="D2459">
        <v>3</v>
      </c>
      <c r="J2459">
        <v>35</v>
      </c>
    </row>
    <row r="2460" spans="1:10">
      <c r="A2460" s="3" t="s">
        <v>2436</v>
      </c>
      <c r="D2460">
        <v>3</v>
      </c>
      <c r="J2460">
        <v>35</v>
      </c>
    </row>
    <row r="2461" spans="1:10">
      <c r="A2461" s="3" t="s">
        <v>2437</v>
      </c>
      <c r="D2461">
        <v>3</v>
      </c>
      <c r="J2461">
        <v>35</v>
      </c>
    </row>
    <row r="2462" spans="1:10">
      <c r="A2462" s="3" t="s">
        <v>2438</v>
      </c>
      <c r="D2462">
        <v>3</v>
      </c>
      <c r="J2462">
        <v>35</v>
      </c>
    </row>
    <row r="2463" spans="1:10">
      <c r="A2463" s="3" t="s">
        <v>2439</v>
      </c>
      <c r="D2463">
        <v>3</v>
      </c>
      <c r="J2463">
        <v>35</v>
      </c>
    </row>
    <row r="2464" spans="1:10">
      <c r="A2464" s="3" t="s">
        <v>2440</v>
      </c>
      <c r="D2464">
        <v>3</v>
      </c>
      <c r="J2464">
        <v>35</v>
      </c>
    </row>
    <row r="2465" spans="1:10">
      <c r="A2465" s="3" t="s">
        <v>2441</v>
      </c>
      <c r="D2465">
        <v>3</v>
      </c>
      <c r="J2465">
        <v>35</v>
      </c>
    </row>
    <row r="2466" spans="1:10">
      <c r="A2466" s="3" t="s">
        <v>2442</v>
      </c>
      <c r="D2466">
        <v>3</v>
      </c>
      <c r="J2466">
        <v>35</v>
      </c>
    </row>
    <row r="2467" spans="1:10">
      <c r="A2467" s="3" t="s">
        <v>2443</v>
      </c>
      <c r="D2467">
        <v>3</v>
      </c>
      <c r="J2467">
        <v>35</v>
      </c>
    </row>
    <row r="2468" spans="1:10">
      <c r="A2468" s="3" t="s">
        <v>2444</v>
      </c>
      <c r="D2468">
        <v>3</v>
      </c>
      <c r="J2468">
        <v>35</v>
      </c>
    </row>
    <row r="2469" spans="1:10">
      <c r="A2469" s="3" t="s">
        <v>2445</v>
      </c>
      <c r="D2469">
        <v>3</v>
      </c>
      <c r="J2469">
        <v>35</v>
      </c>
    </row>
    <row r="2470" spans="1:10">
      <c r="A2470" s="3" t="s">
        <v>2446</v>
      </c>
      <c r="D2470">
        <v>3</v>
      </c>
      <c r="J2470">
        <v>35</v>
      </c>
    </row>
    <row r="2471" spans="1:10">
      <c r="A2471" s="3" t="s">
        <v>2447</v>
      </c>
      <c r="D2471">
        <v>3</v>
      </c>
      <c r="J2471">
        <v>35</v>
      </c>
    </row>
    <row r="2472" spans="1:10">
      <c r="A2472" s="3" t="s">
        <v>2448</v>
      </c>
      <c r="D2472">
        <v>3</v>
      </c>
      <c r="J2472">
        <v>35</v>
      </c>
    </row>
    <row r="2473" spans="1:10">
      <c r="A2473" s="3" t="s">
        <v>2449</v>
      </c>
      <c r="D2473">
        <v>3</v>
      </c>
      <c r="J2473">
        <v>35</v>
      </c>
    </row>
    <row r="2474" spans="1:10">
      <c r="A2474" s="3" t="s">
        <v>2450</v>
      </c>
      <c r="D2474">
        <v>3</v>
      </c>
      <c r="J2474">
        <v>35</v>
      </c>
    </row>
    <row r="2475" spans="1:10">
      <c r="A2475" s="3" t="s">
        <v>2451</v>
      </c>
      <c r="D2475">
        <v>3</v>
      </c>
      <c r="J2475">
        <v>35</v>
      </c>
    </row>
    <row r="2476" spans="1:10">
      <c r="A2476" s="3" t="s">
        <v>2452</v>
      </c>
      <c r="D2476">
        <v>3</v>
      </c>
      <c r="J2476">
        <v>35</v>
      </c>
    </row>
    <row r="2477" spans="1:10">
      <c r="A2477" s="3" t="s">
        <v>2453</v>
      </c>
      <c r="D2477">
        <v>3</v>
      </c>
      <c r="J2477">
        <v>35</v>
      </c>
    </row>
    <row r="2478" spans="1:10">
      <c r="A2478" s="3" t="s">
        <v>2454</v>
      </c>
      <c r="D2478">
        <v>3</v>
      </c>
      <c r="J2478">
        <v>35</v>
      </c>
    </row>
    <row r="2479" spans="1:10">
      <c r="A2479" s="3" t="s">
        <v>2455</v>
      </c>
      <c r="D2479">
        <v>3</v>
      </c>
      <c r="J2479">
        <v>35</v>
      </c>
    </row>
    <row r="2480" spans="1:10">
      <c r="A2480" s="3" t="s">
        <v>2456</v>
      </c>
      <c r="D2480">
        <v>3</v>
      </c>
      <c r="J2480">
        <v>35</v>
      </c>
    </row>
    <row r="2481" spans="1:49">
      <c r="A2481" s="3" t="s">
        <v>2457</v>
      </c>
      <c r="D2481">
        <v>3</v>
      </c>
      <c r="J2481">
        <v>35</v>
      </c>
    </row>
    <row r="2482" spans="1:49">
      <c r="A2482" s="3" t="s">
        <v>2458</v>
      </c>
      <c r="D2482">
        <v>3</v>
      </c>
      <c r="J2482">
        <v>35</v>
      </c>
    </row>
    <row r="2483" spans="1:49">
      <c r="A2483" s="3" t="s">
        <v>2459</v>
      </c>
      <c r="D2483">
        <v>3</v>
      </c>
      <c r="J2483">
        <v>35</v>
      </c>
    </row>
    <row r="2484" spans="1:49">
      <c r="A2484" s="3" t="s">
        <v>2460</v>
      </c>
      <c r="D2484">
        <v>3</v>
      </c>
      <c r="J2484">
        <v>35</v>
      </c>
    </row>
    <row r="2485" spans="1:49">
      <c r="A2485" s="3" t="s">
        <v>2461</v>
      </c>
      <c r="D2485">
        <v>3</v>
      </c>
      <c r="J2485">
        <v>35</v>
      </c>
    </row>
    <row r="2486" spans="1:49">
      <c r="A2486" s="3" t="s">
        <v>2462</v>
      </c>
      <c r="D2486">
        <v>3</v>
      </c>
      <c r="J2486">
        <v>35</v>
      </c>
    </row>
    <row r="2487" spans="1:49">
      <c r="A2487" s="3" t="s">
        <v>2463</v>
      </c>
      <c r="D2487">
        <v>3</v>
      </c>
      <c r="J2487">
        <v>35</v>
      </c>
    </row>
    <row r="2488" spans="1:49">
      <c r="A2488" s="3" t="s">
        <v>2464</v>
      </c>
      <c r="D2488">
        <v>3</v>
      </c>
      <c r="J2488">
        <v>35</v>
      </c>
    </row>
    <row r="2489" spans="1:49">
      <c r="A2489" s="3" t="s">
        <v>2465</v>
      </c>
      <c r="D2489">
        <v>3</v>
      </c>
      <c r="J2489">
        <v>35</v>
      </c>
    </row>
    <row r="2490" spans="1:49">
      <c r="A2490" s="3" t="s">
        <v>2466</v>
      </c>
      <c r="D2490">
        <v>3</v>
      </c>
      <c r="J2490">
        <v>35</v>
      </c>
    </row>
    <row r="2491" spans="1:49">
      <c r="A2491" s="3" t="s">
        <v>2467</v>
      </c>
      <c r="D2491">
        <v>3</v>
      </c>
      <c r="J2491">
        <v>35</v>
      </c>
    </row>
    <row r="2492" spans="1:49">
      <c r="A2492" s="3" t="s">
        <v>2468</v>
      </c>
      <c r="D2492">
        <v>3</v>
      </c>
      <c r="J2492">
        <v>35</v>
      </c>
    </row>
    <row r="2493" spans="1:49">
      <c r="A2493" s="3" t="s">
        <v>2469</v>
      </c>
      <c r="D2493">
        <v>3</v>
      </c>
      <c r="J2493">
        <v>35</v>
      </c>
    </row>
    <row r="2494" spans="1:49">
      <c r="A2494" s="3" t="s">
        <v>2470</v>
      </c>
      <c r="D2494">
        <v>3</v>
      </c>
      <c r="J2494">
        <v>35</v>
      </c>
    </row>
    <row r="2495" spans="1:49">
      <c r="A2495" s="3" t="s">
        <v>2471</v>
      </c>
      <c r="D2495">
        <v>3</v>
      </c>
      <c r="J2495">
        <v>35</v>
      </c>
    </row>
    <row r="2496" spans="1:49">
      <c r="A2496" s="3" t="s">
        <v>2472</v>
      </c>
      <c r="D2496">
        <v>3</v>
      </c>
      <c r="AW2496">
        <v>23</v>
      </c>
    </row>
    <row r="2497" spans="1:11">
      <c r="A2497" s="3" t="s">
        <v>2473</v>
      </c>
      <c r="D2497">
        <v>3</v>
      </c>
      <c r="K2497">
        <v>4</v>
      </c>
    </row>
    <row r="2498" spans="1:11">
      <c r="A2498" s="3" t="s">
        <v>2474</v>
      </c>
      <c r="D2498">
        <v>3</v>
      </c>
      <c r="K2498">
        <v>4</v>
      </c>
    </row>
    <row r="2499" spans="1:11">
      <c r="A2499" s="3" t="s">
        <v>2475</v>
      </c>
      <c r="D2499">
        <v>3</v>
      </c>
      <c r="K2499">
        <v>4</v>
      </c>
    </row>
    <row r="2500" spans="1:11">
      <c r="A2500" s="3" t="s">
        <v>2476</v>
      </c>
      <c r="D2500">
        <v>3</v>
      </c>
      <c r="K2500">
        <v>4</v>
      </c>
    </row>
    <row r="2501" spans="1:11">
      <c r="A2501" s="3" t="s">
        <v>2477</v>
      </c>
      <c r="D2501">
        <v>3</v>
      </c>
      <c r="K2501">
        <v>4</v>
      </c>
    </row>
    <row r="2502" spans="1:11">
      <c r="A2502" s="3" t="s">
        <v>2478</v>
      </c>
      <c r="D2502">
        <v>3</v>
      </c>
      <c r="K2502">
        <v>4</v>
      </c>
    </row>
    <row r="2503" spans="1:11">
      <c r="A2503" s="3" t="s">
        <v>2479</v>
      </c>
      <c r="D2503">
        <v>3</v>
      </c>
      <c r="K2503">
        <v>4</v>
      </c>
    </row>
    <row r="2504" spans="1:11">
      <c r="A2504" s="3" t="s">
        <v>2480</v>
      </c>
      <c r="D2504">
        <v>3</v>
      </c>
      <c r="K2504">
        <v>4</v>
      </c>
    </row>
    <row r="2505" spans="1:11">
      <c r="A2505" s="3" t="s">
        <v>2481</v>
      </c>
      <c r="D2505">
        <v>3</v>
      </c>
      <c r="K2505">
        <v>4</v>
      </c>
    </row>
    <row r="2506" spans="1:11">
      <c r="A2506" s="3" t="s">
        <v>2482</v>
      </c>
      <c r="D2506">
        <v>3</v>
      </c>
      <c r="K2506">
        <v>4</v>
      </c>
    </row>
    <row r="2507" spans="1:11">
      <c r="A2507" s="3" t="s">
        <v>2483</v>
      </c>
      <c r="D2507">
        <v>3</v>
      </c>
      <c r="K2507">
        <v>4</v>
      </c>
    </row>
    <row r="2508" spans="1:11">
      <c r="A2508" s="3" t="s">
        <v>2484</v>
      </c>
      <c r="D2508">
        <v>3</v>
      </c>
      <c r="K2508">
        <v>4</v>
      </c>
    </row>
    <row r="2509" spans="1:11">
      <c r="A2509" s="3" t="s">
        <v>2485</v>
      </c>
      <c r="D2509">
        <v>3</v>
      </c>
      <c r="K2509">
        <v>4</v>
      </c>
    </row>
    <row r="2510" spans="1:11">
      <c r="A2510" s="3" t="s">
        <v>2486</v>
      </c>
      <c r="D2510">
        <v>3</v>
      </c>
      <c r="K2510">
        <v>4</v>
      </c>
    </row>
    <row r="2511" spans="1:11">
      <c r="A2511" s="3" t="s">
        <v>2487</v>
      </c>
      <c r="D2511">
        <v>3</v>
      </c>
      <c r="K2511">
        <v>4</v>
      </c>
    </row>
    <row r="2512" spans="1:11">
      <c r="A2512" s="3" t="s">
        <v>2488</v>
      </c>
      <c r="D2512">
        <v>3</v>
      </c>
      <c r="K2512">
        <v>4</v>
      </c>
    </row>
    <row r="2513" spans="1:11">
      <c r="A2513" s="3" t="s">
        <v>2489</v>
      </c>
      <c r="D2513">
        <v>3</v>
      </c>
      <c r="K2513">
        <v>4</v>
      </c>
    </row>
    <row r="2514" spans="1:11">
      <c r="A2514" s="3" t="s">
        <v>2490</v>
      </c>
      <c r="D2514">
        <v>3</v>
      </c>
      <c r="K2514">
        <v>4</v>
      </c>
    </row>
    <row r="2515" spans="1:11">
      <c r="A2515" s="3" t="s">
        <v>2491</v>
      </c>
      <c r="D2515">
        <v>3</v>
      </c>
      <c r="K2515">
        <v>4</v>
      </c>
    </row>
    <row r="2516" spans="1:11">
      <c r="A2516" s="3" t="s">
        <v>2492</v>
      </c>
      <c r="D2516">
        <v>3</v>
      </c>
      <c r="K2516">
        <v>4</v>
      </c>
    </row>
    <row r="2517" spans="1:11">
      <c r="A2517" s="3" t="s">
        <v>2493</v>
      </c>
      <c r="D2517">
        <v>3</v>
      </c>
      <c r="K2517">
        <v>4</v>
      </c>
    </row>
    <row r="2518" spans="1:11">
      <c r="A2518" s="3" t="s">
        <v>2494</v>
      </c>
      <c r="D2518">
        <v>3</v>
      </c>
      <c r="K2518">
        <v>4</v>
      </c>
    </row>
    <row r="2519" spans="1:11">
      <c r="A2519" s="3" t="s">
        <v>2495</v>
      </c>
      <c r="D2519">
        <v>3</v>
      </c>
      <c r="K2519">
        <v>4</v>
      </c>
    </row>
    <row r="2520" spans="1:11">
      <c r="A2520" s="3" t="s">
        <v>2496</v>
      </c>
      <c r="D2520">
        <v>3</v>
      </c>
      <c r="K2520">
        <v>4</v>
      </c>
    </row>
    <row r="2521" spans="1:11">
      <c r="A2521" s="3" t="s">
        <v>2497</v>
      </c>
      <c r="D2521">
        <v>3</v>
      </c>
      <c r="K2521">
        <v>4</v>
      </c>
    </row>
    <row r="2522" spans="1:11">
      <c r="A2522" s="3" t="s">
        <v>2498</v>
      </c>
      <c r="D2522">
        <v>3</v>
      </c>
      <c r="K2522">
        <v>4</v>
      </c>
    </row>
    <row r="2523" spans="1:11">
      <c r="A2523" s="3" t="s">
        <v>2499</v>
      </c>
      <c r="D2523">
        <v>3</v>
      </c>
      <c r="K2523">
        <v>4</v>
      </c>
    </row>
    <row r="2524" spans="1:11">
      <c r="A2524" s="3" t="s">
        <v>2500</v>
      </c>
      <c r="D2524">
        <v>3</v>
      </c>
      <c r="K2524">
        <v>4</v>
      </c>
    </row>
    <row r="2525" spans="1:11">
      <c r="A2525" s="3" t="s">
        <v>2501</v>
      </c>
      <c r="D2525">
        <v>3</v>
      </c>
      <c r="K2525">
        <v>4</v>
      </c>
    </row>
    <row r="2526" spans="1:11">
      <c r="A2526" s="3" t="s">
        <v>2502</v>
      </c>
      <c r="D2526">
        <v>3</v>
      </c>
      <c r="K2526">
        <v>4</v>
      </c>
    </row>
    <row r="2527" spans="1:11">
      <c r="A2527" s="3" t="s">
        <v>2503</v>
      </c>
      <c r="D2527">
        <v>3</v>
      </c>
      <c r="K2527">
        <v>4</v>
      </c>
    </row>
    <row r="2528" spans="1:11">
      <c r="A2528" s="3" t="s">
        <v>2504</v>
      </c>
      <c r="D2528">
        <v>3</v>
      </c>
      <c r="K2528">
        <v>4</v>
      </c>
    </row>
    <row r="2529" spans="1:11">
      <c r="A2529" s="3" t="s">
        <v>2505</v>
      </c>
      <c r="D2529">
        <v>3</v>
      </c>
      <c r="K2529">
        <v>4</v>
      </c>
    </row>
    <row r="2530" spans="1:11">
      <c r="A2530" s="3" t="s">
        <v>2506</v>
      </c>
      <c r="D2530">
        <v>3</v>
      </c>
      <c r="K2530">
        <v>4</v>
      </c>
    </row>
    <row r="2531" spans="1:11">
      <c r="A2531" s="3" t="s">
        <v>2507</v>
      </c>
      <c r="D2531">
        <v>3</v>
      </c>
      <c r="K2531">
        <v>4</v>
      </c>
    </row>
    <row r="2532" spans="1:11">
      <c r="A2532" s="3" t="s">
        <v>2508</v>
      </c>
      <c r="D2532">
        <v>3</v>
      </c>
      <c r="K2532">
        <v>4</v>
      </c>
    </row>
    <row r="2533" spans="1:11">
      <c r="A2533" s="3" t="s">
        <v>2509</v>
      </c>
      <c r="D2533">
        <v>3</v>
      </c>
      <c r="K2533">
        <v>4</v>
      </c>
    </row>
    <row r="2534" spans="1:11">
      <c r="A2534" s="3" t="s">
        <v>2510</v>
      </c>
      <c r="D2534">
        <v>3</v>
      </c>
      <c r="K2534">
        <v>4</v>
      </c>
    </row>
    <row r="2535" spans="1:11">
      <c r="A2535" s="3" t="s">
        <v>2511</v>
      </c>
      <c r="D2535">
        <v>3</v>
      </c>
      <c r="K2535">
        <v>4</v>
      </c>
    </row>
    <row r="2536" spans="1:11">
      <c r="A2536" s="3" t="s">
        <v>2512</v>
      </c>
      <c r="D2536">
        <v>3</v>
      </c>
      <c r="K2536">
        <v>4</v>
      </c>
    </row>
    <row r="2537" spans="1:11">
      <c r="A2537" s="3" t="s">
        <v>2513</v>
      </c>
      <c r="D2537">
        <v>3</v>
      </c>
      <c r="K2537">
        <v>4</v>
      </c>
    </row>
    <row r="2538" spans="1:11">
      <c r="A2538" s="3" t="s">
        <v>2514</v>
      </c>
      <c r="D2538">
        <v>3</v>
      </c>
      <c r="K2538">
        <v>4</v>
      </c>
    </row>
    <row r="2539" spans="1:11">
      <c r="A2539" s="3" t="s">
        <v>2515</v>
      </c>
      <c r="D2539">
        <v>3</v>
      </c>
      <c r="K2539">
        <v>4</v>
      </c>
    </row>
    <row r="2540" spans="1:11">
      <c r="A2540" s="3" t="s">
        <v>2516</v>
      </c>
      <c r="D2540">
        <v>3</v>
      </c>
      <c r="K2540">
        <v>4</v>
      </c>
    </row>
    <row r="2541" spans="1:11">
      <c r="A2541" s="3" t="s">
        <v>2517</v>
      </c>
      <c r="D2541">
        <v>3</v>
      </c>
      <c r="K2541">
        <v>4</v>
      </c>
    </row>
    <row r="2542" spans="1:11">
      <c r="A2542" s="3" t="s">
        <v>2518</v>
      </c>
      <c r="D2542">
        <v>3</v>
      </c>
      <c r="K2542">
        <v>4</v>
      </c>
    </row>
    <row r="2543" spans="1:11">
      <c r="A2543" s="3" t="s">
        <v>2519</v>
      </c>
      <c r="D2543">
        <v>3</v>
      </c>
      <c r="K2543">
        <v>4</v>
      </c>
    </row>
    <row r="2544" spans="1:11">
      <c r="A2544" s="3" t="s">
        <v>2520</v>
      </c>
      <c r="D2544">
        <v>3</v>
      </c>
      <c r="K2544">
        <v>4</v>
      </c>
    </row>
    <row r="2545" spans="1:11">
      <c r="A2545" s="3" t="s">
        <v>2521</v>
      </c>
      <c r="D2545">
        <v>3</v>
      </c>
      <c r="K2545">
        <v>4</v>
      </c>
    </row>
    <row r="2546" spans="1:11">
      <c r="A2546" s="3" t="s">
        <v>2522</v>
      </c>
      <c r="D2546">
        <v>3</v>
      </c>
      <c r="K2546">
        <v>4</v>
      </c>
    </row>
    <row r="2547" spans="1:11">
      <c r="A2547" s="3" t="s">
        <v>2523</v>
      </c>
      <c r="D2547">
        <v>3</v>
      </c>
      <c r="K2547">
        <v>4</v>
      </c>
    </row>
    <row r="2548" spans="1:11">
      <c r="A2548" s="3" t="s">
        <v>2524</v>
      </c>
      <c r="D2548">
        <v>3</v>
      </c>
      <c r="K2548">
        <v>4</v>
      </c>
    </row>
    <row r="2549" spans="1:11">
      <c r="A2549" s="3" t="s">
        <v>2525</v>
      </c>
      <c r="D2549">
        <v>3</v>
      </c>
      <c r="K2549">
        <v>4</v>
      </c>
    </row>
    <row r="2550" spans="1:11">
      <c r="A2550" s="3" t="s">
        <v>2526</v>
      </c>
      <c r="D2550">
        <v>3</v>
      </c>
      <c r="K2550">
        <v>4</v>
      </c>
    </row>
    <row r="2551" spans="1:11">
      <c r="A2551" s="3" t="s">
        <v>2527</v>
      </c>
      <c r="D2551">
        <v>3</v>
      </c>
      <c r="K2551">
        <v>4</v>
      </c>
    </row>
    <row r="2552" spans="1:11">
      <c r="A2552" s="3" t="s">
        <v>2528</v>
      </c>
      <c r="D2552">
        <v>3</v>
      </c>
      <c r="K2552">
        <v>4</v>
      </c>
    </row>
    <row r="2553" spans="1:11">
      <c r="A2553" s="3" t="s">
        <v>2529</v>
      </c>
      <c r="D2553">
        <v>3</v>
      </c>
      <c r="K2553">
        <v>4</v>
      </c>
    </row>
    <row r="2554" spans="1:11">
      <c r="A2554" s="3" t="s">
        <v>2530</v>
      </c>
      <c r="D2554">
        <v>3</v>
      </c>
      <c r="K2554">
        <v>4</v>
      </c>
    </row>
    <row r="2555" spans="1:11">
      <c r="A2555" s="3" t="s">
        <v>2531</v>
      </c>
      <c r="D2555">
        <v>3</v>
      </c>
      <c r="K2555">
        <v>4</v>
      </c>
    </row>
    <row r="2556" spans="1:11">
      <c r="A2556" s="3" t="s">
        <v>2532</v>
      </c>
      <c r="D2556">
        <v>3</v>
      </c>
      <c r="K2556">
        <v>4</v>
      </c>
    </row>
    <row r="2557" spans="1:11">
      <c r="A2557" s="3" t="s">
        <v>2533</v>
      </c>
      <c r="D2557">
        <v>3</v>
      </c>
      <c r="K2557">
        <v>4</v>
      </c>
    </row>
    <row r="2558" spans="1:11">
      <c r="A2558" s="3" t="s">
        <v>2534</v>
      </c>
      <c r="D2558">
        <v>3</v>
      </c>
      <c r="K2558">
        <v>4</v>
      </c>
    </row>
    <row r="2559" spans="1:11">
      <c r="A2559" s="3" t="s">
        <v>2535</v>
      </c>
      <c r="D2559">
        <v>3</v>
      </c>
      <c r="J2559">
        <v>36</v>
      </c>
    </row>
    <row r="2560" spans="1:11">
      <c r="A2560" s="3" t="s">
        <v>2536</v>
      </c>
      <c r="D2560">
        <v>3</v>
      </c>
      <c r="J2560">
        <v>36</v>
      </c>
    </row>
    <row r="2561" spans="1:49">
      <c r="A2561" s="3" t="s">
        <v>2537</v>
      </c>
      <c r="D2561">
        <v>3</v>
      </c>
      <c r="E2561">
        <v>4</v>
      </c>
      <c r="J2561">
        <v>36</v>
      </c>
    </row>
    <row r="2562" spans="1:49">
      <c r="A2562" s="3" t="s">
        <v>2538</v>
      </c>
      <c r="D2562">
        <v>3</v>
      </c>
      <c r="E2562">
        <v>4</v>
      </c>
      <c r="J2562">
        <v>36</v>
      </c>
    </row>
    <row r="2563" spans="1:49">
      <c r="A2563" s="3" t="s">
        <v>2539</v>
      </c>
      <c r="D2563">
        <v>3</v>
      </c>
      <c r="E2563">
        <v>4</v>
      </c>
      <c r="J2563">
        <v>36</v>
      </c>
    </row>
    <row r="2564" spans="1:49">
      <c r="A2564" s="3" t="s">
        <v>2540</v>
      </c>
      <c r="D2564">
        <v>3</v>
      </c>
      <c r="E2564">
        <v>4</v>
      </c>
      <c r="J2564">
        <v>36</v>
      </c>
    </row>
    <row r="2565" spans="1:49">
      <c r="A2565" s="3" t="s">
        <v>2541</v>
      </c>
      <c r="D2565">
        <v>3</v>
      </c>
      <c r="E2565">
        <v>4</v>
      </c>
      <c r="J2565">
        <v>36</v>
      </c>
    </row>
    <row r="2566" spans="1:49">
      <c r="A2566" s="3" t="s">
        <v>2542</v>
      </c>
      <c r="D2566">
        <v>3</v>
      </c>
      <c r="E2566">
        <v>4</v>
      </c>
      <c r="J2566">
        <v>36</v>
      </c>
    </row>
    <row r="2567" spans="1:49">
      <c r="A2567" s="3" t="s">
        <v>2543</v>
      </c>
      <c r="D2567">
        <v>3</v>
      </c>
      <c r="E2567">
        <v>4</v>
      </c>
      <c r="J2567">
        <v>36</v>
      </c>
    </row>
    <row r="2568" spans="1:49">
      <c r="A2568" s="3" t="s">
        <v>2544</v>
      </c>
      <c r="D2568">
        <v>3</v>
      </c>
      <c r="E2568">
        <v>4</v>
      </c>
      <c r="J2568">
        <v>36</v>
      </c>
    </row>
    <row r="2569" spans="1:49">
      <c r="A2569" s="3" t="s">
        <v>2545</v>
      </c>
      <c r="D2569">
        <v>3</v>
      </c>
      <c r="E2569">
        <v>4</v>
      </c>
      <c r="J2569">
        <v>36</v>
      </c>
    </row>
    <row r="2570" spans="1:49">
      <c r="A2570" s="3" t="s">
        <v>2546</v>
      </c>
      <c r="D2570">
        <v>3</v>
      </c>
      <c r="E2570">
        <v>4</v>
      </c>
      <c r="J2570">
        <v>36</v>
      </c>
    </row>
    <row r="2571" spans="1:49">
      <c r="A2571" s="3" t="s">
        <v>2547</v>
      </c>
      <c r="D2571">
        <v>3</v>
      </c>
      <c r="E2571">
        <v>4</v>
      </c>
      <c r="J2571">
        <v>36</v>
      </c>
    </row>
    <row r="2572" spans="1:49">
      <c r="A2572" s="3" t="s">
        <v>2548</v>
      </c>
      <c r="E2572">
        <v>4</v>
      </c>
      <c r="J2572">
        <v>36</v>
      </c>
    </row>
    <row r="2573" spans="1:49">
      <c r="A2573" s="3" t="s">
        <v>2549</v>
      </c>
      <c r="E2573">
        <v>4</v>
      </c>
      <c r="AW2573">
        <v>24</v>
      </c>
    </row>
    <row r="2574" spans="1:49">
      <c r="A2574" s="3" t="s">
        <v>2550</v>
      </c>
      <c r="E2574">
        <v>4</v>
      </c>
      <c r="AW2574">
        <v>24</v>
      </c>
    </row>
    <row r="2575" spans="1:49">
      <c r="A2575" s="3" t="s">
        <v>2551</v>
      </c>
      <c r="E2575">
        <v>4</v>
      </c>
      <c r="AW2575">
        <v>24</v>
      </c>
    </row>
    <row r="2576" spans="1:49">
      <c r="A2576" s="3" t="s">
        <v>2552</v>
      </c>
      <c r="E2576">
        <v>4</v>
      </c>
      <c r="AV2576">
        <v>3</v>
      </c>
    </row>
    <row r="2577" spans="1:48">
      <c r="A2577" s="3" t="s">
        <v>2553</v>
      </c>
      <c r="E2577">
        <v>4</v>
      </c>
      <c r="AV2577">
        <v>3</v>
      </c>
    </row>
    <row r="2578" spans="1:48">
      <c r="A2578" s="3" t="s">
        <v>2554</v>
      </c>
      <c r="E2578">
        <v>4</v>
      </c>
      <c r="AV2578">
        <v>3</v>
      </c>
    </row>
    <row r="2579" spans="1:48">
      <c r="A2579" s="3" t="s">
        <v>2555</v>
      </c>
      <c r="E2579">
        <v>4</v>
      </c>
      <c r="AV2579">
        <v>3</v>
      </c>
    </row>
    <row r="2580" spans="1:48">
      <c r="A2580" s="3" t="s">
        <v>2556</v>
      </c>
      <c r="E2580">
        <v>4</v>
      </c>
      <c r="AV2580">
        <v>3</v>
      </c>
    </row>
    <row r="2581" spans="1:48">
      <c r="A2581" s="3" t="s">
        <v>2557</v>
      </c>
      <c r="E2581">
        <v>4</v>
      </c>
      <c r="AV2581">
        <v>3</v>
      </c>
    </row>
    <row r="2582" spans="1:48">
      <c r="A2582" s="3" t="s">
        <v>2558</v>
      </c>
      <c r="E2582">
        <v>4</v>
      </c>
      <c r="AV2582">
        <v>3</v>
      </c>
    </row>
    <row r="2583" spans="1:48">
      <c r="A2583" s="3" t="s">
        <v>2559</v>
      </c>
      <c r="E2583">
        <v>4</v>
      </c>
      <c r="AV2583">
        <v>3</v>
      </c>
    </row>
    <row r="2584" spans="1:48">
      <c r="A2584" s="3" t="s">
        <v>2560</v>
      </c>
      <c r="E2584">
        <v>4</v>
      </c>
      <c r="AV2584">
        <v>3</v>
      </c>
    </row>
    <row r="2585" spans="1:48">
      <c r="A2585" s="3" t="s">
        <v>2561</v>
      </c>
      <c r="E2585">
        <v>4</v>
      </c>
      <c r="AV2585">
        <v>3</v>
      </c>
    </row>
    <row r="2586" spans="1:48">
      <c r="A2586" s="3" t="s">
        <v>2562</v>
      </c>
      <c r="E2586">
        <v>4</v>
      </c>
      <c r="AV2586">
        <v>3</v>
      </c>
    </row>
    <row r="2587" spans="1:48">
      <c r="A2587" s="3" t="s">
        <v>2563</v>
      </c>
      <c r="E2587">
        <v>4</v>
      </c>
      <c r="AV2587">
        <v>3</v>
      </c>
    </row>
    <row r="2588" spans="1:48">
      <c r="A2588" s="3" t="s">
        <v>2564</v>
      </c>
      <c r="E2588">
        <v>4</v>
      </c>
      <c r="AV2588">
        <v>3</v>
      </c>
    </row>
    <row r="2589" spans="1:48">
      <c r="A2589" s="3" t="s">
        <v>2565</v>
      </c>
      <c r="E2589">
        <v>4</v>
      </c>
      <c r="AV2589">
        <v>3</v>
      </c>
    </row>
    <row r="2590" spans="1:48">
      <c r="A2590" s="3" t="s">
        <v>2566</v>
      </c>
      <c r="E2590">
        <v>4</v>
      </c>
      <c r="AV2590">
        <v>3</v>
      </c>
    </row>
    <row r="2591" spans="1:48">
      <c r="A2591" s="3" t="s">
        <v>2567</v>
      </c>
      <c r="E2591">
        <v>4</v>
      </c>
      <c r="AV2591">
        <v>3</v>
      </c>
    </row>
    <row r="2592" spans="1:48">
      <c r="A2592" s="3" t="s">
        <v>2568</v>
      </c>
      <c r="E2592">
        <v>4</v>
      </c>
      <c r="AV2592">
        <v>3</v>
      </c>
    </row>
    <row r="2593" spans="1:48">
      <c r="A2593" s="3" t="s">
        <v>2569</v>
      </c>
      <c r="E2593">
        <v>4</v>
      </c>
      <c r="AV2593">
        <v>3</v>
      </c>
    </row>
    <row r="2594" spans="1:48">
      <c r="A2594" s="3" t="s">
        <v>2570</v>
      </c>
      <c r="E2594">
        <v>4</v>
      </c>
      <c r="AV2594">
        <v>3</v>
      </c>
    </row>
    <row r="2595" spans="1:48">
      <c r="A2595" s="3" t="s">
        <v>2571</v>
      </c>
      <c r="E2595">
        <v>4</v>
      </c>
      <c r="AV2595">
        <v>3</v>
      </c>
    </row>
    <row r="2596" spans="1:48">
      <c r="A2596" s="3" t="s">
        <v>2572</v>
      </c>
      <c r="E2596">
        <v>4</v>
      </c>
      <c r="AV2596">
        <v>3</v>
      </c>
    </row>
    <row r="2597" spans="1:48">
      <c r="A2597" s="3" t="s">
        <v>2573</v>
      </c>
      <c r="E2597">
        <v>4</v>
      </c>
      <c r="AV2597">
        <v>3</v>
      </c>
    </row>
    <row r="2598" spans="1:48">
      <c r="A2598" s="3" t="s">
        <v>2574</v>
      </c>
      <c r="E2598">
        <v>4</v>
      </c>
      <c r="AV2598">
        <v>3</v>
      </c>
    </row>
    <row r="2599" spans="1:48">
      <c r="A2599" s="3" t="s">
        <v>2575</v>
      </c>
      <c r="E2599">
        <v>4</v>
      </c>
      <c r="AV2599">
        <v>3</v>
      </c>
    </row>
    <row r="2600" spans="1:48">
      <c r="A2600" s="3" t="s">
        <v>2576</v>
      </c>
      <c r="E2600">
        <v>4</v>
      </c>
      <c r="AV2600">
        <v>3</v>
      </c>
    </row>
    <row r="2601" spans="1:48">
      <c r="A2601" s="3" t="s">
        <v>2577</v>
      </c>
      <c r="E2601">
        <v>4</v>
      </c>
      <c r="AV2601">
        <v>3</v>
      </c>
    </row>
    <row r="2602" spans="1:48">
      <c r="A2602" s="3" t="s">
        <v>2578</v>
      </c>
      <c r="E2602">
        <v>4</v>
      </c>
      <c r="AV2602">
        <v>3</v>
      </c>
    </row>
    <row r="2603" spans="1:48">
      <c r="A2603" s="3" t="s">
        <v>2579</v>
      </c>
      <c r="E2603">
        <v>4</v>
      </c>
      <c r="AV2603">
        <v>3</v>
      </c>
    </row>
    <row r="2604" spans="1:48">
      <c r="A2604" s="3" t="s">
        <v>2580</v>
      </c>
      <c r="E2604">
        <v>4</v>
      </c>
      <c r="AV2604">
        <v>3</v>
      </c>
    </row>
    <row r="2605" spans="1:48">
      <c r="A2605" s="3" t="s">
        <v>2581</v>
      </c>
      <c r="E2605">
        <v>4</v>
      </c>
      <c r="AV2605">
        <v>3</v>
      </c>
    </row>
    <row r="2606" spans="1:48">
      <c r="A2606" s="3" t="s">
        <v>2582</v>
      </c>
      <c r="E2606">
        <v>4</v>
      </c>
      <c r="AV2606">
        <v>3</v>
      </c>
    </row>
    <row r="2607" spans="1:48">
      <c r="A2607" s="3" t="s">
        <v>2583</v>
      </c>
      <c r="E2607">
        <v>4</v>
      </c>
      <c r="AV2607">
        <v>3</v>
      </c>
    </row>
    <row r="2608" spans="1:48">
      <c r="A2608" s="3" t="s">
        <v>2584</v>
      </c>
      <c r="E2608">
        <v>4</v>
      </c>
      <c r="AV2608">
        <v>3</v>
      </c>
    </row>
    <row r="2609" spans="1:48">
      <c r="A2609" s="3" t="s">
        <v>2585</v>
      </c>
      <c r="E2609">
        <v>4</v>
      </c>
      <c r="AV2609">
        <v>3</v>
      </c>
    </row>
    <row r="2610" spans="1:48">
      <c r="A2610" s="3" t="s">
        <v>2586</v>
      </c>
      <c r="E2610">
        <v>4</v>
      </c>
      <c r="AV2610">
        <v>3</v>
      </c>
    </row>
    <row r="2611" spans="1:48">
      <c r="A2611" s="3" t="s">
        <v>2587</v>
      </c>
      <c r="E2611">
        <v>4</v>
      </c>
      <c r="AV2611">
        <v>3</v>
      </c>
    </row>
    <row r="2612" spans="1:48">
      <c r="A2612" s="3" t="s">
        <v>2588</v>
      </c>
      <c r="E2612">
        <v>4</v>
      </c>
      <c r="AV2612">
        <v>3</v>
      </c>
    </row>
    <row r="2613" spans="1:48">
      <c r="A2613" s="3" t="s">
        <v>2589</v>
      </c>
      <c r="E2613">
        <v>4</v>
      </c>
      <c r="AV2613">
        <v>3</v>
      </c>
    </row>
    <row r="2614" spans="1:48">
      <c r="A2614" s="3" t="s">
        <v>2590</v>
      </c>
      <c r="E2614">
        <v>4</v>
      </c>
      <c r="AV2614">
        <v>3</v>
      </c>
    </row>
    <row r="2615" spans="1:48">
      <c r="A2615" s="3" t="s">
        <v>2591</v>
      </c>
      <c r="E2615">
        <v>4</v>
      </c>
      <c r="AV2615">
        <v>3</v>
      </c>
    </row>
    <row r="2616" spans="1:48">
      <c r="A2616" s="3" t="s">
        <v>2592</v>
      </c>
      <c r="E2616">
        <v>4</v>
      </c>
      <c r="AV2616">
        <v>3</v>
      </c>
    </row>
    <row r="2617" spans="1:48">
      <c r="A2617" s="3" t="s">
        <v>2593</v>
      </c>
      <c r="E2617">
        <v>4</v>
      </c>
      <c r="AV2617">
        <v>3</v>
      </c>
    </row>
    <row r="2618" spans="1:48">
      <c r="A2618" s="3" t="s">
        <v>2594</v>
      </c>
      <c r="E2618">
        <v>4</v>
      </c>
      <c r="AV2618">
        <v>3</v>
      </c>
    </row>
    <row r="2619" spans="1:48">
      <c r="A2619" s="3" t="s">
        <v>2595</v>
      </c>
      <c r="E2619">
        <v>4</v>
      </c>
      <c r="AV2619">
        <v>3</v>
      </c>
    </row>
    <row r="2620" spans="1:48">
      <c r="A2620" s="3" t="s">
        <v>2596</v>
      </c>
      <c r="E2620">
        <v>4</v>
      </c>
      <c r="AV2620">
        <v>3</v>
      </c>
    </row>
    <row r="2621" spans="1:48">
      <c r="A2621" s="3" t="s">
        <v>2597</v>
      </c>
      <c r="E2621">
        <v>4</v>
      </c>
      <c r="AV2621">
        <v>3</v>
      </c>
    </row>
    <row r="2622" spans="1:48">
      <c r="A2622" s="3" t="s">
        <v>2598</v>
      </c>
      <c r="E2622">
        <v>4</v>
      </c>
      <c r="AV2622">
        <v>3</v>
      </c>
    </row>
    <row r="2623" spans="1:48">
      <c r="A2623" s="3" t="s">
        <v>2599</v>
      </c>
      <c r="E2623">
        <v>4</v>
      </c>
      <c r="AV2623">
        <v>3</v>
      </c>
    </row>
    <row r="2624" spans="1:48">
      <c r="A2624" s="3" t="s">
        <v>2600</v>
      </c>
      <c r="E2624">
        <v>4</v>
      </c>
      <c r="AV2624">
        <v>3</v>
      </c>
    </row>
    <row r="2625" spans="1:48">
      <c r="A2625" s="3" t="s">
        <v>2601</v>
      </c>
      <c r="E2625">
        <v>4</v>
      </c>
      <c r="AV2625">
        <v>3</v>
      </c>
    </row>
    <row r="2626" spans="1:48">
      <c r="A2626" s="3" t="s">
        <v>2602</v>
      </c>
      <c r="E2626">
        <v>4</v>
      </c>
      <c r="AV2626">
        <v>3</v>
      </c>
    </row>
    <row r="2627" spans="1:48">
      <c r="A2627" s="3" t="s">
        <v>2603</v>
      </c>
      <c r="E2627">
        <v>4</v>
      </c>
      <c r="AV2627">
        <v>3</v>
      </c>
    </row>
    <row r="2628" spans="1:48">
      <c r="A2628" s="3" t="s">
        <v>2604</v>
      </c>
      <c r="E2628">
        <v>4</v>
      </c>
      <c r="AV2628">
        <v>3</v>
      </c>
    </row>
    <row r="2629" spans="1:48">
      <c r="A2629" s="3" t="s">
        <v>2605</v>
      </c>
      <c r="E2629">
        <v>4</v>
      </c>
      <c r="AV2629">
        <v>3</v>
      </c>
    </row>
    <row r="2630" spans="1:48">
      <c r="A2630" s="3" t="s">
        <v>2606</v>
      </c>
      <c r="E2630">
        <v>4</v>
      </c>
      <c r="AV2630">
        <v>3</v>
      </c>
    </row>
    <row r="2631" spans="1:48">
      <c r="A2631" s="3" t="s">
        <v>2607</v>
      </c>
      <c r="E2631">
        <v>4</v>
      </c>
      <c r="AV2631">
        <v>3</v>
      </c>
    </row>
    <row r="2632" spans="1:48">
      <c r="A2632" s="3" t="s">
        <v>2608</v>
      </c>
      <c r="E2632">
        <v>4</v>
      </c>
      <c r="AV2632">
        <v>3</v>
      </c>
    </row>
    <row r="2633" spans="1:48">
      <c r="A2633" s="3" t="s">
        <v>2609</v>
      </c>
      <c r="E2633">
        <v>4</v>
      </c>
      <c r="AV2633">
        <v>3</v>
      </c>
    </row>
    <row r="2634" spans="1:48">
      <c r="A2634" s="3" t="s">
        <v>2610</v>
      </c>
      <c r="E2634">
        <v>4</v>
      </c>
      <c r="AV2634">
        <v>3</v>
      </c>
    </row>
    <row r="2635" spans="1:48">
      <c r="A2635" s="3" t="s">
        <v>2611</v>
      </c>
      <c r="E2635">
        <v>4</v>
      </c>
      <c r="AV2635">
        <v>3</v>
      </c>
    </row>
    <row r="2636" spans="1:48">
      <c r="A2636" s="3" t="s">
        <v>2612</v>
      </c>
      <c r="E2636">
        <v>4</v>
      </c>
      <c r="AV2636">
        <v>3</v>
      </c>
    </row>
    <row r="2637" spans="1:48">
      <c r="A2637" s="3" t="s">
        <v>2613</v>
      </c>
      <c r="E2637">
        <v>4</v>
      </c>
      <c r="AV2637">
        <v>3</v>
      </c>
    </row>
    <row r="2638" spans="1:48">
      <c r="A2638" s="3" t="s">
        <v>2614</v>
      </c>
      <c r="E2638">
        <v>4</v>
      </c>
      <c r="AV2638">
        <v>3</v>
      </c>
    </row>
    <row r="2639" spans="1:48">
      <c r="A2639" s="3" t="s">
        <v>2615</v>
      </c>
      <c r="E2639">
        <v>4</v>
      </c>
      <c r="AV2639">
        <v>3</v>
      </c>
    </row>
    <row r="2640" spans="1:48">
      <c r="A2640" s="3" t="s">
        <v>2616</v>
      </c>
      <c r="E2640">
        <v>4</v>
      </c>
      <c r="AV2640">
        <v>3</v>
      </c>
    </row>
    <row r="2641" spans="1:48">
      <c r="A2641" s="3" t="s">
        <v>2617</v>
      </c>
      <c r="E2641">
        <v>4</v>
      </c>
      <c r="AV2641">
        <v>3</v>
      </c>
    </row>
    <row r="2642" spans="1:48">
      <c r="A2642" s="3" t="s">
        <v>2618</v>
      </c>
      <c r="E2642">
        <v>4</v>
      </c>
      <c r="AV2642">
        <v>3</v>
      </c>
    </row>
    <row r="2643" spans="1:48">
      <c r="A2643" s="3" t="s">
        <v>2619</v>
      </c>
      <c r="E2643">
        <v>4</v>
      </c>
      <c r="AV2643">
        <v>3</v>
      </c>
    </row>
    <row r="2644" spans="1:48">
      <c r="A2644" s="3" t="s">
        <v>2620</v>
      </c>
      <c r="E2644">
        <v>4</v>
      </c>
      <c r="AV2644">
        <v>3</v>
      </c>
    </row>
    <row r="2645" spans="1:48">
      <c r="A2645" s="3" t="s">
        <v>2621</v>
      </c>
      <c r="E2645">
        <v>4</v>
      </c>
      <c r="AV2645">
        <v>3</v>
      </c>
    </row>
    <row r="2646" spans="1:48">
      <c r="A2646" s="3" t="s">
        <v>2622</v>
      </c>
      <c r="E2646">
        <v>4</v>
      </c>
      <c r="AV2646">
        <v>3</v>
      </c>
    </row>
    <row r="2647" spans="1:48">
      <c r="A2647" s="3" t="s">
        <v>2623</v>
      </c>
      <c r="E2647">
        <v>4</v>
      </c>
      <c r="AV2647">
        <v>3</v>
      </c>
    </row>
    <row r="2648" spans="1:48">
      <c r="A2648" s="3" t="s">
        <v>2624</v>
      </c>
      <c r="E2648">
        <v>4</v>
      </c>
      <c r="AV2648">
        <v>3</v>
      </c>
    </row>
    <row r="2649" spans="1:48">
      <c r="A2649" s="3" t="s">
        <v>2625</v>
      </c>
      <c r="E2649">
        <v>4</v>
      </c>
      <c r="AV2649">
        <v>3</v>
      </c>
    </row>
    <row r="2650" spans="1:48">
      <c r="A2650" s="3" t="s">
        <v>2626</v>
      </c>
      <c r="E2650">
        <v>4</v>
      </c>
      <c r="AV2650">
        <v>3</v>
      </c>
    </row>
    <row r="2651" spans="1:48">
      <c r="A2651" s="3" t="s">
        <v>2627</v>
      </c>
      <c r="E2651">
        <v>4</v>
      </c>
      <c r="AV2651">
        <v>3</v>
      </c>
    </row>
    <row r="2652" spans="1:48">
      <c r="A2652" s="3" t="s">
        <v>2628</v>
      </c>
      <c r="E2652">
        <v>4</v>
      </c>
      <c r="AV2652">
        <v>3</v>
      </c>
    </row>
    <row r="2653" spans="1:48">
      <c r="A2653" s="3" t="s">
        <v>2629</v>
      </c>
      <c r="E2653">
        <v>4</v>
      </c>
      <c r="AV2653">
        <v>3</v>
      </c>
    </row>
    <row r="2654" spans="1:48">
      <c r="A2654" s="3" t="s">
        <v>2630</v>
      </c>
      <c r="E2654">
        <v>4</v>
      </c>
      <c r="AV2654">
        <v>3</v>
      </c>
    </row>
    <row r="2655" spans="1:48">
      <c r="A2655" s="3" t="s">
        <v>2631</v>
      </c>
      <c r="E2655">
        <v>4</v>
      </c>
      <c r="AV2655">
        <v>3</v>
      </c>
    </row>
    <row r="2656" spans="1:48">
      <c r="A2656" s="3" t="s">
        <v>2632</v>
      </c>
      <c r="E2656">
        <v>4</v>
      </c>
      <c r="AV2656">
        <v>3</v>
      </c>
    </row>
    <row r="2657" spans="1:48">
      <c r="A2657" s="3" t="s">
        <v>2633</v>
      </c>
      <c r="E2657">
        <v>4</v>
      </c>
      <c r="AV2657">
        <v>3</v>
      </c>
    </row>
    <row r="2658" spans="1:48">
      <c r="A2658" s="3" t="s">
        <v>2634</v>
      </c>
      <c r="E2658">
        <v>4</v>
      </c>
      <c r="AV2658">
        <v>3</v>
      </c>
    </row>
    <row r="2659" spans="1:48">
      <c r="A2659" s="3" t="s">
        <v>2635</v>
      </c>
      <c r="E2659">
        <v>4</v>
      </c>
      <c r="AV2659">
        <v>3</v>
      </c>
    </row>
    <row r="2660" spans="1:48">
      <c r="A2660" s="3" t="s">
        <v>2636</v>
      </c>
      <c r="E2660">
        <v>4</v>
      </c>
      <c r="AV2660">
        <v>3</v>
      </c>
    </row>
    <row r="2661" spans="1:48">
      <c r="A2661" s="3" t="s">
        <v>2637</v>
      </c>
      <c r="E2661">
        <v>4</v>
      </c>
      <c r="AV2661">
        <v>3</v>
      </c>
    </row>
    <row r="2662" spans="1:48">
      <c r="A2662" s="3" t="s">
        <v>2638</v>
      </c>
      <c r="E2662">
        <v>4</v>
      </c>
      <c r="AV2662">
        <v>3</v>
      </c>
    </row>
    <row r="2663" spans="1:48">
      <c r="A2663" s="3" t="s">
        <v>2639</v>
      </c>
      <c r="E2663">
        <v>4</v>
      </c>
      <c r="AV2663">
        <v>3</v>
      </c>
    </row>
    <row r="2664" spans="1:48">
      <c r="A2664" s="3" t="s">
        <v>2640</v>
      </c>
      <c r="E2664">
        <v>4</v>
      </c>
      <c r="AV2664">
        <v>3</v>
      </c>
    </row>
    <row r="2665" spans="1:48">
      <c r="A2665" s="3" t="s">
        <v>2641</v>
      </c>
      <c r="E2665">
        <v>4</v>
      </c>
      <c r="AV2665">
        <v>3</v>
      </c>
    </row>
    <row r="2666" spans="1:48">
      <c r="A2666" s="3" t="s">
        <v>2642</v>
      </c>
      <c r="E2666">
        <v>4</v>
      </c>
      <c r="AV2666">
        <v>3</v>
      </c>
    </row>
    <row r="2667" spans="1:48">
      <c r="A2667" s="3" t="s">
        <v>2643</v>
      </c>
      <c r="E2667">
        <v>4</v>
      </c>
      <c r="AV2667">
        <v>3</v>
      </c>
    </row>
    <row r="2668" spans="1:48">
      <c r="A2668" s="3" t="s">
        <v>2644</v>
      </c>
      <c r="E2668">
        <v>4</v>
      </c>
      <c r="AV2668">
        <v>3</v>
      </c>
    </row>
    <row r="2669" spans="1:48">
      <c r="A2669" s="3" t="s">
        <v>2645</v>
      </c>
      <c r="E2669">
        <v>4</v>
      </c>
      <c r="AV2669">
        <v>3</v>
      </c>
    </row>
    <row r="2670" spans="1:48">
      <c r="A2670" s="3" t="s">
        <v>2646</v>
      </c>
      <c r="E2670">
        <v>4</v>
      </c>
      <c r="AV2670">
        <v>3</v>
      </c>
    </row>
    <row r="2671" spans="1:48">
      <c r="A2671" s="3" t="s">
        <v>2647</v>
      </c>
      <c r="E2671">
        <v>4</v>
      </c>
      <c r="AV2671">
        <v>3</v>
      </c>
    </row>
    <row r="2672" spans="1:48">
      <c r="A2672" s="3" t="s">
        <v>2648</v>
      </c>
      <c r="E2672">
        <v>4</v>
      </c>
      <c r="AV2672">
        <v>3</v>
      </c>
    </row>
    <row r="2673" spans="1:48">
      <c r="A2673" s="3" t="s">
        <v>2649</v>
      </c>
      <c r="E2673">
        <v>4</v>
      </c>
      <c r="AV2673">
        <v>3</v>
      </c>
    </row>
    <row r="2674" spans="1:48">
      <c r="A2674" s="3" t="s">
        <v>2650</v>
      </c>
      <c r="E2674">
        <v>4</v>
      </c>
      <c r="AU2674">
        <v>4</v>
      </c>
    </row>
    <row r="2675" spans="1:48">
      <c r="A2675" s="3" t="s">
        <v>2651</v>
      </c>
      <c r="E2675">
        <v>4</v>
      </c>
      <c r="AU2675">
        <v>4</v>
      </c>
    </row>
    <row r="2676" spans="1:48">
      <c r="A2676" s="3" t="s">
        <v>2652</v>
      </c>
      <c r="E2676">
        <v>4</v>
      </c>
      <c r="AU2676">
        <v>4</v>
      </c>
    </row>
    <row r="2677" spans="1:48">
      <c r="A2677" s="3" t="s">
        <v>2653</v>
      </c>
      <c r="E2677">
        <v>4</v>
      </c>
      <c r="AU2677">
        <v>4</v>
      </c>
    </row>
    <row r="2678" spans="1:48">
      <c r="A2678" s="3" t="s">
        <v>2654</v>
      </c>
      <c r="E2678">
        <v>4</v>
      </c>
      <c r="AU2678">
        <v>4</v>
      </c>
    </row>
    <row r="2679" spans="1:48">
      <c r="A2679" s="3" t="s">
        <v>2655</v>
      </c>
      <c r="E2679">
        <v>4</v>
      </c>
      <c r="J2679">
        <v>37</v>
      </c>
    </row>
    <row r="2680" spans="1:48">
      <c r="A2680" s="3" t="s">
        <v>2656</v>
      </c>
      <c r="E2680">
        <v>4</v>
      </c>
      <c r="J2680">
        <v>37</v>
      </c>
    </row>
    <row r="2681" spans="1:48">
      <c r="A2681" s="3" t="s">
        <v>2657</v>
      </c>
      <c r="E2681">
        <v>4</v>
      </c>
      <c r="J2681">
        <v>37</v>
      </c>
    </row>
    <row r="2682" spans="1:48">
      <c r="A2682" s="3" t="s">
        <v>2658</v>
      </c>
      <c r="E2682">
        <v>4</v>
      </c>
      <c r="J2682">
        <v>37</v>
      </c>
    </row>
    <row r="2683" spans="1:48">
      <c r="A2683" s="3" t="s">
        <v>2659</v>
      </c>
      <c r="E2683">
        <v>4</v>
      </c>
      <c r="J2683">
        <v>37</v>
      </c>
    </row>
    <row r="2684" spans="1:48">
      <c r="A2684" s="3" t="s">
        <v>2660</v>
      </c>
      <c r="E2684">
        <v>4</v>
      </c>
      <c r="J2684">
        <v>37</v>
      </c>
    </row>
    <row r="2685" spans="1:48">
      <c r="A2685" s="3" t="s">
        <v>2661</v>
      </c>
      <c r="E2685">
        <v>4</v>
      </c>
      <c r="J2685">
        <v>37</v>
      </c>
    </row>
    <row r="2686" spans="1:48">
      <c r="A2686" s="3" t="s">
        <v>2662</v>
      </c>
      <c r="E2686">
        <v>4</v>
      </c>
      <c r="J2686">
        <v>37</v>
      </c>
    </row>
    <row r="2687" spans="1:48">
      <c r="A2687" s="3" t="s">
        <v>2663</v>
      </c>
      <c r="E2687">
        <v>4</v>
      </c>
      <c r="J2687">
        <v>37</v>
      </c>
    </row>
    <row r="2688" spans="1:48">
      <c r="A2688" s="3" t="s">
        <v>2664</v>
      </c>
      <c r="E2688">
        <v>4</v>
      </c>
      <c r="J2688">
        <v>37</v>
      </c>
    </row>
    <row r="2689" spans="1:10">
      <c r="A2689" s="3" t="s">
        <v>2665</v>
      </c>
      <c r="E2689">
        <v>4</v>
      </c>
      <c r="J2689">
        <v>37</v>
      </c>
    </row>
    <row r="2690" spans="1:10">
      <c r="A2690" s="3" t="s">
        <v>2666</v>
      </c>
      <c r="E2690">
        <v>4</v>
      </c>
      <c r="J2690">
        <v>37</v>
      </c>
    </row>
    <row r="2691" spans="1:10">
      <c r="A2691" s="3" t="s">
        <v>2667</v>
      </c>
      <c r="E2691">
        <v>4</v>
      </c>
      <c r="J2691">
        <v>37</v>
      </c>
    </row>
    <row r="2692" spans="1:10">
      <c r="A2692" s="3" t="s">
        <v>2668</v>
      </c>
      <c r="E2692">
        <v>4</v>
      </c>
      <c r="J2692">
        <v>37</v>
      </c>
    </row>
    <row r="2693" spans="1:10">
      <c r="A2693" s="3" t="s">
        <v>2669</v>
      </c>
      <c r="E2693">
        <v>4</v>
      </c>
      <c r="J2693">
        <v>37</v>
      </c>
    </row>
    <row r="2694" spans="1:10">
      <c r="A2694" s="3" t="s">
        <v>2670</v>
      </c>
      <c r="E2694">
        <v>4</v>
      </c>
      <c r="J2694">
        <v>37</v>
      </c>
    </row>
    <row r="2695" spans="1:10">
      <c r="A2695" s="3" t="s">
        <v>2671</v>
      </c>
      <c r="E2695">
        <v>4</v>
      </c>
      <c r="J2695">
        <v>37</v>
      </c>
    </row>
    <row r="2696" spans="1:10">
      <c r="A2696" s="3" t="s">
        <v>2672</v>
      </c>
      <c r="E2696">
        <v>4</v>
      </c>
      <c r="J2696">
        <v>37</v>
      </c>
    </row>
    <row r="2697" spans="1:10">
      <c r="A2697" s="3" t="s">
        <v>2673</v>
      </c>
      <c r="E2697">
        <v>4</v>
      </c>
      <c r="J2697">
        <v>37</v>
      </c>
    </row>
    <row r="2698" spans="1:10">
      <c r="A2698" s="3" t="s">
        <v>2674</v>
      </c>
      <c r="E2698">
        <v>4</v>
      </c>
      <c r="J2698">
        <v>37</v>
      </c>
    </row>
    <row r="2699" spans="1:10">
      <c r="A2699" s="3" t="s">
        <v>2675</v>
      </c>
      <c r="E2699">
        <v>4</v>
      </c>
      <c r="J2699">
        <v>37</v>
      </c>
    </row>
    <row r="2700" spans="1:10">
      <c r="A2700" s="3" t="s">
        <v>2676</v>
      </c>
      <c r="E2700">
        <v>4</v>
      </c>
      <c r="J2700">
        <v>37</v>
      </c>
    </row>
    <row r="2701" spans="1:10">
      <c r="A2701" s="3" t="s">
        <v>2677</v>
      </c>
      <c r="E2701">
        <v>4</v>
      </c>
      <c r="J2701">
        <v>37</v>
      </c>
    </row>
    <row r="2702" spans="1:10">
      <c r="A2702" s="3" t="s">
        <v>2678</v>
      </c>
      <c r="E2702">
        <v>4</v>
      </c>
      <c r="J2702">
        <v>37</v>
      </c>
    </row>
    <row r="2703" spans="1:10">
      <c r="A2703" s="3" t="s">
        <v>2679</v>
      </c>
      <c r="E2703">
        <v>4</v>
      </c>
      <c r="J2703">
        <v>37</v>
      </c>
    </row>
    <row r="2704" spans="1:10">
      <c r="A2704" s="3" t="s">
        <v>2680</v>
      </c>
      <c r="E2704">
        <v>4</v>
      </c>
      <c r="J2704">
        <v>37</v>
      </c>
    </row>
    <row r="2705" spans="1:10">
      <c r="A2705" s="3" t="s">
        <v>2681</v>
      </c>
      <c r="E2705">
        <v>4</v>
      </c>
      <c r="J2705">
        <v>37</v>
      </c>
    </row>
    <row r="2706" spans="1:10">
      <c r="A2706" s="3" t="s">
        <v>2682</v>
      </c>
      <c r="E2706">
        <v>4</v>
      </c>
      <c r="J2706">
        <v>37</v>
      </c>
    </row>
    <row r="2707" spans="1:10">
      <c r="A2707" s="3" t="s">
        <v>2683</v>
      </c>
      <c r="E2707">
        <v>4</v>
      </c>
      <c r="J2707">
        <v>37</v>
      </c>
    </row>
    <row r="2708" spans="1:10">
      <c r="A2708" s="3" t="s">
        <v>2684</v>
      </c>
      <c r="E2708">
        <v>4</v>
      </c>
      <c r="J2708">
        <v>37</v>
      </c>
    </row>
    <row r="2709" spans="1:10">
      <c r="A2709" s="3" t="s">
        <v>2685</v>
      </c>
      <c r="E2709">
        <v>4</v>
      </c>
      <c r="J2709">
        <v>37</v>
      </c>
    </row>
    <row r="2710" spans="1:10">
      <c r="A2710" s="3" t="s">
        <v>2686</v>
      </c>
      <c r="E2710">
        <v>4</v>
      </c>
      <c r="J2710">
        <v>37</v>
      </c>
    </row>
    <row r="2711" spans="1:10">
      <c r="A2711" s="3" t="s">
        <v>2687</v>
      </c>
      <c r="E2711">
        <v>4</v>
      </c>
      <c r="J2711">
        <v>37</v>
      </c>
    </row>
    <row r="2712" spans="1:10">
      <c r="A2712" s="3" t="s">
        <v>2688</v>
      </c>
      <c r="E2712">
        <v>4</v>
      </c>
      <c r="J2712">
        <v>37</v>
      </c>
    </row>
    <row r="2713" spans="1:10">
      <c r="A2713" s="3" t="s">
        <v>2689</v>
      </c>
      <c r="E2713">
        <v>4</v>
      </c>
      <c r="J2713">
        <v>37</v>
      </c>
    </row>
    <row r="2714" spans="1:10">
      <c r="A2714" s="3" t="s">
        <v>2690</v>
      </c>
      <c r="E2714">
        <v>4</v>
      </c>
      <c r="J2714">
        <v>37</v>
      </c>
    </row>
    <row r="2715" spans="1:10">
      <c r="A2715" s="3" t="s">
        <v>2691</v>
      </c>
      <c r="E2715">
        <v>4</v>
      </c>
      <c r="J2715">
        <v>37</v>
      </c>
    </row>
    <row r="2716" spans="1:10">
      <c r="A2716" s="3" t="s">
        <v>2692</v>
      </c>
      <c r="E2716">
        <v>4</v>
      </c>
      <c r="J2716">
        <v>37</v>
      </c>
    </row>
    <row r="2717" spans="1:10">
      <c r="A2717" s="3" t="s">
        <v>2693</v>
      </c>
      <c r="E2717">
        <v>4</v>
      </c>
      <c r="J2717">
        <v>37</v>
      </c>
    </row>
    <row r="2718" spans="1:10">
      <c r="A2718" s="3" t="s">
        <v>2694</v>
      </c>
      <c r="E2718">
        <v>4</v>
      </c>
      <c r="J2718">
        <v>37</v>
      </c>
    </row>
    <row r="2719" spans="1:10">
      <c r="A2719" s="3" t="s">
        <v>2695</v>
      </c>
      <c r="E2719">
        <v>4</v>
      </c>
      <c r="J2719">
        <v>37</v>
      </c>
    </row>
    <row r="2720" spans="1:10">
      <c r="A2720" s="3" t="s">
        <v>2696</v>
      </c>
      <c r="E2720">
        <v>4</v>
      </c>
      <c r="J2720">
        <v>37</v>
      </c>
    </row>
    <row r="2721" spans="1:49">
      <c r="A2721" s="3" t="s">
        <v>2697</v>
      </c>
      <c r="E2721">
        <v>4</v>
      </c>
      <c r="J2721">
        <v>37</v>
      </c>
    </row>
    <row r="2722" spans="1:49">
      <c r="A2722" s="3" t="s">
        <v>2698</v>
      </c>
      <c r="E2722">
        <v>4</v>
      </c>
      <c r="J2722">
        <v>37</v>
      </c>
    </row>
    <row r="2723" spans="1:49">
      <c r="A2723" s="3" t="s">
        <v>2699</v>
      </c>
      <c r="E2723">
        <v>4</v>
      </c>
      <c r="J2723">
        <v>37</v>
      </c>
    </row>
    <row r="2724" spans="1:49">
      <c r="A2724" s="3" t="s">
        <v>2700</v>
      </c>
      <c r="E2724">
        <v>4</v>
      </c>
      <c r="J2724">
        <v>37</v>
      </c>
    </row>
    <row r="2725" spans="1:49">
      <c r="A2725" s="3" t="s">
        <v>2701</v>
      </c>
      <c r="B2725">
        <v>4</v>
      </c>
      <c r="E2725">
        <v>4</v>
      </c>
      <c r="J2725">
        <v>37</v>
      </c>
    </row>
    <row r="2726" spans="1:49">
      <c r="A2726" s="3" t="s">
        <v>2702</v>
      </c>
      <c r="B2726">
        <v>4</v>
      </c>
      <c r="E2726">
        <v>4</v>
      </c>
      <c r="J2726">
        <v>37</v>
      </c>
    </row>
    <row r="2727" spans="1:49">
      <c r="A2727" s="3" t="s">
        <v>2703</v>
      </c>
      <c r="B2727">
        <v>4</v>
      </c>
      <c r="E2727">
        <v>4</v>
      </c>
      <c r="J2727">
        <v>37</v>
      </c>
    </row>
    <row r="2728" spans="1:49">
      <c r="A2728" s="3" t="s">
        <v>2704</v>
      </c>
      <c r="B2728">
        <v>4</v>
      </c>
      <c r="E2728">
        <v>4</v>
      </c>
      <c r="J2728">
        <v>37</v>
      </c>
    </row>
    <row r="2729" spans="1:49">
      <c r="A2729" s="3" t="s">
        <v>2705</v>
      </c>
      <c r="B2729">
        <v>4</v>
      </c>
      <c r="E2729">
        <v>4</v>
      </c>
      <c r="J2729">
        <v>37</v>
      </c>
    </row>
    <row r="2730" spans="1:49">
      <c r="A2730" s="3" t="s">
        <v>2706</v>
      </c>
      <c r="B2730">
        <v>4</v>
      </c>
      <c r="E2730">
        <v>4</v>
      </c>
      <c r="J2730">
        <v>37</v>
      </c>
    </row>
    <row r="2731" spans="1:49">
      <c r="A2731" s="3" t="s">
        <v>2707</v>
      </c>
      <c r="B2731">
        <v>4</v>
      </c>
      <c r="E2731">
        <v>4</v>
      </c>
      <c r="J2731">
        <v>37</v>
      </c>
    </row>
    <row r="2732" spans="1:49">
      <c r="A2732" s="3" t="s">
        <v>2708</v>
      </c>
      <c r="B2732">
        <v>4</v>
      </c>
      <c r="E2732">
        <v>4</v>
      </c>
      <c r="J2732">
        <v>37</v>
      </c>
    </row>
    <row r="2733" spans="1:49">
      <c r="A2733" s="3" t="s">
        <v>2709</v>
      </c>
      <c r="B2733">
        <v>4</v>
      </c>
      <c r="E2733">
        <v>4</v>
      </c>
      <c r="AW2733">
        <v>25</v>
      </c>
    </row>
    <row r="2734" spans="1:49">
      <c r="A2734" s="3" t="s">
        <v>2710</v>
      </c>
      <c r="B2734">
        <v>4</v>
      </c>
      <c r="E2734">
        <v>4</v>
      </c>
      <c r="AW2734">
        <v>25</v>
      </c>
    </row>
    <row r="2735" spans="1:49">
      <c r="A2735" s="3" t="s">
        <v>2711</v>
      </c>
      <c r="B2735">
        <v>4</v>
      </c>
      <c r="E2735">
        <v>4</v>
      </c>
      <c r="AW2735">
        <v>25</v>
      </c>
    </row>
    <row r="2736" spans="1:49">
      <c r="A2736" s="3" t="s">
        <v>2712</v>
      </c>
      <c r="B2736">
        <v>4</v>
      </c>
      <c r="E2736">
        <v>4</v>
      </c>
      <c r="AW2736">
        <v>25</v>
      </c>
    </row>
    <row r="2737" spans="1:49">
      <c r="A2737" s="3" t="s">
        <v>2713</v>
      </c>
      <c r="B2737">
        <v>4</v>
      </c>
      <c r="E2737">
        <v>4</v>
      </c>
      <c r="AW2737">
        <v>25</v>
      </c>
    </row>
    <row r="2738" spans="1:49">
      <c r="A2738" s="3" t="s">
        <v>2714</v>
      </c>
      <c r="B2738">
        <v>4</v>
      </c>
      <c r="E2738">
        <v>4</v>
      </c>
      <c r="J2738">
        <v>38</v>
      </c>
    </row>
    <row r="2739" spans="1:49">
      <c r="A2739" s="3" t="s">
        <v>2715</v>
      </c>
      <c r="B2739">
        <v>4</v>
      </c>
      <c r="E2739">
        <v>4</v>
      </c>
      <c r="J2739">
        <v>38</v>
      </c>
    </row>
    <row r="2740" spans="1:49">
      <c r="A2740" s="3" t="s">
        <v>2716</v>
      </c>
      <c r="B2740">
        <v>4</v>
      </c>
      <c r="E2740">
        <v>4</v>
      </c>
      <c r="J2740">
        <v>38</v>
      </c>
    </row>
    <row r="2741" spans="1:49">
      <c r="A2741" s="3" t="s">
        <v>2717</v>
      </c>
      <c r="B2741">
        <v>4</v>
      </c>
      <c r="E2741">
        <v>4</v>
      </c>
      <c r="J2741">
        <v>38</v>
      </c>
    </row>
    <row r="2742" spans="1:49">
      <c r="A2742" s="3" t="s">
        <v>2718</v>
      </c>
      <c r="B2742">
        <v>4</v>
      </c>
      <c r="E2742">
        <v>4</v>
      </c>
      <c r="J2742">
        <v>38</v>
      </c>
    </row>
    <row r="2743" spans="1:49">
      <c r="A2743" s="3" t="s">
        <v>2719</v>
      </c>
      <c r="B2743">
        <v>4</v>
      </c>
      <c r="E2743">
        <v>4</v>
      </c>
      <c r="J2743">
        <v>38</v>
      </c>
    </row>
    <row r="2744" spans="1:49">
      <c r="A2744" s="3" t="s">
        <v>2720</v>
      </c>
      <c r="B2744">
        <v>4</v>
      </c>
      <c r="E2744">
        <v>4</v>
      </c>
      <c r="J2744">
        <v>38</v>
      </c>
    </row>
    <row r="2745" spans="1:49">
      <c r="A2745" s="3" t="s">
        <v>2721</v>
      </c>
      <c r="B2745">
        <v>4</v>
      </c>
      <c r="E2745">
        <v>4</v>
      </c>
      <c r="J2745">
        <v>38</v>
      </c>
    </row>
    <row r="2746" spans="1:49">
      <c r="A2746" s="3" t="s">
        <v>2722</v>
      </c>
      <c r="B2746">
        <v>4</v>
      </c>
      <c r="E2746">
        <v>4</v>
      </c>
      <c r="J2746">
        <v>38</v>
      </c>
    </row>
    <row r="2747" spans="1:49">
      <c r="A2747" s="3" t="s">
        <v>2723</v>
      </c>
      <c r="B2747">
        <v>4</v>
      </c>
      <c r="E2747">
        <v>4</v>
      </c>
      <c r="J2747">
        <v>38</v>
      </c>
    </row>
    <row r="2748" spans="1:49">
      <c r="A2748" s="3" t="s">
        <v>2724</v>
      </c>
      <c r="B2748">
        <v>4</v>
      </c>
      <c r="E2748">
        <v>4</v>
      </c>
      <c r="J2748">
        <v>38</v>
      </c>
    </row>
    <row r="2749" spans="1:49">
      <c r="A2749" s="3" t="s">
        <v>2725</v>
      </c>
      <c r="B2749">
        <v>4</v>
      </c>
      <c r="E2749">
        <v>4</v>
      </c>
      <c r="J2749">
        <v>38</v>
      </c>
    </row>
    <row r="2750" spans="1:49">
      <c r="A2750" s="3" t="s">
        <v>2726</v>
      </c>
      <c r="B2750">
        <v>4</v>
      </c>
      <c r="E2750">
        <v>4</v>
      </c>
      <c r="J2750">
        <v>38</v>
      </c>
    </row>
    <row r="2751" spans="1:49">
      <c r="A2751" s="3" t="s">
        <v>2727</v>
      </c>
      <c r="B2751">
        <v>4</v>
      </c>
      <c r="E2751">
        <v>4</v>
      </c>
      <c r="J2751">
        <v>38</v>
      </c>
    </row>
    <row r="2752" spans="1:49">
      <c r="A2752" s="3" t="s">
        <v>2728</v>
      </c>
      <c r="B2752">
        <v>4</v>
      </c>
      <c r="E2752">
        <v>4</v>
      </c>
      <c r="J2752">
        <v>38</v>
      </c>
    </row>
    <row r="2753" spans="1:49">
      <c r="A2753" s="3" t="s">
        <v>2729</v>
      </c>
      <c r="B2753">
        <v>4</v>
      </c>
      <c r="E2753">
        <v>4</v>
      </c>
      <c r="J2753">
        <v>38</v>
      </c>
    </row>
    <row r="2754" spans="1:49">
      <c r="A2754" s="3" t="s">
        <v>2730</v>
      </c>
      <c r="B2754">
        <v>4</v>
      </c>
      <c r="J2754">
        <v>38</v>
      </c>
    </row>
    <row r="2755" spans="1:49">
      <c r="A2755" s="3" t="s">
        <v>2731</v>
      </c>
      <c r="B2755">
        <v>4</v>
      </c>
      <c r="J2755">
        <v>38</v>
      </c>
    </row>
    <row r="2756" spans="1:49">
      <c r="A2756" s="3" t="s">
        <v>2732</v>
      </c>
      <c r="B2756">
        <v>4</v>
      </c>
      <c r="J2756">
        <v>38</v>
      </c>
    </row>
    <row r="2757" spans="1:49">
      <c r="A2757" s="3" t="s">
        <v>2733</v>
      </c>
      <c r="B2757">
        <v>4</v>
      </c>
      <c r="J2757">
        <v>38</v>
      </c>
    </row>
    <row r="2758" spans="1:49">
      <c r="A2758" s="3" t="s">
        <v>2734</v>
      </c>
      <c r="B2758">
        <v>4</v>
      </c>
      <c r="J2758">
        <v>38</v>
      </c>
    </row>
    <row r="2759" spans="1:49">
      <c r="A2759" s="3" t="s">
        <v>2735</v>
      </c>
      <c r="B2759">
        <v>4</v>
      </c>
      <c r="J2759">
        <v>38</v>
      </c>
    </row>
    <row r="2760" spans="1:49">
      <c r="A2760" s="3" t="s">
        <v>2736</v>
      </c>
      <c r="B2760">
        <v>4</v>
      </c>
      <c r="J2760">
        <v>38</v>
      </c>
    </row>
    <row r="2761" spans="1:49">
      <c r="A2761" s="3" t="s">
        <v>2737</v>
      </c>
      <c r="B2761">
        <v>4</v>
      </c>
      <c r="J2761">
        <v>38</v>
      </c>
    </row>
    <row r="2762" spans="1:49">
      <c r="A2762" s="3" t="s">
        <v>2738</v>
      </c>
      <c r="B2762">
        <v>4</v>
      </c>
      <c r="AW2762">
        <v>26</v>
      </c>
    </row>
    <row r="2763" spans="1:49">
      <c r="A2763" s="3" t="s">
        <v>2739</v>
      </c>
      <c r="B2763">
        <v>4</v>
      </c>
      <c r="AW2763">
        <v>26</v>
      </c>
    </row>
    <row r="2764" spans="1:49">
      <c r="A2764" s="3" t="s">
        <v>2740</v>
      </c>
      <c r="B2764">
        <v>4</v>
      </c>
      <c r="AW2764">
        <v>26</v>
      </c>
    </row>
    <row r="2765" spans="1:49">
      <c r="A2765" s="3" t="s">
        <v>2741</v>
      </c>
      <c r="B2765">
        <v>4</v>
      </c>
      <c r="AW2765">
        <v>26</v>
      </c>
    </row>
    <row r="2766" spans="1:49">
      <c r="A2766" s="3" t="s">
        <v>2742</v>
      </c>
      <c r="B2766">
        <v>4</v>
      </c>
      <c r="J2766">
        <v>39</v>
      </c>
    </row>
    <row r="2767" spans="1:49">
      <c r="A2767" s="3" t="s">
        <v>2743</v>
      </c>
      <c r="B2767">
        <v>4</v>
      </c>
      <c r="J2767">
        <v>39</v>
      </c>
    </row>
    <row r="2768" spans="1:49">
      <c r="A2768" s="3" t="s">
        <v>2744</v>
      </c>
      <c r="B2768">
        <v>4</v>
      </c>
      <c r="J2768">
        <v>39</v>
      </c>
    </row>
    <row r="2769" spans="1:49">
      <c r="A2769" s="3" t="s">
        <v>2745</v>
      </c>
      <c r="B2769">
        <v>4</v>
      </c>
      <c r="J2769">
        <v>39</v>
      </c>
    </row>
    <row r="2770" spans="1:49">
      <c r="A2770" s="3" t="s">
        <v>2746</v>
      </c>
      <c r="B2770">
        <v>4</v>
      </c>
      <c r="J2770">
        <v>39</v>
      </c>
    </row>
    <row r="2771" spans="1:49">
      <c r="A2771" s="3" t="s">
        <v>2747</v>
      </c>
      <c r="B2771">
        <v>4</v>
      </c>
      <c r="J2771">
        <v>39</v>
      </c>
    </row>
    <row r="2772" spans="1:49">
      <c r="A2772" s="3" t="s">
        <v>2748</v>
      </c>
      <c r="B2772">
        <v>4</v>
      </c>
      <c r="J2772">
        <v>39</v>
      </c>
    </row>
    <row r="2773" spans="1:49">
      <c r="A2773" s="3" t="s">
        <v>2749</v>
      </c>
      <c r="B2773">
        <v>4</v>
      </c>
      <c r="J2773">
        <v>39</v>
      </c>
    </row>
    <row r="2774" spans="1:49">
      <c r="A2774" s="3" t="s">
        <v>2750</v>
      </c>
      <c r="B2774">
        <v>4</v>
      </c>
      <c r="J2774">
        <v>39</v>
      </c>
    </row>
    <row r="2775" spans="1:49">
      <c r="A2775" s="3" t="s">
        <v>2751</v>
      </c>
      <c r="B2775">
        <v>4</v>
      </c>
      <c r="J2775">
        <v>39</v>
      </c>
    </row>
    <row r="2776" spans="1:49">
      <c r="A2776" s="3" t="s">
        <v>2752</v>
      </c>
      <c r="B2776">
        <v>4</v>
      </c>
      <c r="J2776">
        <v>39</v>
      </c>
    </row>
    <row r="2777" spans="1:49">
      <c r="A2777" s="3" t="s">
        <v>2753</v>
      </c>
      <c r="B2777">
        <v>4</v>
      </c>
      <c r="J2777">
        <v>39</v>
      </c>
    </row>
    <row r="2778" spans="1:49">
      <c r="A2778" s="3" t="s">
        <v>2754</v>
      </c>
      <c r="B2778">
        <v>4</v>
      </c>
      <c r="J2778">
        <v>39</v>
      </c>
    </row>
    <row r="2779" spans="1:49">
      <c r="A2779" s="3" t="s">
        <v>2755</v>
      </c>
      <c r="B2779">
        <v>4</v>
      </c>
      <c r="J2779">
        <v>39</v>
      </c>
    </row>
    <row r="2780" spans="1:49">
      <c r="A2780" s="3" t="s">
        <v>2756</v>
      </c>
      <c r="B2780">
        <v>4</v>
      </c>
      <c r="J2780">
        <v>39</v>
      </c>
    </row>
    <row r="2781" spans="1:49">
      <c r="A2781" s="3" t="s">
        <v>2757</v>
      </c>
      <c r="B2781">
        <v>4</v>
      </c>
      <c r="J2781">
        <v>39</v>
      </c>
    </row>
    <row r="2782" spans="1:49">
      <c r="A2782" s="3" t="s">
        <v>2758</v>
      </c>
      <c r="B2782">
        <v>4</v>
      </c>
      <c r="J2782">
        <v>39</v>
      </c>
    </row>
    <row r="2783" spans="1:49">
      <c r="A2783" s="3" t="s">
        <v>2759</v>
      </c>
      <c r="B2783">
        <v>4</v>
      </c>
      <c r="AW2783">
        <v>27</v>
      </c>
    </row>
    <row r="2784" spans="1:49">
      <c r="A2784" s="3" t="s">
        <v>2760</v>
      </c>
      <c r="B2784">
        <v>4</v>
      </c>
      <c r="AW2784">
        <v>27</v>
      </c>
    </row>
    <row r="2785" spans="1:49">
      <c r="A2785" s="3" t="s">
        <v>2761</v>
      </c>
      <c r="B2785">
        <v>4</v>
      </c>
      <c r="AW2785">
        <v>27</v>
      </c>
    </row>
    <row r="2786" spans="1:49">
      <c r="A2786" s="3" t="s">
        <v>2762</v>
      </c>
      <c r="B2786">
        <v>4</v>
      </c>
      <c r="AW2786">
        <v>27</v>
      </c>
    </row>
    <row r="2787" spans="1:49">
      <c r="A2787" s="3" t="s">
        <v>2763</v>
      </c>
      <c r="B2787">
        <v>4</v>
      </c>
      <c r="AW2787">
        <v>27</v>
      </c>
    </row>
    <row r="2788" spans="1:49">
      <c r="A2788" s="3" t="s">
        <v>2764</v>
      </c>
      <c r="B2788">
        <v>4</v>
      </c>
      <c r="AW2788">
        <v>27</v>
      </c>
    </row>
    <row r="2789" spans="1:49">
      <c r="A2789" s="3" t="s">
        <v>2765</v>
      </c>
      <c r="B2789">
        <v>4</v>
      </c>
      <c r="AW2789">
        <v>27</v>
      </c>
    </row>
    <row r="2790" spans="1:49">
      <c r="A2790" s="3" t="s">
        <v>2766</v>
      </c>
      <c r="B2790">
        <v>4</v>
      </c>
      <c r="AW2790">
        <v>27</v>
      </c>
    </row>
    <row r="2791" spans="1:49">
      <c r="A2791" s="3" t="s">
        <v>2767</v>
      </c>
      <c r="B2791">
        <v>4</v>
      </c>
      <c r="AW2791">
        <v>27</v>
      </c>
    </row>
    <row r="2792" spans="1:49">
      <c r="A2792" s="3" t="s">
        <v>2768</v>
      </c>
      <c r="B2792">
        <v>4</v>
      </c>
      <c r="AW2792">
        <v>27</v>
      </c>
    </row>
    <row r="2793" spans="1:49">
      <c r="A2793" s="3" t="s">
        <v>2769</v>
      </c>
      <c r="B2793">
        <v>4</v>
      </c>
      <c r="AW2793">
        <v>27</v>
      </c>
    </row>
    <row r="2794" spans="1:49">
      <c r="A2794" s="3" t="s">
        <v>2770</v>
      </c>
      <c r="B2794">
        <v>4</v>
      </c>
      <c r="AW2794">
        <v>27</v>
      </c>
    </row>
    <row r="2795" spans="1:49">
      <c r="A2795" s="3" t="s">
        <v>2771</v>
      </c>
      <c r="B2795">
        <v>4</v>
      </c>
      <c r="AW2795">
        <v>27</v>
      </c>
    </row>
    <row r="2796" spans="1:49">
      <c r="A2796" s="3" t="s">
        <v>2772</v>
      </c>
      <c r="B2796">
        <v>4</v>
      </c>
      <c r="AW2796">
        <v>27</v>
      </c>
    </row>
    <row r="2797" spans="1:49">
      <c r="A2797" s="3" t="s">
        <v>2773</v>
      </c>
      <c r="B2797">
        <v>4</v>
      </c>
      <c r="AW2797">
        <v>27</v>
      </c>
    </row>
    <row r="2798" spans="1:49">
      <c r="A2798" s="3" t="s">
        <v>2774</v>
      </c>
      <c r="B2798">
        <v>4</v>
      </c>
      <c r="AW2798">
        <v>27</v>
      </c>
    </row>
    <row r="2799" spans="1:49">
      <c r="A2799" s="3" t="s">
        <v>2775</v>
      </c>
      <c r="B2799">
        <v>4</v>
      </c>
      <c r="J2799">
        <v>40</v>
      </c>
    </row>
    <row r="2800" spans="1:49">
      <c r="A2800" s="3" t="s">
        <v>2776</v>
      </c>
      <c r="B2800">
        <v>4</v>
      </c>
      <c r="J2800">
        <v>40</v>
      </c>
    </row>
    <row r="2801" spans="1:49">
      <c r="A2801" s="3" t="s">
        <v>2777</v>
      </c>
      <c r="B2801">
        <v>4</v>
      </c>
      <c r="J2801">
        <v>40</v>
      </c>
    </row>
    <row r="2802" spans="1:49">
      <c r="A2802" s="3" t="s">
        <v>2778</v>
      </c>
      <c r="B2802">
        <v>4</v>
      </c>
      <c r="J2802">
        <v>40</v>
      </c>
    </row>
    <row r="2803" spans="1:49">
      <c r="A2803" s="3" t="s">
        <v>2779</v>
      </c>
      <c r="B2803">
        <v>4</v>
      </c>
      <c r="J2803">
        <v>40</v>
      </c>
    </row>
    <row r="2804" spans="1:49">
      <c r="A2804" s="3" t="s">
        <v>2780</v>
      </c>
      <c r="B2804">
        <v>4</v>
      </c>
      <c r="J2804">
        <v>40</v>
      </c>
    </row>
    <row r="2805" spans="1:49">
      <c r="A2805" s="3" t="s">
        <v>2781</v>
      </c>
      <c r="B2805">
        <v>4</v>
      </c>
      <c r="J2805">
        <v>40</v>
      </c>
    </row>
    <row r="2806" spans="1:49">
      <c r="A2806" s="3" t="s">
        <v>2782</v>
      </c>
      <c r="B2806">
        <v>4</v>
      </c>
      <c r="J2806">
        <v>40</v>
      </c>
    </row>
    <row r="2807" spans="1:49">
      <c r="A2807" s="3" t="s">
        <v>2783</v>
      </c>
      <c r="B2807">
        <v>4</v>
      </c>
      <c r="J2807">
        <v>40</v>
      </c>
    </row>
    <row r="2808" spans="1:49">
      <c r="A2808" s="3" t="s">
        <v>2784</v>
      </c>
      <c r="B2808">
        <v>4</v>
      </c>
      <c r="J2808">
        <v>40</v>
      </c>
    </row>
    <row r="2809" spans="1:49">
      <c r="A2809" s="3" t="s">
        <v>2785</v>
      </c>
      <c r="B2809">
        <v>4</v>
      </c>
      <c r="AW2809">
        <v>28</v>
      </c>
    </row>
    <row r="2810" spans="1:49">
      <c r="A2810" s="3" t="s">
        <v>2786</v>
      </c>
      <c r="B2810">
        <v>4</v>
      </c>
      <c r="AW2810">
        <v>28</v>
      </c>
    </row>
    <row r="2811" spans="1:49">
      <c r="A2811" s="3" t="s">
        <v>2787</v>
      </c>
      <c r="B2811">
        <v>4</v>
      </c>
      <c r="AW2811">
        <v>28</v>
      </c>
    </row>
    <row r="2812" spans="1:49">
      <c r="A2812" s="3" t="s">
        <v>2788</v>
      </c>
      <c r="B2812">
        <v>4</v>
      </c>
      <c r="AW2812">
        <v>28</v>
      </c>
    </row>
    <row r="2813" spans="1:49">
      <c r="A2813" s="3" t="s">
        <v>2789</v>
      </c>
      <c r="B2813">
        <v>4</v>
      </c>
      <c r="AW2813">
        <v>28</v>
      </c>
    </row>
    <row r="2814" spans="1:49">
      <c r="A2814" s="3" t="s">
        <v>2790</v>
      </c>
      <c r="B2814">
        <v>4</v>
      </c>
      <c r="AW2814">
        <v>28</v>
      </c>
    </row>
    <row r="2815" spans="1:49">
      <c r="A2815" s="3" t="s">
        <v>2791</v>
      </c>
      <c r="B2815">
        <v>4</v>
      </c>
      <c r="AW2815">
        <v>28</v>
      </c>
    </row>
    <row r="2816" spans="1:49">
      <c r="A2816" s="3" t="s">
        <v>2792</v>
      </c>
      <c r="B2816">
        <v>4</v>
      </c>
      <c r="AW2816">
        <v>28</v>
      </c>
    </row>
    <row r="2817" spans="1:49">
      <c r="A2817" s="3" t="s">
        <v>2793</v>
      </c>
      <c r="B2817">
        <v>4</v>
      </c>
      <c r="AW2817">
        <v>28</v>
      </c>
    </row>
    <row r="2818" spans="1:49">
      <c r="A2818" s="3" t="s">
        <v>2794</v>
      </c>
      <c r="B2818">
        <v>4</v>
      </c>
      <c r="AW2818">
        <v>28</v>
      </c>
    </row>
    <row r="2819" spans="1:49">
      <c r="A2819" s="3" t="s">
        <v>2795</v>
      </c>
      <c r="B2819">
        <v>4</v>
      </c>
      <c r="AW2819">
        <v>28</v>
      </c>
    </row>
    <row r="2820" spans="1:49">
      <c r="A2820" s="3" t="s">
        <v>2796</v>
      </c>
      <c r="B2820">
        <v>4</v>
      </c>
      <c r="AW2820">
        <v>28</v>
      </c>
    </row>
    <row r="2821" spans="1:49">
      <c r="A2821" s="3" t="s">
        <v>2797</v>
      </c>
      <c r="B2821">
        <v>4</v>
      </c>
      <c r="AW2821">
        <v>28</v>
      </c>
    </row>
    <row r="2822" spans="1:49">
      <c r="A2822" s="3" t="s">
        <v>2798</v>
      </c>
      <c r="B2822">
        <v>4</v>
      </c>
      <c r="AW2822">
        <v>28</v>
      </c>
    </row>
    <row r="2823" spans="1:49">
      <c r="A2823" s="3" t="s">
        <v>2799</v>
      </c>
      <c r="B2823">
        <v>4</v>
      </c>
      <c r="AW2823">
        <v>28</v>
      </c>
    </row>
    <row r="2824" spans="1:49">
      <c r="A2824" s="3" t="s">
        <v>2800</v>
      </c>
      <c r="B2824">
        <v>4</v>
      </c>
      <c r="AW2824">
        <v>28</v>
      </c>
    </row>
    <row r="2825" spans="1:49">
      <c r="A2825" s="3" t="s">
        <v>2801</v>
      </c>
      <c r="B2825">
        <v>4</v>
      </c>
      <c r="AW2825">
        <v>28</v>
      </c>
    </row>
    <row r="2826" spans="1:49">
      <c r="A2826" s="3" t="s">
        <v>2802</v>
      </c>
      <c r="B2826">
        <v>4</v>
      </c>
      <c r="AW2826">
        <v>28</v>
      </c>
    </row>
    <row r="2827" spans="1:49">
      <c r="A2827" s="3" t="s">
        <v>2803</v>
      </c>
      <c r="B2827">
        <v>4</v>
      </c>
      <c r="AW2827">
        <v>28</v>
      </c>
    </row>
    <row r="2828" spans="1:49">
      <c r="A2828" s="3" t="s">
        <v>2804</v>
      </c>
      <c r="B2828">
        <v>4</v>
      </c>
      <c r="J2828">
        <v>41</v>
      </c>
    </row>
    <row r="2829" spans="1:49">
      <c r="A2829" s="3" t="s">
        <v>2805</v>
      </c>
      <c r="B2829">
        <v>4</v>
      </c>
      <c r="J2829">
        <v>41</v>
      </c>
    </row>
    <row r="2830" spans="1:49">
      <c r="A2830" s="3" t="s">
        <v>2806</v>
      </c>
      <c r="B2830">
        <v>4</v>
      </c>
      <c r="J2830">
        <v>41</v>
      </c>
    </row>
    <row r="2831" spans="1:49">
      <c r="A2831" s="3" t="s">
        <v>2807</v>
      </c>
      <c r="B2831">
        <v>4</v>
      </c>
      <c r="J2831">
        <v>41</v>
      </c>
    </row>
    <row r="2832" spans="1:49">
      <c r="A2832" s="3" t="s">
        <v>2808</v>
      </c>
      <c r="B2832">
        <v>4</v>
      </c>
      <c r="J2832">
        <v>41</v>
      </c>
    </row>
    <row r="2833" spans="1:10">
      <c r="A2833" s="3" t="s">
        <v>2809</v>
      </c>
      <c r="B2833">
        <v>4</v>
      </c>
      <c r="J2833">
        <v>41</v>
      </c>
    </row>
    <row r="2834" spans="1:10">
      <c r="A2834" s="3" t="s">
        <v>2810</v>
      </c>
      <c r="B2834">
        <v>4</v>
      </c>
      <c r="J2834">
        <v>41</v>
      </c>
    </row>
    <row r="2835" spans="1:10">
      <c r="A2835" s="3" t="s">
        <v>2811</v>
      </c>
      <c r="B2835">
        <v>4</v>
      </c>
      <c r="J2835">
        <v>41</v>
      </c>
    </row>
    <row r="2836" spans="1:10">
      <c r="A2836" s="3" t="s">
        <v>2812</v>
      </c>
      <c r="B2836">
        <v>4</v>
      </c>
      <c r="J2836">
        <v>41</v>
      </c>
    </row>
    <row r="2837" spans="1:10">
      <c r="A2837" s="3" t="s">
        <v>2813</v>
      </c>
      <c r="B2837">
        <v>4</v>
      </c>
      <c r="J2837">
        <v>41</v>
      </c>
    </row>
    <row r="2838" spans="1:10">
      <c r="A2838" s="3" t="s">
        <v>2814</v>
      </c>
      <c r="B2838">
        <v>4</v>
      </c>
      <c r="J2838">
        <v>41</v>
      </c>
    </row>
    <row r="2839" spans="1:10">
      <c r="A2839" s="3" t="s">
        <v>2815</v>
      </c>
      <c r="B2839">
        <v>4</v>
      </c>
      <c r="J2839">
        <v>41</v>
      </c>
    </row>
    <row r="2840" spans="1:10">
      <c r="A2840" s="3" t="s">
        <v>2816</v>
      </c>
      <c r="B2840">
        <v>4</v>
      </c>
      <c r="J2840">
        <v>41</v>
      </c>
    </row>
    <row r="2841" spans="1:10">
      <c r="A2841" s="3" t="s">
        <v>2817</v>
      </c>
      <c r="B2841">
        <v>4</v>
      </c>
      <c r="J2841">
        <v>41</v>
      </c>
    </row>
    <row r="2842" spans="1:10">
      <c r="A2842" s="3" t="s">
        <v>2818</v>
      </c>
      <c r="B2842">
        <v>4</v>
      </c>
      <c r="J2842">
        <v>41</v>
      </c>
    </row>
    <row r="2843" spans="1:10">
      <c r="A2843" s="3" t="s">
        <v>2819</v>
      </c>
      <c r="B2843">
        <v>4</v>
      </c>
      <c r="J2843">
        <v>41</v>
      </c>
    </row>
    <row r="2844" spans="1:10">
      <c r="A2844" s="3" t="s">
        <v>2820</v>
      </c>
      <c r="B2844">
        <v>4</v>
      </c>
      <c r="J2844">
        <v>41</v>
      </c>
    </row>
    <row r="2845" spans="1:10">
      <c r="A2845" s="3" t="s">
        <v>2821</v>
      </c>
      <c r="B2845">
        <v>4</v>
      </c>
      <c r="C2845">
        <v>3</v>
      </c>
      <c r="J2845">
        <v>41</v>
      </c>
    </row>
    <row r="2846" spans="1:10">
      <c r="A2846" s="3" t="s">
        <v>2822</v>
      </c>
      <c r="B2846">
        <v>4</v>
      </c>
      <c r="C2846">
        <v>3</v>
      </c>
      <c r="J2846">
        <v>41</v>
      </c>
    </row>
    <row r="2847" spans="1:10">
      <c r="A2847" s="3" t="s">
        <v>2823</v>
      </c>
      <c r="B2847">
        <v>4</v>
      </c>
      <c r="C2847">
        <v>3</v>
      </c>
      <c r="J2847">
        <v>41</v>
      </c>
    </row>
    <row r="2848" spans="1:10">
      <c r="A2848" s="3" t="s">
        <v>2824</v>
      </c>
      <c r="B2848">
        <v>4</v>
      </c>
      <c r="C2848">
        <v>3</v>
      </c>
      <c r="J2848">
        <v>41</v>
      </c>
    </row>
    <row r="2849" spans="1:49">
      <c r="A2849" s="3" t="s">
        <v>2825</v>
      </c>
      <c r="B2849">
        <v>4</v>
      </c>
      <c r="C2849">
        <v>3</v>
      </c>
      <c r="J2849">
        <v>41</v>
      </c>
    </row>
    <row r="2850" spans="1:49">
      <c r="A2850" s="3" t="s">
        <v>2826</v>
      </c>
      <c r="B2850">
        <v>4</v>
      </c>
      <c r="C2850">
        <v>3</v>
      </c>
      <c r="J2850">
        <v>41</v>
      </c>
    </row>
    <row r="2851" spans="1:49">
      <c r="A2851" s="3" t="s">
        <v>2827</v>
      </c>
      <c r="B2851">
        <v>4</v>
      </c>
      <c r="C2851">
        <v>3</v>
      </c>
      <c r="AW2851">
        <v>29</v>
      </c>
    </row>
    <row r="2852" spans="1:49">
      <c r="A2852" s="3" t="s">
        <v>2828</v>
      </c>
      <c r="B2852">
        <v>4</v>
      </c>
      <c r="C2852">
        <v>3</v>
      </c>
      <c r="AW2852">
        <v>29</v>
      </c>
    </row>
    <row r="2853" spans="1:49">
      <c r="A2853" s="3" t="s">
        <v>2829</v>
      </c>
      <c r="B2853">
        <v>4</v>
      </c>
      <c r="C2853">
        <v>3</v>
      </c>
      <c r="AW2853">
        <v>29</v>
      </c>
    </row>
    <row r="2854" spans="1:49">
      <c r="A2854" s="3" t="s">
        <v>2830</v>
      </c>
      <c r="B2854">
        <v>4</v>
      </c>
      <c r="C2854">
        <v>3</v>
      </c>
      <c r="AW2854">
        <v>29</v>
      </c>
    </row>
    <row r="2855" spans="1:49">
      <c r="A2855" s="3" t="s">
        <v>2831</v>
      </c>
      <c r="B2855">
        <v>4</v>
      </c>
      <c r="C2855">
        <v>3</v>
      </c>
      <c r="AW2855">
        <v>29</v>
      </c>
    </row>
    <row r="2856" spans="1:49">
      <c r="A2856" s="3" t="s">
        <v>2832</v>
      </c>
      <c r="B2856">
        <v>4</v>
      </c>
      <c r="C2856">
        <v>3</v>
      </c>
      <c r="AW2856">
        <v>29</v>
      </c>
    </row>
    <row r="2857" spans="1:49">
      <c r="A2857" s="3" t="s">
        <v>2833</v>
      </c>
      <c r="B2857">
        <v>4</v>
      </c>
      <c r="C2857">
        <v>3</v>
      </c>
      <c r="AW2857">
        <v>29</v>
      </c>
    </row>
    <row r="2858" spans="1:49">
      <c r="A2858" s="3" t="s">
        <v>2834</v>
      </c>
      <c r="B2858">
        <v>4</v>
      </c>
      <c r="C2858">
        <v>3</v>
      </c>
      <c r="AW2858">
        <v>29</v>
      </c>
    </row>
    <row r="2859" spans="1:49">
      <c r="A2859" s="3" t="s">
        <v>2835</v>
      </c>
      <c r="B2859">
        <v>4</v>
      </c>
      <c r="C2859">
        <v>3</v>
      </c>
      <c r="AV2859">
        <v>4</v>
      </c>
    </row>
    <row r="2860" spans="1:49">
      <c r="A2860" s="3" t="s">
        <v>2836</v>
      </c>
      <c r="B2860">
        <v>4</v>
      </c>
      <c r="C2860">
        <v>3</v>
      </c>
      <c r="AV2860">
        <v>4</v>
      </c>
    </row>
    <row r="2861" spans="1:49">
      <c r="A2861" s="3" t="s">
        <v>2837</v>
      </c>
      <c r="B2861">
        <v>4</v>
      </c>
      <c r="C2861">
        <v>3</v>
      </c>
      <c r="AV2861">
        <v>4</v>
      </c>
    </row>
    <row r="2862" spans="1:49">
      <c r="A2862" s="3" t="s">
        <v>2838</v>
      </c>
      <c r="B2862">
        <v>4</v>
      </c>
      <c r="C2862">
        <v>3</v>
      </c>
      <c r="AV2862">
        <v>4</v>
      </c>
    </row>
    <row r="2863" spans="1:49">
      <c r="A2863" s="3" t="s">
        <v>2839</v>
      </c>
      <c r="B2863">
        <v>4</v>
      </c>
      <c r="C2863">
        <v>3</v>
      </c>
      <c r="AV2863">
        <v>4</v>
      </c>
    </row>
    <row r="2864" spans="1:49">
      <c r="A2864" s="3" t="s">
        <v>2840</v>
      </c>
      <c r="B2864">
        <v>4</v>
      </c>
      <c r="C2864">
        <v>3</v>
      </c>
      <c r="AV2864">
        <v>4</v>
      </c>
    </row>
    <row r="2865" spans="1:48">
      <c r="A2865" s="3" t="s">
        <v>2841</v>
      </c>
      <c r="B2865">
        <v>4</v>
      </c>
      <c r="C2865">
        <v>3</v>
      </c>
      <c r="AV2865">
        <v>4</v>
      </c>
    </row>
    <row r="2866" spans="1:48">
      <c r="A2866" s="3" t="s">
        <v>2842</v>
      </c>
      <c r="B2866">
        <v>4</v>
      </c>
      <c r="C2866">
        <v>3</v>
      </c>
      <c r="AV2866">
        <v>4</v>
      </c>
    </row>
    <row r="2867" spans="1:48">
      <c r="A2867" s="3" t="s">
        <v>2843</v>
      </c>
      <c r="B2867">
        <v>4</v>
      </c>
      <c r="C2867">
        <v>3</v>
      </c>
      <c r="AV2867">
        <v>4</v>
      </c>
    </row>
    <row r="2868" spans="1:48">
      <c r="A2868" s="3" t="s">
        <v>2844</v>
      </c>
      <c r="B2868">
        <v>4</v>
      </c>
      <c r="C2868">
        <v>3</v>
      </c>
      <c r="AV2868">
        <v>4</v>
      </c>
    </row>
    <row r="2869" spans="1:48">
      <c r="A2869" s="3" t="s">
        <v>2845</v>
      </c>
      <c r="B2869">
        <v>4</v>
      </c>
      <c r="C2869">
        <v>3</v>
      </c>
      <c r="AV2869">
        <v>4</v>
      </c>
    </row>
    <row r="2870" spans="1:48">
      <c r="A2870" s="3" t="s">
        <v>2846</v>
      </c>
      <c r="B2870">
        <v>4</v>
      </c>
      <c r="C2870">
        <v>3</v>
      </c>
      <c r="AV2870">
        <v>4</v>
      </c>
    </row>
    <row r="2871" spans="1:48">
      <c r="A2871" s="3" t="s">
        <v>2847</v>
      </c>
      <c r="B2871">
        <v>4</v>
      </c>
      <c r="C2871">
        <v>3</v>
      </c>
      <c r="AV2871">
        <v>4</v>
      </c>
    </row>
    <row r="2872" spans="1:48">
      <c r="A2872" s="3" t="s">
        <v>2848</v>
      </c>
      <c r="B2872">
        <v>4</v>
      </c>
      <c r="C2872">
        <v>3</v>
      </c>
      <c r="AV2872">
        <v>4</v>
      </c>
    </row>
    <row r="2873" spans="1:48">
      <c r="A2873" s="3" t="s">
        <v>2849</v>
      </c>
      <c r="B2873">
        <v>4</v>
      </c>
      <c r="C2873">
        <v>3</v>
      </c>
      <c r="M2873">
        <v>6</v>
      </c>
    </row>
    <row r="2874" spans="1:48">
      <c r="A2874" s="3" t="s">
        <v>2850</v>
      </c>
      <c r="B2874">
        <v>4</v>
      </c>
      <c r="C2874">
        <v>3</v>
      </c>
      <c r="M2874">
        <v>6</v>
      </c>
    </row>
    <row r="2875" spans="1:48">
      <c r="A2875" s="3" t="s">
        <v>2851</v>
      </c>
      <c r="B2875">
        <v>4</v>
      </c>
      <c r="C2875">
        <v>3</v>
      </c>
      <c r="M2875">
        <v>6</v>
      </c>
    </row>
    <row r="2876" spans="1:48">
      <c r="A2876" s="3" t="s">
        <v>2852</v>
      </c>
      <c r="B2876">
        <v>4</v>
      </c>
      <c r="C2876">
        <v>3</v>
      </c>
      <c r="M2876">
        <v>6</v>
      </c>
    </row>
    <row r="2877" spans="1:48">
      <c r="A2877" s="3" t="s">
        <v>2853</v>
      </c>
      <c r="B2877">
        <v>4</v>
      </c>
      <c r="C2877">
        <v>3</v>
      </c>
      <c r="M2877">
        <v>6</v>
      </c>
    </row>
    <row r="2878" spans="1:48">
      <c r="A2878" s="3" t="s">
        <v>2854</v>
      </c>
      <c r="B2878">
        <v>4</v>
      </c>
      <c r="C2878">
        <v>3</v>
      </c>
      <c r="M2878">
        <v>6</v>
      </c>
    </row>
    <row r="2879" spans="1:48">
      <c r="A2879" s="3" t="s">
        <v>2855</v>
      </c>
      <c r="B2879">
        <v>4</v>
      </c>
      <c r="C2879">
        <v>3</v>
      </c>
      <c r="M2879">
        <v>6</v>
      </c>
    </row>
    <row r="2880" spans="1:48">
      <c r="A2880" s="3" t="s">
        <v>2856</v>
      </c>
      <c r="B2880">
        <v>4</v>
      </c>
      <c r="C2880">
        <v>3</v>
      </c>
      <c r="M2880">
        <v>6</v>
      </c>
    </row>
    <row r="2881" spans="1:13">
      <c r="A2881" s="3" t="s">
        <v>2857</v>
      </c>
      <c r="B2881">
        <v>4</v>
      </c>
      <c r="C2881">
        <v>3</v>
      </c>
      <c r="M2881">
        <v>6</v>
      </c>
    </row>
    <row r="2882" spans="1:13">
      <c r="A2882" s="3" t="s">
        <v>2858</v>
      </c>
      <c r="B2882">
        <v>4</v>
      </c>
      <c r="C2882">
        <v>3</v>
      </c>
      <c r="M2882">
        <v>6</v>
      </c>
    </row>
    <row r="2883" spans="1:13">
      <c r="A2883" s="3" t="s">
        <v>2859</v>
      </c>
      <c r="B2883">
        <v>4</v>
      </c>
      <c r="C2883">
        <v>3</v>
      </c>
      <c r="M2883">
        <v>6</v>
      </c>
    </row>
    <row r="2884" spans="1:13">
      <c r="A2884" s="3" t="s">
        <v>2860</v>
      </c>
      <c r="B2884">
        <v>4</v>
      </c>
      <c r="C2884">
        <v>3</v>
      </c>
      <c r="M2884">
        <v>6</v>
      </c>
    </row>
    <row r="2885" spans="1:13">
      <c r="A2885" s="3" t="s">
        <v>2861</v>
      </c>
      <c r="B2885">
        <v>4</v>
      </c>
      <c r="C2885">
        <v>3</v>
      </c>
      <c r="M2885">
        <v>6</v>
      </c>
    </row>
    <row r="2886" spans="1:13">
      <c r="A2886" s="3" t="s">
        <v>2862</v>
      </c>
      <c r="B2886">
        <v>4</v>
      </c>
      <c r="C2886">
        <v>3</v>
      </c>
      <c r="M2886">
        <v>6</v>
      </c>
    </row>
    <row r="2887" spans="1:13">
      <c r="A2887" s="3" t="s">
        <v>2863</v>
      </c>
      <c r="B2887">
        <v>4</v>
      </c>
      <c r="C2887">
        <v>3</v>
      </c>
      <c r="M2887">
        <v>6</v>
      </c>
    </row>
    <row r="2888" spans="1:13">
      <c r="A2888" s="3" t="s">
        <v>2864</v>
      </c>
      <c r="B2888">
        <v>4</v>
      </c>
      <c r="C2888">
        <v>3</v>
      </c>
      <c r="M2888">
        <v>6</v>
      </c>
    </row>
    <row r="2889" spans="1:13">
      <c r="A2889" s="3" t="s">
        <v>2865</v>
      </c>
      <c r="B2889">
        <v>4</v>
      </c>
      <c r="C2889">
        <v>3</v>
      </c>
      <c r="M2889">
        <v>6</v>
      </c>
    </row>
    <row r="2890" spans="1:13">
      <c r="A2890" s="3" t="s">
        <v>2866</v>
      </c>
      <c r="B2890">
        <v>4</v>
      </c>
      <c r="C2890">
        <v>3</v>
      </c>
      <c r="M2890">
        <v>6</v>
      </c>
    </row>
    <row r="2891" spans="1:13">
      <c r="A2891" s="3" t="s">
        <v>2867</v>
      </c>
      <c r="B2891">
        <v>4</v>
      </c>
      <c r="C2891">
        <v>3</v>
      </c>
      <c r="M2891">
        <v>6</v>
      </c>
    </row>
    <row r="2892" spans="1:13">
      <c r="A2892" s="3" t="s">
        <v>2868</v>
      </c>
      <c r="B2892">
        <v>4</v>
      </c>
      <c r="C2892">
        <v>3</v>
      </c>
      <c r="M2892">
        <v>6</v>
      </c>
    </row>
    <row r="2893" spans="1:13">
      <c r="A2893" s="3" t="s">
        <v>2869</v>
      </c>
      <c r="B2893">
        <v>4</v>
      </c>
      <c r="C2893">
        <v>3</v>
      </c>
      <c r="M2893">
        <v>6</v>
      </c>
    </row>
    <row r="2894" spans="1:13">
      <c r="A2894" s="3" t="s">
        <v>2870</v>
      </c>
      <c r="B2894">
        <v>4</v>
      </c>
      <c r="C2894">
        <v>3</v>
      </c>
      <c r="M2894">
        <v>6</v>
      </c>
    </row>
    <row r="2895" spans="1:13">
      <c r="A2895" s="3" t="s">
        <v>2871</v>
      </c>
      <c r="B2895">
        <v>4</v>
      </c>
      <c r="C2895">
        <v>3</v>
      </c>
      <c r="M2895">
        <v>6</v>
      </c>
    </row>
    <row r="2896" spans="1:13">
      <c r="A2896" s="3" t="s">
        <v>2872</v>
      </c>
      <c r="B2896">
        <v>4</v>
      </c>
      <c r="C2896">
        <v>3</v>
      </c>
      <c r="M2896">
        <v>6</v>
      </c>
    </row>
    <row r="2897" spans="1:13">
      <c r="A2897" s="3" t="s">
        <v>2873</v>
      </c>
      <c r="B2897">
        <v>4</v>
      </c>
      <c r="C2897">
        <v>3</v>
      </c>
      <c r="M2897">
        <v>6</v>
      </c>
    </row>
    <row r="2898" spans="1:13">
      <c r="A2898" s="3" t="s">
        <v>2874</v>
      </c>
      <c r="B2898">
        <v>4</v>
      </c>
      <c r="C2898">
        <v>3</v>
      </c>
      <c r="M2898">
        <v>6</v>
      </c>
    </row>
    <row r="2899" spans="1:13">
      <c r="A2899" s="3" t="s">
        <v>2875</v>
      </c>
      <c r="B2899">
        <v>4</v>
      </c>
      <c r="C2899">
        <v>3</v>
      </c>
      <c r="M2899">
        <v>6</v>
      </c>
    </row>
    <row r="2900" spans="1:13">
      <c r="A2900" s="3" t="s">
        <v>2876</v>
      </c>
      <c r="B2900">
        <v>4</v>
      </c>
      <c r="C2900">
        <v>3</v>
      </c>
      <c r="M2900">
        <v>6</v>
      </c>
    </row>
    <row r="2901" spans="1:13">
      <c r="A2901" s="3" t="s">
        <v>2877</v>
      </c>
      <c r="B2901">
        <v>4</v>
      </c>
      <c r="C2901">
        <v>3</v>
      </c>
      <c r="M2901">
        <v>6</v>
      </c>
    </row>
    <row r="2902" spans="1:13">
      <c r="A2902" s="3" t="s">
        <v>2878</v>
      </c>
      <c r="B2902">
        <v>4</v>
      </c>
      <c r="C2902">
        <v>3</v>
      </c>
      <c r="M2902">
        <v>6</v>
      </c>
    </row>
    <row r="2903" spans="1:13">
      <c r="A2903" s="3" t="s">
        <v>2879</v>
      </c>
      <c r="B2903">
        <v>4</v>
      </c>
      <c r="C2903">
        <v>3</v>
      </c>
      <c r="M2903">
        <v>6</v>
      </c>
    </row>
    <row r="2904" spans="1:13">
      <c r="A2904" s="3" t="s">
        <v>2880</v>
      </c>
      <c r="B2904">
        <v>4</v>
      </c>
      <c r="C2904">
        <v>3</v>
      </c>
      <c r="M2904">
        <v>6</v>
      </c>
    </row>
    <row r="2905" spans="1:13">
      <c r="A2905" s="3" t="s">
        <v>2881</v>
      </c>
      <c r="B2905">
        <v>4</v>
      </c>
      <c r="C2905">
        <v>3</v>
      </c>
      <c r="M2905">
        <v>6</v>
      </c>
    </row>
    <row r="2906" spans="1:13">
      <c r="A2906" s="3" t="s">
        <v>2882</v>
      </c>
      <c r="B2906">
        <v>4</v>
      </c>
      <c r="C2906">
        <v>3</v>
      </c>
      <c r="M2906">
        <v>6</v>
      </c>
    </row>
    <row r="2907" spans="1:13">
      <c r="A2907" s="3" t="s">
        <v>2883</v>
      </c>
      <c r="B2907">
        <v>4</v>
      </c>
      <c r="C2907">
        <v>3</v>
      </c>
      <c r="M2907">
        <v>6</v>
      </c>
    </row>
    <row r="2908" spans="1:13">
      <c r="A2908" s="3" t="s">
        <v>2884</v>
      </c>
      <c r="B2908">
        <v>4</v>
      </c>
      <c r="C2908">
        <v>3</v>
      </c>
      <c r="M2908">
        <v>6</v>
      </c>
    </row>
    <row r="2909" spans="1:13">
      <c r="A2909" s="3" t="s">
        <v>2885</v>
      </c>
      <c r="B2909">
        <v>4</v>
      </c>
      <c r="C2909">
        <v>3</v>
      </c>
      <c r="M2909">
        <v>6</v>
      </c>
    </row>
    <row r="2910" spans="1:13">
      <c r="A2910" s="3" t="s">
        <v>2886</v>
      </c>
      <c r="B2910">
        <v>4</v>
      </c>
      <c r="C2910">
        <v>3</v>
      </c>
      <c r="M2910">
        <v>6</v>
      </c>
    </row>
    <row r="2911" spans="1:13">
      <c r="A2911" s="3" t="s">
        <v>2887</v>
      </c>
      <c r="B2911">
        <v>4</v>
      </c>
      <c r="C2911">
        <v>3</v>
      </c>
      <c r="M2911">
        <v>6</v>
      </c>
    </row>
    <row r="2912" spans="1:13">
      <c r="A2912" s="3" t="s">
        <v>2888</v>
      </c>
      <c r="B2912">
        <v>4</v>
      </c>
      <c r="C2912">
        <v>3</v>
      </c>
      <c r="M2912">
        <v>6</v>
      </c>
    </row>
    <row r="2913" spans="1:13">
      <c r="A2913" s="3" t="s">
        <v>2889</v>
      </c>
      <c r="B2913">
        <v>4</v>
      </c>
      <c r="C2913">
        <v>3</v>
      </c>
      <c r="M2913">
        <v>6</v>
      </c>
    </row>
    <row r="2914" spans="1:13">
      <c r="A2914" s="3" t="s">
        <v>2890</v>
      </c>
      <c r="B2914">
        <v>4</v>
      </c>
      <c r="C2914">
        <v>3</v>
      </c>
      <c r="M2914">
        <v>6</v>
      </c>
    </row>
    <row r="2915" spans="1:13">
      <c r="A2915" s="3" t="s">
        <v>2891</v>
      </c>
      <c r="B2915">
        <v>4</v>
      </c>
      <c r="C2915">
        <v>3</v>
      </c>
      <c r="M2915">
        <v>6</v>
      </c>
    </row>
    <row r="2916" spans="1:13">
      <c r="A2916" s="3" t="s">
        <v>2892</v>
      </c>
      <c r="B2916">
        <v>4</v>
      </c>
      <c r="C2916">
        <v>3</v>
      </c>
      <c r="M2916">
        <v>6</v>
      </c>
    </row>
    <row r="2917" spans="1:13">
      <c r="A2917" s="3" t="s">
        <v>2893</v>
      </c>
      <c r="B2917">
        <v>4</v>
      </c>
      <c r="C2917">
        <v>3</v>
      </c>
      <c r="M2917">
        <v>6</v>
      </c>
    </row>
    <row r="2918" spans="1:13">
      <c r="A2918" s="3" t="s">
        <v>2894</v>
      </c>
      <c r="B2918">
        <v>4</v>
      </c>
      <c r="C2918">
        <v>3</v>
      </c>
      <c r="M2918">
        <v>6</v>
      </c>
    </row>
    <row r="2919" spans="1:13">
      <c r="A2919" s="3" t="s">
        <v>2895</v>
      </c>
      <c r="B2919">
        <v>4</v>
      </c>
      <c r="C2919">
        <v>3</v>
      </c>
      <c r="M2919">
        <v>6</v>
      </c>
    </row>
    <row r="2920" spans="1:13">
      <c r="A2920" s="3" t="s">
        <v>2896</v>
      </c>
      <c r="B2920">
        <v>4</v>
      </c>
      <c r="C2920">
        <v>3</v>
      </c>
      <c r="M2920">
        <v>6</v>
      </c>
    </row>
    <row r="2921" spans="1:13">
      <c r="A2921" s="3" t="s">
        <v>2897</v>
      </c>
      <c r="B2921">
        <v>4</v>
      </c>
      <c r="C2921">
        <v>3</v>
      </c>
      <c r="M2921">
        <v>6</v>
      </c>
    </row>
    <row r="2922" spans="1:13">
      <c r="A2922" s="3" t="s">
        <v>2898</v>
      </c>
      <c r="B2922">
        <v>4</v>
      </c>
      <c r="C2922">
        <v>3</v>
      </c>
      <c r="M2922">
        <v>6</v>
      </c>
    </row>
    <row r="2923" spans="1:13">
      <c r="A2923" s="3" t="s">
        <v>2899</v>
      </c>
      <c r="B2923">
        <v>4</v>
      </c>
      <c r="C2923">
        <v>3</v>
      </c>
      <c r="M2923">
        <v>6</v>
      </c>
    </row>
    <row r="2924" spans="1:13">
      <c r="A2924" s="3" t="s">
        <v>2900</v>
      </c>
      <c r="B2924">
        <v>4</v>
      </c>
      <c r="C2924">
        <v>3</v>
      </c>
      <c r="M2924">
        <v>6</v>
      </c>
    </row>
    <row r="2925" spans="1:13">
      <c r="A2925" s="3" t="s">
        <v>2901</v>
      </c>
      <c r="B2925">
        <v>4</v>
      </c>
      <c r="C2925">
        <v>3</v>
      </c>
      <c r="M2925">
        <v>6</v>
      </c>
    </row>
    <row r="2926" spans="1:13">
      <c r="A2926" s="3" t="s">
        <v>2902</v>
      </c>
      <c r="B2926">
        <v>4</v>
      </c>
      <c r="C2926">
        <v>3</v>
      </c>
      <c r="M2926">
        <v>6</v>
      </c>
    </row>
    <row r="2927" spans="1:13">
      <c r="A2927" s="3" t="s">
        <v>2903</v>
      </c>
      <c r="B2927">
        <v>4</v>
      </c>
      <c r="C2927">
        <v>3</v>
      </c>
      <c r="M2927">
        <v>6</v>
      </c>
    </row>
    <row r="2928" spans="1:13">
      <c r="A2928" s="3" t="s">
        <v>2904</v>
      </c>
      <c r="B2928">
        <v>4</v>
      </c>
      <c r="C2928">
        <v>3</v>
      </c>
      <c r="M2928">
        <v>6</v>
      </c>
    </row>
    <row r="2929" spans="1:13">
      <c r="A2929" s="3" t="s">
        <v>2905</v>
      </c>
      <c r="B2929">
        <v>4</v>
      </c>
      <c r="C2929">
        <v>3</v>
      </c>
      <c r="M2929">
        <v>6</v>
      </c>
    </row>
    <row r="2930" spans="1:13">
      <c r="A2930" s="3" t="s">
        <v>2906</v>
      </c>
      <c r="B2930">
        <v>4</v>
      </c>
      <c r="C2930">
        <v>3</v>
      </c>
      <c r="M2930">
        <v>6</v>
      </c>
    </row>
    <row r="2931" spans="1:13">
      <c r="A2931" s="3" t="s">
        <v>2907</v>
      </c>
      <c r="B2931">
        <v>4</v>
      </c>
      <c r="C2931">
        <v>3</v>
      </c>
      <c r="M2931">
        <v>6</v>
      </c>
    </row>
    <row r="2932" spans="1:13">
      <c r="A2932" s="3" t="s">
        <v>2908</v>
      </c>
      <c r="B2932">
        <v>4</v>
      </c>
      <c r="C2932">
        <v>3</v>
      </c>
      <c r="M2932">
        <v>6</v>
      </c>
    </row>
    <row r="2933" spans="1:13">
      <c r="A2933" s="3" t="s">
        <v>2909</v>
      </c>
      <c r="B2933">
        <v>4</v>
      </c>
      <c r="C2933">
        <v>3</v>
      </c>
      <c r="M2933">
        <v>6</v>
      </c>
    </row>
    <row r="2934" spans="1:13">
      <c r="A2934" s="3" t="s">
        <v>2910</v>
      </c>
      <c r="B2934">
        <v>4</v>
      </c>
      <c r="C2934">
        <v>3</v>
      </c>
      <c r="M2934">
        <v>6</v>
      </c>
    </row>
    <row r="2935" spans="1:13">
      <c r="A2935" s="3" t="s">
        <v>2911</v>
      </c>
      <c r="B2935">
        <v>4</v>
      </c>
      <c r="C2935">
        <v>3</v>
      </c>
      <c r="M2935">
        <v>6</v>
      </c>
    </row>
    <row r="2936" spans="1:13">
      <c r="A2936" s="3" t="s">
        <v>2912</v>
      </c>
      <c r="B2936">
        <v>4</v>
      </c>
      <c r="C2936">
        <v>3</v>
      </c>
      <c r="M2936">
        <v>6</v>
      </c>
    </row>
    <row r="2937" spans="1:13">
      <c r="A2937" s="3" t="s">
        <v>2913</v>
      </c>
      <c r="B2937">
        <v>4</v>
      </c>
      <c r="C2937">
        <v>3</v>
      </c>
      <c r="M2937">
        <v>6</v>
      </c>
    </row>
    <row r="2938" spans="1:13">
      <c r="A2938" s="3" t="s">
        <v>2914</v>
      </c>
      <c r="B2938">
        <v>4</v>
      </c>
      <c r="C2938">
        <v>3</v>
      </c>
      <c r="M2938">
        <v>6</v>
      </c>
    </row>
    <row r="2939" spans="1:13">
      <c r="A2939" s="3" t="s">
        <v>2915</v>
      </c>
      <c r="B2939">
        <v>4</v>
      </c>
      <c r="C2939">
        <v>3</v>
      </c>
      <c r="M2939">
        <v>6</v>
      </c>
    </row>
    <row r="2940" spans="1:13">
      <c r="A2940" s="3" t="s">
        <v>2916</v>
      </c>
      <c r="B2940">
        <v>4</v>
      </c>
      <c r="C2940">
        <v>3</v>
      </c>
      <c r="M2940">
        <v>6</v>
      </c>
    </row>
    <row r="2941" spans="1:13">
      <c r="A2941" s="3" t="s">
        <v>2917</v>
      </c>
      <c r="B2941">
        <v>4</v>
      </c>
      <c r="C2941">
        <v>3</v>
      </c>
      <c r="M2941">
        <v>6</v>
      </c>
    </row>
    <row r="2942" spans="1:13">
      <c r="A2942" s="3" t="s">
        <v>2918</v>
      </c>
      <c r="B2942">
        <v>4</v>
      </c>
      <c r="C2942">
        <v>3</v>
      </c>
      <c r="M2942">
        <v>6</v>
      </c>
    </row>
    <row r="2943" spans="1:13">
      <c r="A2943" s="3" t="s">
        <v>2919</v>
      </c>
      <c r="B2943">
        <v>4</v>
      </c>
      <c r="C2943">
        <v>3</v>
      </c>
      <c r="M2943">
        <v>6</v>
      </c>
    </row>
    <row r="2944" spans="1:13">
      <c r="A2944" s="3" t="s">
        <v>2920</v>
      </c>
      <c r="B2944">
        <v>4</v>
      </c>
      <c r="C2944">
        <v>3</v>
      </c>
      <c r="M2944">
        <v>6</v>
      </c>
    </row>
    <row r="2945" spans="1:13">
      <c r="A2945" s="3" t="s">
        <v>2921</v>
      </c>
      <c r="B2945">
        <v>4</v>
      </c>
      <c r="C2945">
        <v>3</v>
      </c>
      <c r="M2945">
        <v>6</v>
      </c>
    </row>
    <row r="2946" spans="1:13">
      <c r="A2946" s="3" t="s">
        <v>2922</v>
      </c>
      <c r="B2946">
        <v>4</v>
      </c>
      <c r="C2946">
        <v>3</v>
      </c>
      <c r="M2946">
        <v>6</v>
      </c>
    </row>
    <row r="2947" spans="1:13">
      <c r="A2947" s="3" t="s">
        <v>2923</v>
      </c>
      <c r="B2947">
        <v>4</v>
      </c>
      <c r="C2947">
        <v>3</v>
      </c>
      <c r="M2947">
        <v>6</v>
      </c>
    </row>
    <row r="2948" spans="1:13">
      <c r="A2948" s="3" t="s">
        <v>2924</v>
      </c>
      <c r="B2948">
        <v>4</v>
      </c>
      <c r="C2948">
        <v>3</v>
      </c>
      <c r="M2948">
        <v>6</v>
      </c>
    </row>
    <row r="2949" spans="1:13">
      <c r="A2949" s="3" t="s">
        <v>2925</v>
      </c>
      <c r="B2949">
        <v>4</v>
      </c>
      <c r="C2949">
        <v>3</v>
      </c>
      <c r="M2949">
        <v>6</v>
      </c>
    </row>
    <row r="2950" spans="1:13">
      <c r="A2950" s="3" t="s">
        <v>2926</v>
      </c>
      <c r="B2950">
        <v>4</v>
      </c>
      <c r="C2950">
        <v>3</v>
      </c>
      <c r="M2950">
        <v>6</v>
      </c>
    </row>
    <row r="2951" spans="1:13">
      <c r="A2951" s="3" t="s">
        <v>2927</v>
      </c>
      <c r="B2951">
        <v>4</v>
      </c>
      <c r="C2951">
        <v>3</v>
      </c>
      <c r="M2951">
        <v>6</v>
      </c>
    </row>
    <row r="2952" spans="1:13">
      <c r="A2952" s="3" t="s">
        <v>2928</v>
      </c>
      <c r="B2952">
        <v>4</v>
      </c>
      <c r="C2952">
        <v>3</v>
      </c>
      <c r="M2952">
        <v>6</v>
      </c>
    </row>
    <row r="2953" spans="1:13">
      <c r="A2953" s="3" t="s">
        <v>2929</v>
      </c>
      <c r="B2953">
        <v>4</v>
      </c>
      <c r="C2953">
        <v>3</v>
      </c>
      <c r="M2953">
        <v>6</v>
      </c>
    </row>
    <row r="2954" spans="1:13">
      <c r="A2954" s="3" t="s">
        <v>2930</v>
      </c>
      <c r="B2954">
        <v>4</v>
      </c>
      <c r="C2954">
        <v>3</v>
      </c>
      <c r="M2954">
        <v>6</v>
      </c>
    </row>
    <row r="2955" spans="1:13">
      <c r="A2955" s="3" t="s">
        <v>2931</v>
      </c>
      <c r="B2955">
        <v>4</v>
      </c>
      <c r="C2955">
        <v>3</v>
      </c>
      <c r="M2955">
        <v>6</v>
      </c>
    </row>
    <row r="2956" spans="1:13">
      <c r="A2956" s="3" t="s">
        <v>2932</v>
      </c>
      <c r="B2956">
        <v>4</v>
      </c>
      <c r="C2956">
        <v>3</v>
      </c>
      <c r="M2956">
        <v>6</v>
      </c>
    </row>
    <row r="2957" spans="1:13">
      <c r="A2957" s="3" t="s">
        <v>2933</v>
      </c>
      <c r="B2957">
        <v>4</v>
      </c>
      <c r="C2957">
        <v>3</v>
      </c>
      <c r="M2957">
        <v>6</v>
      </c>
    </row>
    <row r="2958" spans="1:13">
      <c r="A2958" s="3" t="s">
        <v>2934</v>
      </c>
      <c r="B2958">
        <v>4</v>
      </c>
      <c r="C2958">
        <v>3</v>
      </c>
      <c r="M2958">
        <v>6</v>
      </c>
    </row>
    <row r="2959" spans="1:13">
      <c r="A2959" s="3" t="s">
        <v>2935</v>
      </c>
      <c r="B2959">
        <v>4</v>
      </c>
      <c r="C2959">
        <v>3</v>
      </c>
      <c r="M2959">
        <v>6</v>
      </c>
    </row>
    <row r="2960" spans="1:13">
      <c r="A2960" s="3" t="s">
        <v>2936</v>
      </c>
      <c r="B2960">
        <v>4</v>
      </c>
      <c r="C2960">
        <v>3</v>
      </c>
      <c r="M2960">
        <v>6</v>
      </c>
    </row>
    <row r="2961" spans="1:13">
      <c r="A2961" s="3" t="s">
        <v>2937</v>
      </c>
      <c r="B2961">
        <v>4</v>
      </c>
      <c r="C2961">
        <v>3</v>
      </c>
      <c r="M2961">
        <v>6</v>
      </c>
    </row>
    <row r="2962" spans="1:13">
      <c r="A2962" s="3" t="s">
        <v>2938</v>
      </c>
      <c r="B2962">
        <v>4</v>
      </c>
      <c r="C2962">
        <v>3</v>
      </c>
      <c r="J2962">
        <v>42</v>
      </c>
    </row>
    <row r="2963" spans="1:13">
      <c r="A2963" s="3" t="s">
        <v>2939</v>
      </c>
      <c r="B2963">
        <v>4</v>
      </c>
      <c r="C2963">
        <v>3</v>
      </c>
      <c r="J2963">
        <v>42</v>
      </c>
    </row>
    <row r="2964" spans="1:13">
      <c r="A2964" s="3" t="s">
        <v>2940</v>
      </c>
      <c r="B2964">
        <v>4</v>
      </c>
      <c r="C2964">
        <v>3</v>
      </c>
      <c r="J2964">
        <v>42</v>
      </c>
    </row>
    <row r="2965" spans="1:13">
      <c r="A2965" s="3" t="s">
        <v>2941</v>
      </c>
      <c r="B2965">
        <v>4</v>
      </c>
      <c r="C2965">
        <v>3</v>
      </c>
      <c r="J2965">
        <v>42</v>
      </c>
    </row>
    <row r="2966" spans="1:13">
      <c r="A2966" s="3" t="s">
        <v>2942</v>
      </c>
      <c r="B2966">
        <v>4</v>
      </c>
      <c r="C2966">
        <v>3</v>
      </c>
      <c r="J2966">
        <v>42</v>
      </c>
    </row>
    <row r="2967" spans="1:13">
      <c r="A2967" s="3" t="s">
        <v>2943</v>
      </c>
      <c r="B2967">
        <v>4</v>
      </c>
      <c r="C2967">
        <v>3</v>
      </c>
      <c r="J2967">
        <v>42</v>
      </c>
    </row>
    <row r="2968" spans="1:13">
      <c r="A2968" s="3" t="s">
        <v>2944</v>
      </c>
      <c r="C2968">
        <v>3</v>
      </c>
      <c r="J2968">
        <v>42</v>
      </c>
    </row>
    <row r="2969" spans="1:13">
      <c r="A2969" s="3" t="s">
        <v>2945</v>
      </c>
      <c r="C2969">
        <v>3</v>
      </c>
      <c r="J2969">
        <v>42</v>
      </c>
    </row>
    <row r="2970" spans="1:13">
      <c r="A2970" s="3" t="s">
        <v>2946</v>
      </c>
      <c r="C2970">
        <v>3</v>
      </c>
      <c r="J2970">
        <v>42</v>
      </c>
    </row>
    <row r="2971" spans="1:13">
      <c r="A2971" s="3" t="s">
        <v>2947</v>
      </c>
      <c r="C2971">
        <v>3</v>
      </c>
      <c r="J2971">
        <v>42</v>
      </c>
    </row>
    <row r="2972" spans="1:13">
      <c r="A2972" s="3" t="s">
        <v>2948</v>
      </c>
      <c r="C2972">
        <v>3</v>
      </c>
      <c r="J2972">
        <v>42</v>
      </c>
    </row>
    <row r="2973" spans="1:13">
      <c r="A2973" s="3" t="s">
        <v>2949</v>
      </c>
      <c r="C2973">
        <v>3</v>
      </c>
      <c r="J2973">
        <v>42</v>
      </c>
    </row>
    <row r="2974" spans="1:13">
      <c r="A2974" s="3" t="s">
        <v>2950</v>
      </c>
      <c r="C2974">
        <v>3</v>
      </c>
      <c r="J2974">
        <v>42</v>
      </c>
    </row>
    <row r="2975" spans="1:13">
      <c r="A2975" s="3" t="s">
        <v>2951</v>
      </c>
      <c r="C2975">
        <v>3</v>
      </c>
      <c r="J2975">
        <v>42</v>
      </c>
    </row>
    <row r="2976" spans="1:13">
      <c r="A2976" s="3" t="s">
        <v>2952</v>
      </c>
      <c r="C2976">
        <v>3</v>
      </c>
      <c r="J2976">
        <v>42</v>
      </c>
    </row>
    <row r="2977" spans="1:10">
      <c r="A2977" s="3" t="s">
        <v>2953</v>
      </c>
      <c r="C2977">
        <v>3</v>
      </c>
      <c r="J2977">
        <v>42</v>
      </c>
    </row>
    <row r="2978" spans="1:10">
      <c r="A2978" s="3" t="s">
        <v>2954</v>
      </c>
      <c r="C2978">
        <v>3</v>
      </c>
      <c r="J2978">
        <v>42</v>
      </c>
    </row>
    <row r="2979" spans="1:10">
      <c r="A2979" s="3" t="s">
        <v>2955</v>
      </c>
      <c r="C2979">
        <v>3</v>
      </c>
      <c r="J2979">
        <v>42</v>
      </c>
    </row>
    <row r="2980" spans="1:10">
      <c r="A2980" s="3" t="s">
        <v>2956</v>
      </c>
      <c r="C2980">
        <v>3</v>
      </c>
      <c r="J2980">
        <v>42</v>
      </c>
    </row>
    <row r="2981" spans="1:10">
      <c r="A2981" s="3" t="s">
        <v>2957</v>
      </c>
      <c r="C2981">
        <v>3</v>
      </c>
      <c r="J2981">
        <v>42</v>
      </c>
    </row>
    <row r="2982" spans="1:10">
      <c r="A2982" s="3" t="s">
        <v>2958</v>
      </c>
      <c r="C2982">
        <v>3</v>
      </c>
      <c r="J2982">
        <v>42</v>
      </c>
    </row>
    <row r="2983" spans="1:10">
      <c r="A2983" s="3" t="s">
        <v>2959</v>
      </c>
      <c r="C2983">
        <v>3</v>
      </c>
      <c r="J2983">
        <v>42</v>
      </c>
    </row>
    <row r="2984" spans="1:10">
      <c r="A2984" s="3" t="s">
        <v>2960</v>
      </c>
      <c r="C2984">
        <v>3</v>
      </c>
      <c r="J2984">
        <v>42</v>
      </c>
    </row>
    <row r="2985" spans="1:10">
      <c r="A2985" s="3" t="s">
        <v>2961</v>
      </c>
      <c r="C2985">
        <v>3</v>
      </c>
      <c r="J2985">
        <v>42</v>
      </c>
    </row>
    <row r="2986" spans="1:10">
      <c r="A2986" s="3" t="s">
        <v>2962</v>
      </c>
      <c r="C2986">
        <v>3</v>
      </c>
      <c r="J2986">
        <v>42</v>
      </c>
    </row>
    <row r="2987" spans="1:10">
      <c r="A2987" s="3" t="s">
        <v>2963</v>
      </c>
      <c r="C2987">
        <v>3</v>
      </c>
      <c r="J2987">
        <v>42</v>
      </c>
    </row>
    <row r="2988" spans="1:10">
      <c r="A2988" s="3" t="s">
        <v>2964</v>
      </c>
      <c r="C2988">
        <v>3</v>
      </c>
      <c r="J2988">
        <v>42</v>
      </c>
    </row>
    <row r="2989" spans="1:10">
      <c r="A2989" s="3" t="s">
        <v>2965</v>
      </c>
      <c r="C2989">
        <v>3</v>
      </c>
      <c r="J2989">
        <v>42</v>
      </c>
    </row>
    <row r="2990" spans="1:10">
      <c r="A2990" s="3" t="s">
        <v>2966</v>
      </c>
      <c r="C2990">
        <v>3</v>
      </c>
      <c r="J2990">
        <v>42</v>
      </c>
    </row>
    <row r="2991" spans="1:10">
      <c r="A2991" s="3" t="s">
        <v>2967</v>
      </c>
      <c r="C2991">
        <v>3</v>
      </c>
      <c r="J2991">
        <v>42</v>
      </c>
    </row>
    <row r="2992" spans="1:10">
      <c r="A2992" s="3" t="s">
        <v>2968</v>
      </c>
      <c r="C2992">
        <v>3</v>
      </c>
      <c r="J2992">
        <v>42</v>
      </c>
    </row>
    <row r="2993" spans="1:10">
      <c r="A2993" s="3" t="s">
        <v>2969</v>
      </c>
      <c r="C2993">
        <v>3</v>
      </c>
      <c r="J2993">
        <v>42</v>
      </c>
    </row>
    <row r="2994" spans="1:10">
      <c r="A2994" s="3" t="s">
        <v>2970</v>
      </c>
      <c r="C2994">
        <v>3</v>
      </c>
      <c r="J2994">
        <v>42</v>
      </c>
    </row>
    <row r="2995" spans="1:10">
      <c r="A2995" s="3" t="s">
        <v>2971</v>
      </c>
      <c r="C2995">
        <v>3</v>
      </c>
      <c r="J2995">
        <v>42</v>
      </c>
    </row>
    <row r="2996" spans="1:10">
      <c r="A2996" s="3" t="s">
        <v>2972</v>
      </c>
      <c r="C2996">
        <v>3</v>
      </c>
      <c r="J2996">
        <v>42</v>
      </c>
    </row>
    <row r="2997" spans="1:10">
      <c r="A2997" s="3" t="s">
        <v>2973</v>
      </c>
      <c r="C2997">
        <v>3</v>
      </c>
      <c r="J2997">
        <v>42</v>
      </c>
    </row>
    <row r="2998" spans="1:10">
      <c r="A2998" s="3" t="s">
        <v>2974</v>
      </c>
      <c r="C2998">
        <v>3</v>
      </c>
      <c r="J2998">
        <v>42</v>
      </c>
    </row>
    <row r="2999" spans="1:10">
      <c r="A2999" s="3" t="s">
        <v>2975</v>
      </c>
      <c r="C2999">
        <v>3</v>
      </c>
      <c r="J2999">
        <v>42</v>
      </c>
    </row>
    <row r="3000" spans="1:10">
      <c r="A3000" s="3" t="s">
        <v>2976</v>
      </c>
      <c r="C3000">
        <v>3</v>
      </c>
      <c r="J3000">
        <v>42</v>
      </c>
    </row>
    <row r="3001" spans="1:10">
      <c r="A3001" s="3" t="s">
        <v>2977</v>
      </c>
      <c r="C3001">
        <v>3</v>
      </c>
      <c r="J3001">
        <v>42</v>
      </c>
    </row>
    <row r="3002" spans="1:10">
      <c r="A3002" s="3" t="s">
        <v>2978</v>
      </c>
      <c r="C3002">
        <v>3</v>
      </c>
      <c r="J3002">
        <v>42</v>
      </c>
    </row>
    <row r="3003" spans="1:10">
      <c r="A3003" s="3" t="s">
        <v>2979</v>
      </c>
      <c r="C3003">
        <v>3</v>
      </c>
      <c r="J3003">
        <v>42</v>
      </c>
    </row>
    <row r="3004" spans="1:10">
      <c r="A3004" s="3" t="s">
        <v>2980</v>
      </c>
      <c r="C3004">
        <v>3</v>
      </c>
      <c r="J3004">
        <v>42</v>
      </c>
    </row>
    <row r="3005" spans="1:10">
      <c r="A3005" s="3" t="s">
        <v>2981</v>
      </c>
      <c r="C3005">
        <v>3</v>
      </c>
      <c r="J3005">
        <v>42</v>
      </c>
    </row>
    <row r="3006" spans="1:10">
      <c r="A3006" s="3" t="s">
        <v>2982</v>
      </c>
      <c r="C3006">
        <v>3</v>
      </c>
      <c r="J3006">
        <v>42</v>
      </c>
    </row>
    <row r="3007" spans="1:10">
      <c r="A3007" s="3" t="s">
        <v>2983</v>
      </c>
      <c r="C3007">
        <v>3</v>
      </c>
      <c r="J3007">
        <v>42</v>
      </c>
    </row>
    <row r="3008" spans="1:10">
      <c r="A3008" s="3" t="s">
        <v>2984</v>
      </c>
      <c r="C3008">
        <v>3</v>
      </c>
      <c r="J3008">
        <v>42</v>
      </c>
    </row>
    <row r="3009" spans="1:48">
      <c r="A3009" s="3" t="s">
        <v>2985</v>
      </c>
      <c r="C3009">
        <v>3</v>
      </c>
      <c r="J3009">
        <v>42</v>
      </c>
    </row>
    <row r="3010" spans="1:48">
      <c r="A3010" s="3" t="s">
        <v>2986</v>
      </c>
      <c r="C3010">
        <v>3</v>
      </c>
      <c r="J3010">
        <v>42</v>
      </c>
    </row>
    <row r="3011" spans="1:48">
      <c r="A3011" s="3" t="s">
        <v>2987</v>
      </c>
      <c r="C3011">
        <v>3</v>
      </c>
      <c r="J3011">
        <v>42</v>
      </c>
    </row>
    <row r="3012" spans="1:48">
      <c r="A3012" s="3" t="s">
        <v>2988</v>
      </c>
      <c r="C3012">
        <v>3</v>
      </c>
      <c r="D3012">
        <v>4</v>
      </c>
      <c r="J3012">
        <v>42</v>
      </c>
    </row>
    <row r="3013" spans="1:48">
      <c r="A3013" s="3" t="s">
        <v>2989</v>
      </c>
      <c r="C3013">
        <v>3</v>
      </c>
      <c r="D3013">
        <v>4</v>
      </c>
      <c r="J3013">
        <v>42</v>
      </c>
    </row>
    <row r="3014" spans="1:48">
      <c r="A3014" s="3" t="s">
        <v>2990</v>
      </c>
      <c r="C3014">
        <v>3</v>
      </c>
      <c r="D3014">
        <v>4</v>
      </c>
      <c r="J3014">
        <v>42</v>
      </c>
    </row>
    <row r="3015" spans="1:48">
      <c r="A3015" s="3" t="s">
        <v>2991</v>
      </c>
      <c r="C3015">
        <v>3</v>
      </c>
      <c r="D3015">
        <v>4</v>
      </c>
      <c r="J3015">
        <v>42</v>
      </c>
    </row>
    <row r="3016" spans="1:48">
      <c r="A3016" s="3" t="s">
        <v>2992</v>
      </c>
      <c r="C3016">
        <v>3</v>
      </c>
      <c r="D3016">
        <v>4</v>
      </c>
      <c r="J3016">
        <v>42</v>
      </c>
    </row>
    <row r="3017" spans="1:48">
      <c r="A3017" s="3" t="s">
        <v>2993</v>
      </c>
      <c r="C3017">
        <v>3</v>
      </c>
      <c r="D3017">
        <v>4</v>
      </c>
      <c r="J3017">
        <v>42</v>
      </c>
    </row>
    <row r="3018" spans="1:48">
      <c r="A3018" s="3" t="s">
        <v>2994</v>
      </c>
      <c r="C3018">
        <v>3</v>
      </c>
      <c r="D3018">
        <v>4</v>
      </c>
      <c r="J3018">
        <v>42</v>
      </c>
    </row>
    <row r="3019" spans="1:48">
      <c r="A3019" s="3" t="s">
        <v>2995</v>
      </c>
      <c r="C3019">
        <v>3</v>
      </c>
      <c r="D3019">
        <v>4</v>
      </c>
      <c r="J3019">
        <v>42</v>
      </c>
    </row>
    <row r="3020" spans="1:48">
      <c r="A3020" s="3" t="s">
        <v>2996</v>
      </c>
      <c r="C3020">
        <v>3</v>
      </c>
      <c r="D3020">
        <v>4</v>
      </c>
      <c r="AV3020">
        <v>5</v>
      </c>
    </row>
    <row r="3021" spans="1:48">
      <c r="A3021" s="3" t="s">
        <v>2997</v>
      </c>
      <c r="C3021">
        <v>3</v>
      </c>
      <c r="D3021">
        <v>4</v>
      </c>
      <c r="AV3021">
        <v>5</v>
      </c>
    </row>
    <row r="3022" spans="1:48">
      <c r="A3022" s="3" t="s">
        <v>2998</v>
      </c>
      <c r="C3022">
        <v>3</v>
      </c>
      <c r="D3022">
        <v>4</v>
      </c>
      <c r="AV3022">
        <v>5</v>
      </c>
    </row>
    <row r="3023" spans="1:48">
      <c r="A3023" s="3" t="s">
        <v>2999</v>
      </c>
      <c r="C3023">
        <v>3</v>
      </c>
      <c r="D3023">
        <v>4</v>
      </c>
      <c r="AV3023">
        <v>5</v>
      </c>
    </row>
    <row r="3024" spans="1:48">
      <c r="A3024" s="3" t="s">
        <v>3000</v>
      </c>
      <c r="C3024">
        <v>3</v>
      </c>
      <c r="D3024">
        <v>4</v>
      </c>
      <c r="AV3024">
        <v>5</v>
      </c>
    </row>
    <row r="3025" spans="1:48">
      <c r="A3025" s="3" t="s">
        <v>3001</v>
      </c>
      <c r="C3025">
        <v>3</v>
      </c>
      <c r="D3025">
        <v>4</v>
      </c>
      <c r="AV3025">
        <v>5</v>
      </c>
    </row>
    <row r="3026" spans="1:48">
      <c r="A3026" s="3" t="s">
        <v>3002</v>
      </c>
      <c r="C3026">
        <v>3</v>
      </c>
      <c r="D3026">
        <v>4</v>
      </c>
      <c r="AV3026">
        <v>5</v>
      </c>
    </row>
    <row r="3027" spans="1:48">
      <c r="A3027" s="3" t="s">
        <v>3003</v>
      </c>
      <c r="C3027">
        <v>3</v>
      </c>
      <c r="D3027">
        <v>4</v>
      </c>
      <c r="AV3027">
        <v>5</v>
      </c>
    </row>
    <row r="3028" spans="1:48">
      <c r="A3028" s="3" t="s">
        <v>3004</v>
      </c>
      <c r="C3028">
        <v>3</v>
      </c>
      <c r="D3028">
        <v>4</v>
      </c>
      <c r="AV3028">
        <v>5</v>
      </c>
    </row>
    <row r="3029" spans="1:48">
      <c r="A3029" s="3" t="s">
        <v>3005</v>
      </c>
      <c r="C3029">
        <v>3</v>
      </c>
      <c r="D3029">
        <v>4</v>
      </c>
      <c r="AV3029">
        <v>5</v>
      </c>
    </row>
    <row r="3030" spans="1:48">
      <c r="A3030" s="3" t="s">
        <v>3006</v>
      </c>
      <c r="C3030">
        <v>3</v>
      </c>
      <c r="D3030">
        <v>4</v>
      </c>
      <c r="AV3030">
        <v>5</v>
      </c>
    </row>
    <row r="3031" spans="1:48">
      <c r="A3031" s="3" t="s">
        <v>3007</v>
      </c>
      <c r="C3031">
        <v>3</v>
      </c>
      <c r="D3031">
        <v>4</v>
      </c>
      <c r="AV3031">
        <v>5</v>
      </c>
    </row>
    <row r="3032" spans="1:48">
      <c r="A3032" s="3" t="s">
        <v>3008</v>
      </c>
      <c r="C3032">
        <v>3</v>
      </c>
      <c r="D3032">
        <v>4</v>
      </c>
      <c r="AV3032">
        <v>5</v>
      </c>
    </row>
    <row r="3033" spans="1:48">
      <c r="A3033" s="3" t="s">
        <v>3009</v>
      </c>
      <c r="C3033">
        <v>3</v>
      </c>
      <c r="D3033">
        <v>4</v>
      </c>
      <c r="AV3033">
        <v>5</v>
      </c>
    </row>
    <row r="3034" spans="1:48">
      <c r="A3034" s="3" t="s">
        <v>3010</v>
      </c>
      <c r="C3034">
        <v>3</v>
      </c>
      <c r="D3034">
        <v>4</v>
      </c>
      <c r="AV3034">
        <v>5</v>
      </c>
    </row>
    <row r="3035" spans="1:48">
      <c r="A3035" s="3" t="s">
        <v>3011</v>
      </c>
      <c r="C3035">
        <v>3</v>
      </c>
      <c r="D3035">
        <v>4</v>
      </c>
      <c r="AV3035">
        <v>5</v>
      </c>
    </row>
    <row r="3036" spans="1:48">
      <c r="A3036" s="3" t="s">
        <v>3012</v>
      </c>
      <c r="C3036">
        <v>3</v>
      </c>
      <c r="D3036">
        <v>4</v>
      </c>
      <c r="AV3036">
        <v>5</v>
      </c>
    </row>
    <row r="3037" spans="1:48">
      <c r="A3037" s="3" t="s">
        <v>3013</v>
      </c>
      <c r="C3037">
        <v>3</v>
      </c>
      <c r="D3037">
        <v>4</v>
      </c>
      <c r="AV3037">
        <v>5</v>
      </c>
    </row>
    <row r="3038" spans="1:48">
      <c r="A3038" s="3" t="s">
        <v>3014</v>
      </c>
      <c r="C3038">
        <v>3</v>
      </c>
      <c r="D3038">
        <v>4</v>
      </c>
      <c r="AV3038">
        <v>5</v>
      </c>
    </row>
    <row r="3039" spans="1:48">
      <c r="A3039" s="3" t="s">
        <v>3015</v>
      </c>
      <c r="C3039">
        <v>3</v>
      </c>
      <c r="D3039">
        <v>4</v>
      </c>
      <c r="AV3039">
        <v>5</v>
      </c>
    </row>
    <row r="3040" spans="1:48">
      <c r="A3040" s="3" t="s">
        <v>3016</v>
      </c>
      <c r="C3040">
        <v>3</v>
      </c>
      <c r="D3040">
        <v>4</v>
      </c>
      <c r="AV3040">
        <v>5</v>
      </c>
    </row>
    <row r="3041" spans="1:48">
      <c r="A3041" s="3" t="s">
        <v>3017</v>
      </c>
      <c r="C3041">
        <v>3</v>
      </c>
      <c r="D3041">
        <v>4</v>
      </c>
      <c r="AV3041">
        <v>5</v>
      </c>
    </row>
    <row r="3042" spans="1:48">
      <c r="A3042" s="3" t="s">
        <v>3018</v>
      </c>
      <c r="C3042">
        <v>3</v>
      </c>
      <c r="D3042">
        <v>4</v>
      </c>
      <c r="AV3042">
        <v>5</v>
      </c>
    </row>
    <row r="3043" spans="1:48">
      <c r="A3043" s="3" t="s">
        <v>3019</v>
      </c>
      <c r="C3043">
        <v>3</v>
      </c>
      <c r="D3043">
        <v>4</v>
      </c>
      <c r="AV3043">
        <v>5</v>
      </c>
    </row>
    <row r="3044" spans="1:48">
      <c r="A3044" s="3" t="s">
        <v>3020</v>
      </c>
      <c r="C3044">
        <v>3</v>
      </c>
      <c r="D3044">
        <v>4</v>
      </c>
      <c r="AV3044">
        <v>5</v>
      </c>
    </row>
    <row r="3045" spans="1:48">
      <c r="A3045" s="3" t="s">
        <v>3021</v>
      </c>
      <c r="C3045">
        <v>3</v>
      </c>
      <c r="D3045">
        <v>4</v>
      </c>
      <c r="AV3045">
        <v>5</v>
      </c>
    </row>
    <row r="3046" spans="1:48">
      <c r="A3046" s="3" t="s">
        <v>3022</v>
      </c>
      <c r="C3046">
        <v>3</v>
      </c>
      <c r="D3046">
        <v>4</v>
      </c>
      <c r="AV3046">
        <v>5</v>
      </c>
    </row>
    <row r="3047" spans="1:48">
      <c r="A3047" s="3" t="s">
        <v>3023</v>
      </c>
      <c r="C3047">
        <v>3</v>
      </c>
      <c r="D3047">
        <v>4</v>
      </c>
      <c r="AV3047">
        <v>5</v>
      </c>
    </row>
    <row r="3048" spans="1:48">
      <c r="A3048" s="3" t="s">
        <v>3024</v>
      </c>
      <c r="C3048">
        <v>3</v>
      </c>
      <c r="D3048">
        <v>4</v>
      </c>
      <c r="AV3048">
        <v>5</v>
      </c>
    </row>
    <row r="3049" spans="1:48">
      <c r="A3049" s="3" t="s">
        <v>3025</v>
      </c>
      <c r="C3049">
        <v>3</v>
      </c>
      <c r="D3049">
        <v>4</v>
      </c>
      <c r="AV3049">
        <v>5</v>
      </c>
    </row>
    <row r="3050" spans="1:48">
      <c r="A3050" s="3" t="s">
        <v>3026</v>
      </c>
      <c r="C3050">
        <v>3</v>
      </c>
      <c r="D3050">
        <v>4</v>
      </c>
      <c r="AV3050">
        <v>5</v>
      </c>
    </row>
    <row r="3051" spans="1:48">
      <c r="A3051" s="3" t="s">
        <v>3027</v>
      </c>
      <c r="C3051">
        <v>3</v>
      </c>
      <c r="D3051">
        <v>4</v>
      </c>
      <c r="AV3051">
        <v>5</v>
      </c>
    </row>
    <row r="3052" spans="1:48">
      <c r="A3052" s="3" t="s">
        <v>3028</v>
      </c>
      <c r="C3052">
        <v>3</v>
      </c>
      <c r="D3052">
        <v>4</v>
      </c>
      <c r="AV3052">
        <v>5</v>
      </c>
    </row>
    <row r="3053" spans="1:48">
      <c r="A3053" s="3" t="s">
        <v>3029</v>
      </c>
      <c r="C3053">
        <v>3</v>
      </c>
      <c r="D3053">
        <v>4</v>
      </c>
      <c r="AV3053">
        <v>5</v>
      </c>
    </row>
    <row r="3054" spans="1:48">
      <c r="A3054" s="3" t="s">
        <v>3030</v>
      </c>
      <c r="C3054">
        <v>3</v>
      </c>
      <c r="D3054">
        <v>4</v>
      </c>
      <c r="AV3054">
        <v>5</v>
      </c>
    </row>
    <row r="3055" spans="1:48">
      <c r="A3055" s="3" t="s">
        <v>3031</v>
      </c>
      <c r="C3055">
        <v>3</v>
      </c>
      <c r="D3055">
        <v>4</v>
      </c>
      <c r="J3055">
        <v>43</v>
      </c>
    </row>
    <row r="3056" spans="1:48">
      <c r="A3056" s="3" t="s">
        <v>3032</v>
      </c>
      <c r="C3056">
        <v>3</v>
      </c>
      <c r="D3056">
        <v>4</v>
      </c>
      <c r="J3056">
        <v>43</v>
      </c>
    </row>
    <row r="3057" spans="1:28">
      <c r="A3057" s="3" t="s">
        <v>3033</v>
      </c>
      <c r="C3057">
        <v>3</v>
      </c>
      <c r="D3057">
        <v>4</v>
      </c>
      <c r="J3057">
        <v>43</v>
      </c>
    </row>
    <row r="3058" spans="1:28">
      <c r="A3058" s="3" t="s">
        <v>3034</v>
      </c>
      <c r="C3058">
        <v>3</v>
      </c>
      <c r="D3058">
        <v>4</v>
      </c>
      <c r="J3058">
        <v>43</v>
      </c>
    </row>
    <row r="3059" spans="1:28">
      <c r="A3059" s="3" t="s">
        <v>3035</v>
      </c>
      <c r="C3059">
        <v>3</v>
      </c>
      <c r="D3059">
        <v>4</v>
      </c>
      <c r="J3059">
        <v>43</v>
      </c>
    </row>
    <row r="3060" spans="1:28">
      <c r="A3060" s="3" t="s">
        <v>3036</v>
      </c>
      <c r="C3060">
        <v>3</v>
      </c>
      <c r="D3060">
        <v>4</v>
      </c>
      <c r="J3060">
        <v>43</v>
      </c>
    </row>
    <row r="3061" spans="1:28">
      <c r="A3061" s="3" t="s">
        <v>3037</v>
      </c>
      <c r="C3061">
        <v>3</v>
      </c>
      <c r="D3061">
        <v>4</v>
      </c>
      <c r="J3061">
        <v>43</v>
      </c>
    </row>
    <row r="3062" spans="1:28">
      <c r="A3062" s="3" t="s">
        <v>3038</v>
      </c>
      <c r="C3062">
        <v>3</v>
      </c>
      <c r="D3062">
        <v>4</v>
      </c>
      <c r="J3062">
        <v>43</v>
      </c>
    </row>
    <row r="3063" spans="1:28">
      <c r="A3063" s="3" t="s">
        <v>3039</v>
      </c>
      <c r="C3063">
        <v>3</v>
      </c>
      <c r="D3063">
        <v>4</v>
      </c>
      <c r="J3063">
        <v>43</v>
      </c>
    </row>
    <row r="3064" spans="1:28">
      <c r="A3064" s="3" t="s">
        <v>3040</v>
      </c>
      <c r="C3064">
        <v>3</v>
      </c>
      <c r="D3064">
        <v>4</v>
      </c>
      <c r="J3064">
        <v>43</v>
      </c>
    </row>
    <row r="3065" spans="1:28">
      <c r="A3065" s="3" t="s">
        <v>3041</v>
      </c>
      <c r="D3065">
        <v>4</v>
      </c>
      <c r="J3065">
        <v>43</v>
      </c>
    </row>
    <row r="3066" spans="1:28">
      <c r="A3066" s="3" t="s">
        <v>3042</v>
      </c>
      <c r="D3066">
        <v>4</v>
      </c>
      <c r="J3066">
        <v>43</v>
      </c>
    </row>
    <row r="3067" spans="1:28">
      <c r="A3067" s="3" t="s">
        <v>3043</v>
      </c>
      <c r="D3067">
        <v>4</v>
      </c>
      <c r="J3067">
        <v>43</v>
      </c>
    </row>
    <row r="3068" spans="1:28">
      <c r="A3068" s="3" t="s">
        <v>3044</v>
      </c>
      <c r="D3068">
        <v>4</v>
      </c>
      <c r="J3068">
        <v>43</v>
      </c>
    </row>
    <row r="3069" spans="1:28">
      <c r="A3069" s="3" t="s">
        <v>3045</v>
      </c>
      <c r="D3069">
        <v>4</v>
      </c>
      <c r="J3069">
        <v>43</v>
      </c>
    </row>
    <row r="3070" spans="1:28">
      <c r="A3070" s="3" t="s">
        <v>3046</v>
      </c>
      <c r="D3070">
        <v>4</v>
      </c>
      <c r="J3070">
        <v>43</v>
      </c>
    </row>
    <row r="3071" spans="1:28">
      <c r="A3071" s="3" t="s">
        <v>3047</v>
      </c>
      <c r="D3071">
        <v>4</v>
      </c>
      <c r="AB3071">
        <v>3</v>
      </c>
    </row>
    <row r="3072" spans="1:28">
      <c r="A3072" s="3" t="s">
        <v>3048</v>
      </c>
      <c r="D3072">
        <v>4</v>
      </c>
      <c r="AB3072">
        <v>3</v>
      </c>
    </row>
    <row r="3073" spans="1:28">
      <c r="A3073" s="3" t="s">
        <v>3049</v>
      </c>
      <c r="D3073">
        <v>4</v>
      </c>
      <c r="AB3073">
        <v>3</v>
      </c>
    </row>
    <row r="3074" spans="1:28">
      <c r="A3074" s="3" t="s">
        <v>3050</v>
      </c>
      <c r="D3074">
        <v>4</v>
      </c>
      <c r="AB3074">
        <v>3</v>
      </c>
    </row>
    <row r="3075" spans="1:28">
      <c r="A3075" s="3" t="s">
        <v>3051</v>
      </c>
      <c r="D3075">
        <v>4</v>
      </c>
      <c r="AB3075">
        <v>3</v>
      </c>
    </row>
    <row r="3076" spans="1:28">
      <c r="A3076" s="3" t="s">
        <v>3052</v>
      </c>
      <c r="D3076">
        <v>4</v>
      </c>
      <c r="AB3076">
        <v>3</v>
      </c>
    </row>
    <row r="3077" spans="1:28">
      <c r="A3077" s="3" t="s">
        <v>3053</v>
      </c>
      <c r="D3077">
        <v>4</v>
      </c>
      <c r="AB3077">
        <v>3</v>
      </c>
    </row>
    <row r="3078" spans="1:28">
      <c r="A3078" s="3" t="s">
        <v>3054</v>
      </c>
      <c r="D3078">
        <v>4</v>
      </c>
      <c r="AB3078">
        <v>3</v>
      </c>
    </row>
    <row r="3079" spans="1:28">
      <c r="A3079" s="3" t="s">
        <v>3055</v>
      </c>
      <c r="D3079">
        <v>4</v>
      </c>
      <c r="AB3079">
        <v>3</v>
      </c>
    </row>
    <row r="3080" spans="1:28">
      <c r="A3080" s="3" t="s">
        <v>3056</v>
      </c>
      <c r="D3080">
        <v>4</v>
      </c>
      <c r="AB3080">
        <v>3</v>
      </c>
    </row>
    <row r="3081" spans="1:28">
      <c r="A3081" s="3" t="s">
        <v>3057</v>
      </c>
      <c r="D3081">
        <v>4</v>
      </c>
      <c r="AB3081">
        <v>3</v>
      </c>
    </row>
    <row r="3082" spans="1:28">
      <c r="A3082" s="3" t="s">
        <v>3058</v>
      </c>
      <c r="D3082">
        <v>4</v>
      </c>
      <c r="AB3082">
        <v>3</v>
      </c>
    </row>
    <row r="3083" spans="1:28">
      <c r="A3083" s="3" t="s">
        <v>3059</v>
      </c>
      <c r="D3083">
        <v>4</v>
      </c>
      <c r="AB3083">
        <v>3</v>
      </c>
    </row>
    <row r="3084" spans="1:28">
      <c r="A3084" s="3" t="s">
        <v>3060</v>
      </c>
      <c r="D3084">
        <v>4</v>
      </c>
      <c r="AB3084">
        <v>3</v>
      </c>
    </row>
    <row r="3085" spans="1:28">
      <c r="A3085" s="3" t="s">
        <v>3061</v>
      </c>
      <c r="D3085">
        <v>4</v>
      </c>
      <c r="AB3085">
        <v>3</v>
      </c>
    </row>
    <row r="3086" spans="1:28">
      <c r="A3086" s="3" t="s">
        <v>3062</v>
      </c>
      <c r="D3086">
        <v>4</v>
      </c>
      <c r="AB3086">
        <v>3</v>
      </c>
    </row>
    <row r="3087" spans="1:28">
      <c r="A3087" s="3" t="s">
        <v>3063</v>
      </c>
      <c r="D3087">
        <v>4</v>
      </c>
      <c r="AB3087">
        <v>3</v>
      </c>
    </row>
    <row r="3088" spans="1:28">
      <c r="A3088" s="3" t="s">
        <v>3064</v>
      </c>
      <c r="D3088">
        <v>4</v>
      </c>
      <c r="AB3088">
        <v>3</v>
      </c>
    </row>
    <row r="3089" spans="1:28">
      <c r="A3089" s="3" t="s">
        <v>3065</v>
      </c>
      <c r="D3089">
        <v>4</v>
      </c>
      <c r="AB3089">
        <v>3</v>
      </c>
    </row>
    <row r="3090" spans="1:28">
      <c r="A3090" s="3" t="s">
        <v>3066</v>
      </c>
      <c r="D3090">
        <v>4</v>
      </c>
      <c r="AB3090">
        <v>3</v>
      </c>
    </row>
    <row r="3091" spans="1:28">
      <c r="A3091" s="3" t="s">
        <v>3067</v>
      </c>
      <c r="D3091">
        <v>4</v>
      </c>
      <c r="AB3091">
        <v>3</v>
      </c>
    </row>
    <row r="3092" spans="1:28">
      <c r="A3092" s="3" t="s">
        <v>3068</v>
      </c>
      <c r="D3092">
        <v>4</v>
      </c>
      <c r="AB3092">
        <v>3</v>
      </c>
    </row>
    <row r="3093" spans="1:28">
      <c r="A3093" s="3" t="s">
        <v>3069</v>
      </c>
      <c r="D3093">
        <v>4</v>
      </c>
      <c r="AB3093">
        <v>3</v>
      </c>
    </row>
    <row r="3094" spans="1:28">
      <c r="A3094" s="3" t="s">
        <v>3070</v>
      </c>
      <c r="D3094">
        <v>4</v>
      </c>
      <c r="AB3094">
        <v>3</v>
      </c>
    </row>
    <row r="3095" spans="1:28">
      <c r="A3095" s="3" t="s">
        <v>3071</v>
      </c>
      <c r="D3095">
        <v>4</v>
      </c>
      <c r="AB3095">
        <v>3</v>
      </c>
    </row>
    <row r="3096" spans="1:28">
      <c r="A3096" s="3" t="s">
        <v>3072</v>
      </c>
      <c r="D3096">
        <v>4</v>
      </c>
      <c r="AB3096">
        <v>3</v>
      </c>
    </row>
    <row r="3097" spans="1:28">
      <c r="A3097" s="3" t="s">
        <v>3073</v>
      </c>
      <c r="D3097">
        <v>4</v>
      </c>
      <c r="AB3097">
        <v>3</v>
      </c>
    </row>
    <row r="3098" spans="1:28">
      <c r="A3098" s="3" t="s">
        <v>3074</v>
      </c>
      <c r="D3098">
        <v>4</v>
      </c>
      <c r="AB3098">
        <v>3</v>
      </c>
    </row>
    <row r="3099" spans="1:28">
      <c r="A3099" s="3" t="s">
        <v>3075</v>
      </c>
      <c r="D3099">
        <v>4</v>
      </c>
      <c r="AB3099">
        <v>3</v>
      </c>
    </row>
    <row r="3100" spans="1:28">
      <c r="A3100" s="3" t="s">
        <v>3076</v>
      </c>
      <c r="D3100">
        <v>4</v>
      </c>
      <c r="AB3100">
        <v>3</v>
      </c>
    </row>
    <row r="3101" spans="1:28">
      <c r="A3101" s="3" t="s">
        <v>3077</v>
      </c>
      <c r="D3101">
        <v>4</v>
      </c>
      <c r="AB3101">
        <v>3</v>
      </c>
    </row>
    <row r="3102" spans="1:28">
      <c r="A3102" s="3" t="s">
        <v>3078</v>
      </c>
      <c r="D3102">
        <v>4</v>
      </c>
      <c r="AB3102">
        <v>3</v>
      </c>
    </row>
    <row r="3103" spans="1:28">
      <c r="A3103" s="3" t="s">
        <v>3079</v>
      </c>
      <c r="D3103">
        <v>4</v>
      </c>
      <c r="AB3103">
        <v>3</v>
      </c>
    </row>
    <row r="3104" spans="1:28">
      <c r="A3104" s="3" t="s">
        <v>3080</v>
      </c>
      <c r="D3104">
        <v>4</v>
      </c>
      <c r="AB3104">
        <v>3</v>
      </c>
    </row>
    <row r="3105" spans="1:28">
      <c r="A3105" s="3" t="s">
        <v>3081</v>
      </c>
      <c r="D3105">
        <v>4</v>
      </c>
      <c r="AB3105">
        <v>3</v>
      </c>
    </row>
    <row r="3106" spans="1:28">
      <c r="A3106" s="3" t="s">
        <v>3082</v>
      </c>
      <c r="D3106">
        <v>4</v>
      </c>
      <c r="AB3106">
        <v>3</v>
      </c>
    </row>
    <row r="3107" spans="1:28">
      <c r="A3107" s="3" t="s">
        <v>3083</v>
      </c>
      <c r="D3107">
        <v>4</v>
      </c>
      <c r="AB3107">
        <v>3</v>
      </c>
    </row>
    <row r="3108" spans="1:28">
      <c r="A3108" s="3" t="s">
        <v>3084</v>
      </c>
      <c r="D3108">
        <v>4</v>
      </c>
      <c r="AB3108">
        <v>3</v>
      </c>
    </row>
    <row r="3109" spans="1:28">
      <c r="A3109" s="3" t="s">
        <v>3085</v>
      </c>
      <c r="D3109">
        <v>4</v>
      </c>
      <c r="AB3109">
        <v>3</v>
      </c>
    </row>
    <row r="3110" spans="1:28">
      <c r="A3110" s="3" t="s">
        <v>3086</v>
      </c>
      <c r="D3110">
        <v>4</v>
      </c>
      <c r="AB3110">
        <v>3</v>
      </c>
    </row>
    <row r="3111" spans="1:28">
      <c r="A3111" s="3" t="s">
        <v>3087</v>
      </c>
      <c r="D3111">
        <v>4</v>
      </c>
      <c r="AB3111">
        <v>3</v>
      </c>
    </row>
    <row r="3112" spans="1:28">
      <c r="A3112" s="3" t="s">
        <v>3088</v>
      </c>
      <c r="D3112">
        <v>4</v>
      </c>
      <c r="AB3112">
        <v>3</v>
      </c>
    </row>
    <row r="3113" spans="1:28">
      <c r="A3113" s="3" t="s">
        <v>3089</v>
      </c>
      <c r="D3113">
        <v>4</v>
      </c>
      <c r="AB3113">
        <v>3</v>
      </c>
    </row>
    <row r="3114" spans="1:28">
      <c r="A3114" s="3" t="s">
        <v>3090</v>
      </c>
      <c r="D3114">
        <v>4</v>
      </c>
      <c r="AB3114">
        <v>3</v>
      </c>
    </row>
    <row r="3115" spans="1:28">
      <c r="A3115" s="3" t="s">
        <v>3091</v>
      </c>
      <c r="D3115">
        <v>4</v>
      </c>
      <c r="AB3115">
        <v>3</v>
      </c>
    </row>
    <row r="3116" spans="1:28">
      <c r="A3116" s="3" t="s">
        <v>3092</v>
      </c>
      <c r="D3116">
        <v>4</v>
      </c>
      <c r="AB3116">
        <v>3</v>
      </c>
    </row>
    <row r="3117" spans="1:28">
      <c r="A3117" s="3" t="s">
        <v>3093</v>
      </c>
      <c r="D3117">
        <v>4</v>
      </c>
      <c r="AB3117">
        <v>3</v>
      </c>
    </row>
    <row r="3118" spans="1:28">
      <c r="A3118" s="3" t="s">
        <v>3094</v>
      </c>
      <c r="D3118">
        <v>4</v>
      </c>
      <c r="AB3118">
        <v>3</v>
      </c>
    </row>
    <row r="3119" spans="1:28">
      <c r="A3119" s="3" t="s">
        <v>3095</v>
      </c>
      <c r="D3119">
        <v>4</v>
      </c>
      <c r="AB3119">
        <v>3</v>
      </c>
    </row>
    <row r="3120" spans="1:28">
      <c r="A3120" s="3" t="s">
        <v>3096</v>
      </c>
      <c r="D3120">
        <v>4</v>
      </c>
      <c r="AB3120">
        <v>3</v>
      </c>
    </row>
    <row r="3121" spans="1:28">
      <c r="A3121" s="3" t="s">
        <v>3097</v>
      </c>
      <c r="D3121">
        <v>4</v>
      </c>
      <c r="AB3121">
        <v>3</v>
      </c>
    </row>
    <row r="3122" spans="1:28">
      <c r="A3122" s="3" t="s">
        <v>3098</v>
      </c>
      <c r="D3122">
        <v>4</v>
      </c>
      <c r="AB3122">
        <v>3</v>
      </c>
    </row>
    <row r="3123" spans="1:28">
      <c r="A3123" s="3" t="s">
        <v>3099</v>
      </c>
      <c r="D3123">
        <v>4</v>
      </c>
      <c r="AB3123">
        <v>3</v>
      </c>
    </row>
    <row r="3124" spans="1:28">
      <c r="A3124" s="3" t="s">
        <v>3100</v>
      </c>
      <c r="D3124">
        <v>4</v>
      </c>
      <c r="AB3124">
        <v>3</v>
      </c>
    </row>
    <row r="3125" spans="1:28">
      <c r="A3125" s="3" t="s">
        <v>3101</v>
      </c>
      <c r="D3125">
        <v>4</v>
      </c>
      <c r="AB3125">
        <v>3</v>
      </c>
    </row>
    <row r="3126" spans="1:28">
      <c r="A3126" s="3" t="s">
        <v>3102</v>
      </c>
      <c r="D3126">
        <v>4</v>
      </c>
      <c r="AB3126">
        <v>3</v>
      </c>
    </row>
    <row r="3127" spans="1:28">
      <c r="A3127" s="3" t="s">
        <v>3103</v>
      </c>
      <c r="D3127">
        <v>4</v>
      </c>
      <c r="AB3127">
        <v>3</v>
      </c>
    </row>
    <row r="3128" spans="1:28">
      <c r="A3128" s="3" t="s">
        <v>3104</v>
      </c>
      <c r="D3128">
        <v>4</v>
      </c>
      <c r="AB3128">
        <v>3</v>
      </c>
    </row>
    <row r="3129" spans="1:28">
      <c r="A3129" s="3" t="s">
        <v>3105</v>
      </c>
      <c r="D3129">
        <v>4</v>
      </c>
      <c r="AB3129">
        <v>3</v>
      </c>
    </row>
    <row r="3130" spans="1:28">
      <c r="A3130" s="3" t="s">
        <v>3106</v>
      </c>
      <c r="D3130">
        <v>4</v>
      </c>
      <c r="AB3130">
        <v>3</v>
      </c>
    </row>
    <row r="3131" spans="1:28">
      <c r="A3131" s="3" t="s">
        <v>3107</v>
      </c>
      <c r="D3131">
        <v>4</v>
      </c>
      <c r="AB3131">
        <v>3</v>
      </c>
    </row>
    <row r="3132" spans="1:28">
      <c r="A3132" s="3" t="s">
        <v>3108</v>
      </c>
      <c r="D3132">
        <v>4</v>
      </c>
      <c r="AB3132">
        <v>3</v>
      </c>
    </row>
    <row r="3133" spans="1:28">
      <c r="A3133" s="3" t="s">
        <v>3109</v>
      </c>
      <c r="D3133">
        <v>4</v>
      </c>
      <c r="AB3133">
        <v>3</v>
      </c>
    </row>
    <row r="3134" spans="1:28">
      <c r="A3134" s="3" t="s">
        <v>3110</v>
      </c>
      <c r="D3134">
        <v>4</v>
      </c>
      <c r="AB3134">
        <v>3</v>
      </c>
    </row>
    <row r="3135" spans="1:28">
      <c r="A3135" s="3" t="s">
        <v>3111</v>
      </c>
      <c r="D3135">
        <v>4</v>
      </c>
      <c r="AB3135">
        <v>3</v>
      </c>
    </row>
    <row r="3136" spans="1:28">
      <c r="A3136" s="3" t="s">
        <v>3112</v>
      </c>
      <c r="D3136">
        <v>4</v>
      </c>
      <c r="AB3136">
        <v>3</v>
      </c>
    </row>
    <row r="3137" spans="1:49">
      <c r="A3137" s="3" t="s">
        <v>3113</v>
      </c>
      <c r="D3137">
        <v>4</v>
      </c>
      <c r="AB3137">
        <v>3</v>
      </c>
    </row>
    <row r="3138" spans="1:49">
      <c r="A3138" s="3" t="s">
        <v>3114</v>
      </c>
      <c r="D3138">
        <v>4</v>
      </c>
      <c r="AB3138">
        <v>3</v>
      </c>
    </row>
    <row r="3139" spans="1:49">
      <c r="A3139" s="3" t="s">
        <v>3115</v>
      </c>
      <c r="D3139">
        <v>4</v>
      </c>
      <c r="AB3139">
        <v>3</v>
      </c>
    </row>
    <row r="3140" spans="1:49">
      <c r="A3140" s="3" t="s">
        <v>3116</v>
      </c>
      <c r="D3140">
        <v>4</v>
      </c>
      <c r="AB3140">
        <v>3</v>
      </c>
    </row>
    <row r="3141" spans="1:49">
      <c r="A3141" s="3" t="s">
        <v>3117</v>
      </c>
      <c r="D3141">
        <v>4</v>
      </c>
      <c r="AB3141">
        <v>3</v>
      </c>
    </row>
    <row r="3142" spans="1:49">
      <c r="A3142" s="3" t="s">
        <v>3118</v>
      </c>
      <c r="D3142">
        <v>4</v>
      </c>
      <c r="AB3142">
        <v>3</v>
      </c>
    </row>
    <row r="3143" spans="1:49">
      <c r="A3143" s="3" t="s">
        <v>3119</v>
      </c>
      <c r="D3143">
        <v>4</v>
      </c>
      <c r="AW3143">
        <v>30</v>
      </c>
    </row>
    <row r="3144" spans="1:49">
      <c r="A3144" s="3" t="s">
        <v>3120</v>
      </c>
      <c r="D3144">
        <v>4</v>
      </c>
      <c r="AW3144">
        <v>30</v>
      </c>
    </row>
    <row r="3145" spans="1:49">
      <c r="A3145" s="3" t="s">
        <v>3121</v>
      </c>
      <c r="D3145">
        <v>4</v>
      </c>
      <c r="AW3145">
        <v>30</v>
      </c>
    </row>
    <row r="3146" spans="1:49">
      <c r="A3146" s="3" t="s">
        <v>3122</v>
      </c>
      <c r="D3146">
        <v>4</v>
      </c>
      <c r="AW3146">
        <v>30</v>
      </c>
    </row>
    <row r="3147" spans="1:49">
      <c r="A3147" s="3" t="s">
        <v>3123</v>
      </c>
      <c r="D3147">
        <v>4</v>
      </c>
      <c r="AW3147">
        <v>30</v>
      </c>
    </row>
    <row r="3148" spans="1:49">
      <c r="A3148" s="3" t="s">
        <v>3124</v>
      </c>
      <c r="D3148">
        <v>4</v>
      </c>
      <c r="AW3148">
        <v>30</v>
      </c>
    </row>
    <row r="3149" spans="1:49">
      <c r="A3149" s="3" t="s">
        <v>3125</v>
      </c>
      <c r="D3149">
        <v>4</v>
      </c>
      <c r="AW3149">
        <v>30</v>
      </c>
    </row>
    <row r="3150" spans="1:49">
      <c r="A3150" s="3" t="s">
        <v>3126</v>
      </c>
      <c r="D3150">
        <v>4</v>
      </c>
      <c r="J3150">
        <v>44</v>
      </c>
    </row>
    <row r="3151" spans="1:49">
      <c r="A3151" s="3" t="s">
        <v>3127</v>
      </c>
      <c r="D3151">
        <v>4</v>
      </c>
      <c r="J3151">
        <v>44</v>
      </c>
    </row>
    <row r="3152" spans="1:49">
      <c r="A3152" s="3" t="s">
        <v>3128</v>
      </c>
      <c r="D3152">
        <v>4</v>
      </c>
      <c r="J3152">
        <v>44</v>
      </c>
    </row>
    <row r="3153" spans="1:10">
      <c r="A3153" s="3" t="s">
        <v>3129</v>
      </c>
      <c r="D3153">
        <v>4</v>
      </c>
      <c r="J3153">
        <v>44</v>
      </c>
    </row>
    <row r="3154" spans="1:10">
      <c r="A3154" s="3" t="s">
        <v>3130</v>
      </c>
      <c r="D3154">
        <v>4</v>
      </c>
      <c r="J3154">
        <v>44</v>
      </c>
    </row>
    <row r="3155" spans="1:10">
      <c r="A3155" s="3" t="s">
        <v>3131</v>
      </c>
      <c r="D3155">
        <v>4</v>
      </c>
      <c r="J3155">
        <v>44</v>
      </c>
    </row>
    <row r="3156" spans="1:10">
      <c r="A3156" s="3" t="s">
        <v>3132</v>
      </c>
      <c r="D3156">
        <v>4</v>
      </c>
      <c r="J3156">
        <v>44</v>
      </c>
    </row>
    <row r="3157" spans="1:10">
      <c r="A3157" s="3" t="s">
        <v>3133</v>
      </c>
      <c r="D3157">
        <v>4</v>
      </c>
      <c r="J3157">
        <v>44</v>
      </c>
    </row>
    <row r="3158" spans="1:10">
      <c r="A3158" s="3" t="s">
        <v>3134</v>
      </c>
      <c r="D3158">
        <v>4</v>
      </c>
      <c r="J3158">
        <v>44</v>
      </c>
    </row>
    <row r="3159" spans="1:10">
      <c r="A3159" s="3" t="s">
        <v>3135</v>
      </c>
      <c r="D3159">
        <v>4</v>
      </c>
      <c r="J3159">
        <v>44</v>
      </c>
    </row>
    <row r="3160" spans="1:10">
      <c r="A3160" s="3" t="s">
        <v>3136</v>
      </c>
      <c r="D3160">
        <v>4</v>
      </c>
      <c r="J3160">
        <v>44</v>
      </c>
    </row>
    <row r="3161" spans="1:10">
      <c r="A3161" s="3" t="s">
        <v>3137</v>
      </c>
      <c r="D3161">
        <v>4</v>
      </c>
      <c r="J3161">
        <v>44</v>
      </c>
    </row>
    <row r="3162" spans="1:10">
      <c r="A3162" s="3" t="s">
        <v>3138</v>
      </c>
      <c r="D3162">
        <v>4</v>
      </c>
      <c r="J3162">
        <v>44</v>
      </c>
    </row>
    <row r="3163" spans="1:10">
      <c r="A3163" s="3" t="s">
        <v>3139</v>
      </c>
      <c r="D3163">
        <v>4</v>
      </c>
      <c r="J3163">
        <v>44</v>
      </c>
    </row>
    <row r="3164" spans="1:10">
      <c r="A3164" s="3" t="s">
        <v>3140</v>
      </c>
      <c r="D3164">
        <v>4</v>
      </c>
      <c r="J3164">
        <v>44</v>
      </c>
    </row>
    <row r="3165" spans="1:10">
      <c r="A3165" s="3" t="s">
        <v>3141</v>
      </c>
      <c r="D3165">
        <v>4</v>
      </c>
      <c r="J3165">
        <v>44</v>
      </c>
    </row>
    <row r="3166" spans="1:10">
      <c r="A3166" s="3" t="s">
        <v>3142</v>
      </c>
      <c r="D3166">
        <v>4</v>
      </c>
      <c r="J3166">
        <v>44</v>
      </c>
    </row>
    <row r="3167" spans="1:10">
      <c r="A3167" s="3" t="s">
        <v>3143</v>
      </c>
      <c r="D3167">
        <v>4</v>
      </c>
      <c r="J3167">
        <v>44</v>
      </c>
    </row>
    <row r="3168" spans="1:10">
      <c r="A3168" s="3" t="s">
        <v>3144</v>
      </c>
      <c r="D3168">
        <v>4</v>
      </c>
      <c r="J3168">
        <v>44</v>
      </c>
    </row>
    <row r="3169" spans="1:10">
      <c r="A3169" s="3" t="s">
        <v>3145</v>
      </c>
      <c r="D3169">
        <v>4</v>
      </c>
      <c r="J3169">
        <v>44</v>
      </c>
    </row>
    <row r="3170" spans="1:10">
      <c r="A3170" s="3" t="s">
        <v>3146</v>
      </c>
      <c r="D3170">
        <v>4</v>
      </c>
      <c r="J3170">
        <v>44</v>
      </c>
    </row>
    <row r="3171" spans="1:10">
      <c r="A3171" s="3" t="s">
        <v>3147</v>
      </c>
      <c r="D3171">
        <v>4</v>
      </c>
      <c r="J3171">
        <v>44</v>
      </c>
    </row>
    <row r="3172" spans="1:10">
      <c r="A3172" s="3" t="s">
        <v>3148</v>
      </c>
      <c r="D3172">
        <v>4</v>
      </c>
      <c r="J3172">
        <v>44</v>
      </c>
    </row>
    <row r="3173" spans="1:10">
      <c r="A3173" s="3" t="s">
        <v>3149</v>
      </c>
      <c r="D3173">
        <v>4</v>
      </c>
      <c r="J3173">
        <v>44</v>
      </c>
    </row>
    <row r="3174" spans="1:10">
      <c r="A3174" s="3" t="s">
        <v>3150</v>
      </c>
      <c r="D3174">
        <v>4</v>
      </c>
      <c r="J3174">
        <v>44</v>
      </c>
    </row>
    <row r="3175" spans="1:10">
      <c r="A3175" s="3" t="s">
        <v>3151</v>
      </c>
      <c r="D3175">
        <v>4</v>
      </c>
      <c r="J3175">
        <v>44</v>
      </c>
    </row>
    <row r="3176" spans="1:10">
      <c r="A3176" s="3" t="s">
        <v>3152</v>
      </c>
      <c r="D3176">
        <v>4</v>
      </c>
      <c r="J3176">
        <v>44</v>
      </c>
    </row>
    <row r="3177" spans="1:10">
      <c r="A3177" s="3" t="s">
        <v>3153</v>
      </c>
      <c r="D3177">
        <v>4</v>
      </c>
      <c r="J3177">
        <v>44</v>
      </c>
    </row>
    <row r="3178" spans="1:10">
      <c r="A3178" s="3" t="s">
        <v>3154</v>
      </c>
      <c r="D3178">
        <v>4</v>
      </c>
      <c r="J3178">
        <v>44</v>
      </c>
    </row>
    <row r="3179" spans="1:10">
      <c r="A3179" s="3" t="s">
        <v>3155</v>
      </c>
      <c r="D3179">
        <v>4</v>
      </c>
      <c r="J3179">
        <v>44</v>
      </c>
    </row>
    <row r="3180" spans="1:10">
      <c r="A3180" s="3" t="s">
        <v>3156</v>
      </c>
      <c r="D3180">
        <v>4</v>
      </c>
      <c r="J3180">
        <v>44</v>
      </c>
    </row>
    <row r="3181" spans="1:10">
      <c r="A3181" s="3" t="s">
        <v>3157</v>
      </c>
      <c r="D3181">
        <v>4</v>
      </c>
      <c r="J3181">
        <v>44</v>
      </c>
    </row>
    <row r="3182" spans="1:10">
      <c r="A3182" s="3" t="s">
        <v>3158</v>
      </c>
      <c r="D3182">
        <v>4</v>
      </c>
      <c r="J3182">
        <v>44</v>
      </c>
    </row>
    <row r="3183" spans="1:10">
      <c r="A3183" s="3" t="s">
        <v>3159</v>
      </c>
      <c r="D3183">
        <v>4</v>
      </c>
      <c r="J3183">
        <v>44</v>
      </c>
    </row>
    <row r="3184" spans="1:10">
      <c r="A3184" s="3" t="s">
        <v>3160</v>
      </c>
      <c r="D3184">
        <v>4</v>
      </c>
      <c r="J3184">
        <v>44</v>
      </c>
    </row>
    <row r="3185" spans="1:46">
      <c r="A3185" s="3" t="s">
        <v>3161</v>
      </c>
      <c r="D3185">
        <v>4</v>
      </c>
      <c r="J3185">
        <v>44</v>
      </c>
    </row>
    <row r="3186" spans="1:46">
      <c r="A3186" s="3" t="s">
        <v>3162</v>
      </c>
      <c r="D3186">
        <v>4</v>
      </c>
      <c r="J3186">
        <v>44</v>
      </c>
    </row>
    <row r="3187" spans="1:46">
      <c r="A3187" s="3" t="s">
        <v>3163</v>
      </c>
      <c r="D3187">
        <v>4</v>
      </c>
      <c r="E3187">
        <v>5</v>
      </c>
      <c r="J3187">
        <v>44</v>
      </c>
    </row>
    <row r="3188" spans="1:46">
      <c r="A3188" s="3" t="s">
        <v>3164</v>
      </c>
      <c r="D3188">
        <v>4</v>
      </c>
      <c r="E3188">
        <v>5</v>
      </c>
      <c r="J3188">
        <v>44</v>
      </c>
    </row>
    <row r="3189" spans="1:46">
      <c r="A3189" s="3" t="s">
        <v>3165</v>
      </c>
      <c r="D3189">
        <v>4</v>
      </c>
      <c r="E3189">
        <v>5</v>
      </c>
      <c r="J3189">
        <v>44</v>
      </c>
    </row>
    <row r="3190" spans="1:46">
      <c r="A3190" s="3" t="s">
        <v>3166</v>
      </c>
      <c r="D3190">
        <v>4</v>
      </c>
      <c r="E3190">
        <v>5</v>
      </c>
      <c r="J3190">
        <v>44</v>
      </c>
    </row>
    <row r="3191" spans="1:46">
      <c r="A3191" s="3" t="s">
        <v>3167</v>
      </c>
      <c r="D3191">
        <v>4</v>
      </c>
      <c r="E3191">
        <v>5</v>
      </c>
      <c r="J3191">
        <v>44</v>
      </c>
    </row>
    <row r="3192" spans="1:46">
      <c r="A3192" s="3" t="s">
        <v>3168</v>
      </c>
      <c r="D3192">
        <v>4</v>
      </c>
      <c r="E3192">
        <v>5</v>
      </c>
      <c r="J3192">
        <v>44</v>
      </c>
    </row>
    <row r="3193" spans="1:46">
      <c r="A3193" s="3" t="s">
        <v>3169</v>
      </c>
      <c r="D3193">
        <v>4</v>
      </c>
      <c r="E3193">
        <v>5</v>
      </c>
      <c r="J3193">
        <v>44</v>
      </c>
    </row>
    <row r="3194" spans="1:46">
      <c r="A3194" s="3" t="s">
        <v>3170</v>
      </c>
      <c r="D3194">
        <v>4</v>
      </c>
      <c r="E3194">
        <v>5</v>
      </c>
      <c r="J3194">
        <v>44</v>
      </c>
    </row>
    <row r="3195" spans="1:46">
      <c r="A3195" s="3" t="s">
        <v>3171</v>
      </c>
      <c r="D3195">
        <v>4</v>
      </c>
      <c r="E3195">
        <v>5</v>
      </c>
      <c r="J3195">
        <v>44</v>
      </c>
    </row>
    <row r="3196" spans="1:46">
      <c r="A3196" s="3" t="s">
        <v>3172</v>
      </c>
      <c r="D3196">
        <v>4</v>
      </c>
      <c r="E3196">
        <v>5</v>
      </c>
      <c r="J3196">
        <v>44</v>
      </c>
    </row>
    <row r="3197" spans="1:46">
      <c r="A3197" s="3" t="s">
        <v>3173</v>
      </c>
      <c r="D3197">
        <v>4</v>
      </c>
      <c r="E3197">
        <v>5</v>
      </c>
      <c r="J3197">
        <v>44</v>
      </c>
    </row>
    <row r="3198" spans="1:46">
      <c r="A3198" s="3" t="s">
        <v>3174</v>
      </c>
      <c r="D3198">
        <v>4</v>
      </c>
      <c r="E3198">
        <v>5</v>
      </c>
      <c r="J3198">
        <v>44</v>
      </c>
    </row>
    <row r="3199" spans="1:46">
      <c r="A3199" s="3" t="s">
        <v>3175</v>
      </c>
      <c r="D3199">
        <v>4</v>
      </c>
      <c r="E3199">
        <v>5</v>
      </c>
      <c r="AT3199">
        <v>7</v>
      </c>
    </row>
    <row r="3200" spans="1:46">
      <c r="A3200" s="3" t="s">
        <v>3176</v>
      </c>
      <c r="D3200">
        <v>4</v>
      </c>
      <c r="E3200">
        <v>5</v>
      </c>
      <c r="AT3200">
        <v>7</v>
      </c>
    </row>
    <row r="3201" spans="1:46">
      <c r="A3201" s="3" t="s">
        <v>3177</v>
      </c>
      <c r="D3201">
        <v>4</v>
      </c>
      <c r="E3201">
        <v>5</v>
      </c>
      <c r="AT3201">
        <v>7</v>
      </c>
    </row>
    <row r="3202" spans="1:46">
      <c r="A3202" s="3" t="s">
        <v>3178</v>
      </c>
      <c r="D3202">
        <v>4</v>
      </c>
      <c r="E3202">
        <v>5</v>
      </c>
      <c r="AT3202">
        <v>7</v>
      </c>
    </row>
    <row r="3203" spans="1:46">
      <c r="A3203" s="3" t="s">
        <v>3179</v>
      </c>
      <c r="D3203">
        <v>4</v>
      </c>
      <c r="E3203">
        <v>5</v>
      </c>
      <c r="AT3203">
        <v>7</v>
      </c>
    </row>
    <row r="3204" spans="1:46">
      <c r="A3204" s="3" t="s">
        <v>3180</v>
      </c>
      <c r="D3204">
        <v>4</v>
      </c>
      <c r="E3204">
        <v>5</v>
      </c>
      <c r="AT3204">
        <v>7</v>
      </c>
    </row>
    <row r="3205" spans="1:46">
      <c r="A3205" s="3" t="s">
        <v>3181</v>
      </c>
      <c r="D3205">
        <v>4</v>
      </c>
      <c r="E3205">
        <v>5</v>
      </c>
      <c r="AT3205">
        <v>7</v>
      </c>
    </row>
    <row r="3206" spans="1:46">
      <c r="A3206" s="3" t="s">
        <v>3182</v>
      </c>
      <c r="D3206">
        <v>4</v>
      </c>
      <c r="E3206">
        <v>5</v>
      </c>
      <c r="AT3206">
        <v>7</v>
      </c>
    </row>
    <row r="3207" spans="1:46">
      <c r="A3207" s="3" t="s">
        <v>3183</v>
      </c>
      <c r="D3207">
        <v>4</v>
      </c>
      <c r="E3207">
        <v>5</v>
      </c>
      <c r="AT3207">
        <v>7</v>
      </c>
    </row>
    <row r="3208" spans="1:46">
      <c r="A3208" s="3" t="s">
        <v>3184</v>
      </c>
      <c r="D3208">
        <v>4</v>
      </c>
      <c r="E3208">
        <v>5</v>
      </c>
      <c r="AT3208">
        <v>7</v>
      </c>
    </row>
    <row r="3209" spans="1:46">
      <c r="A3209" s="3" t="s">
        <v>3185</v>
      </c>
      <c r="D3209">
        <v>4</v>
      </c>
      <c r="E3209">
        <v>5</v>
      </c>
      <c r="AT3209">
        <v>7</v>
      </c>
    </row>
    <row r="3210" spans="1:46">
      <c r="A3210" s="3" t="s">
        <v>3186</v>
      </c>
      <c r="D3210">
        <v>4</v>
      </c>
      <c r="E3210">
        <v>5</v>
      </c>
      <c r="AT3210">
        <v>7</v>
      </c>
    </row>
    <row r="3211" spans="1:46">
      <c r="A3211" s="3" t="s">
        <v>3187</v>
      </c>
      <c r="D3211">
        <v>4</v>
      </c>
      <c r="E3211">
        <v>5</v>
      </c>
      <c r="AT3211">
        <v>7</v>
      </c>
    </row>
    <row r="3212" spans="1:46">
      <c r="A3212" s="3" t="s">
        <v>3188</v>
      </c>
      <c r="D3212">
        <v>4</v>
      </c>
      <c r="E3212">
        <v>5</v>
      </c>
      <c r="AT3212">
        <v>7</v>
      </c>
    </row>
    <row r="3213" spans="1:46">
      <c r="A3213" s="3" t="s">
        <v>3189</v>
      </c>
      <c r="D3213">
        <v>4</v>
      </c>
      <c r="E3213">
        <v>5</v>
      </c>
      <c r="K3213">
        <v>5</v>
      </c>
    </row>
    <row r="3214" spans="1:46">
      <c r="A3214" s="3" t="s">
        <v>3190</v>
      </c>
      <c r="D3214">
        <v>4</v>
      </c>
      <c r="E3214">
        <v>5</v>
      </c>
      <c r="K3214">
        <v>5</v>
      </c>
    </row>
    <row r="3215" spans="1:46">
      <c r="A3215" s="3" t="s">
        <v>3191</v>
      </c>
      <c r="D3215">
        <v>4</v>
      </c>
      <c r="E3215">
        <v>5</v>
      </c>
      <c r="K3215">
        <v>5</v>
      </c>
    </row>
    <row r="3216" spans="1:46">
      <c r="A3216" s="3" t="s">
        <v>3192</v>
      </c>
      <c r="D3216">
        <v>4</v>
      </c>
      <c r="E3216">
        <v>5</v>
      </c>
      <c r="K3216">
        <v>5</v>
      </c>
    </row>
    <row r="3217" spans="1:11">
      <c r="A3217" s="3" t="s">
        <v>3193</v>
      </c>
      <c r="D3217">
        <v>4</v>
      </c>
      <c r="E3217">
        <v>5</v>
      </c>
      <c r="K3217">
        <v>5</v>
      </c>
    </row>
    <row r="3218" spans="1:11">
      <c r="A3218" s="3" t="s">
        <v>3194</v>
      </c>
      <c r="D3218">
        <v>4</v>
      </c>
      <c r="E3218">
        <v>5</v>
      </c>
      <c r="K3218">
        <v>5</v>
      </c>
    </row>
    <row r="3219" spans="1:11">
      <c r="A3219" s="3" t="s">
        <v>3195</v>
      </c>
      <c r="D3219">
        <v>4</v>
      </c>
      <c r="E3219">
        <v>5</v>
      </c>
      <c r="K3219">
        <v>5</v>
      </c>
    </row>
    <row r="3220" spans="1:11">
      <c r="A3220" s="3" t="s">
        <v>3196</v>
      </c>
      <c r="D3220">
        <v>4</v>
      </c>
      <c r="E3220">
        <v>5</v>
      </c>
      <c r="K3220">
        <v>5</v>
      </c>
    </row>
    <row r="3221" spans="1:11">
      <c r="A3221" s="3" t="s">
        <v>3197</v>
      </c>
      <c r="D3221">
        <v>4</v>
      </c>
      <c r="E3221">
        <v>5</v>
      </c>
      <c r="K3221">
        <v>5</v>
      </c>
    </row>
    <row r="3222" spans="1:11">
      <c r="A3222" s="3" t="s">
        <v>3198</v>
      </c>
      <c r="D3222">
        <v>4</v>
      </c>
      <c r="E3222">
        <v>5</v>
      </c>
      <c r="K3222">
        <v>5</v>
      </c>
    </row>
    <row r="3223" spans="1:11">
      <c r="A3223" s="3" t="s">
        <v>3199</v>
      </c>
      <c r="D3223">
        <v>4</v>
      </c>
      <c r="E3223">
        <v>5</v>
      </c>
      <c r="K3223">
        <v>5</v>
      </c>
    </row>
    <row r="3224" spans="1:11">
      <c r="A3224" s="3" t="s">
        <v>3200</v>
      </c>
      <c r="D3224">
        <v>4</v>
      </c>
      <c r="E3224">
        <v>5</v>
      </c>
      <c r="K3224">
        <v>5</v>
      </c>
    </row>
    <row r="3225" spans="1:11">
      <c r="A3225" s="3" t="s">
        <v>3201</v>
      </c>
      <c r="D3225">
        <v>4</v>
      </c>
      <c r="E3225">
        <v>5</v>
      </c>
      <c r="K3225">
        <v>5</v>
      </c>
    </row>
    <row r="3226" spans="1:11">
      <c r="A3226" s="3" t="s">
        <v>3202</v>
      </c>
      <c r="D3226">
        <v>4</v>
      </c>
      <c r="E3226">
        <v>5</v>
      </c>
      <c r="K3226">
        <v>5</v>
      </c>
    </row>
    <row r="3227" spans="1:11">
      <c r="A3227" s="3" t="s">
        <v>3203</v>
      </c>
      <c r="D3227">
        <v>4</v>
      </c>
      <c r="E3227">
        <v>5</v>
      </c>
      <c r="K3227">
        <v>5</v>
      </c>
    </row>
    <row r="3228" spans="1:11">
      <c r="A3228" s="3" t="s">
        <v>3204</v>
      </c>
      <c r="D3228">
        <v>4</v>
      </c>
      <c r="E3228">
        <v>5</v>
      </c>
      <c r="K3228">
        <v>5</v>
      </c>
    </row>
    <row r="3229" spans="1:11">
      <c r="A3229" s="3" t="s">
        <v>3205</v>
      </c>
      <c r="D3229">
        <v>4</v>
      </c>
      <c r="E3229">
        <v>5</v>
      </c>
      <c r="K3229">
        <v>5</v>
      </c>
    </row>
    <row r="3230" spans="1:11">
      <c r="A3230" s="3" t="s">
        <v>3206</v>
      </c>
      <c r="D3230">
        <v>4</v>
      </c>
      <c r="E3230">
        <v>5</v>
      </c>
      <c r="K3230">
        <v>5</v>
      </c>
    </row>
    <row r="3231" spans="1:11">
      <c r="A3231" s="3" t="s">
        <v>3207</v>
      </c>
      <c r="D3231">
        <v>4</v>
      </c>
      <c r="E3231">
        <v>5</v>
      </c>
      <c r="K3231">
        <v>5</v>
      </c>
    </row>
    <row r="3232" spans="1:11">
      <c r="A3232" s="3" t="s">
        <v>3208</v>
      </c>
      <c r="D3232">
        <v>4</v>
      </c>
      <c r="E3232">
        <v>5</v>
      </c>
      <c r="J3232">
        <v>45</v>
      </c>
    </row>
    <row r="3233" spans="1:47">
      <c r="A3233" s="3" t="s">
        <v>3209</v>
      </c>
      <c r="D3233">
        <v>4</v>
      </c>
      <c r="E3233">
        <v>5</v>
      </c>
      <c r="J3233">
        <v>45</v>
      </c>
    </row>
    <row r="3234" spans="1:47">
      <c r="A3234" s="3" t="s">
        <v>3210</v>
      </c>
      <c r="D3234">
        <v>4</v>
      </c>
      <c r="E3234">
        <v>5</v>
      </c>
      <c r="J3234">
        <v>45</v>
      </c>
    </row>
    <row r="3235" spans="1:47">
      <c r="A3235" s="3" t="s">
        <v>3211</v>
      </c>
      <c r="D3235">
        <v>4</v>
      </c>
      <c r="E3235">
        <v>5</v>
      </c>
      <c r="J3235">
        <v>45</v>
      </c>
    </row>
    <row r="3236" spans="1:47">
      <c r="A3236" s="3" t="s">
        <v>3212</v>
      </c>
      <c r="D3236">
        <v>4</v>
      </c>
      <c r="E3236">
        <v>5</v>
      </c>
      <c r="J3236">
        <v>45</v>
      </c>
    </row>
    <row r="3237" spans="1:47">
      <c r="A3237" s="3" t="s">
        <v>3213</v>
      </c>
      <c r="E3237">
        <v>5</v>
      </c>
      <c r="J3237">
        <v>45</v>
      </c>
    </row>
    <row r="3238" spans="1:47">
      <c r="A3238" s="3" t="s">
        <v>3214</v>
      </c>
      <c r="E3238">
        <v>5</v>
      </c>
      <c r="J3238">
        <v>45</v>
      </c>
    </row>
    <row r="3239" spans="1:47">
      <c r="A3239" s="3" t="s">
        <v>3215</v>
      </c>
      <c r="E3239">
        <v>5</v>
      </c>
      <c r="J3239">
        <v>45</v>
      </c>
    </row>
    <row r="3240" spans="1:47">
      <c r="A3240" s="3" t="s">
        <v>3216</v>
      </c>
      <c r="E3240">
        <v>5</v>
      </c>
      <c r="J3240">
        <v>45</v>
      </c>
    </row>
    <row r="3241" spans="1:47">
      <c r="A3241" s="3" t="s">
        <v>3217</v>
      </c>
      <c r="E3241">
        <v>5</v>
      </c>
      <c r="J3241">
        <v>45</v>
      </c>
    </row>
    <row r="3242" spans="1:47">
      <c r="A3242" s="3" t="s">
        <v>3218</v>
      </c>
      <c r="E3242">
        <v>5</v>
      </c>
      <c r="J3242">
        <v>45</v>
      </c>
    </row>
    <row r="3243" spans="1:47">
      <c r="A3243" s="3" t="s">
        <v>3219</v>
      </c>
      <c r="E3243">
        <v>5</v>
      </c>
      <c r="AU3243">
        <v>5</v>
      </c>
    </row>
    <row r="3244" spans="1:47">
      <c r="A3244" s="3" t="s">
        <v>3220</v>
      </c>
      <c r="E3244">
        <v>5</v>
      </c>
      <c r="AU3244">
        <v>5</v>
      </c>
    </row>
    <row r="3245" spans="1:47">
      <c r="A3245" s="3" t="s">
        <v>3221</v>
      </c>
      <c r="E3245">
        <v>5</v>
      </c>
      <c r="AU3245">
        <v>5</v>
      </c>
    </row>
    <row r="3246" spans="1:47">
      <c r="A3246" s="3" t="s">
        <v>3222</v>
      </c>
      <c r="E3246">
        <v>5</v>
      </c>
      <c r="AU3246">
        <v>5</v>
      </c>
    </row>
    <row r="3247" spans="1:47">
      <c r="A3247" s="3" t="s">
        <v>3223</v>
      </c>
      <c r="E3247">
        <v>5</v>
      </c>
      <c r="J3247">
        <v>46</v>
      </c>
    </row>
    <row r="3248" spans="1:47">
      <c r="A3248" s="3" t="s">
        <v>3224</v>
      </c>
      <c r="E3248">
        <v>5</v>
      </c>
      <c r="J3248">
        <v>46</v>
      </c>
    </row>
    <row r="3249" spans="1:11">
      <c r="A3249" s="3" t="s">
        <v>3225</v>
      </c>
      <c r="E3249">
        <v>5</v>
      </c>
      <c r="J3249">
        <v>46</v>
      </c>
    </row>
    <row r="3250" spans="1:11">
      <c r="A3250" s="3" t="s">
        <v>3226</v>
      </c>
      <c r="E3250">
        <v>5</v>
      </c>
      <c r="J3250">
        <v>46</v>
      </c>
    </row>
    <row r="3251" spans="1:11">
      <c r="A3251" s="3" t="s">
        <v>3227</v>
      </c>
      <c r="E3251">
        <v>5</v>
      </c>
      <c r="J3251">
        <v>46</v>
      </c>
    </row>
    <row r="3252" spans="1:11">
      <c r="A3252" s="3" t="s">
        <v>3228</v>
      </c>
      <c r="E3252">
        <v>5</v>
      </c>
      <c r="J3252">
        <v>46</v>
      </c>
    </row>
    <row r="3253" spans="1:11">
      <c r="A3253" s="3" t="s">
        <v>3229</v>
      </c>
      <c r="E3253">
        <v>5</v>
      </c>
      <c r="J3253">
        <v>46</v>
      </c>
    </row>
    <row r="3254" spans="1:11">
      <c r="A3254" s="3" t="s">
        <v>3230</v>
      </c>
      <c r="E3254">
        <v>5</v>
      </c>
      <c r="J3254">
        <v>46</v>
      </c>
    </row>
    <row r="3255" spans="1:11">
      <c r="A3255" s="3" t="s">
        <v>3231</v>
      </c>
      <c r="E3255">
        <v>5</v>
      </c>
      <c r="J3255">
        <v>46</v>
      </c>
    </row>
    <row r="3256" spans="1:11">
      <c r="A3256" s="3" t="s">
        <v>3232</v>
      </c>
      <c r="E3256">
        <v>5</v>
      </c>
      <c r="J3256">
        <v>46</v>
      </c>
    </row>
    <row r="3257" spans="1:11">
      <c r="A3257" s="3" t="s">
        <v>3233</v>
      </c>
      <c r="E3257">
        <v>5</v>
      </c>
      <c r="J3257">
        <v>46</v>
      </c>
    </row>
    <row r="3258" spans="1:11">
      <c r="A3258" s="3" t="s">
        <v>3234</v>
      </c>
      <c r="E3258">
        <v>5</v>
      </c>
      <c r="J3258">
        <v>46</v>
      </c>
    </row>
    <row r="3259" spans="1:11">
      <c r="A3259" s="3" t="s">
        <v>3235</v>
      </c>
      <c r="E3259">
        <v>5</v>
      </c>
      <c r="J3259">
        <v>46</v>
      </c>
    </row>
    <row r="3260" spans="1:11">
      <c r="A3260" s="3" t="s">
        <v>3236</v>
      </c>
      <c r="E3260">
        <v>5</v>
      </c>
      <c r="J3260">
        <v>46</v>
      </c>
    </row>
    <row r="3261" spans="1:11">
      <c r="A3261" s="3" t="s">
        <v>3237</v>
      </c>
      <c r="E3261">
        <v>5</v>
      </c>
      <c r="K3261">
        <v>6</v>
      </c>
    </row>
    <row r="3262" spans="1:11">
      <c r="A3262" s="3" t="s">
        <v>3238</v>
      </c>
      <c r="E3262">
        <v>5</v>
      </c>
      <c r="K3262">
        <v>6</v>
      </c>
    </row>
    <row r="3263" spans="1:11">
      <c r="A3263" s="3" t="s">
        <v>3239</v>
      </c>
      <c r="E3263">
        <v>5</v>
      </c>
      <c r="K3263">
        <v>6</v>
      </c>
    </row>
    <row r="3264" spans="1:11">
      <c r="A3264" s="3" t="s">
        <v>3240</v>
      </c>
      <c r="E3264">
        <v>5</v>
      </c>
      <c r="K3264">
        <v>6</v>
      </c>
    </row>
    <row r="3265" spans="1:11">
      <c r="A3265" s="3" t="s">
        <v>3241</v>
      </c>
      <c r="E3265">
        <v>5</v>
      </c>
      <c r="K3265">
        <v>6</v>
      </c>
    </row>
    <row r="3266" spans="1:11">
      <c r="A3266" s="3" t="s">
        <v>3242</v>
      </c>
      <c r="E3266">
        <v>5</v>
      </c>
      <c r="K3266">
        <v>6</v>
      </c>
    </row>
    <row r="3267" spans="1:11">
      <c r="A3267" s="3" t="s">
        <v>3243</v>
      </c>
      <c r="E3267">
        <v>5</v>
      </c>
      <c r="K3267">
        <v>6</v>
      </c>
    </row>
    <row r="3268" spans="1:11">
      <c r="A3268" s="3" t="s">
        <v>3244</v>
      </c>
      <c r="E3268">
        <v>5</v>
      </c>
      <c r="K3268">
        <v>6</v>
      </c>
    </row>
    <row r="3269" spans="1:11">
      <c r="A3269" s="3" t="s">
        <v>3245</v>
      </c>
      <c r="E3269">
        <v>5</v>
      </c>
      <c r="K3269">
        <v>6</v>
      </c>
    </row>
    <row r="3270" spans="1:11">
      <c r="A3270" s="3" t="s">
        <v>3246</v>
      </c>
      <c r="E3270">
        <v>5</v>
      </c>
      <c r="K3270">
        <v>6</v>
      </c>
    </row>
    <row r="3271" spans="1:11">
      <c r="A3271" s="3" t="s">
        <v>3247</v>
      </c>
      <c r="E3271">
        <v>5</v>
      </c>
      <c r="K3271">
        <v>6</v>
      </c>
    </row>
    <row r="3272" spans="1:11">
      <c r="A3272" s="3" t="s">
        <v>3248</v>
      </c>
      <c r="E3272">
        <v>5</v>
      </c>
      <c r="K3272">
        <v>6</v>
      </c>
    </row>
    <row r="3273" spans="1:11">
      <c r="A3273" s="3" t="s">
        <v>3249</v>
      </c>
      <c r="E3273">
        <v>5</v>
      </c>
      <c r="K3273">
        <v>6</v>
      </c>
    </row>
    <row r="3274" spans="1:11">
      <c r="A3274" s="3" t="s">
        <v>3250</v>
      </c>
      <c r="E3274">
        <v>5</v>
      </c>
      <c r="K3274">
        <v>6</v>
      </c>
    </row>
    <row r="3275" spans="1:11">
      <c r="A3275" s="3" t="s">
        <v>3251</v>
      </c>
      <c r="E3275">
        <v>5</v>
      </c>
      <c r="K3275">
        <v>6</v>
      </c>
    </row>
    <row r="3276" spans="1:11">
      <c r="A3276" s="3" t="s">
        <v>3252</v>
      </c>
      <c r="E3276">
        <v>5</v>
      </c>
      <c r="K3276">
        <v>6</v>
      </c>
    </row>
    <row r="3277" spans="1:11">
      <c r="A3277" s="3" t="s">
        <v>3253</v>
      </c>
      <c r="E3277">
        <v>5</v>
      </c>
      <c r="K3277">
        <v>6</v>
      </c>
    </row>
    <row r="3278" spans="1:11">
      <c r="A3278" s="3" t="s">
        <v>3254</v>
      </c>
      <c r="E3278">
        <v>5</v>
      </c>
      <c r="K3278">
        <v>6</v>
      </c>
    </row>
    <row r="3279" spans="1:11">
      <c r="A3279" s="3" t="s">
        <v>3255</v>
      </c>
      <c r="E3279">
        <v>5</v>
      </c>
      <c r="K3279">
        <v>6</v>
      </c>
    </row>
    <row r="3280" spans="1:11">
      <c r="A3280" s="3" t="s">
        <v>3256</v>
      </c>
      <c r="E3280">
        <v>5</v>
      </c>
      <c r="K3280">
        <v>6</v>
      </c>
    </row>
    <row r="3281" spans="1:11">
      <c r="A3281" s="3" t="s">
        <v>3257</v>
      </c>
      <c r="E3281">
        <v>5</v>
      </c>
      <c r="K3281">
        <v>6</v>
      </c>
    </row>
    <row r="3282" spans="1:11">
      <c r="A3282" s="3" t="s">
        <v>3258</v>
      </c>
      <c r="E3282">
        <v>5</v>
      </c>
      <c r="K3282">
        <v>6</v>
      </c>
    </row>
    <row r="3283" spans="1:11">
      <c r="A3283" s="3" t="s">
        <v>3259</v>
      </c>
      <c r="E3283">
        <v>5</v>
      </c>
      <c r="K3283">
        <v>6</v>
      </c>
    </row>
    <row r="3284" spans="1:11">
      <c r="A3284" s="3" t="s">
        <v>3260</v>
      </c>
      <c r="E3284">
        <v>5</v>
      </c>
      <c r="K3284">
        <v>6</v>
      </c>
    </row>
    <row r="3285" spans="1:11">
      <c r="A3285" s="3" t="s">
        <v>3261</v>
      </c>
      <c r="E3285">
        <v>5</v>
      </c>
      <c r="K3285">
        <v>6</v>
      </c>
    </row>
    <row r="3286" spans="1:11">
      <c r="A3286" s="3" t="s">
        <v>3262</v>
      </c>
      <c r="E3286">
        <v>5</v>
      </c>
      <c r="K3286">
        <v>6</v>
      </c>
    </row>
    <row r="3287" spans="1:11">
      <c r="A3287" s="3" t="s">
        <v>3263</v>
      </c>
      <c r="E3287">
        <v>5</v>
      </c>
      <c r="K3287">
        <v>6</v>
      </c>
    </row>
    <row r="3288" spans="1:11">
      <c r="A3288" s="3" t="s">
        <v>3264</v>
      </c>
      <c r="E3288">
        <v>5</v>
      </c>
      <c r="K3288">
        <v>6</v>
      </c>
    </row>
    <row r="3289" spans="1:11">
      <c r="A3289" s="3" t="s">
        <v>3265</v>
      </c>
      <c r="E3289">
        <v>5</v>
      </c>
      <c r="K3289">
        <v>6</v>
      </c>
    </row>
    <row r="3290" spans="1:11">
      <c r="A3290" s="3" t="s">
        <v>3266</v>
      </c>
      <c r="E3290">
        <v>5</v>
      </c>
      <c r="K3290">
        <v>6</v>
      </c>
    </row>
    <row r="3291" spans="1:11">
      <c r="A3291" s="3" t="s">
        <v>3267</v>
      </c>
      <c r="E3291">
        <v>5</v>
      </c>
      <c r="K3291">
        <v>6</v>
      </c>
    </row>
    <row r="3292" spans="1:11">
      <c r="A3292" s="3" t="s">
        <v>3268</v>
      </c>
      <c r="E3292">
        <v>5</v>
      </c>
      <c r="K3292">
        <v>6</v>
      </c>
    </row>
    <row r="3293" spans="1:11">
      <c r="A3293" s="3" t="s">
        <v>3269</v>
      </c>
      <c r="E3293">
        <v>5</v>
      </c>
      <c r="K3293">
        <v>6</v>
      </c>
    </row>
    <row r="3294" spans="1:11">
      <c r="A3294" s="3" t="s">
        <v>3270</v>
      </c>
      <c r="E3294">
        <v>5</v>
      </c>
      <c r="K3294">
        <v>6</v>
      </c>
    </row>
    <row r="3295" spans="1:11">
      <c r="A3295" s="3" t="s">
        <v>3271</v>
      </c>
      <c r="E3295">
        <v>5</v>
      </c>
      <c r="K3295">
        <v>6</v>
      </c>
    </row>
    <row r="3296" spans="1:11">
      <c r="A3296" s="3" t="s">
        <v>3272</v>
      </c>
      <c r="E3296">
        <v>5</v>
      </c>
      <c r="K3296">
        <v>6</v>
      </c>
    </row>
    <row r="3297" spans="1:11">
      <c r="A3297" s="3" t="s">
        <v>3273</v>
      </c>
      <c r="E3297">
        <v>5</v>
      </c>
      <c r="K3297">
        <v>6</v>
      </c>
    </row>
    <row r="3298" spans="1:11">
      <c r="A3298" s="3" t="s">
        <v>3274</v>
      </c>
      <c r="E3298">
        <v>5</v>
      </c>
      <c r="K3298">
        <v>6</v>
      </c>
    </row>
    <row r="3299" spans="1:11">
      <c r="A3299" s="3" t="s">
        <v>3275</v>
      </c>
      <c r="E3299">
        <v>5</v>
      </c>
      <c r="K3299">
        <v>6</v>
      </c>
    </row>
    <row r="3300" spans="1:11">
      <c r="A3300" s="3" t="s">
        <v>3276</v>
      </c>
      <c r="E3300">
        <v>5</v>
      </c>
      <c r="K3300">
        <v>6</v>
      </c>
    </row>
    <row r="3301" spans="1:11">
      <c r="A3301" s="3" t="s">
        <v>3277</v>
      </c>
      <c r="E3301">
        <v>5</v>
      </c>
      <c r="K3301">
        <v>6</v>
      </c>
    </row>
    <row r="3302" spans="1:11">
      <c r="A3302" s="3" t="s">
        <v>3278</v>
      </c>
      <c r="E3302">
        <v>5</v>
      </c>
      <c r="K3302">
        <v>6</v>
      </c>
    </row>
    <row r="3303" spans="1:11">
      <c r="A3303" s="3" t="s">
        <v>3279</v>
      </c>
      <c r="E3303">
        <v>5</v>
      </c>
      <c r="K3303">
        <v>6</v>
      </c>
    </row>
    <row r="3304" spans="1:11">
      <c r="A3304" s="3" t="s">
        <v>3280</v>
      </c>
      <c r="E3304">
        <v>5</v>
      </c>
      <c r="K3304">
        <v>6</v>
      </c>
    </row>
    <row r="3305" spans="1:11">
      <c r="A3305" s="3" t="s">
        <v>3281</v>
      </c>
      <c r="E3305">
        <v>5</v>
      </c>
      <c r="K3305">
        <v>6</v>
      </c>
    </row>
    <row r="3306" spans="1:11">
      <c r="A3306" s="3" t="s">
        <v>3282</v>
      </c>
      <c r="E3306">
        <v>5</v>
      </c>
      <c r="K3306">
        <v>6</v>
      </c>
    </row>
    <row r="3307" spans="1:11">
      <c r="A3307" s="3" t="s">
        <v>3283</v>
      </c>
      <c r="E3307">
        <v>5</v>
      </c>
      <c r="K3307">
        <v>6</v>
      </c>
    </row>
    <row r="3308" spans="1:11">
      <c r="A3308" s="3" t="s">
        <v>3284</v>
      </c>
      <c r="E3308">
        <v>5</v>
      </c>
      <c r="K3308">
        <v>6</v>
      </c>
    </row>
    <row r="3309" spans="1:11">
      <c r="A3309" s="3" t="s">
        <v>3285</v>
      </c>
      <c r="E3309">
        <v>5</v>
      </c>
      <c r="K3309">
        <v>6</v>
      </c>
    </row>
    <row r="3310" spans="1:11">
      <c r="A3310" s="3" t="s">
        <v>3286</v>
      </c>
      <c r="E3310">
        <v>5</v>
      </c>
      <c r="K3310">
        <v>6</v>
      </c>
    </row>
    <row r="3311" spans="1:11">
      <c r="A3311" s="3" t="s">
        <v>3287</v>
      </c>
      <c r="E3311">
        <v>5</v>
      </c>
      <c r="K3311">
        <v>6</v>
      </c>
    </row>
    <row r="3312" spans="1:11">
      <c r="A3312" s="3" t="s">
        <v>3288</v>
      </c>
      <c r="E3312">
        <v>5</v>
      </c>
      <c r="J3312">
        <v>47</v>
      </c>
    </row>
    <row r="3313" spans="1:12">
      <c r="A3313" s="3" t="s">
        <v>3289</v>
      </c>
      <c r="E3313">
        <v>5</v>
      </c>
      <c r="J3313">
        <v>47</v>
      </c>
    </row>
    <row r="3314" spans="1:12">
      <c r="A3314" s="3" t="s">
        <v>3290</v>
      </c>
      <c r="E3314">
        <v>5</v>
      </c>
      <c r="J3314">
        <v>47</v>
      </c>
    </row>
    <row r="3315" spans="1:12">
      <c r="A3315" s="3" t="s">
        <v>3291</v>
      </c>
      <c r="E3315">
        <v>5</v>
      </c>
      <c r="J3315">
        <v>47</v>
      </c>
    </row>
    <row r="3316" spans="1:12">
      <c r="A3316" s="3" t="s">
        <v>3292</v>
      </c>
      <c r="E3316">
        <v>5</v>
      </c>
      <c r="J3316">
        <v>47</v>
      </c>
    </row>
    <row r="3317" spans="1:12">
      <c r="A3317" s="3" t="s">
        <v>3293</v>
      </c>
      <c r="E3317">
        <v>5</v>
      </c>
      <c r="J3317">
        <v>47</v>
      </c>
    </row>
    <row r="3318" spans="1:12">
      <c r="A3318" s="3" t="s">
        <v>3294</v>
      </c>
      <c r="E3318">
        <v>5</v>
      </c>
      <c r="J3318">
        <v>47</v>
      </c>
    </row>
    <row r="3319" spans="1:12">
      <c r="A3319" s="3" t="s">
        <v>3295</v>
      </c>
      <c r="E3319">
        <v>5</v>
      </c>
      <c r="J3319">
        <v>47</v>
      </c>
    </row>
    <row r="3320" spans="1:12">
      <c r="A3320" s="3" t="s">
        <v>3296</v>
      </c>
      <c r="E3320">
        <v>5</v>
      </c>
      <c r="J3320">
        <v>47</v>
      </c>
    </row>
    <row r="3321" spans="1:12">
      <c r="A3321" s="3" t="s">
        <v>3297</v>
      </c>
      <c r="E3321">
        <v>5</v>
      </c>
      <c r="J3321">
        <v>47</v>
      </c>
    </row>
    <row r="3322" spans="1:12">
      <c r="A3322" s="3" t="s">
        <v>3298</v>
      </c>
      <c r="E3322">
        <v>5</v>
      </c>
      <c r="J3322">
        <v>47</v>
      </c>
    </row>
    <row r="3323" spans="1:12">
      <c r="A3323" s="3" t="s">
        <v>3299</v>
      </c>
      <c r="E3323">
        <v>5</v>
      </c>
      <c r="J3323">
        <v>47</v>
      </c>
    </row>
    <row r="3324" spans="1:12">
      <c r="A3324" s="3" t="s">
        <v>3300</v>
      </c>
      <c r="E3324">
        <v>5</v>
      </c>
      <c r="J3324">
        <v>47</v>
      </c>
    </row>
    <row r="3325" spans="1:12">
      <c r="A3325" s="3" t="s">
        <v>3301</v>
      </c>
      <c r="E3325">
        <v>5</v>
      </c>
      <c r="L3325">
        <v>2</v>
      </c>
    </row>
    <row r="3326" spans="1:12">
      <c r="A3326" s="3" t="s">
        <v>3302</v>
      </c>
      <c r="E3326">
        <v>5</v>
      </c>
      <c r="L3326">
        <v>2</v>
      </c>
    </row>
    <row r="3327" spans="1:12">
      <c r="A3327" s="3" t="s">
        <v>3303</v>
      </c>
      <c r="E3327">
        <v>5</v>
      </c>
      <c r="L3327">
        <v>2</v>
      </c>
    </row>
    <row r="3328" spans="1:12">
      <c r="A3328" s="3" t="s">
        <v>3304</v>
      </c>
      <c r="E3328">
        <v>5</v>
      </c>
      <c r="L3328">
        <v>2</v>
      </c>
    </row>
    <row r="3329" spans="1:12">
      <c r="A3329" s="3" t="s">
        <v>3305</v>
      </c>
      <c r="E3329">
        <v>5</v>
      </c>
      <c r="L3329">
        <v>2</v>
      </c>
    </row>
    <row r="3330" spans="1:12">
      <c r="A3330" s="3" t="s">
        <v>3306</v>
      </c>
      <c r="E3330">
        <v>5</v>
      </c>
      <c r="L3330">
        <v>2</v>
      </c>
    </row>
    <row r="3331" spans="1:12">
      <c r="A3331" s="3" t="s">
        <v>3307</v>
      </c>
      <c r="E3331">
        <v>5</v>
      </c>
      <c r="L3331">
        <v>2</v>
      </c>
    </row>
    <row r="3332" spans="1:12">
      <c r="A3332" s="3" t="s">
        <v>3308</v>
      </c>
      <c r="E3332">
        <v>5</v>
      </c>
      <c r="L3332">
        <v>2</v>
      </c>
    </row>
    <row r="3333" spans="1:12">
      <c r="A3333" s="3" t="s">
        <v>3309</v>
      </c>
      <c r="E3333">
        <v>5</v>
      </c>
      <c r="L3333">
        <v>2</v>
      </c>
    </row>
    <row r="3334" spans="1:12">
      <c r="A3334" s="3" t="s">
        <v>3310</v>
      </c>
      <c r="E3334">
        <v>5</v>
      </c>
      <c r="L3334">
        <v>2</v>
      </c>
    </row>
    <row r="3335" spans="1:12">
      <c r="A3335" s="3" t="s">
        <v>3311</v>
      </c>
      <c r="E3335">
        <v>5</v>
      </c>
      <c r="L3335">
        <v>2</v>
      </c>
    </row>
    <row r="3336" spans="1:12">
      <c r="A3336" s="3" t="s">
        <v>3312</v>
      </c>
      <c r="E3336">
        <v>5</v>
      </c>
      <c r="L3336">
        <v>2</v>
      </c>
    </row>
    <row r="3337" spans="1:12">
      <c r="A3337" s="3" t="s">
        <v>3313</v>
      </c>
      <c r="E3337">
        <v>5</v>
      </c>
      <c r="L3337">
        <v>2</v>
      </c>
    </row>
    <row r="3338" spans="1:12">
      <c r="A3338" s="3" t="s">
        <v>3314</v>
      </c>
      <c r="E3338">
        <v>5</v>
      </c>
      <c r="L3338">
        <v>2</v>
      </c>
    </row>
    <row r="3339" spans="1:12">
      <c r="A3339" s="3" t="s">
        <v>3315</v>
      </c>
      <c r="E3339">
        <v>5</v>
      </c>
      <c r="L3339">
        <v>2</v>
      </c>
    </row>
    <row r="3340" spans="1:12">
      <c r="A3340" s="3" t="s">
        <v>3316</v>
      </c>
      <c r="E3340">
        <v>5</v>
      </c>
      <c r="L3340">
        <v>2</v>
      </c>
    </row>
    <row r="3341" spans="1:12">
      <c r="A3341" s="3" t="s">
        <v>3317</v>
      </c>
      <c r="E3341">
        <v>5</v>
      </c>
      <c r="L3341">
        <v>2</v>
      </c>
    </row>
    <row r="3342" spans="1:12">
      <c r="A3342" s="3" t="s">
        <v>3318</v>
      </c>
      <c r="E3342">
        <v>5</v>
      </c>
      <c r="L3342">
        <v>2</v>
      </c>
    </row>
    <row r="3343" spans="1:12">
      <c r="A3343" s="3" t="s">
        <v>3319</v>
      </c>
      <c r="E3343">
        <v>5</v>
      </c>
      <c r="L3343">
        <v>2</v>
      </c>
    </row>
    <row r="3344" spans="1:12">
      <c r="A3344" s="3" t="s">
        <v>3320</v>
      </c>
      <c r="E3344">
        <v>5</v>
      </c>
      <c r="L3344">
        <v>2</v>
      </c>
    </row>
    <row r="3345" spans="1:12">
      <c r="A3345" s="3" t="s">
        <v>3321</v>
      </c>
      <c r="E3345">
        <v>5</v>
      </c>
      <c r="L3345">
        <v>2</v>
      </c>
    </row>
    <row r="3346" spans="1:12">
      <c r="A3346" s="3" t="s">
        <v>3322</v>
      </c>
      <c r="E3346">
        <v>5</v>
      </c>
      <c r="L3346">
        <v>2</v>
      </c>
    </row>
    <row r="3347" spans="1:12">
      <c r="A3347" s="3" t="s">
        <v>3323</v>
      </c>
      <c r="E3347">
        <v>5</v>
      </c>
      <c r="L3347">
        <v>2</v>
      </c>
    </row>
    <row r="3348" spans="1:12">
      <c r="A3348" s="3" t="s">
        <v>3324</v>
      </c>
      <c r="E3348">
        <v>5</v>
      </c>
      <c r="L3348">
        <v>2</v>
      </c>
    </row>
    <row r="3349" spans="1:12">
      <c r="A3349" s="3" t="s">
        <v>3325</v>
      </c>
      <c r="E3349">
        <v>5</v>
      </c>
      <c r="L3349">
        <v>2</v>
      </c>
    </row>
    <row r="3350" spans="1:12">
      <c r="A3350" s="3" t="s">
        <v>3326</v>
      </c>
      <c r="E3350">
        <v>5</v>
      </c>
      <c r="L3350">
        <v>2</v>
      </c>
    </row>
    <row r="3351" spans="1:12">
      <c r="A3351" s="3" t="s">
        <v>3327</v>
      </c>
      <c r="E3351">
        <v>5</v>
      </c>
      <c r="L3351">
        <v>2</v>
      </c>
    </row>
    <row r="3352" spans="1:12">
      <c r="A3352" s="3" t="s">
        <v>3328</v>
      </c>
      <c r="E3352">
        <v>5</v>
      </c>
      <c r="L3352">
        <v>2</v>
      </c>
    </row>
    <row r="3353" spans="1:12">
      <c r="A3353" s="3" t="s">
        <v>3329</v>
      </c>
      <c r="E3353">
        <v>5</v>
      </c>
      <c r="L3353">
        <v>2</v>
      </c>
    </row>
    <row r="3354" spans="1:12">
      <c r="A3354" s="3" t="s">
        <v>3330</v>
      </c>
      <c r="E3354">
        <v>5</v>
      </c>
      <c r="L3354">
        <v>2</v>
      </c>
    </row>
    <row r="3355" spans="1:12">
      <c r="A3355" s="3" t="s">
        <v>3331</v>
      </c>
      <c r="E3355">
        <v>5</v>
      </c>
      <c r="L3355">
        <v>2</v>
      </c>
    </row>
    <row r="3356" spans="1:12">
      <c r="A3356" s="3" t="s">
        <v>3332</v>
      </c>
      <c r="E3356">
        <v>5</v>
      </c>
      <c r="L3356">
        <v>2</v>
      </c>
    </row>
    <row r="3357" spans="1:12">
      <c r="A3357" s="3" t="s">
        <v>3333</v>
      </c>
      <c r="E3357">
        <v>5</v>
      </c>
      <c r="L3357">
        <v>2</v>
      </c>
    </row>
    <row r="3358" spans="1:12">
      <c r="A3358" s="3" t="s">
        <v>3334</v>
      </c>
      <c r="E3358">
        <v>5</v>
      </c>
      <c r="L3358">
        <v>2</v>
      </c>
    </row>
    <row r="3359" spans="1:12">
      <c r="A3359" s="3" t="s">
        <v>3335</v>
      </c>
      <c r="E3359">
        <v>5</v>
      </c>
      <c r="L3359">
        <v>2</v>
      </c>
    </row>
    <row r="3360" spans="1:12">
      <c r="A3360" s="3" t="s">
        <v>3336</v>
      </c>
      <c r="E3360">
        <v>5</v>
      </c>
      <c r="L3360">
        <v>2</v>
      </c>
    </row>
    <row r="3361" spans="1:12">
      <c r="A3361" s="3" t="s">
        <v>3337</v>
      </c>
      <c r="E3361">
        <v>5</v>
      </c>
      <c r="L3361">
        <v>2</v>
      </c>
    </row>
    <row r="3362" spans="1:12">
      <c r="A3362" s="3" t="s">
        <v>3338</v>
      </c>
      <c r="E3362">
        <v>5</v>
      </c>
      <c r="L3362">
        <v>2</v>
      </c>
    </row>
    <row r="3363" spans="1:12">
      <c r="A3363" s="3" t="s">
        <v>3339</v>
      </c>
      <c r="E3363">
        <v>5</v>
      </c>
      <c r="L3363">
        <v>2</v>
      </c>
    </row>
    <row r="3364" spans="1:12">
      <c r="A3364" s="3" t="s">
        <v>3340</v>
      </c>
      <c r="E3364">
        <v>5</v>
      </c>
      <c r="L3364">
        <v>2</v>
      </c>
    </row>
    <row r="3365" spans="1:12">
      <c r="A3365" s="3" t="s">
        <v>3341</v>
      </c>
      <c r="E3365">
        <v>5</v>
      </c>
      <c r="L3365">
        <v>2</v>
      </c>
    </row>
    <row r="3366" spans="1:12">
      <c r="A3366" s="3" t="s">
        <v>3342</v>
      </c>
      <c r="E3366">
        <v>5</v>
      </c>
      <c r="L3366">
        <v>2</v>
      </c>
    </row>
    <row r="3367" spans="1:12">
      <c r="A3367" s="3" t="s">
        <v>3343</v>
      </c>
      <c r="E3367">
        <v>5</v>
      </c>
      <c r="L3367">
        <v>2</v>
      </c>
    </row>
    <row r="3368" spans="1:12">
      <c r="A3368" s="3" t="s">
        <v>3344</v>
      </c>
      <c r="E3368">
        <v>5</v>
      </c>
      <c r="L3368">
        <v>2</v>
      </c>
    </row>
    <row r="3369" spans="1:12">
      <c r="A3369" s="3" t="s">
        <v>3345</v>
      </c>
      <c r="E3369">
        <v>5</v>
      </c>
      <c r="L3369">
        <v>2</v>
      </c>
    </row>
    <row r="3370" spans="1:12">
      <c r="A3370" s="3" t="s">
        <v>3346</v>
      </c>
      <c r="E3370">
        <v>5</v>
      </c>
      <c r="L3370">
        <v>2</v>
      </c>
    </row>
    <row r="3371" spans="1:12">
      <c r="A3371" s="3" t="s">
        <v>3347</v>
      </c>
      <c r="E3371">
        <v>5</v>
      </c>
      <c r="L3371">
        <v>2</v>
      </c>
    </row>
    <row r="3372" spans="1:12">
      <c r="A3372" s="3" t="s">
        <v>3348</v>
      </c>
      <c r="E3372">
        <v>5</v>
      </c>
      <c r="L3372">
        <v>2</v>
      </c>
    </row>
    <row r="3373" spans="1:12">
      <c r="A3373" s="3" t="s">
        <v>3349</v>
      </c>
      <c r="E3373">
        <v>5</v>
      </c>
      <c r="L3373">
        <v>2</v>
      </c>
    </row>
    <row r="3374" spans="1:12">
      <c r="A3374" s="3" t="s">
        <v>3350</v>
      </c>
      <c r="E3374">
        <v>5</v>
      </c>
      <c r="L3374">
        <v>2</v>
      </c>
    </row>
    <row r="3375" spans="1:12">
      <c r="A3375" s="3" t="s">
        <v>3351</v>
      </c>
      <c r="E3375">
        <v>5</v>
      </c>
      <c r="L3375">
        <v>2</v>
      </c>
    </row>
    <row r="3376" spans="1:12">
      <c r="A3376" s="3" t="s">
        <v>3352</v>
      </c>
      <c r="E3376">
        <v>5</v>
      </c>
      <c r="L3376">
        <v>2</v>
      </c>
    </row>
    <row r="3377" spans="1:12">
      <c r="A3377" s="3" t="s">
        <v>3353</v>
      </c>
      <c r="E3377">
        <v>5</v>
      </c>
      <c r="L3377">
        <v>2</v>
      </c>
    </row>
    <row r="3378" spans="1:12">
      <c r="A3378" s="3" t="s">
        <v>3354</v>
      </c>
      <c r="E3378">
        <v>5</v>
      </c>
      <c r="L3378">
        <v>2</v>
      </c>
    </row>
    <row r="3379" spans="1:12">
      <c r="A3379" s="3" t="s">
        <v>3355</v>
      </c>
      <c r="E3379">
        <v>5</v>
      </c>
      <c r="L3379">
        <v>2</v>
      </c>
    </row>
    <row r="3380" spans="1:12">
      <c r="A3380" s="3" t="s">
        <v>3356</v>
      </c>
      <c r="E3380">
        <v>5</v>
      </c>
      <c r="L3380">
        <v>2</v>
      </c>
    </row>
    <row r="3381" spans="1:12">
      <c r="A3381" s="3" t="s">
        <v>3357</v>
      </c>
      <c r="E3381">
        <v>5</v>
      </c>
      <c r="L3381">
        <v>2</v>
      </c>
    </row>
    <row r="3382" spans="1:12">
      <c r="A3382" s="3" t="s">
        <v>3358</v>
      </c>
      <c r="E3382">
        <v>5</v>
      </c>
      <c r="L3382">
        <v>2</v>
      </c>
    </row>
    <row r="3383" spans="1:12">
      <c r="A3383" s="3" t="s">
        <v>3359</v>
      </c>
      <c r="E3383">
        <v>5</v>
      </c>
      <c r="L3383">
        <v>2</v>
      </c>
    </row>
    <row r="3384" spans="1:12">
      <c r="A3384" s="3" t="s">
        <v>3360</v>
      </c>
      <c r="E3384">
        <v>5</v>
      </c>
      <c r="L3384">
        <v>2</v>
      </c>
    </row>
    <row r="3385" spans="1:12">
      <c r="A3385" s="3" t="s">
        <v>3361</v>
      </c>
      <c r="E3385">
        <v>5</v>
      </c>
      <c r="L3385">
        <v>2</v>
      </c>
    </row>
    <row r="3386" spans="1:12">
      <c r="A3386" s="3" t="s">
        <v>3362</v>
      </c>
      <c r="E3386">
        <v>5</v>
      </c>
      <c r="J3386">
        <v>48</v>
      </c>
    </row>
    <row r="3387" spans="1:12">
      <c r="A3387" s="3" t="s">
        <v>3363</v>
      </c>
      <c r="E3387">
        <v>5</v>
      </c>
      <c r="J3387">
        <v>48</v>
      </c>
    </row>
    <row r="3388" spans="1:12">
      <c r="A3388" s="3" t="s">
        <v>3364</v>
      </c>
      <c r="E3388">
        <v>5</v>
      </c>
      <c r="J3388">
        <v>48</v>
      </c>
    </row>
    <row r="3389" spans="1:12">
      <c r="A3389" s="3" t="s">
        <v>3365</v>
      </c>
      <c r="E3389">
        <v>5</v>
      </c>
      <c r="J3389">
        <v>48</v>
      </c>
    </row>
    <row r="3390" spans="1:12">
      <c r="A3390" s="3" t="s">
        <v>3366</v>
      </c>
      <c r="E3390">
        <v>5</v>
      </c>
      <c r="J3390">
        <v>48</v>
      </c>
    </row>
    <row r="3391" spans="1:12">
      <c r="A3391" s="3" t="s">
        <v>3367</v>
      </c>
      <c r="E3391">
        <v>5</v>
      </c>
      <c r="J3391">
        <v>48</v>
      </c>
    </row>
    <row r="3392" spans="1:12">
      <c r="A3392" s="3" t="s">
        <v>3368</v>
      </c>
      <c r="E3392">
        <v>5</v>
      </c>
      <c r="J3392">
        <v>48</v>
      </c>
    </row>
    <row r="3393" spans="1:10">
      <c r="A3393" s="3" t="s">
        <v>3369</v>
      </c>
      <c r="E3393">
        <v>5</v>
      </c>
      <c r="J3393">
        <v>48</v>
      </c>
    </row>
    <row r="3394" spans="1:10">
      <c r="A3394" s="3" t="s">
        <v>3370</v>
      </c>
      <c r="E3394">
        <v>5</v>
      </c>
      <c r="J3394">
        <v>48</v>
      </c>
    </row>
    <row r="3395" spans="1:10">
      <c r="A3395" s="3" t="s">
        <v>3371</v>
      </c>
      <c r="E3395">
        <v>5</v>
      </c>
      <c r="J3395">
        <v>48</v>
      </c>
    </row>
    <row r="3396" spans="1:10">
      <c r="A3396" s="3" t="s">
        <v>3372</v>
      </c>
      <c r="E3396">
        <v>5</v>
      </c>
      <c r="J3396">
        <v>48</v>
      </c>
    </row>
    <row r="3397" spans="1:10">
      <c r="A3397" s="3" t="s">
        <v>3373</v>
      </c>
      <c r="E3397">
        <v>5</v>
      </c>
      <c r="J3397">
        <v>48</v>
      </c>
    </row>
    <row r="3398" spans="1:10">
      <c r="A3398" s="3" t="s">
        <v>3374</v>
      </c>
      <c r="E3398">
        <v>5</v>
      </c>
      <c r="J3398">
        <v>48</v>
      </c>
    </row>
    <row r="3399" spans="1:10">
      <c r="A3399" s="3" t="s">
        <v>3375</v>
      </c>
      <c r="E3399">
        <v>5</v>
      </c>
      <c r="J3399">
        <v>48</v>
      </c>
    </row>
    <row r="3400" spans="1:10">
      <c r="A3400" s="3" t="s">
        <v>3376</v>
      </c>
      <c r="E3400">
        <v>5</v>
      </c>
      <c r="J3400">
        <v>48</v>
      </c>
    </row>
    <row r="3401" spans="1:10">
      <c r="A3401" s="3" t="s">
        <v>3377</v>
      </c>
      <c r="E3401">
        <v>5</v>
      </c>
      <c r="J3401">
        <v>48</v>
      </c>
    </row>
    <row r="3402" spans="1:10">
      <c r="A3402" s="3" t="s">
        <v>3378</v>
      </c>
      <c r="B3402">
        <v>5</v>
      </c>
      <c r="E3402">
        <v>5</v>
      </c>
      <c r="J3402">
        <v>48</v>
      </c>
    </row>
    <row r="3403" spans="1:10">
      <c r="A3403" s="3" t="s">
        <v>3379</v>
      </c>
      <c r="B3403">
        <v>5</v>
      </c>
      <c r="E3403">
        <v>5</v>
      </c>
      <c r="J3403">
        <v>48</v>
      </c>
    </row>
    <row r="3404" spans="1:10">
      <c r="A3404" s="3" t="s">
        <v>3380</v>
      </c>
      <c r="B3404">
        <v>5</v>
      </c>
      <c r="E3404">
        <v>5</v>
      </c>
      <c r="J3404">
        <v>48</v>
      </c>
    </row>
    <row r="3405" spans="1:10">
      <c r="A3405" s="3" t="s">
        <v>3381</v>
      </c>
      <c r="B3405">
        <v>5</v>
      </c>
      <c r="E3405">
        <v>5</v>
      </c>
      <c r="J3405">
        <v>48</v>
      </c>
    </row>
    <row r="3406" spans="1:10">
      <c r="A3406" s="3" t="s">
        <v>3382</v>
      </c>
      <c r="B3406">
        <v>5</v>
      </c>
      <c r="E3406">
        <v>5</v>
      </c>
      <c r="J3406">
        <v>48</v>
      </c>
    </row>
    <row r="3407" spans="1:10">
      <c r="A3407" s="3" t="s">
        <v>3383</v>
      </c>
      <c r="B3407">
        <v>5</v>
      </c>
      <c r="E3407">
        <v>5</v>
      </c>
      <c r="J3407">
        <v>48</v>
      </c>
    </row>
    <row r="3408" spans="1:10">
      <c r="A3408" s="3" t="s">
        <v>3384</v>
      </c>
      <c r="B3408">
        <v>5</v>
      </c>
      <c r="E3408">
        <v>5</v>
      </c>
      <c r="J3408">
        <v>48</v>
      </c>
    </row>
    <row r="3409" spans="1:49">
      <c r="A3409" s="3" t="s">
        <v>3385</v>
      </c>
      <c r="B3409">
        <v>5</v>
      </c>
      <c r="E3409">
        <v>5</v>
      </c>
      <c r="AW3409">
        <v>31</v>
      </c>
    </row>
    <row r="3410" spans="1:49">
      <c r="A3410" s="3" t="s">
        <v>3386</v>
      </c>
      <c r="B3410">
        <v>5</v>
      </c>
      <c r="E3410">
        <v>5</v>
      </c>
      <c r="AW3410">
        <v>31</v>
      </c>
    </row>
    <row r="3411" spans="1:49">
      <c r="A3411" s="3" t="s">
        <v>3387</v>
      </c>
      <c r="B3411">
        <v>5</v>
      </c>
      <c r="E3411">
        <v>5</v>
      </c>
      <c r="AW3411">
        <v>31</v>
      </c>
    </row>
    <row r="3412" spans="1:49">
      <c r="A3412" s="3" t="s">
        <v>3388</v>
      </c>
      <c r="B3412">
        <v>5</v>
      </c>
      <c r="E3412">
        <v>5</v>
      </c>
      <c r="AW3412">
        <v>31</v>
      </c>
    </row>
    <row r="3413" spans="1:49">
      <c r="A3413" s="3" t="s">
        <v>3389</v>
      </c>
      <c r="B3413">
        <v>5</v>
      </c>
      <c r="E3413">
        <v>5</v>
      </c>
      <c r="J3413">
        <v>49</v>
      </c>
    </row>
    <row r="3414" spans="1:49">
      <c r="A3414" s="3" t="s">
        <v>3390</v>
      </c>
      <c r="B3414">
        <v>5</v>
      </c>
      <c r="E3414">
        <v>5</v>
      </c>
      <c r="J3414">
        <v>49</v>
      </c>
    </row>
    <row r="3415" spans="1:49">
      <c r="A3415" s="3" t="s">
        <v>3391</v>
      </c>
      <c r="B3415">
        <v>5</v>
      </c>
      <c r="E3415">
        <v>5</v>
      </c>
      <c r="J3415">
        <v>49</v>
      </c>
    </row>
    <row r="3416" spans="1:49">
      <c r="A3416" s="3" t="s">
        <v>3392</v>
      </c>
      <c r="B3416">
        <v>5</v>
      </c>
      <c r="E3416">
        <v>5</v>
      </c>
      <c r="J3416">
        <v>49</v>
      </c>
    </row>
    <row r="3417" spans="1:49">
      <c r="A3417" s="3" t="s">
        <v>3393</v>
      </c>
      <c r="B3417">
        <v>5</v>
      </c>
      <c r="E3417">
        <v>5</v>
      </c>
      <c r="M3417">
        <v>7</v>
      </c>
    </row>
    <row r="3418" spans="1:49">
      <c r="A3418" s="3" t="s">
        <v>3394</v>
      </c>
      <c r="B3418">
        <v>5</v>
      </c>
      <c r="E3418">
        <v>5</v>
      </c>
      <c r="M3418">
        <v>7</v>
      </c>
    </row>
    <row r="3419" spans="1:49">
      <c r="A3419" s="3" t="s">
        <v>3395</v>
      </c>
      <c r="B3419">
        <v>5</v>
      </c>
      <c r="E3419">
        <v>5</v>
      </c>
      <c r="M3419">
        <v>7</v>
      </c>
    </row>
    <row r="3420" spans="1:49">
      <c r="A3420" s="3" t="s">
        <v>3396</v>
      </c>
      <c r="B3420">
        <v>5</v>
      </c>
      <c r="E3420">
        <v>5</v>
      </c>
      <c r="M3420">
        <v>7</v>
      </c>
    </row>
    <row r="3421" spans="1:49">
      <c r="A3421" s="3" t="s">
        <v>3397</v>
      </c>
      <c r="B3421">
        <v>5</v>
      </c>
      <c r="E3421">
        <v>5</v>
      </c>
      <c r="M3421">
        <v>7</v>
      </c>
    </row>
    <row r="3422" spans="1:49">
      <c r="A3422" s="3" t="s">
        <v>3398</v>
      </c>
      <c r="B3422">
        <v>5</v>
      </c>
      <c r="E3422">
        <v>5</v>
      </c>
      <c r="M3422">
        <v>7</v>
      </c>
    </row>
    <row r="3423" spans="1:49">
      <c r="A3423" s="3" t="s">
        <v>3399</v>
      </c>
      <c r="B3423">
        <v>5</v>
      </c>
      <c r="E3423">
        <v>5</v>
      </c>
      <c r="M3423">
        <v>7</v>
      </c>
    </row>
    <row r="3424" spans="1:49">
      <c r="A3424" s="3" t="s">
        <v>3400</v>
      </c>
      <c r="B3424">
        <v>5</v>
      </c>
      <c r="E3424">
        <v>5</v>
      </c>
      <c r="M3424">
        <v>7</v>
      </c>
    </row>
    <row r="3425" spans="1:13">
      <c r="A3425" s="3" t="s">
        <v>3401</v>
      </c>
      <c r="B3425">
        <v>5</v>
      </c>
      <c r="E3425">
        <v>5</v>
      </c>
      <c r="M3425">
        <v>7</v>
      </c>
    </row>
    <row r="3426" spans="1:13">
      <c r="A3426" s="3" t="s">
        <v>3402</v>
      </c>
      <c r="B3426">
        <v>5</v>
      </c>
      <c r="E3426">
        <v>5</v>
      </c>
      <c r="M3426">
        <v>7</v>
      </c>
    </row>
    <row r="3427" spans="1:13">
      <c r="A3427" s="3" t="s">
        <v>3403</v>
      </c>
      <c r="B3427">
        <v>5</v>
      </c>
      <c r="E3427">
        <v>5</v>
      </c>
      <c r="M3427">
        <v>7</v>
      </c>
    </row>
    <row r="3428" spans="1:13">
      <c r="A3428" s="3" t="s">
        <v>3404</v>
      </c>
      <c r="B3428">
        <v>5</v>
      </c>
      <c r="E3428">
        <v>5</v>
      </c>
      <c r="M3428">
        <v>7</v>
      </c>
    </row>
    <row r="3429" spans="1:13">
      <c r="A3429" s="3" t="s">
        <v>3405</v>
      </c>
      <c r="B3429">
        <v>5</v>
      </c>
      <c r="E3429">
        <v>5</v>
      </c>
      <c r="M3429">
        <v>7</v>
      </c>
    </row>
    <row r="3430" spans="1:13">
      <c r="A3430" s="3" t="s">
        <v>3406</v>
      </c>
      <c r="B3430">
        <v>5</v>
      </c>
      <c r="E3430">
        <v>5</v>
      </c>
      <c r="M3430">
        <v>7</v>
      </c>
    </row>
    <row r="3431" spans="1:13">
      <c r="A3431" s="3" t="s">
        <v>3407</v>
      </c>
      <c r="B3431">
        <v>5</v>
      </c>
      <c r="E3431">
        <v>5</v>
      </c>
      <c r="M3431">
        <v>7</v>
      </c>
    </row>
    <row r="3432" spans="1:13">
      <c r="A3432" s="3" t="s">
        <v>3408</v>
      </c>
      <c r="B3432">
        <v>5</v>
      </c>
      <c r="E3432">
        <v>5</v>
      </c>
      <c r="M3432">
        <v>7</v>
      </c>
    </row>
    <row r="3433" spans="1:13">
      <c r="A3433" s="3" t="s">
        <v>3409</v>
      </c>
      <c r="B3433">
        <v>5</v>
      </c>
      <c r="E3433">
        <v>5</v>
      </c>
      <c r="M3433">
        <v>7</v>
      </c>
    </row>
    <row r="3434" spans="1:13">
      <c r="A3434" s="3" t="s">
        <v>3410</v>
      </c>
      <c r="B3434">
        <v>5</v>
      </c>
      <c r="E3434">
        <v>5</v>
      </c>
      <c r="M3434">
        <v>7</v>
      </c>
    </row>
    <row r="3435" spans="1:13">
      <c r="A3435" s="3" t="s">
        <v>3411</v>
      </c>
      <c r="B3435">
        <v>5</v>
      </c>
      <c r="E3435">
        <v>5</v>
      </c>
      <c r="M3435">
        <v>7</v>
      </c>
    </row>
    <row r="3436" spans="1:13">
      <c r="A3436" s="3" t="s">
        <v>3412</v>
      </c>
      <c r="B3436">
        <v>5</v>
      </c>
      <c r="E3436">
        <v>5</v>
      </c>
      <c r="M3436">
        <v>7</v>
      </c>
    </row>
    <row r="3437" spans="1:13">
      <c r="A3437" s="3" t="s">
        <v>3413</v>
      </c>
      <c r="B3437">
        <v>5</v>
      </c>
      <c r="E3437">
        <v>5</v>
      </c>
      <c r="M3437">
        <v>7</v>
      </c>
    </row>
    <row r="3438" spans="1:13">
      <c r="A3438" s="3" t="s">
        <v>3414</v>
      </c>
      <c r="B3438">
        <v>5</v>
      </c>
      <c r="E3438">
        <v>5</v>
      </c>
      <c r="M3438">
        <v>7</v>
      </c>
    </row>
    <row r="3439" spans="1:13">
      <c r="A3439" s="3" t="s">
        <v>3415</v>
      </c>
      <c r="B3439">
        <v>5</v>
      </c>
      <c r="E3439">
        <v>5</v>
      </c>
      <c r="M3439">
        <v>7</v>
      </c>
    </row>
    <row r="3440" spans="1:13">
      <c r="A3440" s="3" t="s">
        <v>3416</v>
      </c>
      <c r="B3440">
        <v>5</v>
      </c>
      <c r="E3440">
        <v>5</v>
      </c>
      <c r="M3440">
        <v>7</v>
      </c>
    </row>
    <row r="3441" spans="1:13">
      <c r="A3441" s="3" t="s">
        <v>3417</v>
      </c>
      <c r="B3441">
        <v>5</v>
      </c>
      <c r="E3441">
        <v>5</v>
      </c>
      <c r="M3441">
        <v>7</v>
      </c>
    </row>
    <row r="3442" spans="1:13">
      <c r="A3442" s="3" t="s">
        <v>3418</v>
      </c>
      <c r="B3442">
        <v>5</v>
      </c>
      <c r="E3442">
        <v>5</v>
      </c>
      <c r="M3442">
        <v>7</v>
      </c>
    </row>
    <row r="3443" spans="1:13">
      <c r="A3443" s="3" t="s">
        <v>3419</v>
      </c>
      <c r="B3443">
        <v>5</v>
      </c>
      <c r="E3443">
        <v>5</v>
      </c>
      <c r="K3443">
        <v>7</v>
      </c>
    </row>
    <row r="3444" spans="1:13">
      <c r="A3444" s="3" t="s">
        <v>3420</v>
      </c>
      <c r="B3444">
        <v>5</v>
      </c>
      <c r="E3444">
        <v>5</v>
      </c>
      <c r="K3444">
        <v>7</v>
      </c>
    </row>
    <row r="3445" spans="1:13">
      <c r="A3445" s="3" t="s">
        <v>3421</v>
      </c>
      <c r="B3445">
        <v>5</v>
      </c>
      <c r="E3445">
        <v>5</v>
      </c>
      <c r="K3445">
        <v>7</v>
      </c>
    </row>
    <row r="3446" spans="1:13">
      <c r="A3446" s="3" t="s">
        <v>3422</v>
      </c>
      <c r="B3446">
        <v>5</v>
      </c>
      <c r="E3446">
        <v>5</v>
      </c>
      <c r="K3446">
        <v>7</v>
      </c>
    </row>
    <row r="3447" spans="1:13">
      <c r="A3447" s="3" t="s">
        <v>3423</v>
      </c>
      <c r="B3447">
        <v>5</v>
      </c>
      <c r="E3447">
        <v>5</v>
      </c>
      <c r="K3447">
        <v>7</v>
      </c>
    </row>
    <row r="3448" spans="1:13">
      <c r="A3448" s="3" t="s">
        <v>3424</v>
      </c>
      <c r="B3448">
        <v>5</v>
      </c>
      <c r="E3448">
        <v>5</v>
      </c>
      <c r="K3448">
        <v>7</v>
      </c>
    </row>
    <row r="3449" spans="1:13">
      <c r="A3449" s="3" t="s">
        <v>3425</v>
      </c>
      <c r="B3449">
        <v>5</v>
      </c>
      <c r="E3449">
        <v>5</v>
      </c>
      <c r="K3449">
        <v>7</v>
      </c>
    </row>
    <row r="3450" spans="1:13">
      <c r="A3450" s="3" t="s">
        <v>3426</v>
      </c>
      <c r="B3450">
        <v>5</v>
      </c>
      <c r="E3450">
        <v>5</v>
      </c>
      <c r="K3450">
        <v>7</v>
      </c>
    </row>
    <row r="3451" spans="1:13">
      <c r="A3451" s="3" t="s">
        <v>3427</v>
      </c>
      <c r="B3451">
        <v>5</v>
      </c>
      <c r="E3451">
        <v>5</v>
      </c>
      <c r="K3451">
        <v>7</v>
      </c>
    </row>
    <row r="3452" spans="1:13">
      <c r="A3452" s="3" t="s">
        <v>3428</v>
      </c>
      <c r="B3452">
        <v>5</v>
      </c>
      <c r="E3452">
        <v>5</v>
      </c>
      <c r="K3452">
        <v>7</v>
      </c>
    </row>
    <row r="3453" spans="1:13">
      <c r="A3453" s="3" t="s">
        <v>3429</v>
      </c>
      <c r="B3453">
        <v>5</v>
      </c>
      <c r="E3453">
        <v>5</v>
      </c>
      <c r="K3453">
        <v>7</v>
      </c>
    </row>
    <row r="3454" spans="1:13">
      <c r="A3454" s="3" t="s">
        <v>3430</v>
      </c>
      <c r="B3454">
        <v>5</v>
      </c>
      <c r="E3454">
        <v>5</v>
      </c>
      <c r="K3454">
        <v>7</v>
      </c>
    </row>
    <row r="3455" spans="1:13">
      <c r="A3455" s="3" t="s">
        <v>3431</v>
      </c>
      <c r="B3455">
        <v>5</v>
      </c>
      <c r="E3455">
        <v>5</v>
      </c>
      <c r="K3455">
        <v>7</v>
      </c>
    </row>
    <row r="3456" spans="1:13">
      <c r="A3456" s="3" t="s">
        <v>3432</v>
      </c>
      <c r="B3456">
        <v>5</v>
      </c>
      <c r="E3456">
        <v>5</v>
      </c>
      <c r="K3456">
        <v>7</v>
      </c>
    </row>
    <row r="3457" spans="1:13">
      <c r="A3457" s="3" t="s">
        <v>3433</v>
      </c>
      <c r="B3457">
        <v>5</v>
      </c>
      <c r="E3457">
        <v>5</v>
      </c>
      <c r="K3457">
        <v>7</v>
      </c>
    </row>
    <row r="3458" spans="1:13">
      <c r="A3458" s="3" t="s">
        <v>3434</v>
      </c>
      <c r="B3458">
        <v>5</v>
      </c>
      <c r="E3458">
        <v>5</v>
      </c>
      <c r="K3458">
        <v>7</v>
      </c>
    </row>
    <row r="3459" spans="1:13">
      <c r="A3459" s="3" t="s">
        <v>3435</v>
      </c>
      <c r="B3459">
        <v>5</v>
      </c>
      <c r="E3459">
        <v>5</v>
      </c>
      <c r="K3459">
        <v>7</v>
      </c>
    </row>
    <row r="3460" spans="1:13">
      <c r="A3460" s="3" t="s">
        <v>3436</v>
      </c>
      <c r="B3460">
        <v>5</v>
      </c>
      <c r="E3460">
        <v>5</v>
      </c>
      <c r="K3460">
        <v>7</v>
      </c>
    </row>
    <row r="3461" spans="1:13">
      <c r="A3461" s="3" t="s">
        <v>3437</v>
      </c>
      <c r="B3461">
        <v>5</v>
      </c>
      <c r="E3461">
        <v>5</v>
      </c>
      <c r="K3461">
        <v>7</v>
      </c>
    </row>
    <row r="3462" spans="1:13">
      <c r="A3462" s="3" t="s">
        <v>3438</v>
      </c>
      <c r="B3462">
        <v>5</v>
      </c>
      <c r="E3462">
        <v>5</v>
      </c>
      <c r="M3462">
        <v>8</v>
      </c>
    </row>
    <row r="3463" spans="1:13">
      <c r="A3463" s="3" t="s">
        <v>3439</v>
      </c>
      <c r="B3463">
        <v>5</v>
      </c>
      <c r="E3463">
        <v>5</v>
      </c>
      <c r="M3463">
        <v>8</v>
      </c>
    </row>
    <row r="3464" spans="1:13">
      <c r="A3464" s="3" t="s">
        <v>3440</v>
      </c>
      <c r="B3464">
        <v>5</v>
      </c>
      <c r="E3464">
        <v>5</v>
      </c>
      <c r="M3464">
        <v>8</v>
      </c>
    </row>
    <row r="3465" spans="1:13">
      <c r="A3465" s="3" t="s">
        <v>3441</v>
      </c>
      <c r="B3465">
        <v>5</v>
      </c>
      <c r="E3465">
        <v>5</v>
      </c>
      <c r="M3465">
        <v>8</v>
      </c>
    </row>
    <row r="3466" spans="1:13">
      <c r="A3466" s="3" t="s">
        <v>3442</v>
      </c>
      <c r="B3466">
        <v>5</v>
      </c>
      <c r="E3466">
        <v>5</v>
      </c>
      <c r="M3466">
        <v>8</v>
      </c>
    </row>
    <row r="3467" spans="1:13">
      <c r="A3467" s="3" t="s">
        <v>3443</v>
      </c>
      <c r="B3467">
        <v>5</v>
      </c>
      <c r="E3467">
        <v>5</v>
      </c>
      <c r="M3467">
        <v>8</v>
      </c>
    </row>
    <row r="3468" spans="1:13">
      <c r="A3468" s="3" t="s">
        <v>3444</v>
      </c>
      <c r="B3468">
        <v>5</v>
      </c>
      <c r="E3468">
        <v>5</v>
      </c>
      <c r="M3468">
        <v>8</v>
      </c>
    </row>
    <row r="3469" spans="1:13">
      <c r="A3469" s="3" t="s">
        <v>3445</v>
      </c>
      <c r="B3469">
        <v>5</v>
      </c>
      <c r="E3469">
        <v>5</v>
      </c>
      <c r="M3469">
        <v>8</v>
      </c>
    </row>
    <row r="3470" spans="1:13">
      <c r="A3470" s="3" t="s">
        <v>3446</v>
      </c>
      <c r="B3470">
        <v>5</v>
      </c>
      <c r="E3470">
        <v>5</v>
      </c>
      <c r="J3470">
        <v>50</v>
      </c>
    </row>
    <row r="3471" spans="1:13">
      <c r="A3471" s="3" t="s">
        <v>3447</v>
      </c>
      <c r="B3471">
        <v>5</v>
      </c>
      <c r="E3471">
        <v>5</v>
      </c>
      <c r="J3471">
        <v>50</v>
      </c>
    </row>
    <row r="3472" spans="1:13">
      <c r="A3472" s="3" t="s">
        <v>3448</v>
      </c>
      <c r="B3472">
        <v>5</v>
      </c>
      <c r="E3472">
        <v>5</v>
      </c>
      <c r="J3472">
        <v>50</v>
      </c>
    </row>
    <row r="3473" spans="1:47">
      <c r="A3473" s="3" t="s">
        <v>3449</v>
      </c>
      <c r="B3473">
        <v>5</v>
      </c>
      <c r="E3473">
        <v>5</v>
      </c>
      <c r="J3473">
        <v>50</v>
      </c>
    </row>
    <row r="3474" spans="1:47">
      <c r="A3474" s="3" t="s">
        <v>3450</v>
      </c>
      <c r="B3474">
        <v>5</v>
      </c>
      <c r="E3474">
        <v>5</v>
      </c>
      <c r="J3474">
        <v>50</v>
      </c>
    </row>
    <row r="3475" spans="1:47">
      <c r="A3475" s="3" t="s">
        <v>3451</v>
      </c>
      <c r="B3475">
        <v>5</v>
      </c>
      <c r="J3475">
        <v>50</v>
      </c>
    </row>
    <row r="3476" spans="1:47">
      <c r="A3476" s="3" t="s">
        <v>3452</v>
      </c>
      <c r="B3476">
        <v>5</v>
      </c>
      <c r="J3476">
        <v>50</v>
      </c>
    </row>
    <row r="3477" spans="1:47">
      <c r="A3477" s="3" t="s">
        <v>3453</v>
      </c>
      <c r="B3477">
        <v>5</v>
      </c>
      <c r="J3477">
        <v>50</v>
      </c>
    </row>
    <row r="3478" spans="1:47">
      <c r="A3478" s="3" t="s">
        <v>3454</v>
      </c>
      <c r="B3478">
        <v>5</v>
      </c>
      <c r="AU3478">
        <v>6</v>
      </c>
    </row>
    <row r="3479" spans="1:47">
      <c r="A3479" s="3" t="s">
        <v>3455</v>
      </c>
      <c r="B3479">
        <v>5</v>
      </c>
      <c r="AU3479">
        <v>6</v>
      </c>
    </row>
    <row r="3480" spans="1:47">
      <c r="A3480" s="3" t="s">
        <v>3456</v>
      </c>
      <c r="B3480">
        <v>5</v>
      </c>
      <c r="AU3480">
        <v>6</v>
      </c>
    </row>
    <row r="3481" spans="1:47">
      <c r="A3481" s="3" t="s">
        <v>3457</v>
      </c>
      <c r="B3481">
        <v>5</v>
      </c>
      <c r="AU3481">
        <v>6</v>
      </c>
    </row>
    <row r="3482" spans="1:47">
      <c r="A3482" s="3" t="s">
        <v>3458</v>
      </c>
      <c r="B3482">
        <v>5</v>
      </c>
      <c r="AU3482">
        <v>6</v>
      </c>
    </row>
    <row r="3483" spans="1:47">
      <c r="A3483" s="3" t="s">
        <v>3459</v>
      </c>
      <c r="B3483">
        <v>5</v>
      </c>
      <c r="J3483">
        <v>51</v>
      </c>
    </row>
    <row r="3484" spans="1:47">
      <c r="A3484" s="3" t="s">
        <v>3460</v>
      </c>
      <c r="B3484">
        <v>5</v>
      </c>
      <c r="J3484">
        <v>51</v>
      </c>
    </row>
    <row r="3485" spans="1:47">
      <c r="A3485" s="3" t="s">
        <v>3461</v>
      </c>
      <c r="B3485">
        <v>5</v>
      </c>
      <c r="J3485">
        <v>51</v>
      </c>
    </row>
    <row r="3486" spans="1:47">
      <c r="A3486" s="3" t="s">
        <v>3462</v>
      </c>
      <c r="B3486">
        <v>5</v>
      </c>
      <c r="J3486">
        <v>51</v>
      </c>
    </row>
    <row r="3487" spans="1:47">
      <c r="A3487" s="3" t="s">
        <v>3463</v>
      </c>
      <c r="B3487">
        <v>5</v>
      </c>
      <c r="J3487">
        <v>51</v>
      </c>
    </row>
    <row r="3488" spans="1:47">
      <c r="A3488" s="3" t="s">
        <v>3464</v>
      </c>
      <c r="B3488">
        <v>5</v>
      </c>
      <c r="J3488">
        <v>51</v>
      </c>
    </row>
    <row r="3489" spans="1:12">
      <c r="A3489" s="3" t="s">
        <v>3465</v>
      </c>
      <c r="B3489">
        <v>5</v>
      </c>
      <c r="J3489">
        <v>51</v>
      </c>
    </row>
    <row r="3490" spans="1:12">
      <c r="A3490" s="3" t="s">
        <v>3466</v>
      </c>
      <c r="B3490">
        <v>5</v>
      </c>
      <c r="J3490">
        <v>51</v>
      </c>
    </row>
    <row r="3491" spans="1:12">
      <c r="A3491" s="3" t="s">
        <v>3467</v>
      </c>
      <c r="B3491">
        <v>5</v>
      </c>
      <c r="J3491">
        <v>51</v>
      </c>
    </row>
    <row r="3492" spans="1:12">
      <c r="A3492" s="3" t="s">
        <v>3468</v>
      </c>
      <c r="B3492">
        <v>5</v>
      </c>
      <c r="J3492">
        <v>51</v>
      </c>
    </row>
    <row r="3493" spans="1:12">
      <c r="A3493" s="3" t="s">
        <v>3469</v>
      </c>
      <c r="B3493">
        <v>5</v>
      </c>
      <c r="J3493">
        <v>51</v>
      </c>
    </row>
    <row r="3494" spans="1:12">
      <c r="A3494" s="3" t="s">
        <v>3470</v>
      </c>
      <c r="B3494">
        <v>5</v>
      </c>
      <c r="J3494">
        <v>51</v>
      </c>
    </row>
    <row r="3495" spans="1:12">
      <c r="A3495" s="3" t="s">
        <v>3471</v>
      </c>
      <c r="B3495">
        <v>5</v>
      </c>
      <c r="J3495">
        <v>51</v>
      </c>
    </row>
    <row r="3496" spans="1:12">
      <c r="A3496" s="3" t="s">
        <v>3472</v>
      </c>
      <c r="B3496">
        <v>5</v>
      </c>
      <c r="L3496">
        <v>3</v>
      </c>
    </row>
    <row r="3497" spans="1:12">
      <c r="A3497" s="3" t="s">
        <v>3473</v>
      </c>
      <c r="B3497">
        <v>5</v>
      </c>
      <c r="L3497">
        <v>3</v>
      </c>
    </row>
    <row r="3498" spans="1:12">
      <c r="A3498" s="3" t="s">
        <v>3474</v>
      </c>
      <c r="B3498">
        <v>5</v>
      </c>
      <c r="L3498">
        <v>3</v>
      </c>
    </row>
    <row r="3499" spans="1:12">
      <c r="A3499" s="3" t="s">
        <v>3475</v>
      </c>
      <c r="B3499">
        <v>5</v>
      </c>
      <c r="L3499">
        <v>3</v>
      </c>
    </row>
    <row r="3500" spans="1:12">
      <c r="A3500" s="3" t="s">
        <v>3476</v>
      </c>
      <c r="B3500">
        <v>5</v>
      </c>
      <c r="L3500">
        <v>3</v>
      </c>
    </row>
    <row r="3501" spans="1:12">
      <c r="A3501" s="3" t="s">
        <v>3477</v>
      </c>
      <c r="B3501">
        <v>5</v>
      </c>
      <c r="J3501">
        <v>52</v>
      </c>
    </row>
    <row r="3502" spans="1:12">
      <c r="A3502" s="3" t="s">
        <v>3478</v>
      </c>
      <c r="B3502">
        <v>5</v>
      </c>
      <c r="J3502">
        <v>52</v>
      </c>
    </row>
    <row r="3503" spans="1:12">
      <c r="A3503" s="3" t="s">
        <v>3479</v>
      </c>
      <c r="B3503">
        <v>5</v>
      </c>
      <c r="J3503">
        <v>52</v>
      </c>
    </row>
    <row r="3504" spans="1:12">
      <c r="A3504" s="3" t="s">
        <v>3480</v>
      </c>
      <c r="B3504">
        <v>5</v>
      </c>
      <c r="J3504">
        <v>52</v>
      </c>
    </row>
    <row r="3505" spans="1:10">
      <c r="A3505" s="3" t="s">
        <v>3481</v>
      </c>
      <c r="B3505">
        <v>5</v>
      </c>
      <c r="J3505">
        <v>52</v>
      </c>
    </row>
    <row r="3506" spans="1:10">
      <c r="A3506" s="3" t="s">
        <v>3482</v>
      </c>
      <c r="B3506">
        <v>5</v>
      </c>
      <c r="J3506">
        <v>52</v>
      </c>
    </row>
    <row r="3507" spans="1:10">
      <c r="A3507" s="3" t="s">
        <v>3483</v>
      </c>
      <c r="B3507">
        <v>5</v>
      </c>
      <c r="J3507">
        <v>52</v>
      </c>
    </row>
    <row r="3508" spans="1:10">
      <c r="A3508" s="3" t="s">
        <v>3484</v>
      </c>
      <c r="B3508">
        <v>5</v>
      </c>
      <c r="J3508">
        <v>52</v>
      </c>
    </row>
    <row r="3509" spans="1:10">
      <c r="A3509" s="3" t="s">
        <v>3485</v>
      </c>
      <c r="B3509">
        <v>5</v>
      </c>
      <c r="J3509">
        <v>52</v>
      </c>
    </row>
    <row r="3510" spans="1:10">
      <c r="A3510" s="3" t="s">
        <v>3486</v>
      </c>
      <c r="B3510">
        <v>5</v>
      </c>
      <c r="J3510">
        <v>52</v>
      </c>
    </row>
    <row r="3511" spans="1:10">
      <c r="A3511" s="3" t="s">
        <v>3487</v>
      </c>
      <c r="B3511">
        <v>5</v>
      </c>
      <c r="J3511">
        <v>52</v>
      </c>
    </row>
    <row r="3512" spans="1:10">
      <c r="A3512" s="3" t="s">
        <v>3488</v>
      </c>
      <c r="B3512">
        <v>5</v>
      </c>
      <c r="J3512">
        <v>52</v>
      </c>
    </row>
    <row r="3513" spans="1:10">
      <c r="A3513" s="3" t="s">
        <v>3489</v>
      </c>
      <c r="B3513">
        <v>5</v>
      </c>
      <c r="J3513">
        <v>52</v>
      </c>
    </row>
    <row r="3514" spans="1:10">
      <c r="A3514" s="3" t="s">
        <v>3490</v>
      </c>
      <c r="B3514">
        <v>5</v>
      </c>
      <c r="J3514">
        <v>52</v>
      </c>
    </row>
    <row r="3515" spans="1:10">
      <c r="A3515" s="3" t="s">
        <v>3491</v>
      </c>
      <c r="B3515">
        <v>5</v>
      </c>
      <c r="J3515">
        <v>52</v>
      </c>
    </row>
    <row r="3516" spans="1:10">
      <c r="A3516" s="3" t="s">
        <v>3492</v>
      </c>
      <c r="B3516">
        <v>5</v>
      </c>
      <c r="J3516">
        <v>52</v>
      </c>
    </row>
    <row r="3517" spans="1:10">
      <c r="A3517" s="3" t="s">
        <v>3493</v>
      </c>
      <c r="B3517">
        <v>5</v>
      </c>
      <c r="J3517">
        <v>52</v>
      </c>
    </row>
    <row r="3518" spans="1:10">
      <c r="A3518" s="3" t="s">
        <v>3494</v>
      </c>
      <c r="B3518">
        <v>5</v>
      </c>
      <c r="J3518">
        <v>52</v>
      </c>
    </row>
    <row r="3519" spans="1:10">
      <c r="A3519" s="3" t="s">
        <v>3495</v>
      </c>
      <c r="B3519">
        <v>5</v>
      </c>
      <c r="J3519">
        <v>52</v>
      </c>
    </row>
    <row r="3520" spans="1:10">
      <c r="A3520" s="3" t="s">
        <v>3496</v>
      </c>
      <c r="B3520">
        <v>5</v>
      </c>
      <c r="J3520">
        <v>52</v>
      </c>
    </row>
    <row r="3521" spans="1:49">
      <c r="A3521" s="3" t="s">
        <v>3497</v>
      </c>
      <c r="B3521">
        <v>5</v>
      </c>
      <c r="J3521">
        <v>52</v>
      </c>
    </row>
    <row r="3522" spans="1:49">
      <c r="A3522" s="3" t="s">
        <v>3498</v>
      </c>
      <c r="B3522">
        <v>5</v>
      </c>
      <c r="J3522">
        <v>52</v>
      </c>
    </row>
    <row r="3523" spans="1:49">
      <c r="A3523" s="3" t="s">
        <v>3499</v>
      </c>
      <c r="B3523">
        <v>5</v>
      </c>
      <c r="J3523">
        <v>52</v>
      </c>
    </row>
    <row r="3524" spans="1:49">
      <c r="A3524" s="3" t="s">
        <v>3500</v>
      </c>
      <c r="B3524">
        <v>5</v>
      </c>
      <c r="J3524">
        <v>52</v>
      </c>
    </row>
    <row r="3525" spans="1:49">
      <c r="A3525" s="3" t="s">
        <v>3501</v>
      </c>
      <c r="B3525">
        <v>5</v>
      </c>
      <c r="J3525">
        <v>52</v>
      </c>
    </row>
    <row r="3526" spans="1:49">
      <c r="A3526" s="3" t="s">
        <v>3502</v>
      </c>
      <c r="B3526">
        <v>5</v>
      </c>
      <c r="J3526">
        <v>52</v>
      </c>
    </row>
    <row r="3527" spans="1:49">
      <c r="A3527" s="3" t="s">
        <v>3503</v>
      </c>
      <c r="B3527">
        <v>5</v>
      </c>
      <c r="AW3527">
        <v>32</v>
      </c>
    </row>
    <row r="3528" spans="1:49">
      <c r="A3528" s="3" t="s">
        <v>3504</v>
      </c>
      <c r="B3528">
        <v>5</v>
      </c>
      <c r="AW3528">
        <v>32</v>
      </c>
    </row>
    <row r="3529" spans="1:49">
      <c r="A3529" s="3" t="s">
        <v>3505</v>
      </c>
      <c r="B3529">
        <v>5</v>
      </c>
      <c r="AW3529">
        <v>32</v>
      </c>
    </row>
    <row r="3530" spans="1:49">
      <c r="A3530" s="3" t="s">
        <v>3506</v>
      </c>
      <c r="B3530">
        <v>5</v>
      </c>
      <c r="AW3530">
        <v>32</v>
      </c>
    </row>
    <row r="3531" spans="1:49">
      <c r="A3531" s="3" t="s">
        <v>3507</v>
      </c>
      <c r="B3531">
        <v>5</v>
      </c>
      <c r="AW3531">
        <v>32</v>
      </c>
    </row>
    <row r="3532" spans="1:49">
      <c r="A3532" s="3" t="s">
        <v>3508</v>
      </c>
      <c r="B3532">
        <v>5</v>
      </c>
      <c r="L3532">
        <v>4</v>
      </c>
    </row>
    <row r="3533" spans="1:49">
      <c r="A3533" s="3" t="s">
        <v>3509</v>
      </c>
      <c r="B3533">
        <v>5</v>
      </c>
      <c r="L3533">
        <v>4</v>
      </c>
    </row>
    <row r="3534" spans="1:49">
      <c r="A3534" s="3" t="s">
        <v>3510</v>
      </c>
      <c r="B3534">
        <v>5</v>
      </c>
      <c r="L3534">
        <v>4</v>
      </c>
    </row>
    <row r="3535" spans="1:49">
      <c r="A3535" s="3" t="s">
        <v>3511</v>
      </c>
      <c r="B3535">
        <v>5</v>
      </c>
      <c r="L3535">
        <v>4</v>
      </c>
    </row>
    <row r="3536" spans="1:49">
      <c r="A3536" s="3" t="s">
        <v>3512</v>
      </c>
      <c r="B3536">
        <v>5</v>
      </c>
      <c r="L3536">
        <v>4</v>
      </c>
    </row>
    <row r="3537" spans="1:12">
      <c r="A3537" s="3" t="s">
        <v>3513</v>
      </c>
      <c r="B3537">
        <v>5</v>
      </c>
      <c r="L3537">
        <v>4</v>
      </c>
    </row>
    <row r="3538" spans="1:12">
      <c r="A3538" s="3" t="s">
        <v>3514</v>
      </c>
      <c r="B3538">
        <v>5</v>
      </c>
      <c r="L3538">
        <v>4</v>
      </c>
    </row>
    <row r="3539" spans="1:12">
      <c r="A3539" s="3" t="s">
        <v>3515</v>
      </c>
      <c r="B3539">
        <v>5</v>
      </c>
      <c r="J3539">
        <v>53</v>
      </c>
    </row>
    <row r="3540" spans="1:12">
      <c r="A3540" s="3" t="s">
        <v>3516</v>
      </c>
      <c r="B3540">
        <v>5</v>
      </c>
      <c r="J3540">
        <v>53</v>
      </c>
    </row>
    <row r="3541" spans="1:12">
      <c r="A3541" s="3" t="s">
        <v>3517</v>
      </c>
      <c r="B3541">
        <v>5</v>
      </c>
      <c r="J3541">
        <v>53</v>
      </c>
    </row>
    <row r="3542" spans="1:12">
      <c r="A3542" s="3" t="s">
        <v>3518</v>
      </c>
      <c r="B3542">
        <v>5</v>
      </c>
      <c r="J3542">
        <v>53</v>
      </c>
    </row>
    <row r="3543" spans="1:12">
      <c r="A3543" s="3" t="s">
        <v>3519</v>
      </c>
      <c r="B3543">
        <v>5</v>
      </c>
      <c r="J3543">
        <v>53</v>
      </c>
    </row>
    <row r="3544" spans="1:12">
      <c r="A3544" s="3" t="s">
        <v>3520</v>
      </c>
      <c r="B3544">
        <v>5</v>
      </c>
      <c r="J3544">
        <v>53</v>
      </c>
    </row>
    <row r="3545" spans="1:12">
      <c r="A3545" s="3" t="s">
        <v>3521</v>
      </c>
      <c r="B3545">
        <v>5</v>
      </c>
      <c r="J3545">
        <v>53</v>
      </c>
    </row>
    <row r="3546" spans="1:12">
      <c r="A3546" s="3" t="s">
        <v>3522</v>
      </c>
      <c r="B3546">
        <v>5</v>
      </c>
      <c r="J3546">
        <v>53</v>
      </c>
    </row>
    <row r="3547" spans="1:12">
      <c r="A3547" s="3" t="s">
        <v>3523</v>
      </c>
      <c r="B3547">
        <v>5</v>
      </c>
      <c r="J3547">
        <v>53</v>
      </c>
    </row>
    <row r="3548" spans="1:12">
      <c r="A3548" s="3" t="s">
        <v>3524</v>
      </c>
      <c r="B3548">
        <v>5</v>
      </c>
      <c r="J3548">
        <v>53</v>
      </c>
    </row>
    <row r="3549" spans="1:12">
      <c r="A3549" s="3" t="s">
        <v>3525</v>
      </c>
      <c r="B3549">
        <v>5</v>
      </c>
      <c r="J3549">
        <v>53</v>
      </c>
    </row>
    <row r="3550" spans="1:12">
      <c r="A3550" s="3" t="s">
        <v>3526</v>
      </c>
      <c r="B3550">
        <v>5</v>
      </c>
      <c r="J3550">
        <v>53</v>
      </c>
    </row>
    <row r="3551" spans="1:12">
      <c r="A3551" s="3" t="s">
        <v>3527</v>
      </c>
      <c r="B3551">
        <v>5</v>
      </c>
      <c r="J3551">
        <v>53</v>
      </c>
    </row>
    <row r="3552" spans="1:12">
      <c r="A3552" s="3" t="s">
        <v>3528</v>
      </c>
      <c r="B3552">
        <v>5</v>
      </c>
      <c r="J3552">
        <v>53</v>
      </c>
    </row>
    <row r="3553" spans="1:49">
      <c r="A3553" s="3" t="s">
        <v>3529</v>
      </c>
      <c r="B3553">
        <v>5</v>
      </c>
      <c r="J3553">
        <v>53</v>
      </c>
    </row>
    <row r="3554" spans="1:49">
      <c r="A3554" s="3" t="s">
        <v>3530</v>
      </c>
      <c r="B3554">
        <v>5</v>
      </c>
      <c r="J3554">
        <v>53</v>
      </c>
    </row>
    <row r="3555" spans="1:49">
      <c r="A3555" s="3" t="s">
        <v>3531</v>
      </c>
      <c r="B3555">
        <v>5</v>
      </c>
      <c r="J3555">
        <v>53</v>
      </c>
    </row>
    <row r="3556" spans="1:49">
      <c r="A3556" s="3" t="s">
        <v>3532</v>
      </c>
      <c r="B3556">
        <v>5</v>
      </c>
      <c r="J3556">
        <v>53</v>
      </c>
    </row>
    <row r="3557" spans="1:49">
      <c r="A3557" s="3" t="s">
        <v>3533</v>
      </c>
      <c r="B3557">
        <v>5</v>
      </c>
      <c r="J3557">
        <v>53</v>
      </c>
    </row>
    <row r="3558" spans="1:49">
      <c r="A3558" s="3" t="s">
        <v>3534</v>
      </c>
      <c r="B3558">
        <v>5</v>
      </c>
      <c r="J3558">
        <v>53</v>
      </c>
    </row>
    <row r="3559" spans="1:49">
      <c r="A3559" s="3" t="s">
        <v>3535</v>
      </c>
      <c r="B3559">
        <v>5</v>
      </c>
      <c r="AW3559">
        <v>33</v>
      </c>
    </row>
    <row r="3560" spans="1:49">
      <c r="A3560" s="3" t="s">
        <v>3536</v>
      </c>
      <c r="B3560">
        <v>5</v>
      </c>
      <c r="AW3560">
        <v>33</v>
      </c>
    </row>
    <row r="3561" spans="1:49">
      <c r="A3561" s="3" t="s">
        <v>3537</v>
      </c>
      <c r="B3561">
        <v>5</v>
      </c>
      <c r="AW3561">
        <v>33</v>
      </c>
    </row>
    <row r="3562" spans="1:49">
      <c r="A3562" s="3" t="s">
        <v>3538</v>
      </c>
      <c r="B3562">
        <v>5</v>
      </c>
      <c r="AW3562">
        <v>33</v>
      </c>
    </row>
    <row r="3563" spans="1:49">
      <c r="A3563" s="3" t="s">
        <v>3539</v>
      </c>
      <c r="B3563">
        <v>5</v>
      </c>
      <c r="AW3563">
        <v>33</v>
      </c>
    </row>
    <row r="3564" spans="1:49">
      <c r="A3564" s="3" t="s">
        <v>3540</v>
      </c>
      <c r="B3564">
        <v>5</v>
      </c>
      <c r="AW3564">
        <v>33</v>
      </c>
    </row>
    <row r="3565" spans="1:49">
      <c r="A3565" s="3" t="s">
        <v>3541</v>
      </c>
      <c r="B3565">
        <v>5</v>
      </c>
      <c r="AW3565">
        <v>33</v>
      </c>
    </row>
    <row r="3566" spans="1:49">
      <c r="A3566" s="3" t="s">
        <v>3542</v>
      </c>
      <c r="B3566">
        <v>5</v>
      </c>
      <c r="AW3566">
        <v>33</v>
      </c>
    </row>
    <row r="3567" spans="1:49">
      <c r="A3567" s="3" t="s">
        <v>3543</v>
      </c>
      <c r="B3567">
        <v>5</v>
      </c>
      <c r="AW3567">
        <v>33</v>
      </c>
    </row>
    <row r="3568" spans="1:49">
      <c r="A3568" s="3" t="s">
        <v>3544</v>
      </c>
      <c r="B3568">
        <v>5</v>
      </c>
      <c r="AW3568">
        <v>33</v>
      </c>
    </row>
    <row r="3569" spans="1:49">
      <c r="A3569" s="3" t="s">
        <v>3545</v>
      </c>
      <c r="B3569">
        <v>5</v>
      </c>
      <c r="AW3569">
        <v>33</v>
      </c>
    </row>
    <row r="3570" spans="1:49">
      <c r="A3570" s="3" t="s">
        <v>3546</v>
      </c>
      <c r="B3570">
        <v>5</v>
      </c>
      <c r="AW3570">
        <v>33</v>
      </c>
    </row>
    <row r="3571" spans="1:49">
      <c r="A3571" s="3" t="s">
        <v>3547</v>
      </c>
      <c r="B3571">
        <v>5</v>
      </c>
      <c r="AW3571">
        <v>33</v>
      </c>
    </row>
    <row r="3572" spans="1:49">
      <c r="A3572" s="3" t="s">
        <v>3548</v>
      </c>
      <c r="B3572">
        <v>5</v>
      </c>
      <c r="AW3572">
        <v>33</v>
      </c>
    </row>
    <row r="3573" spans="1:49">
      <c r="A3573" s="3" t="s">
        <v>3549</v>
      </c>
      <c r="B3573">
        <v>5</v>
      </c>
      <c r="L3573">
        <v>5</v>
      </c>
    </row>
    <row r="3574" spans="1:49">
      <c r="A3574" s="3" t="s">
        <v>3550</v>
      </c>
      <c r="B3574">
        <v>5</v>
      </c>
      <c r="L3574">
        <v>5</v>
      </c>
    </row>
    <row r="3575" spans="1:49">
      <c r="A3575" s="3" t="s">
        <v>3551</v>
      </c>
      <c r="B3575">
        <v>5</v>
      </c>
      <c r="L3575">
        <v>5</v>
      </c>
    </row>
    <row r="3576" spans="1:49">
      <c r="A3576" s="3" t="s">
        <v>3552</v>
      </c>
      <c r="B3576">
        <v>5</v>
      </c>
      <c r="L3576">
        <v>5</v>
      </c>
    </row>
    <row r="3577" spans="1:49">
      <c r="A3577" s="3" t="s">
        <v>3553</v>
      </c>
      <c r="B3577">
        <v>5</v>
      </c>
      <c r="L3577">
        <v>5</v>
      </c>
    </row>
    <row r="3578" spans="1:49">
      <c r="A3578" s="3" t="s">
        <v>3554</v>
      </c>
      <c r="B3578">
        <v>5</v>
      </c>
      <c r="L3578">
        <v>5</v>
      </c>
    </row>
    <row r="3579" spans="1:49">
      <c r="A3579" s="3" t="s">
        <v>3555</v>
      </c>
      <c r="B3579">
        <v>5</v>
      </c>
      <c r="L3579">
        <v>5</v>
      </c>
    </row>
    <row r="3580" spans="1:49">
      <c r="A3580" s="3" t="s">
        <v>3556</v>
      </c>
      <c r="B3580">
        <v>5</v>
      </c>
      <c r="L3580">
        <v>5</v>
      </c>
    </row>
    <row r="3581" spans="1:49">
      <c r="A3581" s="3" t="s">
        <v>3557</v>
      </c>
      <c r="B3581">
        <v>5</v>
      </c>
      <c r="L3581">
        <v>5</v>
      </c>
    </row>
    <row r="3582" spans="1:49">
      <c r="A3582" s="3" t="s">
        <v>3558</v>
      </c>
      <c r="B3582">
        <v>5</v>
      </c>
      <c r="L3582">
        <v>5</v>
      </c>
    </row>
    <row r="3583" spans="1:49">
      <c r="A3583" s="3" t="s">
        <v>3559</v>
      </c>
      <c r="B3583">
        <v>5</v>
      </c>
      <c r="L3583">
        <v>5</v>
      </c>
    </row>
    <row r="3584" spans="1:49">
      <c r="A3584" s="3" t="s">
        <v>3560</v>
      </c>
      <c r="B3584">
        <v>5</v>
      </c>
      <c r="L3584">
        <v>5</v>
      </c>
    </row>
    <row r="3585" spans="1:12">
      <c r="A3585" s="3" t="s">
        <v>3561</v>
      </c>
      <c r="B3585">
        <v>5</v>
      </c>
      <c r="L3585">
        <v>5</v>
      </c>
    </row>
    <row r="3586" spans="1:12">
      <c r="A3586" s="3" t="s">
        <v>3562</v>
      </c>
      <c r="B3586">
        <v>5</v>
      </c>
      <c r="L3586">
        <v>5</v>
      </c>
    </row>
    <row r="3587" spans="1:12">
      <c r="A3587" s="3" t="s">
        <v>3563</v>
      </c>
      <c r="B3587">
        <v>5</v>
      </c>
      <c r="C3587">
        <v>4</v>
      </c>
      <c r="J3587">
        <v>54</v>
      </c>
    </row>
    <row r="3588" spans="1:12">
      <c r="A3588" s="3" t="s">
        <v>3564</v>
      </c>
      <c r="B3588">
        <v>5</v>
      </c>
      <c r="C3588">
        <v>4</v>
      </c>
      <c r="J3588">
        <v>54</v>
      </c>
    </row>
    <row r="3589" spans="1:12">
      <c r="A3589" s="3" t="s">
        <v>3565</v>
      </c>
      <c r="B3589">
        <v>5</v>
      </c>
      <c r="C3589">
        <v>4</v>
      </c>
      <c r="J3589">
        <v>54</v>
      </c>
    </row>
    <row r="3590" spans="1:12">
      <c r="A3590" s="3" t="s">
        <v>3566</v>
      </c>
      <c r="B3590">
        <v>5</v>
      </c>
      <c r="C3590">
        <v>4</v>
      </c>
      <c r="J3590">
        <v>54</v>
      </c>
    </row>
    <row r="3591" spans="1:12">
      <c r="A3591" s="3" t="s">
        <v>3567</v>
      </c>
      <c r="B3591">
        <v>5</v>
      </c>
      <c r="C3591">
        <v>4</v>
      </c>
      <c r="J3591">
        <v>54</v>
      </c>
    </row>
    <row r="3592" spans="1:12">
      <c r="A3592" s="3" t="s">
        <v>3568</v>
      </c>
      <c r="B3592">
        <v>5</v>
      </c>
      <c r="C3592">
        <v>4</v>
      </c>
      <c r="J3592">
        <v>54</v>
      </c>
    </row>
    <row r="3593" spans="1:12">
      <c r="A3593" s="3" t="s">
        <v>3569</v>
      </c>
      <c r="B3593">
        <v>5</v>
      </c>
      <c r="C3593">
        <v>4</v>
      </c>
      <c r="J3593">
        <v>54</v>
      </c>
    </row>
    <row r="3594" spans="1:12">
      <c r="A3594" s="3" t="s">
        <v>3570</v>
      </c>
      <c r="B3594">
        <v>5</v>
      </c>
      <c r="C3594">
        <v>4</v>
      </c>
      <c r="J3594">
        <v>54</v>
      </c>
    </row>
    <row r="3595" spans="1:12">
      <c r="A3595" s="3" t="s">
        <v>3571</v>
      </c>
      <c r="B3595">
        <v>5</v>
      </c>
      <c r="C3595">
        <v>4</v>
      </c>
      <c r="J3595">
        <v>54</v>
      </c>
    </row>
    <row r="3596" spans="1:12">
      <c r="A3596" s="3" t="s">
        <v>3572</v>
      </c>
      <c r="B3596">
        <v>5</v>
      </c>
      <c r="C3596">
        <v>4</v>
      </c>
      <c r="J3596">
        <v>54</v>
      </c>
    </row>
    <row r="3597" spans="1:12">
      <c r="A3597" s="3" t="s">
        <v>3573</v>
      </c>
      <c r="B3597">
        <v>5</v>
      </c>
      <c r="C3597">
        <v>4</v>
      </c>
      <c r="J3597">
        <v>54</v>
      </c>
    </row>
    <row r="3598" spans="1:12">
      <c r="A3598" s="3" t="s">
        <v>3574</v>
      </c>
      <c r="B3598">
        <v>5</v>
      </c>
      <c r="C3598">
        <v>4</v>
      </c>
      <c r="J3598">
        <v>54</v>
      </c>
    </row>
    <row r="3599" spans="1:12">
      <c r="A3599" s="3" t="s">
        <v>3575</v>
      </c>
      <c r="B3599">
        <v>5</v>
      </c>
      <c r="C3599">
        <v>4</v>
      </c>
      <c r="J3599">
        <v>54</v>
      </c>
    </row>
    <row r="3600" spans="1:12">
      <c r="A3600" s="3" t="s">
        <v>3576</v>
      </c>
      <c r="B3600">
        <v>5</v>
      </c>
      <c r="C3600">
        <v>4</v>
      </c>
      <c r="J3600">
        <v>54</v>
      </c>
    </row>
    <row r="3601" spans="1:12">
      <c r="A3601" s="3" t="s">
        <v>3577</v>
      </c>
      <c r="B3601">
        <v>5</v>
      </c>
      <c r="C3601">
        <v>4</v>
      </c>
      <c r="J3601">
        <v>54</v>
      </c>
    </row>
    <row r="3602" spans="1:12">
      <c r="A3602" s="3" t="s">
        <v>3578</v>
      </c>
      <c r="B3602">
        <v>5</v>
      </c>
      <c r="C3602">
        <v>4</v>
      </c>
      <c r="J3602">
        <v>54</v>
      </c>
    </row>
    <row r="3603" spans="1:12">
      <c r="A3603" s="3" t="s">
        <v>3579</v>
      </c>
      <c r="B3603">
        <v>5</v>
      </c>
      <c r="C3603">
        <v>4</v>
      </c>
      <c r="J3603">
        <v>54</v>
      </c>
    </row>
    <row r="3604" spans="1:12">
      <c r="A3604" s="3" t="s">
        <v>3580</v>
      </c>
      <c r="B3604">
        <v>5</v>
      </c>
      <c r="C3604">
        <v>4</v>
      </c>
      <c r="J3604">
        <v>54</v>
      </c>
    </row>
    <row r="3605" spans="1:12">
      <c r="A3605" s="3" t="s">
        <v>3581</v>
      </c>
      <c r="B3605">
        <v>5</v>
      </c>
      <c r="C3605">
        <v>4</v>
      </c>
      <c r="J3605">
        <v>54</v>
      </c>
    </row>
    <row r="3606" spans="1:12">
      <c r="A3606" s="3" t="s">
        <v>3582</v>
      </c>
      <c r="C3606">
        <v>4</v>
      </c>
      <c r="J3606">
        <v>54</v>
      </c>
    </row>
    <row r="3607" spans="1:12">
      <c r="A3607" s="3" t="s">
        <v>3583</v>
      </c>
      <c r="C3607">
        <v>4</v>
      </c>
      <c r="L3607">
        <v>6</v>
      </c>
    </row>
    <row r="3608" spans="1:12">
      <c r="A3608" s="3" t="s">
        <v>3584</v>
      </c>
      <c r="C3608">
        <v>4</v>
      </c>
      <c r="L3608">
        <v>6</v>
      </c>
    </row>
    <row r="3609" spans="1:12">
      <c r="A3609" s="3" t="s">
        <v>3585</v>
      </c>
      <c r="C3609">
        <v>4</v>
      </c>
      <c r="L3609">
        <v>6</v>
      </c>
    </row>
    <row r="3610" spans="1:12">
      <c r="A3610" s="3" t="s">
        <v>3586</v>
      </c>
      <c r="C3610">
        <v>4</v>
      </c>
      <c r="L3610">
        <v>6</v>
      </c>
    </row>
    <row r="3611" spans="1:12">
      <c r="A3611" s="3" t="s">
        <v>3587</v>
      </c>
      <c r="C3611">
        <v>4</v>
      </c>
      <c r="L3611">
        <v>6</v>
      </c>
    </row>
    <row r="3612" spans="1:12">
      <c r="A3612" s="3" t="s">
        <v>3588</v>
      </c>
      <c r="C3612">
        <v>4</v>
      </c>
      <c r="L3612">
        <v>6</v>
      </c>
    </row>
    <row r="3613" spans="1:12">
      <c r="A3613" s="3" t="s">
        <v>3589</v>
      </c>
      <c r="C3613">
        <v>4</v>
      </c>
      <c r="L3613">
        <v>6</v>
      </c>
    </row>
    <row r="3614" spans="1:12">
      <c r="A3614" s="3" t="s">
        <v>3590</v>
      </c>
      <c r="C3614">
        <v>4</v>
      </c>
      <c r="L3614">
        <v>6</v>
      </c>
    </row>
    <row r="3615" spans="1:12">
      <c r="A3615" s="3" t="s">
        <v>3591</v>
      </c>
      <c r="C3615">
        <v>4</v>
      </c>
      <c r="L3615">
        <v>6</v>
      </c>
    </row>
    <row r="3616" spans="1:12">
      <c r="A3616" s="3" t="s">
        <v>3592</v>
      </c>
      <c r="C3616">
        <v>4</v>
      </c>
      <c r="L3616">
        <v>6</v>
      </c>
    </row>
    <row r="3617" spans="1:12">
      <c r="A3617" s="3" t="s">
        <v>3593</v>
      </c>
      <c r="C3617">
        <v>4</v>
      </c>
      <c r="L3617">
        <v>6</v>
      </c>
    </row>
    <row r="3618" spans="1:12">
      <c r="A3618" s="3" t="s">
        <v>3594</v>
      </c>
      <c r="C3618">
        <v>4</v>
      </c>
      <c r="L3618">
        <v>6</v>
      </c>
    </row>
    <row r="3619" spans="1:12">
      <c r="A3619" s="3" t="s">
        <v>3595</v>
      </c>
      <c r="C3619">
        <v>4</v>
      </c>
      <c r="L3619">
        <v>6</v>
      </c>
    </row>
    <row r="3620" spans="1:12">
      <c r="A3620" s="3" t="s">
        <v>3596</v>
      </c>
      <c r="C3620">
        <v>4</v>
      </c>
      <c r="L3620">
        <v>6</v>
      </c>
    </row>
    <row r="3621" spans="1:12">
      <c r="A3621" s="3" t="s">
        <v>3597</v>
      </c>
      <c r="C3621">
        <v>4</v>
      </c>
      <c r="L3621">
        <v>6</v>
      </c>
    </row>
    <row r="3622" spans="1:12">
      <c r="A3622" s="3" t="s">
        <v>3598</v>
      </c>
      <c r="C3622">
        <v>4</v>
      </c>
      <c r="L3622">
        <v>6</v>
      </c>
    </row>
    <row r="3623" spans="1:12">
      <c r="A3623" s="3" t="s">
        <v>3599</v>
      </c>
      <c r="C3623">
        <v>4</v>
      </c>
      <c r="L3623">
        <v>6</v>
      </c>
    </row>
    <row r="3624" spans="1:12">
      <c r="A3624" s="3" t="s">
        <v>3600</v>
      </c>
      <c r="C3624">
        <v>4</v>
      </c>
      <c r="L3624">
        <v>6</v>
      </c>
    </row>
    <row r="3625" spans="1:12">
      <c r="A3625" s="3" t="s">
        <v>3601</v>
      </c>
      <c r="C3625">
        <v>4</v>
      </c>
      <c r="L3625">
        <v>6</v>
      </c>
    </row>
    <row r="3626" spans="1:12">
      <c r="A3626" s="3" t="s">
        <v>3602</v>
      </c>
      <c r="C3626">
        <v>4</v>
      </c>
      <c r="L3626">
        <v>6</v>
      </c>
    </row>
    <row r="3627" spans="1:12">
      <c r="A3627" s="3" t="s">
        <v>3603</v>
      </c>
      <c r="C3627">
        <v>4</v>
      </c>
      <c r="L3627">
        <v>6</v>
      </c>
    </row>
    <row r="3628" spans="1:12">
      <c r="A3628" s="3" t="s">
        <v>3604</v>
      </c>
      <c r="C3628">
        <v>4</v>
      </c>
      <c r="L3628">
        <v>6</v>
      </c>
    </row>
    <row r="3629" spans="1:12">
      <c r="A3629" s="3" t="s">
        <v>3605</v>
      </c>
      <c r="C3629">
        <v>4</v>
      </c>
      <c r="J3629">
        <v>55</v>
      </c>
    </row>
    <row r="3630" spans="1:12">
      <c r="A3630" s="3" t="s">
        <v>3606</v>
      </c>
      <c r="C3630">
        <v>4</v>
      </c>
      <c r="J3630">
        <v>55</v>
      </c>
    </row>
    <row r="3631" spans="1:12">
      <c r="A3631" s="3" t="s">
        <v>3607</v>
      </c>
      <c r="C3631">
        <v>4</v>
      </c>
      <c r="J3631">
        <v>55</v>
      </c>
    </row>
    <row r="3632" spans="1:12">
      <c r="A3632" s="3" t="s">
        <v>3608</v>
      </c>
      <c r="C3632">
        <v>4</v>
      </c>
      <c r="J3632">
        <v>55</v>
      </c>
    </row>
    <row r="3633" spans="1:11">
      <c r="A3633" s="3" t="s">
        <v>3609</v>
      </c>
      <c r="C3633">
        <v>4</v>
      </c>
      <c r="J3633">
        <v>55</v>
      </c>
    </row>
    <row r="3634" spans="1:11">
      <c r="A3634" s="3" t="s">
        <v>3610</v>
      </c>
      <c r="C3634">
        <v>4</v>
      </c>
      <c r="J3634">
        <v>55</v>
      </c>
    </row>
    <row r="3635" spans="1:11">
      <c r="A3635" s="3" t="s">
        <v>3611</v>
      </c>
      <c r="C3635">
        <v>4</v>
      </c>
      <c r="J3635">
        <v>55</v>
      </c>
    </row>
    <row r="3636" spans="1:11">
      <c r="A3636" s="3" t="s">
        <v>3612</v>
      </c>
      <c r="C3636">
        <v>4</v>
      </c>
      <c r="J3636">
        <v>55</v>
      </c>
    </row>
    <row r="3637" spans="1:11">
      <c r="A3637" s="3" t="s">
        <v>3613</v>
      </c>
      <c r="C3637">
        <v>4</v>
      </c>
      <c r="J3637">
        <v>55</v>
      </c>
    </row>
    <row r="3638" spans="1:11">
      <c r="A3638" s="3" t="s">
        <v>3614</v>
      </c>
      <c r="C3638">
        <v>4</v>
      </c>
      <c r="K3638">
        <v>8</v>
      </c>
    </row>
    <row r="3639" spans="1:11">
      <c r="A3639" s="3" t="s">
        <v>3615</v>
      </c>
      <c r="C3639">
        <v>4</v>
      </c>
      <c r="K3639">
        <v>8</v>
      </c>
    </row>
    <row r="3640" spans="1:11">
      <c r="A3640" s="3" t="s">
        <v>3616</v>
      </c>
      <c r="C3640">
        <v>4</v>
      </c>
      <c r="K3640">
        <v>8</v>
      </c>
    </row>
    <row r="3641" spans="1:11">
      <c r="A3641" s="3" t="s">
        <v>3617</v>
      </c>
      <c r="C3641">
        <v>4</v>
      </c>
      <c r="K3641">
        <v>8</v>
      </c>
    </row>
    <row r="3642" spans="1:11">
      <c r="A3642" s="3" t="s">
        <v>3618</v>
      </c>
      <c r="C3642">
        <v>4</v>
      </c>
      <c r="K3642">
        <v>8</v>
      </c>
    </row>
    <row r="3643" spans="1:11">
      <c r="A3643" s="3" t="s">
        <v>3619</v>
      </c>
      <c r="C3643">
        <v>4</v>
      </c>
      <c r="K3643">
        <v>8</v>
      </c>
    </row>
    <row r="3644" spans="1:11">
      <c r="A3644" s="3" t="s">
        <v>3620</v>
      </c>
      <c r="C3644">
        <v>4</v>
      </c>
      <c r="K3644">
        <v>8</v>
      </c>
    </row>
    <row r="3645" spans="1:11">
      <c r="A3645" s="3" t="s">
        <v>3621</v>
      </c>
      <c r="C3645">
        <v>4</v>
      </c>
      <c r="K3645">
        <v>8</v>
      </c>
    </row>
    <row r="3646" spans="1:11">
      <c r="A3646" s="3" t="s">
        <v>3622</v>
      </c>
      <c r="C3646">
        <v>4</v>
      </c>
      <c r="K3646">
        <v>8</v>
      </c>
    </row>
    <row r="3647" spans="1:11">
      <c r="A3647" s="3" t="s">
        <v>3623</v>
      </c>
      <c r="C3647">
        <v>4</v>
      </c>
      <c r="K3647">
        <v>8</v>
      </c>
    </row>
    <row r="3648" spans="1:11">
      <c r="A3648" s="3" t="s">
        <v>3624</v>
      </c>
      <c r="C3648">
        <v>4</v>
      </c>
      <c r="K3648">
        <v>8</v>
      </c>
    </row>
    <row r="3649" spans="1:11">
      <c r="A3649" s="3" t="s">
        <v>3625</v>
      </c>
      <c r="C3649">
        <v>4</v>
      </c>
      <c r="K3649">
        <v>8</v>
      </c>
    </row>
    <row r="3650" spans="1:11">
      <c r="A3650" s="3" t="s">
        <v>3626</v>
      </c>
      <c r="C3650">
        <v>4</v>
      </c>
      <c r="K3650">
        <v>8</v>
      </c>
    </row>
    <row r="3651" spans="1:11">
      <c r="A3651" s="3" t="s">
        <v>3627</v>
      </c>
      <c r="C3651">
        <v>4</v>
      </c>
      <c r="K3651">
        <v>8</v>
      </c>
    </row>
    <row r="3652" spans="1:11">
      <c r="A3652" s="3" t="s">
        <v>3628</v>
      </c>
      <c r="C3652">
        <v>4</v>
      </c>
      <c r="K3652">
        <v>8</v>
      </c>
    </row>
    <row r="3653" spans="1:11">
      <c r="A3653" s="3" t="s">
        <v>3629</v>
      </c>
      <c r="C3653">
        <v>4</v>
      </c>
      <c r="K3653">
        <v>8</v>
      </c>
    </row>
    <row r="3654" spans="1:11">
      <c r="A3654" s="3" t="s">
        <v>3630</v>
      </c>
      <c r="C3654">
        <v>4</v>
      </c>
      <c r="K3654">
        <v>8</v>
      </c>
    </row>
    <row r="3655" spans="1:11">
      <c r="A3655" s="3" t="s">
        <v>3631</v>
      </c>
      <c r="C3655">
        <v>4</v>
      </c>
      <c r="J3655">
        <v>56</v>
      </c>
    </row>
    <row r="3656" spans="1:11">
      <c r="A3656" s="3" t="s">
        <v>3632</v>
      </c>
      <c r="C3656">
        <v>4</v>
      </c>
      <c r="J3656">
        <v>56</v>
      </c>
    </row>
    <row r="3657" spans="1:11">
      <c r="A3657" s="3" t="s">
        <v>3633</v>
      </c>
      <c r="C3657">
        <v>4</v>
      </c>
      <c r="J3657">
        <v>56</v>
      </c>
    </row>
    <row r="3658" spans="1:11">
      <c r="A3658" s="3" t="s">
        <v>3634</v>
      </c>
      <c r="C3658">
        <v>4</v>
      </c>
      <c r="J3658">
        <v>56</v>
      </c>
    </row>
    <row r="3659" spans="1:11">
      <c r="A3659" s="3" t="s">
        <v>3635</v>
      </c>
      <c r="C3659">
        <v>4</v>
      </c>
      <c r="J3659">
        <v>56</v>
      </c>
    </row>
    <row r="3660" spans="1:11">
      <c r="A3660" s="3" t="s">
        <v>3636</v>
      </c>
      <c r="C3660">
        <v>4</v>
      </c>
      <c r="J3660">
        <v>56</v>
      </c>
    </row>
    <row r="3661" spans="1:11">
      <c r="A3661" s="3" t="s">
        <v>3637</v>
      </c>
      <c r="C3661">
        <v>4</v>
      </c>
      <c r="J3661">
        <v>56</v>
      </c>
    </row>
    <row r="3662" spans="1:11">
      <c r="A3662" s="3" t="s">
        <v>3638</v>
      </c>
      <c r="C3662">
        <v>4</v>
      </c>
      <c r="J3662">
        <v>56</v>
      </c>
    </row>
    <row r="3663" spans="1:11">
      <c r="A3663" s="3" t="s">
        <v>3639</v>
      </c>
      <c r="C3663">
        <v>4</v>
      </c>
      <c r="J3663">
        <v>56</v>
      </c>
    </row>
    <row r="3664" spans="1:11">
      <c r="A3664" s="3" t="s">
        <v>3640</v>
      </c>
      <c r="C3664">
        <v>4</v>
      </c>
      <c r="J3664">
        <v>56</v>
      </c>
    </row>
    <row r="3665" spans="1:24">
      <c r="A3665" s="3" t="s">
        <v>3641</v>
      </c>
      <c r="C3665">
        <v>4</v>
      </c>
      <c r="J3665">
        <v>56</v>
      </c>
    </row>
    <row r="3666" spans="1:24">
      <c r="A3666" s="3" t="s">
        <v>3642</v>
      </c>
      <c r="C3666">
        <v>4</v>
      </c>
      <c r="J3666">
        <v>56</v>
      </c>
    </row>
    <row r="3667" spans="1:24">
      <c r="A3667" s="3" t="s">
        <v>3643</v>
      </c>
      <c r="C3667">
        <v>4</v>
      </c>
      <c r="J3667">
        <v>56</v>
      </c>
    </row>
    <row r="3668" spans="1:24">
      <c r="A3668" s="3" t="s">
        <v>3644</v>
      </c>
      <c r="C3668">
        <v>4</v>
      </c>
      <c r="J3668">
        <v>56</v>
      </c>
    </row>
    <row r="3669" spans="1:24">
      <c r="A3669" s="3" t="s">
        <v>3645</v>
      </c>
      <c r="C3669">
        <v>4</v>
      </c>
      <c r="J3669">
        <v>56</v>
      </c>
    </row>
    <row r="3670" spans="1:24">
      <c r="A3670" s="3" t="s">
        <v>3646</v>
      </c>
      <c r="C3670">
        <v>4</v>
      </c>
      <c r="J3670">
        <v>56</v>
      </c>
    </row>
    <row r="3671" spans="1:24">
      <c r="A3671" s="3" t="s">
        <v>3647</v>
      </c>
      <c r="C3671">
        <v>4</v>
      </c>
      <c r="J3671">
        <v>56</v>
      </c>
    </row>
    <row r="3672" spans="1:24">
      <c r="A3672" s="3" t="s">
        <v>3648</v>
      </c>
      <c r="C3672">
        <v>4</v>
      </c>
      <c r="J3672">
        <v>56</v>
      </c>
    </row>
    <row r="3673" spans="1:24">
      <c r="A3673" s="3" t="s">
        <v>3649</v>
      </c>
      <c r="C3673">
        <v>4</v>
      </c>
      <c r="J3673">
        <v>56</v>
      </c>
    </row>
    <row r="3674" spans="1:24">
      <c r="A3674" s="3" t="s">
        <v>3650</v>
      </c>
      <c r="C3674">
        <v>4</v>
      </c>
      <c r="J3674">
        <v>56</v>
      </c>
    </row>
    <row r="3675" spans="1:24">
      <c r="A3675" s="3" t="s">
        <v>3651</v>
      </c>
      <c r="C3675">
        <v>4</v>
      </c>
      <c r="J3675">
        <v>56</v>
      </c>
    </row>
    <row r="3676" spans="1:24">
      <c r="A3676" s="3" t="s">
        <v>3652</v>
      </c>
      <c r="C3676">
        <v>4</v>
      </c>
      <c r="J3676">
        <v>56</v>
      </c>
    </row>
    <row r="3677" spans="1:24">
      <c r="A3677" s="3" t="s">
        <v>3653</v>
      </c>
      <c r="C3677">
        <v>4</v>
      </c>
      <c r="J3677">
        <v>56</v>
      </c>
    </row>
    <row r="3678" spans="1:24">
      <c r="A3678" s="3" t="s">
        <v>3654</v>
      </c>
      <c r="C3678">
        <v>4</v>
      </c>
      <c r="J3678">
        <v>56</v>
      </c>
    </row>
    <row r="3679" spans="1:24">
      <c r="A3679" s="3" t="s">
        <v>3655</v>
      </c>
      <c r="C3679">
        <v>4</v>
      </c>
      <c r="X3679">
        <v>2</v>
      </c>
    </row>
    <row r="3680" spans="1:24">
      <c r="A3680" s="3" t="s">
        <v>3656</v>
      </c>
      <c r="C3680">
        <v>4</v>
      </c>
      <c r="X3680">
        <v>2</v>
      </c>
    </row>
    <row r="3681" spans="1:24">
      <c r="A3681" s="3" t="s">
        <v>3657</v>
      </c>
      <c r="C3681">
        <v>4</v>
      </c>
      <c r="X3681">
        <v>2</v>
      </c>
    </row>
    <row r="3682" spans="1:24">
      <c r="A3682" s="3" t="s">
        <v>3658</v>
      </c>
      <c r="C3682">
        <v>4</v>
      </c>
      <c r="X3682">
        <v>2</v>
      </c>
    </row>
    <row r="3683" spans="1:24">
      <c r="A3683" s="3" t="s">
        <v>3659</v>
      </c>
      <c r="C3683">
        <v>4</v>
      </c>
      <c r="X3683">
        <v>2</v>
      </c>
    </row>
    <row r="3684" spans="1:24">
      <c r="A3684" s="3" t="s">
        <v>3660</v>
      </c>
      <c r="C3684">
        <v>4</v>
      </c>
      <c r="X3684">
        <v>2</v>
      </c>
    </row>
    <row r="3685" spans="1:24">
      <c r="A3685" s="3" t="s">
        <v>3661</v>
      </c>
      <c r="C3685">
        <v>4</v>
      </c>
      <c r="X3685">
        <v>2</v>
      </c>
    </row>
    <row r="3686" spans="1:24">
      <c r="A3686" s="3" t="s">
        <v>3662</v>
      </c>
      <c r="C3686">
        <v>4</v>
      </c>
      <c r="X3686">
        <v>2</v>
      </c>
    </row>
    <row r="3687" spans="1:24">
      <c r="A3687" s="3" t="s">
        <v>3663</v>
      </c>
      <c r="C3687">
        <v>4</v>
      </c>
      <c r="X3687">
        <v>2</v>
      </c>
    </row>
    <row r="3688" spans="1:24">
      <c r="A3688" s="3" t="s">
        <v>3664</v>
      </c>
      <c r="C3688">
        <v>4</v>
      </c>
      <c r="X3688">
        <v>2</v>
      </c>
    </row>
    <row r="3689" spans="1:24">
      <c r="A3689" s="3" t="s">
        <v>3665</v>
      </c>
      <c r="C3689">
        <v>4</v>
      </c>
      <c r="X3689">
        <v>2</v>
      </c>
    </row>
    <row r="3690" spans="1:24">
      <c r="A3690" s="3" t="s">
        <v>3666</v>
      </c>
      <c r="C3690">
        <v>4</v>
      </c>
      <c r="X3690">
        <v>2</v>
      </c>
    </row>
    <row r="3691" spans="1:24">
      <c r="A3691" s="3" t="s">
        <v>3667</v>
      </c>
      <c r="C3691">
        <v>4</v>
      </c>
      <c r="X3691">
        <v>2</v>
      </c>
    </row>
    <row r="3692" spans="1:24">
      <c r="A3692" s="3" t="s">
        <v>3668</v>
      </c>
      <c r="C3692">
        <v>4</v>
      </c>
      <c r="X3692">
        <v>2</v>
      </c>
    </row>
    <row r="3693" spans="1:24">
      <c r="A3693" s="3" t="s">
        <v>3669</v>
      </c>
      <c r="C3693">
        <v>4</v>
      </c>
      <c r="X3693">
        <v>2</v>
      </c>
    </row>
    <row r="3694" spans="1:24">
      <c r="A3694" s="3" t="s">
        <v>3670</v>
      </c>
      <c r="C3694">
        <v>4</v>
      </c>
      <c r="X3694">
        <v>2</v>
      </c>
    </row>
    <row r="3695" spans="1:24">
      <c r="A3695" s="3" t="s">
        <v>3671</v>
      </c>
      <c r="C3695">
        <v>4</v>
      </c>
      <c r="X3695">
        <v>2</v>
      </c>
    </row>
    <row r="3696" spans="1:24">
      <c r="A3696" s="3" t="s">
        <v>3672</v>
      </c>
      <c r="C3696">
        <v>4</v>
      </c>
      <c r="X3696">
        <v>2</v>
      </c>
    </row>
    <row r="3697" spans="1:49">
      <c r="A3697" s="3" t="s">
        <v>3673</v>
      </c>
      <c r="C3697">
        <v>4</v>
      </c>
      <c r="X3697">
        <v>2</v>
      </c>
    </row>
    <row r="3698" spans="1:49">
      <c r="A3698" s="3" t="s">
        <v>3674</v>
      </c>
      <c r="C3698">
        <v>4</v>
      </c>
      <c r="X3698">
        <v>2</v>
      </c>
    </row>
    <row r="3699" spans="1:49">
      <c r="A3699" s="3" t="s">
        <v>3675</v>
      </c>
      <c r="C3699">
        <v>4</v>
      </c>
      <c r="X3699">
        <v>2</v>
      </c>
    </row>
    <row r="3700" spans="1:49">
      <c r="A3700" s="3" t="s">
        <v>3676</v>
      </c>
      <c r="C3700">
        <v>4</v>
      </c>
      <c r="K3700">
        <v>9</v>
      </c>
    </row>
    <row r="3701" spans="1:49">
      <c r="A3701" s="3" t="s">
        <v>3677</v>
      </c>
      <c r="C3701">
        <v>4</v>
      </c>
      <c r="K3701">
        <v>9</v>
      </c>
    </row>
    <row r="3702" spans="1:49">
      <c r="A3702" s="3" t="s">
        <v>3678</v>
      </c>
      <c r="C3702">
        <v>4</v>
      </c>
      <c r="K3702">
        <v>9</v>
      </c>
    </row>
    <row r="3703" spans="1:49">
      <c r="A3703" s="3" t="s">
        <v>3679</v>
      </c>
      <c r="C3703">
        <v>4</v>
      </c>
      <c r="K3703">
        <v>9</v>
      </c>
    </row>
    <row r="3704" spans="1:49">
      <c r="A3704" s="3" t="s">
        <v>3680</v>
      </c>
      <c r="C3704">
        <v>4</v>
      </c>
      <c r="K3704">
        <v>9</v>
      </c>
    </row>
    <row r="3705" spans="1:49">
      <c r="A3705" s="3" t="s">
        <v>3681</v>
      </c>
      <c r="C3705">
        <v>4</v>
      </c>
      <c r="K3705">
        <v>9</v>
      </c>
    </row>
    <row r="3706" spans="1:49">
      <c r="A3706" s="3" t="s">
        <v>3682</v>
      </c>
      <c r="C3706">
        <v>4</v>
      </c>
      <c r="K3706">
        <v>9</v>
      </c>
    </row>
    <row r="3707" spans="1:49">
      <c r="A3707" s="3" t="s">
        <v>3683</v>
      </c>
      <c r="C3707">
        <v>4</v>
      </c>
      <c r="K3707">
        <v>9</v>
      </c>
    </row>
    <row r="3708" spans="1:49">
      <c r="A3708" s="3" t="s">
        <v>3684</v>
      </c>
      <c r="C3708">
        <v>4</v>
      </c>
      <c r="AW3708">
        <v>34</v>
      </c>
    </row>
    <row r="3709" spans="1:49">
      <c r="A3709" s="3" t="s">
        <v>3685</v>
      </c>
      <c r="C3709">
        <v>4</v>
      </c>
      <c r="AW3709">
        <v>34</v>
      </c>
    </row>
    <row r="3710" spans="1:49">
      <c r="A3710" s="3" t="s">
        <v>3686</v>
      </c>
      <c r="C3710">
        <v>4</v>
      </c>
      <c r="AW3710">
        <v>34</v>
      </c>
    </row>
    <row r="3711" spans="1:49">
      <c r="A3711" s="3" t="s">
        <v>3687</v>
      </c>
      <c r="C3711">
        <v>4</v>
      </c>
      <c r="AW3711">
        <v>34</v>
      </c>
    </row>
    <row r="3712" spans="1:49">
      <c r="A3712" s="3" t="s">
        <v>3688</v>
      </c>
      <c r="C3712">
        <v>4</v>
      </c>
      <c r="J3712">
        <v>57</v>
      </c>
    </row>
    <row r="3713" spans="1:46">
      <c r="A3713" s="3" t="s">
        <v>3689</v>
      </c>
      <c r="C3713">
        <v>4</v>
      </c>
      <c r="J3713">
        <v>57</v>
      </c>
    </row>
    <row r="3714" spans="1:46">
      <c r="A3714" s="3" t="s">
        <v>3690</v>
      </c>
      <c r="C3714">
        <v>4</v>
      </c>
      <c r="J3714">
        <v>57</v>
      </c>
    </row>
    <row r="3715" spans="1:46">
      <c r="A3715" s="3" t="s">
        <v>3691</v>
      </c>
      <c r="C3715">
        <v>4</v>
      </c>
      <c r="J3715">
        <v>57</v>
      </c>
    </row>
    <row r="3716" spans="1:46">
      <c r="A3716" s="3" t="s">
        <v>3692</v>
      </c>
      <c r="C3716">
        <v>4</v>
      </c>
      <c r="J3716">
        <v>57</v>
      </c>
    </row>
    <row r="3717" spans="1:46">
      <c r="A3717" s="3" t="s">
        <v>3693</v>
      </c>
      <c r="C3717">
        <v>4</v>
      </c>
      <c r="J3717">
        <v>57</v>
      </c>
    </row>
    <row r="3718" spans="1:46">
      <c r="A3718" s="3" t="s">
        <v>3694</v>
      </c>
      <c r="C3718">
        <v>4</v>
      </c>
      <c r="J3718">
        <v>57</v>
      </c>
    </row>
    <row r="3719" spans="1:46">
      <c r="A3719" s="3" t="s">
        <v>3695</v>
      </c>
      <c r="C3719">
        <v>4</v>
      </c>
      <c r="AT3719">
        <v>8</v>
      </c>
    </row>
    <row r="3720" spans="1:46">
      <c r="A3720" s="3" t="s">
        <v>3696</v>
      </c>
      <c r="C3720">
        <v>4</v>
      </c>
      <c r="AT3720">
        <v>8</v>
      </c>
    </row>
    <row r="3721" spans="1:46">
      <c r="A3721" s="3" t="s">
        <v>3697</v>
      </c>
      <c r="C3721">
        <v>4</v>
      </c>
      <c r="AT3721">
        <v>8</v>
      </c>
    </row>
    <row r="3722" spans="1:46">
      <c r="A3722" s="3" t="s">
        <v>3698</v>
      </c>
      <c r="C3722">
        <v>4</v>
      </c>
      <c r="AT3722">
        <v>8</v>
      </c>
    </row>
    <row r="3723" spans="1:46">
      <c r="A3723" s="3" t="s">
        <v>3699</v>
      </c>
      <c r="C3723">
        <v>4</v>
      </c>
      <c r="AT3723">
        <v>8</v>
      </c>
    </row>
    <row r="3724" spans="1:46">
      <c r="A3724" s="3" t="s">
        <v>3700</v>
      </c>
      <c r="C3724">
        <v>4</v>
      </c>
      <c r="AT3724">
        <v>8</v>
      </c>
    </row>
    <row r="3725" spans="1:46">
      <c r="A3725" s="3" t="s">
        <v>3701</v>
      </c>
      <c r="C3725">
        <v>4</v>
      </c>
      <c r="AT3725">
        <v>8</v>
      </c>
    </row>
    <row r="3726" spans="1:46">
      <c r="A3726" s="3" t="s">
        <v>3702</v>
      </c>
      <c r="C3726">
        <v>4</v>
      </c>
      <c r="AT3726">
        <v>8</v>
      </c>
    </row>
    <row r="3727" spans="1:46">
      <c r="A3727" s="3" t="s">
        <v>3703</v>
      </c>
      <c r="C3727">
        <v>4</v>
      </c>
      <c r="AT3727">
        <v>8</v>
      </c>
    </row>
    <row r="3728" spans="1:46">
      <c r="A3728" s="3" t="s">
        <v>3704</v>
      </c>
      <c r="C3728">
        <v>4</v>
      </c>
      <c r="AT3728">
        <v>8</v>
      </c>
    </row>
    <row r="3729" spans="1:46">
      <c r="A3729" s="3" t="s">
        <v>3705</v>
      </c>
      <c r="C3729">
        <v>4</v>
      </c>
      <c r="AT3729">
        <v>8</v>
      </c>
    </row>
    <row r="3730" spans="1:46">
      <c r="A3730" s="3" t="s">
        <v>3706</v>
      </c>
      <c r="C3730">
        <v>4</v>
      </c>
      <c r="AT3730">
        <v>8</v>
      </c>
    </row>
    <row r="3731" spans="1:46">
      <c r="A3731" s="3" t="s">
        <v>3707</v>
      </c>
      <c r="C3731">
        <v>4</v>
      </c>
      <c r="K3731">
        <v>10</v>
      </c>
    </row>
    <row r="3732" spans="1:46">
      <c r="A3732" s="3" t="s">
        <v>3708</v>
      </c>
      <c r="C3732">
        <v>4</v>
      </c>
      <c r="K3732">
        <v>10</v>
      </c>
    </row>
    <row r="3733" spans="1:46">
      <c r="A3733" s="3" t="s">
        <v>3709</v>
      </c>
      <c r="C3733">
        <v>4</v>
      </c>
      <c r="K3733">
        <v>10</v>
      </c>
    </row>
    <row r="3734" spans="1:46">
      <c r="A3734" s="3" t="s">
        <v>3710</v>
      </c>
      <c r="C3734">
        <v>4</v>
      </c>
      <c r="K3734">
        <v>10</v>
      </c>
    </row>
    <row r="3735" spans="1:46">
      <c r="A3735" s="3" t="s">
        <v>3711</v>
      </c>
      <c r="C3735">
        <v>4</v>
      </c>
      <c r="K3735">
        <v>10</v>
      </c>
    </row>
    <row r="3736" spans="1:46">
      <c r="A3736" s="3" t="s">
        <v>3712</v>
      </c>
      <c r="C3736">
        <v>4</v>
      </c>
      <c r="K3736">
        <v>10</v>
      </c>
    </row>
    <row r="3737" spans="1:46">
      <c r="A3737" s="3" t="s">
        <v>3713</v>
      </c>
      <c r="C3737">
        <v>4</v>
      </c>
      <c r="K3737">
        <v>10</v>
      </c>
    </row>
    <row r="3738" spans="1:46">
      <c r="A3738" s="3" t="s">
        <v>3714</v>
      </c>
      <c r="C3738">
        <v>4</v>
      </c>
      <c r="K3738">
        <v>10</v>
      </c>
    </row>
    <row r="3739" spans="1:46">
      <c r="A3739" s="3" t="s">
        <v>3715</v>
      </c>
      <c r="C3739">
        <v>4</v>
      </c>
      <c r="K3739">
        <v>10</v>
      </c>
    </row>
    <row r="3740" spans="1:46">
      <c r="A3740" s="3" t="s">
        <v>3716</v>
      </c>
      <c r="C3740">
        <v>4</v>
      </c>
      <c r="K3740">
        <v>10</v>
      </c>
    </row>
    <row r="3741" spans="1:46">
      <c r="A3741" s="3" t="s">
        <v>3717</v>
      </c>
      <c r="C3741">
        <v>4</v>
      </c>
      <c r="K3741">
        <v>10</v>
      </c>
    </row>
    <row r="3742" spans="1:46">
      <c r="A3742" s="3" t="s">
        <v>3718</v>
      </c>
      <c r="C3742">
        <v>4</v>
      </c>
      <c r="K3742">
        <v>10</v>
      </c>
    </row>
    <row r="3743" spans="1:46">
      <c r="A3743" s="3" t="s">
        <v>3719</v>
      </c>
      <c r="C3743">
        <v>4</v>
      </c>
      <c r="K3743">
        <v>10</v>
      </c>
    </row>
    <row r="3744" spans="1:46">
      <c r="A3744" s="3" t="s">
        <v>3720</v>
      </c>
      <c r="C3744">
        <v>4</v>
      </c>
      <c r="K3744">
        <v>10</v>
      </c>
    </row>
    <row r="3745" spans="1:11">
      <c r="A3745" s="3" t="s">
        <v>3721</v>
      </c>
      <c r="C3745">
        <v>4</v>
      </c>
      <c r="K3745">
        <v>10</v>
      </c>
    </row>
    <row r="3746" spans="1:11">
      <c r="A3746" s="3" t="s">
        <v>3722</v>
      </c>
      <c r="C3746">
        <v>4</v>
      </c>
      <c r="K3746">
        <v>10</v>
      </c>
    </row>
    <row r="3747" spans="1:11">
      <c r="A3747" s="3" t="s">
        <v>3723</v>
      </c>
      <c r="C3747">
        <v>4</v>
      </c>
      <c r="K3747">
        <v>10</v>
      </c>
    </row>
    <row r="3748" spans="1:11">
      <c r="A3748" s="3" t="s">
        <v>3724</v>
      </c>
      <c r="C3748">
        <v>4</v>
      </c>
      <c r="K3748">
        <v>10</v>
      </c>
    </row>
    <row r="3749" spans="1:11">
      <c r="A3749" s="3" t="s">
        <v>3725</v>
      </c>
      <c r="C3749">
        <v>4</v>
      </c>
      <c r="K3749">
        <v>10</v>
      </c>
    </row>
    <row r="3750" spans="1:11">
      <c r="A3750" s="3" t="s">
        <v>3726</v>
      </c>
      <c r="C3750">
        <v>4</v>
      </c>
      <c r="K3750">
        <v>10</v>
      </c>
    </row>
    <row r="3751" spans="1:11">
      <c r="A3751" s="3" t="s">
        <v>3727</v>
      </c>
      <c r="C3751">
        <v>4</v>
      </c>
      <c r="K3751">
        <v>10</v>
      </c>
    </row>
    <row r="3752" spans="1:11">
      <c r="A3752" s="3" t="s">
        <v>3728</v>
      </c>
      <c r="C3752">
        <v>4</v>
      </c>
      <c r="K3752">
        <v>10</v>
      </c>
    </row>
    <row r="3753" spans="1:11">
      <c r="A3753" s="3" t="s">
        <v>3729</v>
      </c>
      <c r="C3753">
        <v>4</v>
      </c>
      <c r="K3753">
        <v>10</v>
      </c>
    </row>
    <row r="3754" spans="1:11">
      <c r="A3754" s="3" t="s">
        <v>3730</v>
      </c>
      <c r="C3754">
        <v>4</v>
      </c>
      <c r="K3754">
        <v>10</v>
      </c>
    </row>
    <row r="3755" spans="1:11">
      <c r="A3755" s="3" t="s">
        <v>3731</v>
      </c>
      <c r="C3755">
        <v>4</v>
      </c>
      <c r="K3755">
        <v>10</v>
      </c>
    </row>
    <row r="3756" spans="1:11">
      <c r="A3756" s="3" t="s">
        <v>3732</v>
      </c>
      <c r="C3756">
        <v>4</v>
      </c>
      <c r="K3756">
        <v>10</v>
      </c>
    </row>
    <row r="3757" spans="1:11">
      <c r="A3757" s="3" t="s">
        <v>3733</v>
      </c>
      <c r="C3757">
        <v>4</v>
      </c>
      <c r="K3757">
        <v>10</v>
      </c>
    </row>
    <row r="3758" spans="1:11">
      <c r="A3758" s="3" t="s">
        <v>3734</v>
      </c>
      <c r="C3758">
        <v>4</v>
      </c>
      <c r="K3758">
        <v>10</v>
      </c>
    </row>
    <row r="3759" spans="1:11">
      <c r="A3759" s="3" t="s">
        <v>3735</v>
      </c>
      <c r="C3759">
        <v>4</v>
      </c>
      <c r="K3759">
        <v>10</v>
      </c>
    </row>
    <row r="3760" spans="1:11">
      <c r="A3760" s="3" t="s">
        <v>3736</v>
      </c>
      <c r="C3760">
        <v>4</v>
      </c>
      <c r="K3760">
        <v>10</v>
      </c>
    </row>
    <row r="3761" spans="1:12">
      <c r="A3761" s="3" t="s">
        <v>3737</v>
      </c>
      <c r="C3761">
        <v>4</v>
      </c>
      <c r="K3761">
        <v>10</v>
      </c>
    </row>
    <row r="3762" spans="1:12">
      <c r="A3762" s="3" t="s">
        <v>3738</v>
      </c>
      <c r="C3762">
        <v>4</v>
      </c>
      <c r="L3762">
        <v>7</v>
      </c>
    </row>
    <row r="3763" spans="1:12">
      <c r="A3763" s="3" t="s">
        <v>3739</v>
      </c>
      <c r="C3763">
        <v>4</v>
      </c>
      <c r="L3763">
        <v>7</v>
      </c>
    </row>
    <row r="3764" spans="1:12">
      <c r="A3764" s="3" t="s">
        <v>3740</v>
      </c>
      <c r="C3764">
        <v>4</v>
      </c>
      <c r="L3764">
        <v>7</v>
      </c>
    </row>
    <row r="3765" spans="1:12">
      <c r="A3765" s="3" t="s">
        <v>3741</v>
      </c>
      <c r="C3765">
        <v>4</v>
      </c>
      <c r="L3765">
        <v>7</v>
      </c>
    </row>
    <row r="3766" spans="1:12">
      <c r="A3766" s="3" t="s">
        <v>3742</v>
      </c>
      <c r="C3766">
        <v>4</v>
      </c>
      <c r="L3766">
        <v>7</v>
      </c>
    </row>
    <row r="3767" spans="1:12">
      <c r="A3767" s="3" t="s">
        <v>3743</v>
      </c>
      <c r="C3767">
        <v>4</v>
      </c>
      <c r="L3767">
        <v>7</v>
      </c>
    </row>
    <row r="3768" spans="1:12">
      <c r="A3768" s="3" t="s">
        <v>3744</v>
      </c>
      <c r="C3768">
        <v>4</v>
      </c>
      <c r="L3768">
        <v>7</v>
      </c>
    </row>
    <row r="3769" spans="1:12">
      <c r="A3769" s="3" t="s">
        <v>3745</v>
      </c>
      <c r="C3769">
        <v>4</v>
      </c>
      <c r="L3769">
        <v>7</v>
      </c>
    </row>
    <row r="3770" spans="1:12">
      <c r="A3770" s="3" t="s">
        <v>3746</v>
      </c>
      <c r="C3770">
        <v>4</v>
      </c>
      <c r="L3770">
        <v>7</v>
      </c>
    </row>
    <row r="3771" spans="1:12">
      <c r="A3771" s="3" t="s">
        <v>3747</v>
      </c>
      <c r="C3771">
        <v>4</v>
      </c>
      <c r="L3771">
        <v>7</v>
      </c>
    </row>
    <row r="3772" spans="1:12">
      <c r="A3772" s="3" t="s">
        <v>3748</v>
      </c>
      <c r="C3772">
        <v>4</v>
      </c>
      <c r="L3772">
        <v>7</v>
      </c>
    </row>
    <row r="3773" spans="1:12">
      <c r="A3773" s="3" t="s">
        <v>3749</v>
      </c>
      <c r="C3773">
        <v>4</v>
      </c>
      <c r="L3773">
        <v>7</v>
      </c>
    </row>
    <row r="3774" spans="1:12">
      <c r="A3774" s="3" t="s">
        <v>3750</v>
      </c>
      <c r="C3774">
        <v>4</v>
      </c>
      <c r="L3774">
        <v>7</v>
      </c>
    </row>
    <row r="3775" spans="1:12">
      <c r="A3775" s="3" t="s">
        <v>3751</v>
      </c>
      <c r="C3775">
        <v>4</v>
      </c>
      <c r="L3775">
        <v>7</v>
      </c>
    </row>
    <row r="3776" spans="1:12">
      <c r="A3776" s="3" t="s">
        <v>3752</v>
      </c>
      <c r="C3776">
        <v>4</v>
      </c>
      <c r="L3776">
        <v>7</v>
      </c>
    </row>
    <row r="3777" spans="1:12">
      <c r="A3777" s="3" t="s">
        <v>3753</v>
      </c>
      <c r="C3777">
        <v>4</v>
      </c>
      <c r="L3777">
        <v>7</v>
      </c>
    </row>
    <row r="3778" spans="1:12">
      <c r="A3778" s="3" t="s">
        <v>3754</v>
      </c>
      <c r="C3778">
        <v>4</v>
      </c>
      <c r="L3778">
        <v>7</v>
      </c>
    </row>
    <row r="3779" spans="1:12">
      <c r="A3779" s="3" t="s">
        <v>3755</v>
      </c>
      <c r="C3779">
        <v>4</v>
      </c>
      <c r="L3779">
        <v>7</v>
      </c>
    </row>
    <row r="3780" spans="1:12">
      <c r="A3780" s="3" t="s">
        <v>3756</v>
      </c>
      <c r="C3780">
        <v>4</v>
      </c>
      <c r="L3780">
        <v>7</v>
      </c>
    </row>
    <row r="3781" spans="1:12">
      <c r="A3781" s="3" t="s">
        <v>3757</v>
      </c>
      <c r="C3781">
        <v>4</v>
      </c>
      <c r="L3781">
        <v>7</v>
      </c>
    </row>
    <row r="3782" spans="1:12">
      <c r="A3782" s="3" t="s">
        <v>3758</v>
      </c>
      <c r="C3782">
        <v>4</v>
      </c>
      <c r="L3782">
        <v>7</v>
      </c>
    </row>
    <row r="3783" spans="1:12">
      <c r="A3783" s="3" t="s">
        <v>3759</v>
      </c>
      <c r="C3783">
        <v>4</v>
      </c>
      <c r="L3783">
        <v>7</v>
      </c>
    </row>
    <row r="3784" spans="1:12">
      <c r="A3784" s="3" t="s">
        <v>3760</v>
      </c>
      <c r="C3784">
        <v>4</v>
      </c>
      <c r="L3784">
        <v>7</v>
      </c>
    </row>
    <row r="3785" spans="1:12">
      <c r="A3785" s="3" t="s">
        <v>3761</v>
      </c>
      <c r="C3785">
        <v>4</v>
      </c>
      <c r="L3785">
        <v>7</v>
      </c>
    </row>
    <row r="3786" spans="1:12">
      <c r="A3786" s="3" t="s">
        <v>3762</v>
      </c>
      <c r="C3786">
        <v>4</v>
      </c>
      <c r="L3786">
        <v>7</v>
      </c>
    </row>
    <row r="3787" spans="1:12">
      <c r="A3787" s="3" t="s">
        <v>3763</v>
      </c>
      <c r="C3787">
        <v>4</v>
      </c>
      <c r="L3787">
        <v>7</v>
      </c>
    </row>
    <row r="3788" spans="1:12">
      <c r="A3788" s="3" t="s">
        <v>3764</v>
      </c>
      <c r="C3788">
        <v>4</v>
      </c>
      <c r="L3788">
        <v>7</v>
      </c>
    </row>
    <row r="3789" spans="1:12">
      <c r="A3789" s="3" t="s">
        <v>3765</v>
      </c>
      <c r="C3789">
        <v>4</v>
      </c>
      <c r="L3789">
        <v>7</v>
      </c>
    </row>
    <row r="3790" spans="1:12">
      <c r="A3790" s="3" t="s">
        <v>3766</v>
      </c>
      <c r="C3790">
        <v>4</v>
      </c>
      <c r="L3790">
        <v>7</v>
      </c>
    </row>
    <row r="3791" spans="1:12">
      <c r="A3791" s="3" t="s">
        <v>3767</v>
      </c>
      <c r="C3791">
        <v>4</v>
      </c>
      <c r="L3791">
        <v>7</v>
      </c>
    </row>
    <row r="3792" spans="1:12">
      <c r="A3792" s="3" t="s">
        <v>3768</v>
      </c>
      <c r="C3792">
        <v>4</v>
      </c>
      <c r="L3792">
        <v>7</v>
      </c>
    </row>
    <row r="3793" spans="1:12">
      <c r="A3793" s="3" t="s">
        <v>3769</v>
      </c>
      <c r="C3793">
        <v>4</v>
      </c>
      <c r="L3793">
        <v>7</v>
      </c>
    </row>
    <row r="3794" spans="1:12">
      <c r="A3794" s="3" t="s">
        <v>3770</v>
      </c>
      <c r="C3794">
        <v>4</v>
      </c>
      <c r="L3794">
        <v>7</v>
      </c>
    </row>
    <row r="3795" spans="1:12">
      <c r="A3795" s="3" t="s">
        <v>3771</v>
      </c>
      <c r="C3795">
        <v>4</v>
      </c>
      <c r="L3795">
        <v>7</v>
      </c>
    </row>
    <row r="3796" spans="1:12">
      <c r="A3796" s="3" t="s">
        <v>3772</v>
      </c>
      <c r="C3796">
        <v>4</v>
      </c>
      <c r="L3796">
        <v>7</v>
      </c>
    </row>
    <row r="3797" spans="1:12">
      <c r="A3797" s="3" t="s">
        <v>3773</v>
      </c>
      <c r="C3797">
        <v>4</v>
      </c>
      <c r="L3797">
        <v>7</v>
      </c>
    </row>
    <row r="3798" spans="1:12">
      <c r="A3798" s="3" t="s">
        <v>3774</v>
      </c>
      <c r="C3798">
        <v>4</v>
      </c>
      <c r="L3798">
        <v>7</v>
      </c>
    </row>
    <row r="3799" spans="1:12">
      <c r="A3799" s="3" t="s">
        <v>3775</v>
      </c>
      <c r="C3799">
        <v>4</v>
      </c>
      <c r="L3799">
        <v>7</v>
      </c>
    </row>
    <row r="3800" spans="1:12">
      <c r="A3800" s="3" t="s">
        <v>3776</v>
      </c>
      <c r="C3800">
        <v>4</v>
      </c>
      <c r="L3800">
        <v>7</v>
      </c>
    </row>
    <row r="3801" spans="1:12">
      <c r="A3801" s="3" t="s">
        <v>3777</v>
      </c>
      <c r="C3801">
        <v>4</v>
      </c>
      <c r="L3801">
        <v>7</v>
      </c>
    </row>
    <row r="3802" spans="1:12">
      <c r="A3802" s="3" t="s">
        <v>3778</v>
      </c>
      <c r="C3802">
        <v>4</v>
      </c>
      <c r="L3802">
        <v>7</v>
      </c>
    </row>
    <row r="3803" spans="1:12">
      <c r="A3803" s="3" t="s">
        <v>3779</v>
      </c>
      <c r="C3803">
        <v>4</v>
      </c>
      <c r="L3803">
        <v>7</v>
      </c>
    </row>
    <row r="3804" spans="1:12">
      <c r="A3804" s="3" t="s">
        <v>3780</v>
      </c>
      <c r="C3804">
        <v>4</v>
      </c>
      <c r="L3804">
        <v>7</v>
      </c>
    </row>
    <row r="3805" spans="1:12">
      <c r="A3805" s="3" t="s">
        <v>3781</v>
      </c>
      <c r="C3805">
        <v>4</v>
      </c>
      <c r="L3805">
        <v>7</v>
      </c>
    </row>
    <row r="3806" spans="1:12">
      <c r="A3806" s="3" t="s">
        <v>3782</v>
      </c>
      <c r="C3806">
        <v>4</v>
      </c>
      <c r="L3806">
        <v>7</v>
      </c>
    </row>
    <row r="3807" spans="1:12">
      <c r="A3807" s="3" t="s">
        <v>3783</v>
      </c>
      <c r="C3807">
        <v>4</v>
      </c>
      <c r="L3807">
        <v>7</v>
      </c>
    </row>
    <row r="3808" spans="1:12">
      <c r="A3808" s="3" t="s">
        <v>3784</v>
      </c>
      <c r="C3808">
        <v>4</v>
      </c>
      <c r="L3808">
        <v>7</v>
      </c>
    </row>
    <row r="3809" spans="1:12">
      <c r="A3809" s="3" t="s">
        <v>3785</v>
      </c>
      <c r="C3809">
        <v>4</v>
      </c>
      <c r="L3809">
        <v>7</v>
      </c>
    </row>
    <row r="3810" spans="1:12">
      <c r="A3810" s="3" t="s">
        <v>3786</v>
      </c>
      <c r="C3810">
        <v>4</v>
      </c>
      <c r="L3810">
        <v>7</v>
      </c>
    </row>
    <row r="3811" spans="1:12">
      <c r="A3811" s="3" t="s">
        <v>3787</v>
      </c>
      <c r="C3811">
        <v>4</v>
      </c>
      <c r="L3811">
        <v>7</v>
      </c>
    </row>
    <row r="3812" spans="1:12">
      <c r="A3812" s="3" t="s">
        <v>3788</v>
      </c>
      <c r="C3812">
        <v>4</v>
      </c>
      <c r="L3812">
        <v>7</v>
      </c>
    </row>
    <row r="3813" spans="1:12">
      <c r="A3813" s="3" t="s">
        <v>3789</v>
      </c>
      <c r="C3813">
        <v>4</v>
      </c>
      <c r="L3813">
        <v>7</v>
      </c>
    </row>
    <row r="3814" spans="1:12">
      <c r="A3814" s="3" t="s">
        <v>3790</v>
      </c>
      <c r="C3814">
        <v>4</v>
      </c>
      <c r="L3814">
        <v>7</v>
      </c>
    </row>
    <row r="3815" spans="1:12">
      <c r="A3815" s="3" t="s">
        <v>3791</v>
      </c>
      <c r="C3815">
        <v>4</v>
      </c>
      <c r="L3815">
        <v>7</v>
      </c>
    </row>
    <row r="3816" spans="1:12">
      <c r="A3816" s="3" t="s">
        <v>3792</v>
      </c>
      <c r="C3816">
        <v>4</v>
      </c>
      <c r="L3816">
        <v>7</v>
      </c>
    </row>
    <row r="3817" spans="1:12">
      <c r="A3817" s="3" t="s">
        <v>3793</v>
      </c>
      <c r="C3817">
        <v>4</v>
      </c>
      <c r="L3817">
        <v>7</v>
      </c>
    </row>
    <row r="3818" spans="1:12">
      <c r="A3818" s="3" t="s">
        <v>3794</v>
      </c>
      <c r="C3818">
        <v>4</v>
      </c>
      <c r="L3818">
        <v>7</v>
      </c>
    </row>
    <row r="3819" spans="1:12">
      <c r="A3819" s="3" t="s">
        <v>3795</v>
      </c>
      <c r="C3819">
        <v>4</v>
      </c>
      <c r="L3819">
        <v>7</v>
      </c>
    </row>
    <row r="3820" spans="1:12">
      <c r="A3820" s="3" t="s">
        <v>3796</v>
      </c>
      <c r="C3820">
        <v>4</v>
      </c>
      <c r="L3820">
        <v>7</v>
      </c>
    </row>
    <row r="3821" spans="1:12">
      <c r="A3821" s="3" t="s">
        <v>3797</v>
      </c>
      <c r="C3821">
        <v>4</v>
      </c>
      <c r="L3821">
        <v>7</v>
      </c>
    </row>
    <row r="3822" spans="1:12">
      <c r="A3822" s="3" t="s">
        <v>3798</v>
      </c>
      <c r="C3822">
        <v>4</v>
      </c>
      <c r="L3822">
        <v>7</v>
      </c>
    </row>
    <row r="3823" spans="1:12">
      <c r="A3823" s="3" t="s">
        <v>3799</v>
      </c>
      <c r="C3823">
        <v>4</v>
      </c>
      <c r="L3823">
        <v>7</v>
      </c>
    </row>
    <row r="3824" spans="1:12">
      <c r="A3824" s="3" t="s">
        <v>3800</v>
      </c>
      <c r="C3824">
        <v>4</v>
      </c>
      <c r="L3824">
        <v>7</v>
      </c>
    </row>
    <row r="3825" spans="1:12">
      <c r="A3825" s="3" t="s">
        <v>3801</v>
      </c>
      <c r="C3825">
        <v>4</v>
      </c>
      <c r="L3825">
        <v>7</v>
      </c>
    </row>
    <row r="3826" spans="1:12">
      <c r="A3826" s="3" t="s">
        <v>3802</v>
      </c>
      <c r="C3826">
        <v>4</v>
      </c>
      <c r="L3826">
        <v>7</v>
      </c>
    </row>
    <row r="3827" spans="1:12">
      <c r="A3827" s="3" t="s">
        <v>3803</v>
      </c>
      <c r="C3827">
        <v>4</v>
      </c>
      <c r="D3827">
        <v>5</v>
      </c>
      <c r="J3827">
        <v>58</v>
      </c>
    </row>
    <row r="3828" spans="1:12">
      <c r="A3828" s="3" t="s">
        <v>3804</v>
      </c>
      <c r="C3828">
        <v>4</v>
      </c>
      <c r="D3828">
        <v>5</v>
      </c>
      <c r="J3828">
        <v>58</v>
      </c>
    </row>
    <row r="3829" spans="1:12">
      <c r="A3829" s="3" t="s">
        <v>3805</v>
      </c>
      <c r="C3829">
        <v>4</v>
      </c>
      <c r="D3829">
        <v>5</v>
      </c>
      <c r="J3829">
        <v>58</v>
      </c>
    </row>
    <row r="3830" spans="1:12">
      <c r="A3830" s="3" t="s">
        <v>3806</v>
      </c>
      <c r="C3830">
        <v>4</v>
      </c>
      <c r="D3830">
        <v>5</v>
      </c>
      <c r="J3830">
        <v>58</v>
      </c>
    </row>
    <row r="3831" spans="1:12">
      <c r="A3831" s="3" t="s">
        <v>3807</v>
      </c>
      <c r="C3831">
        <v>4</v>
      </c>
      <c r="D3831">
        <v>5</v>
      </c>
      <c r="J3831">
        <v>58</v>
      </c>
    </row>
    <row r="3832" spans="1:12">
      <c r="A3832" s="3" t="s">
        <v>3808</v>
      </c>
      <c r="C3832">
        <v>4</v>
      </c>
      <c r="D3832">
        <v>5</v>
      </c>
      <c r="J3832">
        <v>58</v>
      </c>
    </row>
    <row r="3833" spans="1:12">
      <c r="A3833" s="3" t="s">
        <v>3809</v>
      </c>
      <c r="C3833">
        <v>4</v>
      </c>
      <c r="D3833">
        <v>5</v>
      </c>
      <c r="J3833">
        <v>58</v>
      </c>
    </row>
    <row r="3834" spans="1:12">
      <c r="A3834" s="3" t="s">
        <v>3810</v>
      </c>
      <c r="C3834">
        <v>4</v>
      </c>
      <c r="D3834">
        <v>5</v>
      </c>
      <c r="J3834">
        <v>58</v>
      </c>
    </row>
    <row r="3835" spans="1:12">
      <c r="A3835" s="3" t="s">
        <v>3811</v>
      </c>
      <c r="C3835">
        <v>4</v>
      </c>
      <c r="D3835">
        <v>5</v>
      </c>
      <c r="J3835">
        <v>58</v>
      </c>
    </row>
    <row r="3836" spans="1:12">
      <c r="A3836" s="3" t="s">
        <v>3812</v>
      </c>
      <c r="C3836">
        <v>4</v>
      </c>
      <c r="D3836">
        <v>5</v>
      </c>
      <c r="J3836">
        <v>58</v>
      </c>
    </row>
    <row r="3837" spans="1:12">
      <c r="A3837" s="3" t="s">
        <v>3813</v>
      </c>
      <c r="C3837">
        <v>4</v>
      </c>
      <c r="D3837">
        <v>5</v>
      </c>
      <c r="J3837">
        <v>58</v>
      </c>
    </row>
    <row r="3838" spans="1:12">
      <c r="A3838" s="3" t="s">
        <v>3814</v>
      </c>
      <c r="D3838">
        <v>5</v>
      </c>
      <c r="J3838">
        <v>58</v>
      </c>
    </row>
    <row r="3839" spans="1:12">
      <c r="A3839" s="3" t="s">
        <v>3815</v>
      </c>
      <c r="D3839">
        <v>5</v>
      </c>
      <c r="L3839">
        <v>8</v>
      </c>
    </row>
    <row r="3840" spans="1:12">
      <c r="A3840" s="3" t="s">
        <v>3816</v>
      </c>
      <c r="D3840">
        <v>5</v>
      </c>
      <c r="L3840">
        <v>8</v>
      </c>
    </row>
    <row r="3841" spans="1:12">
      <c r="A3841" s="3" t="s">
        <v>3817</v>
      </c>
      <c r="D3841">
        <v>5</v>
      </c>
      <c r="L3841">
        <v>8</v>
      </c>
    </row>
    <row r="3842" spans="1:12">
      <c r="A3842" s="3" t="s">
        <v>3818</v>
      </c>
      <c r="D3842">
        <v>5</v>
      </c>
      <c r="L3842">
        <v>8</v>
      </c>
    </row>
    <row r="3843" spans="1:12">
      <c r="A3843" s="3" t="s">
        <v>3819</v>
      </c>
      <c r="D3843">
        <v>5</v>
      </c>
      <c r="L3843">
        <v>8</v>
      </c>
    </row>
    <row r="3844" spans="1:12">
      <c r="A3844" s="3" t="s">
        <v>3820</v>
      </c>
      <c r="D3844">
        <v>5</v>
      </c>
      <c r="L3844">
        <v>8</v>
      </c>
    </row>
    <row r="3845" spans="1:12">
      <c r="A3845" s="3" t="s">
        <v>3821</v>
      </c>
      <c r="D3845">
        <v>5</v>
      </c>
      <c r="L3845">
        <v>8</v>
      </c>
    </row>
    <row r="3846" spans="1:12">
      <c r="A3846" s="3" t="s">
        <v>3822</v>
      </c>
      <c r="D3846">
        <v>5</v>
      </c>
      <c r="L3846">
        <v>8</v>
      </c>
    </row>
    <row r="3847" spans="1:12">
      <c r="A3847" s="3" t="s">
        <v>3823</v>
      </c>
      <c r="D3847">
        <v>5</v>
      </c>
      <c r="J3847">
        <v>59</v>
      </c>
    </row>
    <row r="3848" spans="1:12">
      <c r="A3848" s="3" t="s">
        <v>3824</v>
      </c>
      <c r="D3848">
        <v>5</v>
      </c>
      <c r="J3848">
        <v>59</v>
      </c>
    </row>
    <row r="3849" spans="1:12">
      <c r="A3849" s="3" t="s">
        <v>3825</v>
      </c>
      <c r="D3849">
        <v>5</v>
      </c>
      <c r="J3849">
        <v>59</v>
      </c>
    </row>
    <row r="3850" spans="1:12">
      <c r="A3850" s="3" t="s">
        <v>3826</v>
      </c>
      <c r="D3850">
        <v>5</v>
      </c>
      <c r="J3850">
        <v>59</v>
      </c>
    </row>
    <row r="3851" spans="1:12">
      <c r="A3851" s="3" t="s">
        <v>3827</v>
      </c>
      <c r="D3851">
        <v>5</v>
      </c>
      <c r="J3851">
        <v>59</v>
      </c>
    </row>
    <row r="3852" spans="1:12">
      <c r="A3852" s="3" t="s">
        <v>3828</v>
      </c>
      <c r="D3852">
        <v>5</v>
      </c>
      <c r="J3852">
        <v>59</v>
      </c>
    </row>
    <row r="3853" spans="1:12">
      <c r="A3853" s="3" t="s">
        <v>3829</v>
      </c>
      <c r="D3853">
        <v>5</v>
      </c>
      <c r="J3853">
        <v>59</v>
      </c>
    </row>
    <row r="3854" spans="1:12">
      <c r="A3854" s="3" t="s">
        <v>3830</v>
      </c>
      <c r="D3854">
        <v>5</v>
      </c>
      <c r="J3854">
        <v>59</v>
      </c>
    </row>
    <row r="3855" spans="1:12">
      <c r="A3855" s="3" t="s">
        <v>3831</v>
      </c>
      <c r="D3855">
        <v>5</v>
      </c>
      <c r="J3855">
        <v>59</v>
      </c>
    </row>
    <row r="3856" spans="1:12">
      <c r="A3856" s="3" t="s">
        <v>3832</v>
      </c>
      <c r="D3856">
        <v>5</v>
      </c>
      <c r="J3856">
        <v>59</v>
      </c>
    </row>
    <row r="3857" spans="1:10">
      <c r="A3857" s="3" t="s">
        <v>3833</v>
      </c>
      <c r="D3857">
        <v>5</v>
      </c>
      <c r="J3857">
        <v>59</v>
      </c>
    </row>
    <row r="3858" spans="1:10">
      <c r="A3858" s="3" t="s">
        <v>3834</v>
      </c>
      <c r="D3858">
        <v>5</v>
      </c>
      <c r="J3858">
        <v>59</v>
      </c>
    </row>
    <row r="3859" spans="1:10">
      <c r="A3859" s="3" t="s">
        <v>3835</v>
      </c>
      <c r="D3859">
        <v>5</v>
      </c>
      <c r="J3859">
        <v>59</v>
      </c>
    </row>
    <row r="3860" spans="1:10">
      <c r="A3860" s="3" t="s">
        <v>3836</v>
      </c>
      <c r="D3860">
        <v>5</v>
      </c>
      <c r="J3860">
        <v>59</v>
      </c>
    </row>
    <row r="3861" spans="1:10">
      <c r="A3861" s="3" t="s">
        <v>3837</v>
      </c>
      <c r="D3861">
        <v>5</v>
      </c>
      <c r="J3861">
        <v>59</v>
      </c>
    </row>
    <row r="3862" spans="1:10">
      <c r="A3862" s="3" t="s">
        <v>3838</v>
      </c>
      <c r="D3862">
        <v>5</v>
      </c>
      <c r="J3862">
        <v>59</v>
      </c>
    </row>
    <row r="3863" spans="1:10">
      <c r="A3863" s="3" t="s">
        <v>3839</v>
      </c>
      <c r="D3863">
        <v>5</v>
      </c>
      <c r="J3863">
        <v>59</v>
      </c>
    </row>
    <row r="3864" spans="1:10">
      <c r="A3864" s="3" t="s">
        <v>3840</v>
      </c>
      <c r="D3864">
        <v>5</v>
      </c>
      <c r="J3864">
        <v>59</v>
      </c>
    </row>
    <row r="3865" spans="1:10">
      <c r="A3865" s="3" t="s">
        <v>3841</v>
      </c>
      <c r="D3865">
        <v>5</v>
      </c>
      <c r="J3865">
        <v>59</v>
      </c>
    </row>
    <row r="3866" spans="1:10">
      <c r="A3866" s="3" t="s">
        <v>3842</v>
      </c>
      <c r="D3866">
        <v>5</v>
      </c>
      <c r="J3866">
        <v>59</v>
      </c>
    </row>
    <row r="3867" spans="1:10">
      <c r="A3867" s="3" t="s">
        <v>3843</v>
      </c>
      <c r="D3867">
        <v>5</v>
      </c>
      <c r="J3867">
        <v>59</v>
      </c>
    </row>
    <row r="3868" spans="1:10">
      <c r="A3868" s="3" t="s">
        <v>3844</v>
      </c>
      <c r="D3868">
        <v>5</v>
      </c>
      <c r="J3868">
        <v>59</v>
      </c>
    </row>
    <row r="3869" spans="1:10">
      <c r="A3869" s="3" t="s">
        <v>3845</v>
      </c>
      <c r="D3869">
        <v>5</v>
      </c>
      <c r="J3869">
        <v>59</v>
      </c>
    </row>
    <row r="3870" spans="1:10">
      <c r="A3870" s="3" t="s">
        <v>3846</v>
      </c>
      <c r="D3870">
        <v>5</v>
      </c>
      <c r="J3870">
        <v>59</v>
      </c>
    </row>
    <row r="3871" spans="1:10">
      <c r="A3871" s="3" t="s">
        <v>3847</v>
      </c>
      <c r="D3871">
        <v>5</v>
      </c>
      <c r="J3871">
        <v>59</v>
      </c>
    </row>
    <row r="3872" spans="1:10">
      <c r="A3872" s="3" t="s">
        <v>3848</v>
      </c>
      <c r="D3872">
        <v>5</v>
      </c>
      <c r="J3872">
        <v>59</v>
      </c>
    </row>
    <row r="3873" spans="1:46">
      <c r="A3873" s="3" t="s">
        <v>3849</v>
      </c>
      <c r="D3873">
        <v>5</v>
      </c>
      <c r="J3873">
        <v>59</v>
      </c>
    </row>
    <row r="3874" spans="1:46">
      <c r="A3874" s="3" t="s">
        <v>3850</v>
      </c>
      <c r="D3874">
        <v>5</v>
      </c>
      <c r="J3874">
        <v>59</v>
      </c>
    </row>
    <row r="3875" spans="1:46">
      <c r="A3875" s="3" t="s">
        <v>3851</v>
      </c>
      <c r="D3875">
        <v>5</v>
      </c>
      <c r="J3875">
        <v>59</v>
      </c>
    </row>
    <row r="3876" spans="1:46">
      <c r="A3876" s="3" t="s">
        <v>3852</v>
      </c>
      <c r="D3876">
        <v>5</v>
      </c>
      <c r="J3876">
        <v>59</v>
      </c>
    </row>
    <row r="3877" spans="1:46">
      <c r="A3877" s="3" t="s">
        <v>3853</v>
      </c>
      <c r="D3877">
        <v>5</v>
      </c>
      <c r="J3877">
        <v>59</v>
      </c>
    </row>
    <row r="3878" spans="1:46">
      <c r="A3878" s="3" t="s">
        <v>3854</v>
      </c>
      <c r="D3878">
        <v>5</v>
      </c>
      <c r="J3878">
        <v>59</v>
      </c>
    </row>
    <row r="3879" spans="1:46">
      <c r="A3879" s="3" t="s">
        <v>3855</v>
      </c>
      <c r="D3879">
        <v>5</v>
      </c>
      <c r="AT3879">
        <v>9</v>
      </c>
    </row>
    <row r="3880" spans="1:46">
      <c r="A3880" s="3" t="s">
        <v>3856</v>
      </c>
      <c r="D3880">
        <v>5</v>
      </c>
      <c r="AT3880">
        <v>9</v>
      </c>
    </row>
    <row r="3881" spans="1:46">
      <c r="A3881" s="3" t="s">
        <v>3857</v>
      </c>
      <c r="D3881">
        <v>5</v>
      </c>
      <c r="AT3881">
        <v>9</v>
      </c>
    </row>
    <row r="3882" spans="1:46">
      <c r="A3882" s="3" t="s">
        <v>3858</v>
      </c>
      <c r="D3882">
        <v>5</v>
      </c>
      <c r="AT3882">
        <v>9</v>
      </c>
    </row>
    <row r="3883" spans="1:46">
      <c r="A3883" s="3" t="s">
        <v>3859</v>
      </c>
      <c r="D3883">
        <v>5</v>
      </c>
      <c r="AT3883">
        <v>9</v>
      </c>
    </row>
    <row r="3884" spans="1:46">
      <c r="A3884" s="3" t="s">
        <v>3860</v>
      </c>
      <c r="D3884">
        <v>5</v>
      </c>
      <c r="AT3884">
        <v>9</v>
      </c>
    </row>
    <row r="3885" spans="1:46">
      <c r="A3885" s="3" t="s">
        <v>3861</v>
      </c>
      <c r="D3885">
        <v>5</v>
      </c>
      <c r="AT3885">
        <v>9</v>
      </c>
    </row>
    <row r="3886" spans="1:46">
      <c r="A3886" s="3" t="s">
        <v>3862</v>
      </c>
      <c r="D3886">
        <v>5</v>
      </c>
      <c r="AT3886">
        <v>9</v>
      </c>
    </row>
    <row r="3887" spans="1:46">
      <c r="A3887" s="3" t="s">
        <v>3863</v>
      </c>
      <c r="D3887">
        <v>5</v>
      </c>
      <c r="AT3887">
        <v>9</v>
      </c>
    </row>
    <row r="3888" spans="1:46">
      <c r="A3888" s="3" t="s">
        <v>3864</v>
      </c>
      <c r="D3888">
        <v>5</v>
      </c>
      <c r="AT3888">
        <v>9</v>
      </c>
    </row>
    <row r="3889" spans="1:46">
      <c r="A3889" s="3" t="s">
        <v>3865</v>
      </c>
      <c r="D3889">
        <v>5</v>
      </c>
      <c r="AT3889">
        <v>9</v>
      </c>
    </row>
    <row r="3890" spans="1:46">
      <c r="A3890" s="3" t="s">
        <v>3866</v>
      </c>
      <c r="D3890">
        <v>5</v>
      </c>
      <c r="AT3890">
        <v>9</v>
      </c>
    </row>
    <row r="3891" spans="1:46">
      <c r="A3891" s="3" t="s">
        <v>3867</v>
      </c>
      <c r="D3891">
        <v>5</v>
      </c>
      <c r="AT3891">
        <v>9</v>
      </c>
    </row>
    <row r="3892" spans="1:46">
      <c r="A3892" s="3" t="s">
        <v>3868</v>
      </c>
      <c r="D3892">
        <v>5</v>
      </c>
      <c r="AT3892">
        <v>9</v>
      </c>
    </row>
    <row r="3893" spans="1:46">
      <c r="A3893" s="3" t="s">
        <v>3869</v>
      </c>
      <c r="D3893">
        <v>5</v>
      </c>
      <c r="AT3893">
        <v>9</v>
      </c>
    </row>
    <row r="3894" spans="1:46">
      <c r="A3894" s="3" t="s">
        <v>3870</v>
      </c>
      <c r="D3894">
        <v>5</v>
      </c>
      <c r="AT3894">
        <v>9</v>
      </c>
    </row>
    <row r="3895" spans="1:46">
      <c r="A3895" s="3" t="s">
        <v>3871</v>
      </c>
      <c r="D3895">
        <v>5</v>
      </c>
      <c r="AT3895">
        <v>9</v>
      </c>
    </row>
    <row r="3896" spans="1:46">
      <c r="A3896" s="3" t="s">
        <v>3872</v>
      </c>
      <c r="D3896">
        <v>5</v>
      </c>
      <c r="AT3896">
        <v>9</v>
      </c>
    </row>
    <row r="3897" spans="1:46">
      <c r="A3897" s="3" t="s">
        <v>3873</v>
      </c>
      <c r="D3897">
        <v>5</v>
      </c>
      <c r="AT3897">
        <v>9</v>
      </c>
    </row>
    <row r="3898" spans="1:46">
      <c r="A3898" s="3" t="s">
        <v>3874</v>
      </c>
      <c r="D3898">
        <v>5</v>
      </c>
      <c r="AT3898">
        <v>9</v>
      </c>
    </row>
    <row r="3899" spans="1:46">
      <c r="A3899" s="3" t="s">
        <v>3875</v>
      </c>
      <c r="D3899">
        <v>5</v>
      </c>
      <c r="AT3899">
        <v>9</v>
      </c>
    </row>
    <row r="3900" spans="1:46">
      <c r="A3900" s="3" t="s">
        <v>3876</v>
      </c>
      <c r="D3900">
        <v>5</v>
      </c>
      <c r="AT3900">
        <v>9</v>
      </c>
    </row>
    <row r="3901" spans="1:46">
      <c r="A3901" s="3" t="s">
        <v>3877</v>
      </c>
      <c r="D3901">
        <v>5</v>
      </c>
      <c r="AT3901">
        <v>9</v>
      </c>
    </row>
    <row r="3902" spans="1:46">
      <c r="A3902" s="3" t="s">
        <v>3878</v>
      </c>
      <c r="D3902">
        <v>5</v>
      </c>
      <c r="AT3902">
        <v>9</v>
      </c>
    </row>
    <row r="3903" spans="1:46">
      <c r="A3903" s="3" t="s">
        <v>3879</v>
      </c>
      <c r="D3903">
        <v>5</v>
      </c>
      <c r="AT3903">
        <v>9</v>
      </c>
    </row>
    <row r="3904" spans="1:46">
      <c r="A3904" s="3" t="s">
        <v>3880</v>
      </c>
      <c r="D3904">
        <v>5</v>
      </c>
      <c r="AT3904">
        <v>9</v>
      </c>
    </row>
    <row r="3905" spans="1:46">
      <c r="A3905" s="3" t="s">
        <v>3881</v>
      </c>
      <c r="D3905">
        <v>5</v>
      </c>
      <c r="AT3905">
        <v>9</v>
      </c>
    </row>
    <row r="3906" spans="1:46">
      <c r="A3906" s="3" t="s">
        <v>3882</v>
      </c>
      <c r="D3906">
        <v>5</v>
      </c>
      <c r="AT3906">
        <v>9</v>
      </c>
    </row>
    <row r="3907" spans="1:46">
      <c r="A3907" s="3" t="s">
        <v>3883</v>
      </c>
      <c r="D3907">
        <v>5</v>
      </c>
      <c r="AT3907">
        <v>9</v>
      </c>
    </row>
    <row r="3908" spans="1:46">
      <c r="A3908" s="3" t="s">
        <v>3884</v>
      </c>
      <c r="D3908">
        <v>5</v>
      </c>
      <c r="AT3908">
        <v>9</v>
      </c>
    </row>
    <row r="3909" spans="1:46">
      <c r="A3909" s="3" t="s">
        <v>3885</v>
      </c>
      <c r="D3909">
        <v>5</v>
      </c>
      <c r="AT3909">
        <v>9</v>
      </c>
    </row>
    <row r="3910" spans="1:46">
      <c r="A3910" s="3" t="s">
        <v>3886</v>
      </c>
      <c r="D3910">
        <v>5</v>
      </c>
      <c r="AT3910">
        <v>9</v>
      </c>
    </row>
    <row r="3911" spans="1:46">
      <c r="A3911" s="3" t="s">
        <v>3887</v>
      </c>
      <c r="D3911">
        <v>5</v>
      </c>
      <c r="AT3911">
        <v>9</v>
      </c>
    </row>
    <row r="3912" spans="1:46">
      <c r="A3912" s="3" t="s">
        <v>3888</v>
      </c>
      <c r="D3912">
        <v>5</v>
      </c>
      <c r="AT3912">
        <v>9</v>
      </c>
    </row>
    <row r="3913" spans="1:46">
      <c r="A3913" s="3" t="s">
        <v>3889</v>
      </c>
      <c r="D3913">
        <v>5</v>
      </c>
      <c r="AT3913">
        <v>9</v>
      </c>
    </row>
    <row r="3914" spans="1:46">
      <c r="A3914" s="3" t="s">
        <v>3890</v>
      </c>
      <c r="D3914">
        <v>5</v>
      </c>
      <c r="AT3914">
        <v>9</v>
      </c>
    </row>
    <row r="3915" spans="1:46">
      <c r="A3915" s="3" t="s">
        <v>3891</v>
      </c>
      <c r="D3915">
        <v>5</v>
      </c>
      <c r="AT3915">
        <v>9</v>
      </c>
    </row>
    <row r="3916" spans="1:46">
      <c r="A3916" s="3" t="s">
        <v>3892</v>
      </c>
      <c r="D3916">
        <v>5</v>
      </c>
      <c r="AT3916">
        <v>9</v>
      </c>
    </row>
    <row r="3917" spans="1:46">
      <c r="A3917" s="3" t="s">
        <v>3893</v>
      </c>
      <c r="D3917">
        <v>5</v>
      </c>
      <c r="AT3917">
        <v>9</v>
      </c>
    </row>
    <row r="3918" spans="1:46">
      <c r="A3918" s="3" t="s">
        <v>3894</v>
      </c>
      <c r="D3918">
        <v>5</v>
      </c>
      <c r="AT3918">
        <v>9</v>
      </c>
    </row>
    <row r="3919" spans="1:46">
      <c r="A3919" s="3" t="s">
        <v>3895</v>
      </c>
      <c r="D3919">
        <v>5</v>
      </c>
      <c r="AT3919">
        <v>9</v>
      </c>
    </row>
    <row r="3920" spans="1:46">
      <c r="A3920" s="3" t="s">
        <v>3896</v>
      </c>
      <c r="D3920">
        <v>5</v>
      </c>
      <c r="AT3920">
        <v>9</v>
      </c>
    </row>
    <row r="3921" spans="1:46">
      <c r="A3921" s="3" t="s">
        <v>3897</v>
      </c>
      <c r="D3921">
        <v>5</v>
      </c>
      <c r="AT3921">
        <v>9</v>
      </c>
    </row>
    <row r="3922" spans="1:46">
      <c r="A3922" s="3" t="s">
        <v>3898</v>
      </c>
      <c r="D3922">
        <v>5</v>
      </c>
      <c r="AT3922">
        <v>9</v>
      </c>
    </row>
    <row r="3923" spans="1:46">
      <c r="A3923" s="3" t="s">
        <v>3899</v>
      </c>
      <c r="D3923">
        <v>5</v>
      </c>
      <c r="AT3923">
        <v>9</v>
      </c>
    </row>
    <row r="3924" spans="1:46">
      <c r="A3924" s="3" t="s">
        <v>3900</v>
      </c>
      <c r="D3924">
        <v>5</v>
      </c>
      <c r="AT3924">
        <v>9</v>
      </c>
    </row>
    <row r="3925" spans="1:46">
      <c r="A3925" s="3" t="s">
        <v>3901</v>
      </c>
      <c r="D3925">
        <v>5</v>
      </c>
      <c r="AT3925">
        <v>9</v>
      </c>
    </row>
    <row r="3926" spans="1:46">
      <c r="A3926" s="3" t="s">
        <v>3902</v>
      </c>
      <c r="D3926">
        <v>5</v>
      </c>
      <c r="AT3926">
        <v>9</v>
      </c>
    </row>
    <row r="3927" spans="1:46">
      <c r="A3927" s="3" t="s">
        <v>3903</v>
      </c>
      <c r="D3927">
        <v>5</v>
      </c>
      <c r="AT3927">
        <v>9</v>
      </c>
    </row>
    <row r="3928" spans="1:46">
      <c r="A3928" s="3" t="s">
        <v>3904</v>
      </c>
      <c r="D3928">
        <v>5</v>
      </c>
      <c r="AT3928">
        <v>9</v>
      </c>
    </row>
    <row r="3929" spans="1:46">
      <c r="A3929" s="3" t="s">
        <v>3905</v>
      </c>
      <c r="D3929">
        <v>5</v>
      </c>
      <c r="AT3929">
        <v>9</v>
      </c>
    </row>
    <row r="3930" spans="1:46">
      <c r="A3930" s="3" t="s">
        <v>3906</v>
      </c>
      <c r="D3930">
        <v>5</v>
      </c>
      <c r="AT3930">
        <v>9</v>
      </c>
    </row>
    <row r="3931" spans="1:46">
      <c r="A3931" s="3" t="s">
        <v>3907</v>
      </c>
      <c r="D3931">
        <v>5</v>
      </c>
      <c r="J3931">
        <v>60</v>
      </c>
    </row>
    <row r="3932" spans="1:46">
      <c r="A3932" s="3" t="s">
        <v>3908</v>
      </c>
      <c r="D3932">
        <v>5</v>
      </c>
      <c r="J3932">
        <v>60</v>
      </c>
    </row>
    <row r="3933" spans="1:46">
      <c r="A3933" s="3" t="s">
        <v>3909</v>
      </c>
      <c r="D3933">
        <v>5</v>
      </c>
      <c r="J3933">
        <v>60</v>
      </c>
    </row>
    <row r="3934" spans="1:46">
      <c r="A3934" s="3" t="s">
        <v>3910</v>
      </c>
      <c r="D3934">
        <v>5</v>
      </c>
      <c r="J3934">
        <v>60</v>
      </c>
    </row>
    <row r="3935" spans="1:46">
      <c r="A3935" s="3" t="s">
        <v>3911</v>
      </c>
      <c r="D3935">
        <v>5</v>
      </c>
      <c r="J3935">
        <v>60</v>
      </c>
    </row>
    <row r="3936" spans="1:46">
      <c r="A3936" s="3" t="s">
        <v>3912</v>
      </c>
      <c r="D3936">
        <v>5</v>
      </c>
      <c r="J3936">
        <v>60</v>
      </c>
    </row>
    <row r="3937" spans="1:10">
      <c r="A3937" s="3" t="s">
        <v>3913</v>
      </c>
      <c r="D3937">
        <v>5</v>
      </c>
      <c r="J3937">
        <v>60</v>
      </c>
    </row>
    <row r="3938" spans="1:10">
      <c r="A3938" s="3" t="s">
        <v>3914</v>
      </c>
      <c r="D3938">
        <v>5</v>
      </c>
      <c r="J3938">
        <v>60</v>
      </c>
    </row>
    <row r="3939" spans="1:10">
      <c r="A3939" s="3" t="s">
        <v>3915</v>
      </c>
      <c r="D3939">
        <v>5</v>
      </c>
      <c r="J3939">
        <v>60</v>
      </c>
    </row>
    <row r="3940" spans="1:10">
      <c r="A3940" s="3" t="s">
        <v>3916</v>
      </c>
      <c r="D3940">
        <v>5</v>
      </c>
      <c r="J3940">
        <v>60</v>
      </c>
    </row>
    <row r="3941" spans="1:10">
      <c r="A3941" s="3" t="s">
        <v>3917</v>
      </c>
      <c r="D3941">
        <v>5</v>
      </c>
      <c r="J3941">
        <v>60</v>
      </c>
    </row>
    <row r="3942" spans="1:10">
      <c r="A3942" s="3" t="s">
        <v>3918</v>
      </c>
      <c r="D3942">
        <v>5</v>
      </c>
      <c r="J3942">
        <v>60</v>
      </c>
    </row>
    <row r="3943" spans="1:10">
      <c r="A3943" s="3" t="s">
        <v>3919</v>
      </c>
      <c r="D3943">
        <v>5</v>
      </c>
      <c r="J3943">
        <v>60</v>
      </c>
    </row>
    <row r="3944" spans="1:10">
      <c r="A3944" s="3" t="s">
        <v>3920</v>
      </c>
      <c r="D3944">
        <v>5</v>
      </c>
      <c r="J3944">
        <v>60</v>
      </c>
    </row>
    <row r="3945" spans="1:10">
      <c r="A3945" s="3" t="s">
        <v>3921</v>
      </c>
      <c r="D3945">
        <v>5</v>
      </c>
      <c r="J3945">
        <v>60</v>
      </c>
    </row>
    <row r="3946" spans="1:10">
      <c r="A3946" s="3" t="s">
        <v>3922</v>
      </c>
      <c r="D3946">
        <v>5</v>
      </c>
      <c r="J3946">
        <v>60</v>
      </c>
    </row>
    <row r="3947" spans="1:10">
      <c r="A3947" s="3" t="s">
        <v>3923</v>
      </c>
      <c r="D3947">
        <v>5</v>
      </c>
      <c r="E3947">
        <v>6</v>
      </c>
      <c r="J3947">
        <v>60</v>
      </c>
    </row>
    <row r="3948" spans="1:10">
      <c r="A3948" s="3" t="s">
        <v>3924</v>
      </c>
      <c r="D3948">
        <v>5</v>
      </c>
      <c r="E3948">
        <v>6</v>
      </c>
      <c r="J3948">
        <v>60</v>
      </c>
    </row>
    <row r="3949" spans="1:10">
      <c r="A3949" s="3" t="s">
        <v>3925</v>
      </c>
      <c r="D3949">
        <v>5</v>
      </c>
      <c r="E3949">
        <v>6</v>
      </c>
      <c r="J3949">
        <v>60</v>
      </c>
    </row>
    <row r="3950" spans="1:10">
      <c r="A3950" s="3" t="s">
        <v>3926</v>
      </c>
      <c r="D3950">
        <v>5</v>
      </c>
      <c r="E3950">
        <v>6</v>
      </c>
      <c r="J3950">
        <v>60</v>
      </c>
    </row>
    <row r="3951" spans="1:10">
      <c r="A3951" s="3" t="s">
        <v>3927</v>
      </c>
      <c r="D3951">
        <v>5</v>
      </c>
      <c r="E3951">
        <v>6</v>
      </c>
      <c r="J3951">
        <v>60</v>
      </c>
    </row>
    <row r="3952" spans="1:10">
      <c r="A3952" s="3" t="s">
        <v>3928</v>
      </c>
      <c r="D3952">
        <v>5</v>
      </c>
      <c r="E3952">
        <v>6</v>
      </c>
      <c r="J3952">
        <v>60</v>
      </c>
    </row>
    <row r="3953" spans="1:48">
      <c r="A3953" s="3" t="s">
        <v>3929</v>
      </c>
      <c r="D3953">
        <v>5</v>
      </c>
      <c r="E3953">
        <v>6</v>
      </c>
      <c r="AV3953">
        <v>6</v>
      </c>
    </row>
    <row r="3954" spans="1:48">
      <c r="A3954" s="3" t="s">
        <v>3930</v>
      </c>
      <c r="D3954">
        <v>5</v>
      </c>
      <c r="E3954">
        <v>6</v>
      </c>
      <c r="AV3954">
        <v>6</v>
      </c>
    </row>
    <row r="3955" spans="1:48">
      <c r="A3955" s="3" t="s">
        <v>3931</v>
      </c>
      <c r="D3955">
        <v>5</v>
      </c>
      <c r="E3955">
        <v>6</v>
      </c>
      <c r="AV3955">
        <v>6</v>
      </c>
    </row>
    <row r="3956" spans="1:48">
      <c r="A3956" s="3" t="s">
        <v>3932</v>
      </c>
      <c r="D3956">
        <v>5</v>
      </c>
      <c r="E3956">
        <v>6</v>
      </c>
      <c r="AV3956">
        <v>6</v>
      </c>
    </row>
    <row r="3957" spans="1:48">
      <c r="A3957" s="3" t="s">
        <v>3933</v>
      </c>
      <c r="D3957">
        <v>5</v>
      </c>
      <c r="E3957">
        <v>6</v>
      </c>
      <c r="AV3957">
        <v>6</v>
      </c>
    </row>
    <row r="3958" spans="1:48">
      <c r="A3958" s="3" t="s">
        <v>3934</v>
      </c>
      <c r="D3958">
        <v>5</v>
      </c>
      <c r="E3958">
        <v>6</v>
      </c>
      <c r="AV3958">
        <v>6</v>
      </c>
    </row>
    <row r="3959" spans="1:48">
      <c r="A3959" s="3" t="s">
        <v>3935</v>
      </c>
      <c r="D3959">
        <v>5</v>
      </c>
      <c r="E3959">
        <v>6</v>
      </c>
      <c r="AV3959">
        <v>6</v>
      </c>
    </row>
    <row r="3960" spans="1:48">
      <c r="A3960" s="3" t="s">
        <v>3936</v>
      </c>
      <c r="D3960">
        <v>5</v>
      </c>
      <c r="E3960">
        <v>6</v>
      </c>
      <c r="AV3960">
        <v>6</v>
      </c>
    </row>
    <row r="3961" spans="1:48">
      <c r="A3961" s="3" t="s">
        <v>3937</v>
      </c>
      <c r="D3961">
        <v>5</v>
      </c>
      <c r="E3961">
        <v>6</v>
      </c>
      <c r="AV3961">
        <v>6</v>
      </c>
    </row>
    <row r="3962" spans="1:48">
      <c r="A3962" s="3" t="s">
        <v>3938</v>
      </c>
      <c r="D3962">
        <v>5</v>
      </c>
      <c r="E3962">
        <v>6</v>
      </c>
      <c r="AV3962">
        <v>6</v>
      </c>
    </row>
    <row r="3963" spans="1:48">
      <c r="A3963" s="3" t="s">
        <v>3939</v>
      </c>
      <c r="D3963">
        <v>5</v>
      </c>
      <c r="E3963">
        <v>6</v>
      </c>
      <c r="AV3963">
        <v>6</v>
      </c>
    </row>
    <row r="3964" spans="1:48">
      <c r="A3964" s="3" t="s">
        <v>3940</v>
      </c>
      <c r="D3964">
        <v>5</v>
      </c>
      <c r="E3964">
        <v>6</v>
      </c>
      <c r="AV3964">
        <v>6</v>
      </c>
    </row>
    <row r="3965" spans="1:48">
      <c r="A3965" s="3" t="s">
        <v>3941</v>
      </c>
      <c r="D3965">
        <v>5</v>
      </c>
      <c r="E3965">
        <v>6</v>
      </c>
      <c r="AV3965">
        <v>6</v>
      </c>
    </row>
    <row r="3966" spans="1:48">
      <c r="A3966" s="3" t="s">
        <v>3942</v>
      </c>
      <c r="D3966">
        <v>5</v>
      </c>
      <c r="E3966">
        <v>6</v>
      </c>
      <c r="AV3966">
        <v>6</v>
      </c>
    </row>
    <row r="3967" spans="1:48">
      <c r="A3967" s="3" t="s">
        <v>3943</v>
      </c>
      <c r="D3967">
        <v>5</v>
      </c>
      <c r="E3967">
        <v>6</v>
      </c>
      <c r="AV3967">
        <v>6</v>
      </c>
    </row>
    <row r="3968" spans="1:48">
      <c r="A3968" s="3" t="s">
        <v>3944</v>
      </c>
      <c r="D3968">
        <v>5</v>
      </c>
      <c r="E3968">
        <v>6</v>
      </c>
      <c r="AV3968">
        <v>6</v>
      </c>
    </row>
    <row r="3969" spans="1:48">
      <c r="A3969" s="3" t="s">
        <v>3945</v>
      </c>
      <c r="D3969">
        <v>5</v>
      </c>
      <c r="E3969">
        <v>6</v>
      </c>
      <c r="AV3969">
        <v>6</v>
      </c>
    </row>
    <row r="3970" spans="1:48">
      <c r="A3970" s="3" t="s">
        <v>3946</v>
      </c>
      <c r="D3970">
        <v>5</v>
      </c>
      <c r="E3970">
        <v>6</v>
      </c>
      <c r="AV3970">
        <v>6</v>
      </c>
    </row>
    <row r="3971" spans="1:48">
      <c r="A3971" s="3" t="s">
        <v>3947</v>
      </c>
      <c r="D3971">
        <v>5</v>
      </c>
      <c r="E3971">
        <v>6</v>
      </c>
      <c r="AV3971">
        <v>6</v>
      </c>
    </row>
    <row r="3972" spans="1:48">
      <c r="A3972" s="3" t="s">
        <v>3948</v>
      </c>
      <c r="D3972">
        <v>5</v>
      </c>
      <c r="E3972">
        <v>6</v>
      </c>
      <c r="AV3972">
        <v>6</v>
      </c>
    </row>
    <row r="3973" spans="1:48">
      <c r="A3973" s="3" t="s">
        <v>3949</v>
      </c>
      <c r="D3973">
        <v>5</v>
      </c>
      <c r="E3973">
        <v>6</v>
      </c>
      <c r="AV3973">
        <v>6</v>
      </c>
    </row>
    <row r="3974" spans="1:48">
      <c r="A3974" s="3" t="s">
        <v>3950</v>
      </c>
      <c r="D3974">
        <v>5</v>
      </c>
      <c r="E3974">
        <v>6</v>
      </c>
      <c r="AV3974">
        <v>6</v>
      </c>
    </row>
    <row r="3975" spans="1:48">
      <c r="A3975" s="3" t="s">
        <v>3951</v>
      </c>
      <c r="D3975">
        <v>5</v>
      </c>
      <c r="E3975">
        <v>6</v>
      </c>
      <c r="AV3975">
        <v>6</v>
      </c>
    </row>
    <row r="3976" spans="1:48">
      <c r="A3976" s="3" t="s">
        <v>3952</v>
      </c>
      <c r="D3976">
        <v>5</v>
      </c>
      <c r="E3976">
        <v>6</v>
      </c>
      <c r="AV3976">
        <v>6</v>
      </c>
    </row>
    <row r="3977" spans="1:48">
      <c r="A3977" s="3" t="s">
        <v>3953</v>
      </c>
      <c r="D3977">
        <v>5</v>
      </c>
      <c r="E3977">
        <v>6</v>
      </c>
      <c r="AV3977">
        <v>6</v>
      </c>
    </row>
    <row r="3978" spans="1:48">
      <c r="A3978" s="3" t="s">
        <v>3954</v>
      </c>
      <c r="D3978">
        <v>5</v>
      </c>
      <c r="E3978">
        <v>6</v>
      </c>
      <c r="AV3978">
        <v>6</v>
      </c>
    </row>
    <row r="3979" spans="1:48">
      <c r="A3979" s="3" t="s">
        <v>3955</v>
      </c>
      <c r="D3979">
        <v>5</v>
      </c>
      <c r="E3979">
        <v>6</v>
      </c>
      <c r="AV3979">
        <v>6</v>
      </c>
    </row>
    <row r="3980" spans="1:48">
      <c r="A3980" s="3" t="s">
        <v>3956</v>
      </c>
      <c r="D3980">
        <v>5</v>
      </c>
      <c r="E3980">
        <v>6</v>
      </c>
      <c r="AV3980">
        <v>6</v>
      </c>
    </row>
    <row r="3981" spans="1:48">
      <c r="A3981" s="3" t="s">
        <v>3957</v>
      </c>
      <c r="D3981">
        <v>5</v>
      </c>
      <c r="E3981">
        <v>6</v>
      </c>
      <c r="AV3981">
        <v>6</v>
      </c>
    </row>
    <row r="3982" spans="1:48">
      <c r="A3982" s="3" t="s">
        <v>3958</v>
      </c>
      <c r="D3982">
        <v>5</v>
      </c>
      <c r="E3982">
        <v>6</v>
      </c>
      <c r="AV3982">
        <v>6</v>
      </c>
    </row>
    <row r="3983" spans="1:48">
      <c r="A3983" s="3" t="s">
        <v>3959</v>
      </c>
      <c r="D3983">
        <v>5</v>
      </c>
      <c r="E3983">
        <v>6</v>
      </c>
      <c r="AV3983">
        <v>6</v>
      </c>
    </row>
    <row r="3984" spans="1:48">
      <c r="A3984" s="3" t="s">
        <v>3960</v>
      </c>
      <c r="D3984">
        <v>5</v>
      </c>
      <c r="E3984">
        <v>6</v>
      </c>
      <c r="AV3984">
        <v>6</v>
      </c>
    </row>
    <row r="3985" spans="1:48">
      <c r="A3985" s="3" t="s">
        <v>3961</v>
      </c>
      <c r="D3985">
        <v>5</v>
      </c>
      <c r="E3985">
        <v>6</v>
      </c>
      <c r="AV3985">
        <v>6</v>
      </c>
    </row>
    <row r="3986" spans="1:48">
      <c r="A3986" s="3" t="s">
        <v>3962</v>
      </c>
      <c r="D3986">
        <v>5</v>
      </c>
      <c r="E3986">
        <v>6</v>
      </c>
      <c r="AV3986">
        <v>6</v>
      </c>
    </row>
    <row r="3987" spans="1:48">
      <c r="A3987" s="3" t="s">
        <v>3963</v>
      </c>
      <c r="D3987">
        <v>5</v>
      </c>
      <c r="E3987">
        <v>6</v>
      </c>
      <c r="AV3987">
        <v>6</v>
      </c>
    </row>
    <row r="3988" spans="1:48">
      <c r="A3988" s="3" t="s">
        <v>3964</v>
      </c>
      <c r="D3988">
        <v>5</v>
      </c>
      <c r="E3988">
        <v>6</v>
      </c>
      <c r="AV3988">
        <v>6</v>
      </c>
    </row>
    <row r="3989" spans="1:48">
      <c r="A3989" s="3" t="s">
        <v>3965</v>
      </c>
      <c r="D3989">
        <v>5</v>
      </c>
      <c r="E3989">
        <v>6</v>
      </c>
      <c r="AV3989">
        <v>6</v>
      </c>
    </row>
    <row r="3990" spans="1:48">
      <c r="A3990" s="3" t="s">
        <v>3966</v>
      </c>
      <c r="D3990">
        <v>5</v>
      </c>
      <c r="E3990">
        <v>6</v>
      </c>
      <c r="AV3990">
        <v>6</v>
      </c>
    </row>
    <row r="3991" spans="1:48">
      <c r="A3991" s="3" t="s">
        <v>3967</v>
      </c>
      <c r="D3991">
        <v>5</v>
      </c>
      <c r="E3991">
        <v>6</v>
      </c>
      <c r="AV3991">
        <v>6</v>
      </c>
    </row>
    <row r="3992" spans="1:48">
      <c r="A3992" s="3" t="s">
        <v>3968</v>
      </c>
      <c r="D3992">
        <v>5</v>
      </c>
      <c r="E3992">
        <v>6</v>
      </c>
      <c r="AV3992">
        <v>6</v>
      </c>
    </row>
    <row r="3993" spans="1:48">
      <c r="A3993" s="3" t="s">
        <v>3969</v>
      </c>
      <c r="D3993">
        <v>5</v>
      </c>
      <c r="E3993">
        <v>6</v>
      </c>
      <c r="AV3993">
        <v>6</v>
      </c>
    </row>
    <row r="3994" spans="1:48">
      <c r="A3994" s="3" t="s">
        <v>3970</v>
      </c>
      <c r="D3994">
        <v>5</v>
      </c>
      <c r="E3994">
        <v>6</v>
      </c>
      <c r="AV3994">
        <v>6</v>
      </c>
    </row>
    <row r="3995" spans="1:48">
      <c r="A3995" s="3" t="s">
        <v>3971</v>
      </c>
      <c r="D3995">
        <v>5</v>
      </c>
      <c r="E3995">
        <v>6</v>
      </c>
      <c r="AV3995">
        <v>6</v>
      </c>
    </row>
    <row r="3996" spans="1:48">
      <c r="A3996" s="3" t="s">
        <v>3972</v>
      </c>
      <c r="D3996">
        <v>5</v>
      </c>
      <c r="E3996">
        <v>6</v>
      </c>
      <c r="AV3996">
        <v>6</v>
      </c>
    </row>
    <row r="3997" spans="1:48">
      <c r="A3997" s="3" t="s">
        <v>3973</v>
      </c>
      <c r="D3997">
        <v>5</v>
      </c>
      <c r="E3997">
        <v>6</v>
      </c>
      <c r="AV3997">
        <v>6</v>
      </c>
    </row>
    <row r="3998" spans="1:48">
      <c r="A3998" s="3" t="s">
        <v>3974</v>
      </c>
      <c r="D3998">
        <v>5</v>
      </c>
      <c r="E3998">
        <v>6</v>
      </c>
      <c r="AV3998">
        <v>6</v>
      </c>
    </row>
    <row r="3999" spans="1:48">
      <c r="A3999" s="3" t="s">
        <v>3975</v>
      </c>
      <c r="D3999">
        <v>5</v>
      </c>
      <c r="E3999">
        <v>6</v>
      </c>
      <c r="AV3999">
        <v>6</v>
      </c>
    </row>
    <row r="4000" spans="1:48">
      <c r="A4000" s="3" t="s">
        <v>3976</v>
      </c>
      <c r="D4000">
        <v>5</v>
      </c>
      <c r="E4000">
        <v>6</v>
      </c>
      <c r="AV4000">
        <v>6</v>
      </c>
    </row>
    <row r="4001" spans="1:49">
      <c r="A4001" s="3" t="s">
        <v>3977</v>
      </c>
      <c r="D4001">
        <v>5</v>
      </c>
      <c r="E4001">
        <v>6</v>
      </c>
      <c r="AV4001">
        <v>6</v>
      </c>
    </row>
    <row r="4002" spans="1:49">
      <c r="A4002" s="3" t="s">
        <v>3978</v>
      </c>
      <c r="D4002">
        <v>5</v>
      </c>
      <c r="E4002">
        <v>6</v>
      </c>
      <c r="AV4002">
        <v>6</v>
      </c>
    </row>
    <row r="4003" spans="1:49">
      <c r="A4003" s="3" t="s">
        <v>3979</v>
      </c>
      <c r="D4003">
        <v>5</v>
      </c>
      <c r="E4003">
        <v>6</v>
      </c>
      <c r="J4003">
        <v>61</v>
      </c>
    </row>
    <row r="4004" spans="1:49">
      <c r="A4004" s="3" t="s">
        <v>3980</v>
      </c>
      <c r="D4004">
        <v>5</v>
      </c>
      <c r="E4004">
        <v>6</v>
      </c>
      <c r="J4004">
        <v>61</v>
      </c>
    </row>
    <row r="4005" spans="1:49">
      <c r="A4005" s="3" t="s">
        <v>3981</v>
      </c>
      <c r="D4005">
        <v>5</v>
      </c>
      <c r="E4005">
        <v>6</v>
      </c>
      <c r="J4005">
        <v>61</v>
      </c>
    </row>
    <row r="4006" spans="1:49">
      <c r="A4006" s="3" t="s">
        <v>3982</v>
      </c>
      <c r="D4006">
        <v>5</v>
      </c>
      <c r="E4006">
        <v>6</v>
      </c>
      <c r="J4006">
        <v>61</v>
      </c>
    </row>
    <row r="4007" spans="1:49">
      <c r="A4007" s="3" t="s">
        <v>3983</v>
      </c>
      <c r="D4007">
        <v>5</v>
      </c>
      <c r="E4007">
        <v>6</v>
      </c>
      <c r="J4007">
        <v>61</v>
      </c>
    </row>
    <row r="4008" spans="1:49">
      <c r="A4008" s="3" t="s">
        <v>3984</v>
      </c>
      <c r="D4008">
        <v>5</v>
      </c>
      <c r="E4008">
        <v>6</v>
      </c>
      <c r="J4008">
        <v>61</v>
      </c>
    </row>
    <row r="4009" spans="1:49">
      <c r="A4009" s="3" t="s">
        <v>3985</v>
      </c>
      <c r="E4009">
        <v>6</v>
      </c>
      <c r="J4009">
        <v>61</v>
      </c>
    </row>
    <row r="4010" spans="1:49">
      <c r="A4010" s="3" t="s">
        <v>3986</v>
      </c>
      <c r="E4010">
        <v>6</v>
      </c>
      <c r="J4010">
        <v>61</v>
      </c>
    </row>
    <row r="4011" spans="1:49">
      <c r="A4011" s="3" t="s">
        <v>3987</v>
      </c>
      <c r="E4011">
        <v>6</v>
      </c>
      <c r="J4011">
        <v>61</v>
      </c>
    </row>
    <row r="4012" spans="1:49">
      <c r="A4012" s="3" t="s">
        <v>3988</v>
      </c>
      <c r="E4012">
        <v>6</v>
      </c>
      <c r="AW4012">
        <v>35</v>
      </c>
    </row>
    <row r="4013" spans="1:49">
      <c r="A4013" s="3" t="s">
        <v>3989</v>
      </c>
      <c r="E4013">
        <v>6</v>
      </c>
      <c r="AW4013">
        <v>35</v>
      </c>
    </row>
    <row r="4014" spans="1:49">
      <c r="A4014" s="3" t="s">
        <v>3990</v>
      </c>
      <c r="E4014">
        <v>6</v>
      </c>
      <c r="AW4014">
        <v>35</v>
      </c>
    </row>
    <row r="4015" spans="1:49">
      <c r="A4015" s="3" t="s">
        <v>3991</v>
      </c>
      <c r="E4015">
        <v>6</v>
      </c>
      <c r="AV4015">
        <v>7</v>
      </c>
    </row>
    <row r="4016" spans="1:49">
      <c r="A4016" s="3" t="s">
        <v>3992</v>
      </c>
      <c r="E4016">
        <v>6</v>
      </c>
      <c r="AV4016">
        <v>7</v>
      </c>
    </row>
    <row r="4017" spans="1:48">
      <c r="A4017" s="3" t="s">
        <v>3993</v>
      </c>
      <c r="E4017">
        <v>6</v>
      </c>
      <c r="AV4017">
        <v>7</v>
      </c>
    </row>
    <row r="4018" spans="1:48">
      <c r="A4018" s="3" t="s">
        <v>3994</v>
      </c>
      <c r="E4018">
        <v>6</v>
      </c>
      <c r="AV4018">
        <v>7</v>
      </c>
    </row>
    <row r="4019" spans="1:48">
      <c r="A4019" s="3" t="s">
        <v>3995</v>
      </c>
      <c r="E4019">
        <v>6</v>
      </c>
      <c r="AV4019">
        <v>7</v>
      </c>
    </row>
    <row r="4020" spans="1:48">
      <c r="A4020" s="3" t="s">
        <v>3996</v>
      </c>
      <c r="E4020">
        <v>6</v>
      </c>
      <c r="AV4020">
        <v>7</v>
      </c>
    </row>
    <row r="4021" spans="1:48">
      <c r="A4021" s="3" t="s">
        <v>3997</v>
      </c>
      <c r="E4021">
        <v>6</v>
      </c>
      <c r="AV4021">
        <v>7</v>
      </c>
    </row>
    <row r="4022" spans="1:48">
      <c r="A4022" s="3" t="s">
        <v>3998</v>
      </c>
      <c r="E4022">
        <v>6</v>
      </c>
      <c r="AV4022">
        <v>7</v>
      </c>
    </row>
    <row r="4023" spans="1:48">
      <c r="A4023" s="3" t="s">
        <v>3999</v>
      </c>
      <c r="E4023">
        <v>6</v>
      </c>
      <c r="AV4023">
        <v>7</v>
      </c>
    </row>
    <row r="4024" spans="1:48">
      <c r="A4024" s="3" t="s">
        <v>4000</v>
      </c>
      <c r="E4024">
        <v>6</v>
      </c>
      <c r="AV4024">
        <v>7</v>
      </c>
    </row>
    <row r="4025" spans="1:48">
      <c r="A4025" s="3" t="s">
        <v>4001</v>
      </c>
      <c r="E4025">
        <v>6</v>
      </c>
      <c r="AV4025">
        <v>7</v>
      </c>
    </row>
    <row r="4026" spans="1:48">
      <c r="A4026" s="3" t="s">
        <v>4002</v>
      </c>
      <c r="E4026">
        <v>6</v>
      </c>
      <c r="AV4026">
        <v>7</v>
      </c>
    </row>
    <row r="4027" spans="1:48">
      <c r="A4027" s="3" t="s">
        <v>4003</v>
      </c>
      <c r="E4027">
        <v>6</v>
      </c>
      <c r="AV4027">
        <v>7</v>
      </c>
    </row>
    <row r="4028" spans="1:48">
      <c r="A4028" s="3" t="s">
        <v>4004</v>
      </c>
      <c r="E4028">
        <v>6</v>
      </c>
      <c r="AV4028">
        <v>7</v>
      </c>
    </row>
    <row r="4029" spans="1:48">
      <c r="A4029" s="3" t="s">
        <v>4005</v>
      </c>
      <c r="E4029">
        <v>6</v>
      </c>
      <c r="J4029">
        <v>62</v>
      </c>
    </row>
    <row r="4030" spans="1:48">
      <c r="A4030" s="3" t="s">
        <v>4006</v>
      </c>
      <c r="E4030">
        <v>6</v>
      </c>
      <c r="J4030">
        <v>62</v>
      </c>
    </row>
    <row r="4031" spans="1:48">
      <c r="A4031" s="3" t="s">
        <v>4007</v>
      </c>
      <c r="E4031">
        <v>6</v>
      </c>
      <c r="J4031">
        <v>62</v>
      </c>
    </row>
    <row r="4032" spans="1:48">
      <c r="A4032" s="3" t="s">
        <v>4008</v>
      </c>
      <c r="E4032">
        <v>6</v>
      </c>
      <c r="J4032">
        <v>62</v>
      </c>
    </row>
    <row r="4033" spans="1:48">
      <c r="A4033" s="3" t="s">
        <v>4009</v>
      </c>
      <c r="E4033">
        <v>6</v>
      </c>
      <c r="J4033">
        <v>62</v>
      </c>
    </row>
    <row r="4034" spans="1:48">
      <c r="A4034" s="3" t="s">
        <v>4010</v>
      </c>
      <c r="E4034">
        <v>6</v>
      </c>
      <c r="J4034">
        <v>62</v>
      </c>
    </row>
    <row r="4035" spans="1:48">
      <c r="A4035" s="3" t="s">
        <v>4011</v>
      </c>
      <c r="E4035">
        <v>6</v>
      </c>
      <c r="J4035">
        <v>62</v>
      </c>
    </row>
    <row r="4036" spans="1:48">
      <c r="A4036" s="3" t="s">
        <v>4012</v>
      </c>
      <c r="E4036">
        <v>6</v>
      </c>
      <c r="J4036">
        <v>62</v>
      </c>
    </row>
    <row r="4037" spans="1:48">
      <c r="A4037" s="3" t="s">
        <v>4013</v>
      </c>
      <c r="E4037">
        <v>6</v>
      </c>
      <c r="AV4037">
        <v>8</v>
      </c>
    </row>
    <row r="4038" spans="1:48">
      <c r="A4038" s="3" t="s">
        <v>4014</v>
      </c>
      <c r="E4038">
        <v>6</v>
      </c>
      <c r="AV4038">
        <v>8</v>
      </c>
    </row>
    <row r="4039" spans="1:48">
      <c r="A4039" s="3" t="s">
        <v>4015</v>
      </c>
      <c r="E4039">
        <v>6</v>
      </c>
      <c r="AV4039">
        <v>8</v>
      </c>
    </row>
    <row r="4040" spans="1:48">
      <c r="A4040" s="3" t="s">
        <v>4016</v>
      </c>
      <c r="E4040">
        <v>6</v>
      </c>
      <c r="AV4040">
        <v>8</v>
      </c>
    </row>
    <row r="4041" spans="1:48">
      <c r="A4041" s="3" t="s">
        <v>4017</v>
      </c>
      <c r="E4041">
        <v>6</v>
      </c>
      <c r="AV4041">
        <v>8</v>
      </c>
    </row>
    <row r="4042" spans="1:48">
      <c r="A4042" s="3" t="s">
        <v>4018</v>
      </c>
      <c r="E4042">
        <v>6</v>
      </c>
      <c r="AV4042">
        <v>8</v>
      </c>
    </row>
    <row r="4043" spans="1:48">
      <c r="A4043" s="3" t="s">
        <v>4019</v>
      </c>
      <c r="E4043">
        <v>6</v>
      </c>
      <c r="AV4043">
        <v>8</v>
      </c>
    </row>
    <row r="4044" spans="1:48">
      <c r="A4044" s="3" t="s">
        <v>4020</v>
      </c>
      <c r="E4044">
        <v>6</v>
      </c>
      <c r="AV4044">
        <v>8</v>
      </c>
    </row>
    <row r="4045" spans="1:48">
      <c r="A4045" s="3" t="s">
        <v>4021</v>
      </c>
      <c r="E4045">
        <v>6</v>
      </c>
      <c r="AV4045">
        <v>8</v>
      </c>
    </row>
    <row r="4046" spans="1:48">
      <c r="A4046" s="3" t="s">
        <v>4022</v>
      </c>
      <c r="E4046">
        <v>6</v>
      </c>
      <c r="AV4046">
        <v>8</v>
      </c>
    </row>
    <row r="4047" spans="1:48">
      <c r="A4047" s="3" t="s">
        <v>4023</v>
      </c>
      <c r="E4047">
        <v>6</v>
      </c>
      <c r="AV4047">
        <v>8</v>
      </c>
    </row>
    <row r="4048" spans="1:48">
      <c r="A4048" s="3" t="s">
        <v>4024</v>
      </c>
      <c r="E4048">
        <v>6</v>
      </c>
      <c r="AV4048">
        <v>8</v>
      </c>
    </row>
    <row r="4049" spans="1:48">
      <c r="A4049" s="3" t="s">
        <v>4025</v>
      </c>
      <c r="E4049">
        <v>6</v>
      </c>
      <c r="AV4049">
        <v>8</v>
      </c>
    </row>
    <row r="4050" spans="1:48">
      <c r="A4050" s="3" t="s">
        <v>4026</v>
      </c>
      <c r="E4050">
        <v>6</v>
      </c>
      <c r="AV4050">
        <v>8</v>
      </c>
    </row>
    <row r="4051" spans="1:48">
      <c r="A4051" s="3" t="s">
        <v>4027</v>
      </c>
      <c r="E4051">
        <v>6</v>
      </c>
      <c r="AV4051">
        <v>8</v>
      </c>
    </row>
    <row r="4052" spans="1:48">
      <c r="A4052" s="3" t="s">
        <v>4028</v>
      </c>
      <c r="E4052">
        <v>6</v>
      </c>
      <c r="AV4052">
        <v>8</v>
      </c>
    </row>
    <row r="4053" spans="1:48">
      <c r="A4053" s="3" t="s">
        <v>4029</v>
      </c>
      <c r="E4053">
        <v>6</v>
      </c>
      <c r="AV4053">
        <v>8</v>
      </c>
    </row>
    <row r="4054" spans="1:48">
      <c r="A4054" s="3" t="s">
        <v>4030</v>
      </c>
      <c r="E4054">
        <v>6</v>
      </c>
      <c r="AV4054">
        <v>8</v>
      </c>
    </row>
    <row r="4055" spans="1:48">
      <c r="A4055" s="3" t="s">
        <v>4031</v>
      </c>
      <c r="E4055">
        <v>6</v>
      </c>
      <c r="AV4055">
        <v>8</v>
      </c>
    </row>
    <row r="4056" spans="1:48">
      <c r="A4056" s="3" t="s">
        <v>4032</v>
      </c>
      <c r="E4056">
        <v>6</v>
      </c>
      <c r="AV4056">
        <v>8</v>
      </c>
    </row>
    <row r="4057" spans="1:48">
      <c r="A4057" s="3" t="s">
        <v>4033</v>
      </c>
      <c r="E4057">
        <v>6</v>
      </c>
      <c r="AV4057">
        <v>8</v>
      </c>
    </row>
    <row r="4058" spans="1:48">
      <c r="A4058" s="3" t="s">
        <v>4034</v>
      </c>
      <c r="E4058">
        <v>6</v>
      </c>
      <c r="AV4058">
        <v>8</v>
      </c>
    </row>
    <row r="4059" spans="1:48">
      <c r="A4059" s="3" t="s">
        <v>4035</v>
      </c>
      <c r="E4059">
        <v>6</v>
      </c>
      <c r="AV4059">
        <v>8</v>
      </c>
    </row>
    <row r="4060" spans="1:48">
      <c r="A4060" s="3" t="s">
        <v>4036</v>
      </c>
      <c r="E4060">
        <v>6</v>
      </c>
      <c r="AV4060">
        <v>8</v>
      </c>
    </row>
    <row r="4061" spans="1:48">
      <c r="A4061" s="3" t="s">
        <v>4037</v>
      </c>
      <c r="E4061">
        <v>6</v>
      </c>
      <c r="AV4061">
        <v>8</v>
      </c>
    </row>
    <row r="4062" spans="1:48">
      <c r="A4062" s="3" t="s">
        <v>4038</v>
      </c>
      <c r="E4062">
        <v>6</v>
      </c>
      <c r="AV4062">
        <v>8</v>
      </c>
    </row>
    <row r="4063" spans="1:48">
      <c r="A4063" s="3" t="s">
        <v>4039</v>
      </c>
      <c r="E4063">
        <v>6</v>
      </c>
      <c r="AV4063">
        <v>8</v>
      </c>
    </row>
    <row r="4064" spans="1:48">
      <c r="A4064" s="3" t="s">
        <v>4040</v>
      </c>
      <c r="E4064">
        <v>6</v>
      </c>
      <c r="AV4064">
        <v>8</v>
      </c>
    </row>
    <row r="4065" spans="1:48">
      <c r="A4065" s="3" t="s">
        <v>4041</v>
      </c>
      <c r="E4065">
        <v>6</v>
      </c>
      <c r="AV4065">
        <v>8</v>
      </c>
    </row>
    <row r="4066" spans="1:48">
      <c r="A4066" s="3" t="s">
        <v>4042</v>
      </c>
      <c r="E4066">
        <v>6</v>
      </c>
      <c r="AV4066">
        <v>8</v>
      </c>
    </row>
    <row r="4067" spans="1:48">
      <c r="A4067" s="3" t="s">
        <v>4043</v>
      </c>
      <c r="E4067">
        <v>6</v>
      </c>
      <c r="AV4067">
        <v>8</v>
      </c>
    </row>
    <row r="4068" spans="1:48">
      <c r="A4068" s="3" t="s">
        <v>4044</v>
      </c>
      <c r="E4068">
        <v>6</v>
      </c>
      <c r="AV4068">
        <v>8</v>
      </c>
    </row>
    <row r="4069" spans="1:48">
      <c r="A4069" s="3" t="s">
        <v>4045</v>
      </c>
      <c r="E4069">
        <v>6</v>
      </c>
      <c r="AV4069">
        <v>8</v>
      </c>
    </row>
    <row r="4070" spans="1:48">
      <c r="A4070" s="3" t="s">
        <v>4046</v>
      </c>
      <c r="E4070">
        <v>6</v>
      </c>
      <c r="AV4070">
        <v>8</v>
      </c>
    </row>
    <row r="4071" spans="1:48">
      <c r="A4071" s="3" t="s">
        <v>4047</v>
      </c>
      <c r="E4071">
        <v>6</v>
      </c>
      <c r="AV4071">
        <v>8</v>
      </c>
    </row>
    <row r="4072" spans="1:48">
      <c r="A4072" s="3" t="s">
        <v>4048</v>
      </c>
      <c r="E4072">
        <v>6</v>
      </c>
      <c r="AV4072">
        <v>8</v>
      </c>
    </row>
    <row r="4073" spans="1:48">
      <c r="A4073" s="3" t="s">
        <v>4049</v>
      </c>
      <c r="E4073">
        <v>6</v>
      </c>
      <c r="AV4073">
        <v>8</v>
      </c>
    </row>
    <row r="4074" spans="1:48">
      <c r="A4074" s="3" t="s">
        <v>4050</v>
      </c>
      <c r="E4074">
        <v>6</v>
      </c>
      <c r="AV4074">
        <v>8</v>
      </c>
    </row>
    <row r="4075" spans="1:48">
      <c r="A4075" s="3" t="s">
        <v>4051</v>
      </c>
      <c r="E4075">
        <v>6</v>
      </c>
      <c r="AV4075">
        <v>8</v>
      </c>
    </row>
    <row r="4076" spans="1:48">
      <c r="A4076" s="3" t="s">
        <v>4052</v>
      </c>
      <c r="E4076">
        <v>6</v>
      </c>
      <c r="AV4076">
        <v>8</v>
      </c>
    </row>
    <row r="4077" spans="1:48">
      <c r="A4077" s="3" t="s">
        <v>4053</v>
      </c>
      <c r="E4077">
        <v>6</v>
      </c>
      <c r="AV4077">
        <v>8</v>
      </c>
    </row>
    <row r="4078" spans="1:48">
      <c r="A4078" s="3" t="s">
        <v>4054</v>
      </c>
      <c r="E4078">
        <v>6</v>
      </c>
      <c r="AV4078">
        <v>8</v>
      </c>
    </row>
    <row r="4079" spans="1:48">
      <c r="A4079" s="3" t="s">
        <v>4055</v>
      </c>
      <c r="E4079">
        <v>6</v>
      </c>
      <c r="AV4079">
        <v>8</v>
      </c>
    </row>
    <row r="4080" spans="1:48">
      <c r="A4080" s="3" t="s">
        <v>4056</v>
      </c>
      <c r="E4080">
        <v>6</v>
      </c>
      <c r="AV4080">
        <v>8</v>
      </c>
    </row>
    <row r="4081" spans="1:48">
      <c r="A4081" s="3" t="s">
        <v>4057</v>
      </c>
      <c r="E4081">
        <v>6</v>
      </c>
      <c r="AV4081">
        <v>8</v>
      </c>
    </row>
    <row r="4082" spans="1:48">
      <c r="A4082" s="3" t="s">
        <v>4058</v>
      </c>
      <c r="E4082">
        <v>6</v>
      </c>
      <c r="AV4082">
        <v>8</v>
      </c>
    </row>
    <row r="4083" spans="1:48">
      <c r="A4083" s="3" t="s">
        <v>4059</v>
      </c>
      <c r="E4083">
        <v>6</v>
      </c>
      <c r="AV4083">
        <v>8</v>
      </c>
    </row>
    <row r="4084" spans="1:48">
      <c r="A4084" s="3" t="s">
        <v>4060</v>
      </c>
      <c r="E4084">
        <v>6</v>
      </c>
      <c r="AV4084">
        <v>8</v>
      </c>
    </row>
    <row r="4085" spans="1:48">
      <c r="A4085" s="3" t="s">
        <v>4061</v>
      </c>
      <c r="E4085">
        <v>6</v>
      </c>
      <c r="AV4085">
        <v>8</v>
      </c>
    </row>
    <row r="4086" spans="1:48">
      <c r="A4086" s="3" t="s">
        <v>4062</v>
      </c>
      <c r="E4086">
        <v>6</v>
      </c>
      <c r="AV4086">
        <v>8</v>
      </c>
    </row>
    <row r="4087" spans="1:48">
      <c r="A4087" s="3" t="s">
        <v>4063</v>
      </c>
      <c r="E4087">
        <v>6</v>
      </c>
      <c r="AV4087">
        <v>8</v>
      </c>
    </row>
    <row r="4088" spans="1:48">
      <c r="A4088" s="3" t="s">
        <v>4064</v>
      </c>
      <c r="E4088">
        <v>6</v>
      </c>
      <c r="AV4088">
        <v>8</v>
      </c>
    </row>
    <row r="4089" spans="1:48">
      <c r="A4089" s="3" t="s">
        <v>4065</v>
      </c>
      <c r="E4089">
        <v>6</v>
      </c>
      <c r="AV4089">
        <v>8</v>
      </c>
    </row>
    <row r="4090" spans="1:48">
      <c r="A4090" s="3" t="s">
        <v>4066</v>
      </c>
      <c r="E4090">
        <v>6</v>
      </c>
      <c r="AV4090">
        <v>8</v>
      </c>
    </row>
    <row r="4091" spans="1:48">
      <c r="A4091" s="3" t="s">
        <v>4067</v>
      </c>
      <c r="E4091">
        <v>6</v>
      </c>
      <c r="AV4091">
        <v>8</v>
      </c>
    </row>
    <row r="4092" spans="1:48">
      <c r="A4092" s="3" t="s">
        <v>4068</v>
      </c>
      <c r="E4092">
        <v>6</v>
      </c>
      <c r="AV4092">
        <v>8</v>
      </c>
    </row>
    <row r="4093" spans="1:48">
      <c r="A4093" s="3" t="s">
        <v>4069</v>
      </c>
      <c r="E4093">
        <v>6</v>
      </c>
      <c r="AV4093">
        <v>8</v>
      </c>
    </row>
    <row r="4094" spans="1:48">
      <c r="A4094" s="3" t="s">
        <v>4070</v>
      </c>
      <c r="E4094">
        <v>6</v>
      </c>
      <c r="AV4094">
        <v>8</v>
      </c>
    </row>
    <row r="4095" spans="1:48">
      <c r="A4095" s="3" t="s">
        <v>4071</v>
      </c>
      <c r="E4095">
        <v>6</v>
      </c>
      <c r="AV4095">
        <v>8</v>
      </c>
    </row>
    <row r="4096" spans="1:48">
      <c r="A4096" s="3" t="s">
        <v>4072</v>
      </c>
      <c r="E4096">
        <v>6</v>
      </c>
      <c r="AV4096">
        <v>8</v>
      </c>
    </row>
    <row r="4097" spans="1:48">
      <c r="A4097" s="3" t="s">
        <v>4073</v>
      </c>
      <c r="E4097">
        <v>6</v>
      </c>
      <c r="AV4097">
        <v>8</v>
      </c>
    </row>
    <row r="4098" spans="1:48">
      <c r="A4098" s="3" t="s">
        <v>4074</v>
      </c>
      <c r="E4098">
        <v>6</v>
      </c>
      <c r="AV4098">
        <v>8</v>
      </c>
    </row>
    <row r="4099" spans="1:48">
      <c r="A4099" s="3" t="s">
        <v>4075</v>
      </c>
      <c r="E4099">
        <v>6</v>
      </c>
      <c r="AV4099">
        <v>8</v>
      </c>
    </row>
    <row r="4100" spans="1:48">
      <c r="A4100" s="3" t="s">
        <v>4076</v>
      </c>
      <c r="E4100">
        <v>6</v>
      </c>
      <c r="AV4100">
        <v>8</v>
      </c>
    </row>
    <row r="4101" spans="1:48">
      <c r="A4101" s="3" t="s">
        <v>4077</v>
      </c>
      <c r="E4101">
        <v>6</v>
      </c>
      <c r="AV4101">
        <v>8</v>
      </c>
    </row>
    <row r="4102" spans="1:48">
      <c r="A4102" s="3" t="s">
        <v>4078</v>
      </c>
      <c r="E4102">
        <v>6</v>
      </c>
      <c r="AV4102">
        <v>8</v>
      </c>
    </row>
    <row r="4103" spans="1:48">
      <c r="A4103" s="3" t="s">
        <v>4079</v>
      </c>
      <c r="E4103">
        <v>6</v>
      </c>
      <c r="AV4103">
        <v>8</v>
      </c>
    </row>
    <row r="4104" spans="1:48">
      <c r="A4104" s="3" t="s">
        <v>4080</v>
      </c>
      <c r="E4104">
        <v>6</v>
      </c>
      <c r="AV4104">
        <v>8</v>
      </c>
    </row>
    <row r="4105" spans="1:48">
      <c r="A4105" s="3" t="s">
        <v>4081</v>
      </c>
      <c r="E4105">
        <v>6</v>
      </c>
      <c r="AV4105">
        <v>8</v>
      </c>
    </row>
    <row r="4106" spans="1:48">
      <c r="A4106" s="3" t="s">
        <v>4082</v>
      </c>
      <c r="E4106">
        <v>6</v>
      </c>
      <c r="AV4106">
        <v>8</v>
      </c>
    </row>
    <row r="4107" spans="1:48">
      <c r="A4107" s="3" t="s">
        <v>4083</v>
      </c>
      <c r="E4107">
        <v>6</v>
      </c>
      <c r="AV4107">
        <v>8</v>
      </c>
    </row>
    <row r="4108" spans="1:48">
      <c r="A4108" s="3" t="s">
        <v>4084</v>
      </c>
      <c r="E4108">
        <v>6</v>
      </c>
      <c r="AV4108">
        <v>8</v>
      </c>
    </row>
    <row r="4109" spans="1:48">
      <c r="A4109" s="3" t="s">
        <v>4085</v>
      </c>
      <c r="E4109">
        <v>6</v>
      </c>
      <c r="AV4109">
        <v>8</v>
      </c>
    </row>
    <row r="4110" spans="1:48">
      <c r="A4110" s="3" t="s">
        <v>4086</v>
      </c>
      <c r="E4110">
        <v>6</v>
      </c>
      <c r="AV4110">
        <v>8</v>
      </c>
    </row>
    <row r="4111" spans="1:48">
      <c r="A4111" s="3" t="s">
        <v>4087</v>
      </c>
      <c r="E4111">
        <v>6</v>
      </c>
      <c r="AV4111">
        <v>8</v>
      </c>
    </row>
    <row r="4112" spans="1:48">
      <c r="A4112" s="3" t="s">
        <v>4088</v>
      </c>
      <c r="E4112">
        <v>6</v>
      </c>
      <c r="AV4112">
        <v>8</v>
      </c>
    </row>
    <row r="4113" spans="1:48">
      <c r="A4113" s="3" t="s">
        <v>4089</v>
      </c>
      <c r="E4113">
        <v>6</v>
      </c>
      <c r="AV4113">
        <v>8</v>
      </c>
    </row>
    <row r="4114" spans="1:48">
      <c r="A4114" s="3" t="s">
        <v>4090</v>
      </c>
      <c r="E4114">
        <v>6</v>
      </c>
      <c r="AV4114">
        <v>8</v>
      </c>
    </row>
    <row r="4115" spans="1:48">
      <c r="A4115" s="3" t="s">
        <v>4091</v>
      </c>
      <c r="E4115">
        <v>6</v>
      </c>
      <c r="AV4115">
        <v>8</v>
      </c>
    </row>
    <row r="4116" spans="1:48">
      <c r="A4116" s="3" t="s">
        <v>4092</v>
      </c>
      <c r="E4116">
        <v>6</v>
      </c>
      <c r="AV4116">
        <v>8</v>
      </c>
    </row>
    <row r="4117" spans="1:48">
      <c r="A4117" s="3" t="s">
        <v>4093</v>
      </c>
      <c r="E4117">
        <v>6</v>
      </c>
      <c r="AV4117">
        <v>8</v>
      </c>
    </row>
    <row r="4118" spans="1:48">
      <c r="A4118" s="3" t="s">
        <v>4094</v>
      </c>
      <c r="E4118">
        <v>6</v>
      </c>
      <c r="AV4118">
        <v>8</v>
      </c>
    </row>
    <row r="4119" spans="1:48">
      <c r="A4119" s="3" t="s">
        <v>4095</v>
      </c>
      <c r="E4119">
        <v>6</v>
      </c>
      <c r="AV4119">
        <v>8</v>
      </c>
    </row>
    <row r="4120" spans="1:48">
      <c r="A4120" s="3" t="s">
        <v>4096</v>
      </c>
      <c r="E4120">
        <v>6</v>
      </c>
      <c r="AV4120">
        <v>8</v>
      </c>
    </row>
    <row r="4121" spans="1:48">
      <c r="A4121" s="3" t="s">
        <v>4097</v>
      </c>
      <c r="E4121">
        <v>6</v>
      </c>
      <c r="AV4121">
        <v>8</v>
      </c>
    </row>
    <row r="4122" spans="1:48">
      <c r="A4122" s="3" t="s">
        <v>4098</v>
      </c>
      <c r="E4122">
        <v>6</v>
      </c>
      <c r="AV4122">
        <v>8</v>
      </c>
    </row>
    <row r="4123" spans="1:48">
      <c r="A4123" s="3" t="s">
        <v>4099</v>
      </c>
      <c r="E4123">
        <v>6</v>
      </c>
      <c r="AV4123">
        <v>8</v>
      </c>
    </row>
    <row r="4124" spans="1:48">
      <c r="A4124" s="3" t="s">
        <v>4100</v>
      </c>
      <c r="E4124">
        <v>6</v>
      </c>
      <c r="AV4124">
        <v>8</v>
      </c>
    </row>
    <row r="4125" spans="1:48">
      <c r="A4125" s="3" t="s">
        <v>4101</v>
      </c>
      <c r="E4125">
        <v>6</v>
      </c>
      <c r="AV4125">
        <v>8</v>
      </c>
    </row>
    <row r="4126" spans="1:48">
      <c r="A4126" s="3" t="s">
        <v>4102</v>
      </c>
      <c r="E4126">
        <v>6</v>
      </c>
      <c r="AV4126">
        <v>8</v>
      </c>
    </row>
    <row r="4127" spans="1:48">
      <c r="A4127" s="3" t="s">
        <v>4103</v>
      </c>
      <c r="E4127">
        <v>6</v>
      </c>
      <c r="AV4127">
        <v>8</v>
      </c>
    </row>
    <row r="4128" spans="1:48">
      <c r="A4128" s="3" t="s">
        <v>4104</v>
      </c>
      <c r="E4128">
        <v>6</v>
      </c>
      <c r="AH4128">
        <v>1</v>
      </c>
    </row>
    <row r="4129" spans="1:34">
      <c r="A4129" s="3" t="s">
        <v>4105</v>
      </c>
      <c r="E4129">
        <v>6</v>
      </c>
      <c r="AH4129">
        <v>1</v>
      </c>
    </row>
    <row r="4130" spans="1:34">
      <c r="A4130" s="3" t="s">
        <v>4106</v>
      </c>
      <c r="E4130">
        <v>6</v>
      </c>
      <c r="AH4130">
        <v>1</v>
      </c>
    </row>
    <row r="4131" spans="1:34">
      <c r="A4131" s="3" t="s">
        <v>4107</v>
      </c>
      <c r="E4131">
        <v>6</v>
      </c>
      <c r="AH4131">
        <v>1</v>
      </c>
    </row>
    <row r="4132" spans="1:34">
      <c r="A4132" s="3" t="s">
        <v>4108</v>
      </c>
      <c r="E4132">
        <v>6</v>
      </c>
      <c r="AH4132">
        <v>1</v>
      </c>
    </row>
    <row r="4133" spans="1:34">
      <c r="A4133" s="3" t="s">
        <v>4109</v>
      </c>
      <c r="E4133">
        <v>6</v>
      </c>
      <c r="AH4133">
        <v>1</v>
      </c>
    </row>
    <row r="4134" spans="1:34">
      <c r="A4134" s="3" t="s">
        <v>4110</v>
      </c>
      <c r="E4134">
        <v>6</v>
      </c>
      <c r="AH4134">
        <v>1</v>
      </c>
    </row>
    <row r="4135" spans="1:34">
      <c r="A4135" s="3" t="s">
        <v>4111</v>
      </c>
      <c r="E4135">
        <v>6</v>
      </c>
      <c r="AH4135">
        <v>1</v>
      </c>
    </row>
    <row r="4136" spans="1:34">
      <c r="A4136" s="3" t="s">
        <v>4112</v>
      </c>
      <c r="E4136">
        <v>6</v>
      </c>
      <c r="AH4136">
        <v>1</v>
      </c>
    </row>
    <row r="4137" spans="1:34">
      <c r="A4137" s="3" t="s">
        <v>4113</v>
      </c>
      <c r="E4137">
        <v>6</v>
      </c>
      <c r="AH4137">
        <v>1</v>
      </c>
    </row>
    <row r="4138" spans="1:34">
      <c r="A4138" s="3" t="s">
        <v>4114</v>
      </c>
      <c r="E4138">
        <v>6</v>
      </c>
      <c r="AH4138">
        <v>1</v>
      </c>
    </row>
    <row r="4139" spans="1:34">
      <c r="A4139" s="3" t="s">
        <v>4115</v>
      </c>
      <c r="E4139">
        <v>6</v>
      </c>
      <c r="AH4139">
        <v>1</v>
      </c>
    </row>
    <row r="4140" spans="1:34">
      <c r="A4140" s="3" t="s">
        <v>4116</v>
      </c>
      <c r="E4140">
        <v>6</v>
      </c>
      <c r="AH4140">
        <v>1</v>
      </c>
    </row>
    <row r="4141" spans="1:34">
      <c r="A4141" s="3" t="s">
        <v>4117</v>
      </c>
      <c r="E4141">
        <v>6</v>
      </c>
      <c r="AH4141">
        <v>1</v>
      </c>
    </row>
    <row r="4142" spans="1:34">
      <c r="A4142" s="3" t="s">
        <v>4118</v>
      </c>
      <c r="E4142">
        <v>6</v>
      </c>
      <c r="AH4142">
        <v>1</v>
      </c>
    </row>
    <row r="4143" spans="1:34">
      <c r="A4143" s="3" t="s">
        <v>4119</v>
      </c>
      <c r="E4143">
        <v>6</v>
      </c>
      <c r="AH4143">
        <v>1</v>
      </c>
    </row>
    <row r="4144" spans="1:34">
      <c r="A4144" s="3" t="s">
        <v>4120</v>
      </c>
      <c r="E4144">
        <v>6</v>
      </c>
      <c r="AH4144">
        <v>1</v>
      </c>
    </row>
    <row r="4145" spans="1:34">
      <c r="A4145" s="3" t="s">
        <v>4121</v>
      </c>
      <c r="E4145">
        <v>6</v>
      </c>
      <c r="AH4145">
        <v>1</v>
      </c>
    </row>
    <row r="4146" spans="1:34">
      <c r="A4146" s="3" t="s">
        <v>4122</v>
      </c>
      <c r="E4146">
        <v>6</v>
      </c>
      <c r="AH4146">
        <v>1</v>
      </c>
    </row>
    <row r="4147" spans="1:34">
      <c r="A4147" s="3" t="s">
        <v>4123</v>
      </c>
      <c r="E4147">
        <v>6</v>
      </c>
      <c r="AH4147">
        <v>1</v>
      </c>
    </row>
    <row r="4148" spans="1:34">
      <c r="A4148" s="3" t="s">
        <v>4124</v>
      </c>
      <c r="E4148">
        <v>6</v>
      </c>
      <c r="AH4148">
        <v>1</v>
      </c>
    </row>
    <row r="4149" spans="1:34">
      <c r="A4149" s="3" t="s">
        <v>4125</v>
      </c>
      <c r="E4149">
        <v>6</v>
      </c>
      <c r="AH4149">
        <v>1</v>
      </c>
    </row>
    <row r="4150" spans="1:34">
      <c r="A4150" s="3" t="s">
        <v>4126</v>
      </c>
      <c r="E4150">
        <v>6</v>
      </c>
      <c r="AH4150">
        <v>1</v>
      </c>
    </row>
    <row r="4151" spans="1:34">
      <c r="A4151" s="3" t="s">
        <v>4127</v>
      </c>
      <c r="E4151">
        <v>6</v>
      </c>
      <c r="AH4151">
        <v>1</v>
      </c>
    </row>
    <row r="4152" spans="1:34">
      <c r="A4152" s="3" t="s">
        <v>4128</v>
      </c>
      <c r="E4152">
        <v>6</v>
      </c>
      <c r="AH4152">
        <v>1</v>
      </c>
    </row>
    <row r="4153" spans="1:34">
      <c r="A4153" s="3" t="s">
        <v>4129</v>
      </c>
      <c r="E4153">
        <v>6</v>
      </c>
      <c r="AH4153">
        <v>1</v>
      </c>
    </row>
    <row r="4154" spans="1:34">
      <c r="A4154" s="3" t="s">
        <v>4130</v>
      </c>
      <c r="E4154">
        <v>6</v>
      </c>
      <c r="AH4154">
        <v>1</v>
      </c>
    </row>
    <row r="4155" spans="1:34">
      <c r="A4155" s="3" t="s">
        <v>4131</v>
      </c>
      <c r="E4155">
        <v>6</v>
      </c>
      <c r="AH4155">
        <v>1</v>
      </c>
    </row>
    <row r="4156" spans="1:34">
      <c r="A4156" s="3" t="s">
        <v>4132</v>
      </c>
      <c r="E4156">
        <v>6</v>
      </c>
      <c r="AH4156">
        <v>1</v>
      </c>
    </row>
    <row r="4157" spans="1:34">
      <c r="A4157" s="3" t="s">
        <v>4133</v>
      </c>
      <c r="E4157">
        <v>6</v>
      </c>
      <c r="AH4157">
        <v>1</v>
      </c>
    </row>
    <row r="4158" spans="1:34">
      <c r="A4158" s="3" t="s">
        <v>4134</v>
      </c>
      <c r="E4158">
        <v>6</v>
      </c>
      <c r="AH4158">
        <v>1</v>
      </c>
    </row>
    <row r="4159" spans="1:34">
      <c r="A4159" s="3" t="s">
        <v>4135</v>
      </c>
      <c r="E4159">
        <v>6</v>
      </c>
      <c r="AH4159">
        <v>1</v>
      </c>
    </row>
    <row r="4160" spans="1:34">
      <c r="A4160" s="3" t="s">
        <v>4136</v>
      </c>
      <c r="E4160">
        <v>6</v>
      </c>
      <c r="AH4160">
        <v>1</v>
      </c>
    </row>
    <row r="4161" spans="1:34">
      <c r="A4161" s="3" t="s">
        <v>4137</v>
      </c>
      <c r="E4161">
        <v>6</v>
      </c>
      <c r="AH4161">
        <v>1</v>
      </c>
    </row>
    <row r="4162" spans="1:34">
      <c r="A4162" s="3" t="s">
        <v>4138</v>
      </c>
      <c r="E4162">
        <v>6</v>
      </c>
      <c r="AH4162">
        <v>1</v>
      </c>
    </row>
    <row r="4163" spans="1:34">
      <c r="A4163" s="3" t="s">
        <v>4139</v>
      </c>
      <c r="E4163">
        <v>6</v>
      </c>
      <c r="AH4163">
        <v>1</v>
      </c>
    </row>
    <row r="4164" spans="1:34">
      <c r="A4164" s="3" t="s">
        <v>4140</v>
      </c>
      <c r="E4164">
        <v>6</v>
      </c>
      <c r="AH4164">
        <v>1</v>
      </c>
    </row>
    <row r="4165" spans="1:34">
      <c r="A4165" s="3" t="s">
        <v>4141</v>
      </c>
      <c r="E4165">
        <v>6</v>
      </c>
      <c r="AH4165">
        <v>1</v>
      </c>
    </row>
    <row r="4166" spans="1:34">
      <c r="A4166" s="3" t="s">
        <v>4142</v>
      </c>
      <c r="E4166">
        <v>6</v>
      </c>
      <c r="AH4166">
        <v>1</v>
      </c>
    </row>
    <row r="4167" spans="1:34">
      <c r="A4167" s="3" t="s">
        <v>4143</v>
      </c>
      <c r="E4167">
        <v>6</v>
      </c>
      <c r="AH4167">
        <v>1</v>
      </c>
    </row>
    <row r="4168" spans="1:34">
      <c r="A4168" s="3" t="s">
        <v>4144</v>
      </c>
      <c r="E4168">
        <v>6</v>
      </c>
      <c r="AH4168">
        <v>1</v>
      </c>
    </row>
    <row r="4169" spans="1:34">
      <c r="A4169" s="3" t="s">
        <v>4145</v>
      </c>
      <c r="E4169">
        <v>6</v>
      </c>
      <c r="AH4169">
        <v>1</v>
      </c>
    </row>
    <row r="4170" spans="1:34">
      <c r="A4170" s="3" t="s">
        <v>4146</v>
      </c>
      <c r="E4170">
        <v>6</v>
      </c>
      <c r="AH4170">
        <v>1</v>
      </c>
    </row>
    <row r="4171" spans="1:34">
      <c r="A4171" s="3" t="s">
        <v>4147</v>
      </c>
      <c r="E4171">
        <v>6</v>
      </c>
      <c r="AH4171">
        <v>1</v>
      </c>
    </row>
    <row r="4172" spans="1:34">
      <c r="A4172" s="3" t="s">
        <v>4148</v>
      </c>
      <c r="E4172">
        <v>6</v>
      </c>
      <c r="AH4172">
        <v>1</v>
      </c>
    </row>
    <row r="4173" spans="1:34">
      <c r="A4173" s="3" t="s">
        <v>4149</v>
      </c>
      <c r="E4173">
        <v>6</v>
      </c>
      <c r="AH4173">
        <v>1</v>
      </c>
    </row>
    <row r="4174" spans="1:34">
      <c r="A4174" s="3" t="s">
        <v>4150</v>
      </c>
      <c r="E4174">
        <v>6</v>
      </c>
      <c r="AH4174">
        <v>1</v>
      </c>
    </row>
    <row r="4175" spans="1:34">
      <c r="A4175" s="3" t="s">
        <v>4151</v>
      </c>
      <c r="E4175">
        <v>6</v>
      </c>
      <c r="AH4175">
        <v>1</v>
      </c>
    </row>
    <row r="4176" spans="1:34">
      <c r="A4176" s="3" t="s">
        <v>4152</v>
      </c>
      <c r="E4176">
        <v>6</v>
      </c>
      <c r="AH4176">
        <v>1</v>
      </c>
    </row>
    <row r="4177" spans="1:35">
      <c r="A4177" s="3" t="s">
        <v>4153</v>
      </c>
      <c r="E4177">
        <v>6</v>
      </c>
      <c r="AH4177">
        <v>1</v>
      </c>
    </row>
    <row r="4178" spans="1:35">
      <c r="A4178" s="3" t="s">
        <v>4154</v>
      </c>
      <c r="E4178">
        <v>6</v>
      </c>
      <c r="AH4178">
        <v>1</v>
      </c>
    </row>
    <row r="4179" spans="1:35">
      <c r="A4179" s="3" t="s">
        <v>4155</v>
      </c>
      <c r="E4179">
        <v>6</v>
      </c>
      <c r="AH4179">
        <v>1</v>
      </c>
    </row>
    <row r="4180" spans="1:35">
      <c r="A4180" s="3" t="s">
        <v>4156</v>
      </c>
      <c r="E4180">
        <v>6</v>
      </c>
      <c r="AH4180">
        <v>1</v>
      </c>
    </row>
    <row r="4181" spans="1:35">
      <c r="A4181" s="3" t="s">
        <v>4157</v>
      </c>
      <c r="E4181">
        <v>6</v>
      </c>
      <c r="AH4181">
        <v>1</v>
      </c>
    </row>
    <row r="4182" spans="1:35">
      <c r="A4182" s="3" t="s">
        <v>4158</v>
      </c>
      <c r="E4182">
        <v>6</v>
      </c>
      <c r="AH4182">
        <v>1</v>
      </c>
    </row>
    <row r="4183" spans="1:35">
      <c r="A4183" s="3" t="s">
        <v>4159</v>
      </c>
      <c r="E4183">
        <v>6</v>
      </c>
      <c r="AH4183">
        <v>1</v>
      </c>
    </row>
    <row r="4184" spans="1:35">
      <c r="A4184" s="3" t="s">
        <v>4160</v>
      </c>
      <c r="E4184">
        <v>6</v>
      </c>
      <c r="AH4184">
        <v>1</v>
      </c>
    </row>
    <row r="4185" spans="1:35">
      <c r="A4185" s="3" t="s">
        <v>4161</v>
      </c>
      <c r="E4185">
        <v>6</v>
      </c>
      <c r="AH4185">
        <v>1</v>
      </c>
    </row>
    <row r="4186" spans="1:35">
      <c r="A4186" s="3" t="s">
        <v>4162</v>
      </c>
      <c r="E4186">
        <v>6</v>
      </c>
      <c r="AH4186">
        <v>1</v>
      </c>
    </row>
    <row r="4187" spans="1:35">
      <c r="A4187" s="3" t="s">
        <v>4163</v>
      </c>
      <c r="E4187">
        <v>6</v>
      </c>
      <c r="AH4187">
        <v>1</v>
      </c>
    </row>
    <row r="4188" spans="1:35">
      <c r="A4188" s="3" t="s">
        <v>4164</v>
      </c>
      <c r="E4188">
        <v>6</v>
      </c>
      <c r="AH4188">
        <v>1</v>
      </c>
    </row>
    <row r="4189" spans="1:35">
      <c r="A4189" s="3" t="s">
        <v>4165</v>
      </c>
      <c r="E4189">
        <v>6</v>
      </c>
      <c r="AI4189">
        <v>1</v>
      </c>
    </row>
    <row r="4190" spans="1:35">
      <c r="A4190" s="3" t="s">
        <v>4166</v>
      </c>
      <c r="E4190">
        <v>6</v>
      </c>
      <c r="AI4190">
        <v>1</v>
      </c>
    </row>
    <row r="4191" spans="1:35">
      <c r="A4191" s="3" t="s">
        <v>4167</v>
      </c>
      <c r="E4191">
        <v>6</v>
      </c>
      <c r="AI4191">
        <v>1</v>
      </c>
    </row>
    <row r="4192" spans="1:35">
      <c r="A4192" s="3" t="s">
        <v>4168</v>
      </c>
      <c r="E4192">
        <v>6</v>
      </c>
      <c r="AI4192">
        <v>1</v>
      </c>
    </row>
    <row r="4193" spans="1:35">
      <c r="A4193" s="3" t="s">
        <v>4169</v>
      </c>
      <c r="E4193">
        <v>6</v>
      </c>
      <c r="AI4193">
        <v>1</v>
      </c>
    </row>
    <row r="4194" spans="1:35">
      <c r="A4194" s="3" t="s">
        <v>4170</v>
      </c>
      <c r="E4194">
        <v>6</v>
      </c>
      <c r="AI4194">
        <v>1</v>
      </c>
    </row>
    <row r="4195" spans="1:35">
      <c r="A4195" s="3" t="s">
        <v>4171</v>
      </c>
      <c r="E4195">
        <v>6</v>
      </c>
      <c r="AI4195">
        <v>1</v>
      </c>
    </row>
    <row r="4196" spans="1:35">
      <c r="A4196" s="3" t="s">
        <v>4172</v>
      </c>
      <c r="E4196">
        <v>6</v>
      </c>
      <c r="AI4196">
        <v>1</v>
      </c>
    </row>
    <row r="4197" spans="1:35">
      <c r="A4197" s="3" t="s">
        <v>4173</v>
      </c>
      <c r="E4197">
        <v>6</v>
      </c>
      <c r="AI4197">
        <v>1</v>
      </c>
    </row>
    <row r="4198" spans="1:35">
      <c r="A4198" s="3" t="s">
        <v>4174</v>
      </c>
      <c r="E4198">
        <v>6</v>
      </c>
      <c r="AI4198">
        <v>1</v>
      </c>
    </row>
    <row r="4199" spans="1:35">
      <c r="A4199" s="3" t="s">
        <v>4175</v>
      </c>
      <c r="E4199">
        <v>6</v>
      </c>
      <c r="AI4199">
        <v>1</v>
      </c>
    </row>
    <row r="4200" spans="1:35">
      <c r="A4200" s="3" t="s">
        <v>4176</v>
      </c>
      <c r="E4200">
        <v>6</v>
      </c>
      <c r="AI4200">
        <v>1</v>
      </c>
    </row>
    <row r="4201" spans="1:35">
      <c r="A4201" s="3" t="s">
        <v>4177</v>
      </c>
      <c r="E4201">
        <v>6</v>
      </c>
      <c r="AI4201">
        <v>1</v>
      </c>
    </row>
    <row r="4202" spans="1:35">
      <c r="A4202" s="3" t="s">
        <v>4178</v>
      </c>
      <c r="E4202">
        <v>6</v>
      </c>
      <c r="AI4202">
        <v>1</v>
      </c>
    </row>
    <row r="4203" spans="1:35">
      <c r="A4203" s="3" t="s">
        <v>4179</v>
      </c>
      <c r="E4203">
        <v>6</v>
      </c>
      <c r="AI4203">
        <v>1</v>
      </c>
    </row>
    <row r="4204" spans="1:35">
      <c r="A4204" s="3" t="s">
        <v>4180</v>
      </c>
      <c r="E4204">
        <v>6</v>
      </c>
      <c r="AI4204">
        <v>1</v>
      </c>
    </row>
    <row r="4205" spans="1:35">
      <c r="A4205" s="3" t="s">
        <v>4181</v>
      </c>
      <c r="E4205">
        <v>6</v>
      </c>
      <c r="AI4205">
        <v>1</v>
      </c>
    </row>
    <row r="4206" spans="1:35">
      <c r="A4206" s="3" t="s">
        <v>4182</v>
      </c>
      <c r="E4206">
        <v>6</v>
      </c>
      <c r="AI4206">
        <v>1</v>
      </c>
    </row>
    <row r="4207" spans="1:35">
      <c r="A4207" s="3" t="s">
        <v>4183</v>
      </c>
      <c r="E4207">
        <v>6</v>
      </c>
      <c r="AI4207">
        <v>1</v>
      </c>
    </row>
    <row r="4208" spans="1:35">
      <c r="A4208" s="3" t="s">
        <v>4184</v>
      </c>
      <c r="E4208">
        <v>6</v>
      </c>
      <c r="AI4208">
        <v>1</v>
      </c>
    </row>
    <row r="4209" spans="1:35">
      <c r="A4209" s="3" t="s">
        <v>4185</v>
      </c>
      <c r="E4209">
        <v>6</v>
      </c>
      <c r="AI4209">
        <v>1</v>
      </c>
    </row>
    <row r="4210" spans="1:35">
      <c r="A4210" s="3" t="s">
        <v>4186</v>
      </c>
      <c r="E4210">
        <v>6</v>
      </c>
      <c r="AI4210">
        <v>1</v>
      </c>
    </row>
    <row r="4211" spans="1:35">
      <c r="A4211" s="3" t="s">
        <v>4187</v>
      </c>
      <c r="E4211">
        <v>6</v>
      </c>
      <c r="AI4211">
        <v>1</v>
      </c>
    </row>
    <row r="4212" spans="1:35">
      <c r="A4212" s="3" t="s">
        <v>4188</v>
      </c>
      <c r="E4212">
        <v>6</v>
      </c>
      <c r="AI4212">
        <v>1</v>
      </c>
    </row>
    <row r="4213" spans="1:35">
      <c r="A4213" s="3" t="s">
        <v>4189</v>
      </c>
      <c r="E4213">
        <v>6</v>
      </c>
      <c r="AI4213">
        <v>1</v>
      </c>
    </row>
    <row r="4214" spans="1:35">
      <c r="A4214" s="3" t="s">
        <v>4190</v>
      </c>
      <c r="E4214">
        <v>6</v>
      </c>
      <c r="AI4214">
        <v>1</v>
      </c>
    </row>
    <row r="4215" spans="1:35">
      <c r="A4215" s="3" t="s">
        <v>4191</v>
      </c>
      <c r="E4215">
        <v>6</v>
      </c>
      <c r="AI4215">
        <v>1</v>
      </c>
    </row>
    <row r="4216" spans="1:35">
      <c r="A4216" s="3" t="s">
        <v>4192</v>
      </c>
      <c r="E4216">
        <v>6</v>
      </c>
      <c r="AI4216">
        <v>1</v>
      </c>
    </row>
    <row r="4217" spans="1:35">
      <c r="A4217" s="3" t="s">
        <v>4193</v>
      </c>
      <c r="E4217">
        <v>6</v>
      </c>
      <c r="AI4217">
        <v>1</v>
      </c>
    </row>
    <row r="4218" spans="1:35">
      <c r="A4218" s="3" t="s">
        <v>4194</v>
      </c>
      <c r="E4218">
        <v>6</v>
      </c>
      <c r="AI4218">
        <v>1</v>
      </c>
    </row>
    <row r="4219" spans="1:35">
      <c r="A4219" s="3" t="s">
        <v>4195</v>
      </c>
      <c r="E4219">
        <v>6</v>
      </c>
      <c r="AI4219">
        <v>1</v>
      </c>
    </row>
    <row r="4220" spans="1:35">
      <c r="A4220" s="3" t="s">
        <v>4196</v>
      </c>
      <c r="E4220">
        <v>6</v>
      </c>
      <c r="AI4220">
        <v>1</v>
      </c>
    </row>
    <row r="4221" spans="1:35">
      <c r="A4221" s="3" t="s">
        <v>4197</v>
      </c>
      <c r="E4221">
        <v>6</v>
      </c>
      <c r="AI4221">
        <v>1</v>
      </c>
    </row>
    <row r="4222" spans="1:35">
      <c r="A4222" s="3" t="s">
        <v>4198</v>
      </c>
      <c r="E4222">
        <v>6</v>
      </c>
      <c r="AI4222">
        <v>1</v>
      </c>
    </row>
    <row r="4223" spans="1:35">
      <c r="A4223" s="3" t="s">
        <v>4199</v>
      </c>
      <c r="E4223">
        <v>6</v>
      </c>
      <c r="AI4223">
        <v>1</v>
      </c>
    </row>
    <row r="4224" spans="1:35">
      <c r="A4224" s="3" t="s">
        <v>4200</v>
      </c>
      <c r="E4224">
        <v>6</v>
      </c>
      <c r="AI4224">
        <v>1</v>
      </c>
    </row>
    <row r="4225" spans="1:35">
      <c r="A4225" s="3" t="s">
        <v>4201</v>
      </c>
      <c r="E4225">
        <v>6</v>
      </c>
      <c r="AI4225">
        <v>1</v>
      </c>
    </row>
    <row r="4226" spans="1:35">
      <c r="A4226" s="3" t="s">
        <v>4202</v>
      </c>
      <c r="E4226">
        <v>6</v>
      </c>
      <c r="AI4226">
        <v>1</v>
      </c>
    </row>
    <row r="4227" spans="1:35">
      <c r="A4227" s="3" t="s">
        <v>4203</v>
      </c>
      <c r="E4227">
        <v>6</v>
      </c>
      <c r="AI4227">
        <v>1</v>
      </c>
    </row>
    <row r="4228" spans="1:35">
      <c r="A4228" s="3" t="s">
        <v>4204</v>
      </c>
      <c r="E4228">
        <v>6</v>
      </c>
      <c r="AI4228">
        <v>1</v>
      </c>
    </row>
    <row r="4229" spans="1:35">
      <c r="A4229" s="3" t="s">
        <v>4205</v>
      </c>
      <c r="E4229">
        <v>6</v>
      </c>
      <c r="AI4229">
        <v>1</v>
      </c>
    </row>
    <row r="4230" spans="1:35">
      <c r="A4230" s="3" t="s">
        <v>4206</v>
      </c>
      <c r="E4230">
        <v>6</v>
      </c>
      <c r="AI4230">
        <v>1</v>
      </c>
    </row>
    <row r="4231" spans="1:35">
      <c r="A4231" s="3" t="s">
        <v>4207</v>
      </c>
      <c r="E4231">
        <v>6</v>
      </c>
      <c r="AI4231">
        <v>1</v>
      </c>
    </row>
    <row r="4232" spans="1:35">
      <c r="A4232" s="3" t="s">
        <v>4208</v>
      </c>
      <c r="E4232">
        <v>6</v>
      </c>
      <c r="AI4232">
        <v>1</v>
      </c>
    </row>
    <row r="4233" spans="1:35">
      <c r="A4233" s="3" t="s">
        <v>4209</v>
      </c>
      <c r="E4233">
        <v>6</v>
      </c>
      <c r="AI4233">
        <v>1</v>
      </c>
    </row>
    <row r="4234" spans="1:35">
      <c r="A4234" s="3" t="s">
        <v>4210</v>
      </c>
      <c r="E4234">
        <v>6</v>
      </c>
      <c r="AI4234">
        <v>1</v>
      </c>
    </row>
    <row r="4235" spans="1:35">
      <c r="A4235" s="3" t="s">
        <v>4211</v>
      </c>
      <c r="E4235">
        <v>6</v>
      </c>
      <c r="AI4235">
        <v>1</v>
      </c>
    </row>
    <row r="4236" spans="1:35">
      <c r="A4236" s="3" t="s">
        <v>4212</v>
      </c>
      <c r="E4236">
        <v>6</v>
      </c>
      <c r="AI4236">
        <v>1</v>
      </c>
    </row>
    <row r="4237" spans="1:35">
      <c r="A4237" s="3" t="s">
        <v>4213</v>
      </c>
      <c r="E4237">
        <v>6</v>
      </c>
      <c r="AI4237">
        <v>1</v>
      </c>
    </row>
    <row r="4238" spans="1:35">
      <c r="A4238" s="3" t="s">
        <v>4214</v>
      </c>
      <c r="E4238">
        <v>6</v>
      </c>
      <c r="AI4238">
        <v>1</v>
      </c>
    </row>
    <row r="4239" spans="1:35">
      <c r="A4239" s="3" t="s">
        <v>4215</v>
      </c>
      <c r="E4239">
        <v>6</v>
      </c>
      <c r="AI4239">
        <v>1</v>
      </c>
    </row>
    <row r="4240" spans="1:35">
      <c r="A4240" s="3" t="s">
        <v>4216</v>
      </c>
      <c r="E4240">
        <v>6</v>
      </c>
      <c r="AI4240">
        <v>1</v>
      </c>
    </row>
    <row r="4241" spans="1:35">
      <c r="A4241" s="3" t="s">
        <v>4217</v>
      </c>
      <c r="E4241">
        <v>6</v>
      </c>
      <c r="AI4241">
        <v>1</v>
      </c>
    </row>
    <row r="4242" spans="1:35">
      <c r="A4242" s="3" t="s">
        <v>4218</v>
      </c>
      <c r="E4242">
        <v>6</v>
      </c>
      <c r="AI4242">
        <v>1</v>
      </c>
    </row>
    <row r="4243" spans="1:35">
      <c r="A4243" s="3" t="s">
        <v>4219</v>
      </c>
      <c r="E4243">
        <v>6</v>
      </c>
      <c r="AI4243">
        <v>1</v>
      </c>
    </row>
    <row r="4244" spans="1:35">
      <c r="A4244" s="3" t="s">
        <v>4220</v>
      </c>
      <c r="E4244">
        <v>6</v>
      </c>
      <c r="AI4244">
        <v>1</v>
      </c>
    </row>
    <row r="4245" spans="1:35">
      <c r="A4245" s="3" t="s">
        <v>4221</v>
      </c>
      <c r="E4245">
        <v>6</v>
      </c>
      <c r="AI4245">
        <v>1</v>
      </c>
    </row>
    <row r="4246" spans="1:35">
      <c r="A4246" s="3" t="s">
        <v>4222</v>
      </c>
      <c r="E4246">
        <v>6</v>
      </c>
      <c r="AI4246">
        <v>1</v>
      </c>
    </row>
    <row r="4247" spans="1:35">
      <c r="A4247" s="3" t="s">
        <v>4223</v>
      </c>
      <c r="E4247">
        <v>6</v>
      </c>
      <c r="AI4247">
        <v>1</v>
      </c>
    </row>
    <row r="4248" spans="1:35">
      <c r="A4248" s="3" t="s">
        <v>4224</v>
      </c>
      <c r="E4248">
        <v>6</v>
      </c>
      <c r="AI4248">
        <v>1</v>
      </c>
    </row>
    <row r="4249" spans="1:35">
      <c r="A4249" s="3" t="s">
        <v>4225</v>
      </c>
      <c r="E4249">
        <v>6</v>
      </c>
      <c r="AI4249">
        <v>1</v>
      </c>
    </row>
    <row r="4250" spans="1:35">
      <c r="A4250" s="3" t="s">
        <v>4226</v>
      </c>
      <c r="E4250">
        <v>6</v>
      </c>
      <c r="AI4250">
        <v>1</v>
      </c>
    </row>
    <row r="4251" spans="1:35">
      <c r="A4251" s="3" t="s">
        <v>4227</v>
      </c>
      <c r="E4251">
        <v>6</v>
      </c>
      <c r="AI4251">
        <v>1</v>
      </c>
    </row>
    <row r="4252" spans="1:35">
      <c r="A4252" s="3" t="s">
        <v>4228</v>
      </c>
      <c r="E4252">
        <v>6</v>
      </c>
      <c r="AI4252">
        <v>1</v>
      </c>
    </row>
    <row r="4253" spans="1:35">
      <c r="A4253" s="3" t="s">
        <v>4229</v>
      </c>
      <c r="E4253">
        <v>6</v>
      </c>
      <c r="AI4253">
        <v>1</v>
      </c>
    </row>
    <row r="4254" spans="1:35">
      <c r="A4254" s="3" t="s">
        <v>4230</v>
      </c>
      <c r="E4254">
        <v>6</v>
      </c>
      <c r="AI4254">
        <v>1</v>
      </c>
    </row>
    <row r="4255" spans="1:35">
      <c r="A4255" s="3" t="s">
        <v>4231</v>
      </c>
      <c r="E4255">
        <v>6</v>
      </c>
      <c r="AI4255">
        <v>1</v>
      </c>
    </row>
    <row r="4256" spans="1:35">
      <c r="A4256" s="3" t="s">
        <v>4232</v>
      </c>
      <c r="E4256">
        <v>6</v>
      </c>
      <c r="AI4256">
        <v>1</v>
      </c>
    </row>
    <row r="4257" spans="1:35">
      <c r="A4257" s="3" t="s">
        <v>4233</v>
      </c>
      <c r="E4257">
        <v>6</v>
      </c>
      <c r="AI4257">
        <v>1</v>
      </c>
    </row>
    <row r="4258" spans="1:35">
      <c r="A4258" s="3" t="s">
        <v>4234</v>
      </c>
      <c r="E4258">
        <v>6</v>
      </c>
      <c r="AI4258">
        <v>1</v>
      </c>
    </row>
    <row r="4259" spans="1:35">
      <c r="A4259" s="3" t="s">
        <v>4235</v>
      </c>
      <c r="E4259">
        <v>6</v>
      </c>
      <c r="AI4259">
        <v>1</v>
      </c>
    </row>
    <row r="4260" spans="1:35">
      <c r="A4260" s="3" t="s">
        <v>4236</v>
      </c>
      <c r="E4260">
        <v>6</v>
      </c>
      <c r="AI4260">
        <v>1</v>
      </c>
    </row>
    <row r="4261" spans="1:35">
      <c r="A4261" s="3" t="s">
        <v>4237</v>
      </c>
      <c r="E4261">
        <v>6</v>
      </c>
      <c r="AI4261">
        <v>1</v>
      </c>
    </row>
    <row r="4262" spans="1:35">
      <c r="A4262" s="3" t="s">
        <v>4238</v>
      </c>
      <c r="E4262">
        <v>6</v>
      </c>
      <c r="AI4262">
        <v>1</v>
      </c>
    </row>
    <row r="4263" spans="1:35">
      <c r="A4263" s="3" t="s">
        <v>4239</v>
      </c>
      <c r="E4263">
        <v>6</v>
      </c>
      <c r="AI4263">
        <v>1</v>
      </c>
    </row>
    <row r="4264" spans="1:35">
      <c r="A4264" s="3" t="s">
        <v>4240</v>
      </c>
      <c r="E4264">
        <v>6</v>
      </c>
      <c r="AI4264">
        <v>1</v>
      </c>
    </row>
    <row r="4265" spans="1:35">
      <c r="A4265" s="3" t="s">
        <v>4241</v>
      </c>
      <c r="E4265">
        <v>6</v>
      </c>
      <c r="AI4265">
        <v>1</v>
      </c>
    </row>
    <row r="4266" spans="1:35">
      <c r="A4266" s="3" t="s">
        <v>4242</v>
      </c>
      <c r="E4266">
        <v>6</v>
      </c>
      <c r="AI4266">
        <v>1</v>
      </c>
    </row>
    <row r="4267" spans="1:35">
      <c r="A4267" s="3" t="s">
        <v>4243</v>
      </c>
      <c r="E4267">
        <v>6</v>
      </c>
      <c r="AI4267">
        <v>1</v>
      </c>
    </row>
    <row r="4268" spans="1:35">
      <c r="A4268" s="3" t="s">
        <v>4244</v>
      </c>
      <c r="E4268">
        <v>6</v>
      </c>
      <c r="AI4268">
        <v>1</v>
      </c>
    </row>
    <row r="4269" spans="1:35">
      <c r="A4269" s="3" t="s">
        <v>4245</v>
      </c>
      <c r="E4269">
        <v>6</v>
      </c>
      <c r="AI4269">
        <v>1</v>
      </c>
    </row>
    <row r="4270" spans="1:35">
      <c r="A4270" s="3" t="s">
        <v>4246</v>
      </c>
      <c r="E4270">
        <v>6</v>
      </c>
      <c r="AI4270">
        <v>1</v>
      </c>
    </row>
    <row r="4271" spans="1:35">
      <c r="A4271" s="3" t="s">
        <v>4247</v>
      </c>
      <c r="E4271">
        <v>6</v>
      </c>
      <c r="AI4271">
        <v>1</v>
      </c>
    </row>
    <row r="4272" spans="1:35">
      <c r="A4272" s="3" t="s">
        <v>4248</v>
      </c>
      <c r="E4272">
        <v>6</v>
      </c>
      <c r="AI4272">
        <v>1</v>
      </c>
    </row>
    <row r="4273" spans="1:35">
      <c r="A4273" s="3" t="s">
        <v>4249</v>
      </c>
      <c r="E4273">
        <v>6</v>
      </c>
      <c r="AI4273">
        <v>1</v>
      </c>
    </row>
    <row r="4274" spans="1:35">
      <c r="A4274" s="3" t="s">
        <v>4250</v>
      </c>
      <c r="E4274">
        <v>6</v>
      </c>
      <c r="AI4274">
        <v>1</v>
      </c>
    </row>
    <row r="4275" spans="1:35">
      <c r="A4275" s="3" t="s">
        <v>4251</v>
      </c>
      <c r="E4275">
        <v>6</v>
      </c>
      <c r="AI4275">
        <v>1</v>
      </c>
    </row>
    <row r="4276" spans="1:35">
      <c r="A4276" s="3" t="s">
        <v>4252</v>
      </c>
      <c r="E4276">
        <v>6</v>
      </c>
      <c r="AI4276">
        <v>1</v>
      </c>
    </row>
    <row r="4277" spans="1:35">
      <c r="A4277" s="3" t="s">
        <v>4253</v>
      </c>
      <c r="E4277">
        <v>6</v>
      </c>
      <c r="AI4277">
        <v>1</v>
      </c>
    </row>
    <row r="4278" spans="1:35">
      <c r="A4278" s="3" t="s">
        <v>4254</v>
      </c>
      <c r="E4278">
        <v>6</v>
      </c>
      <c r="AI4278">
        <v>1</v>
      </c>
    </row>
    <row r="4279" spans="1:35">
      <c r="A4279" s="3" t="s">
        <v>4255</v>
      </c>
      <c r="E4279">
        <v>6</v>
      </c>
      <c r="AI4279">
        <v>1</v>
      </c>
    </row>
    <row r="4280" spans="1:35">
      <c r="A4280" s="3" t="s">
        <v>4256</v>
      </c>
      <c r="E4280">
        <v>6</v>
      </c>
      <c r="AI4280">
        <v>1</v>
      </c>
    </row>
    <row r="4281" spans="1:35">
      <c r="A4281" s="3" t="s">
        <v>4257</v>
      </c>
      <c r="E4281">
        <v>6</v>
      </c>
      <c r="AI4281">
        <v>1</v>
      </c>
    </row>
    <row r="4282" spans="1:35">
      <c r="A4282" s="3" t="s">
        <v>4258</v>
      </c>
      <c r="E4282">
        <v>6</v>
      </c>
      <c r="AI4282">
        <v>1</v>
      </c>
    </row>
    <row r="4283" spans="1:35">
      <c r="A4283" s="3" t="s">
        <v>4259</v>
      </c>
      <c r="E4283">
        <v>6</v>
      </c>
      <c r="AI4283">
        <v>1</v>
      </c>
    </row>
    <row r="4284" spans="1:35">
      <c r="A4284" s="3" t="s">
        <v>4260</v>
      </c>
      <c r="E4284">
        <v>6</v>
      </c>
      <c r="AI4284">
        <v>1</v>
      </c>
    </row>
    <row r="4285" spans="1:35">
      <c r="A4285" s="3" t="s">
        <v>4261</v>
      </c>
      <c r="E4285">
        <v>6</v>
      </c>
      <c r="AI4285">
        <v>1</v>
      </c>
    </row>
    <row r="4286" spans="1:35">
      <c r="A4286" s="3" t="s">
        <v>4262</v>
      </c>
      <c r="E4286">
        <v>6</v>
      </c>
      <c r="AI4286">
        <v>1</v>
      </c>
    </row>
    <row r="4287" spans="1:35">
      <c r="A4287" s="3" t="s">
        <v>4263</v>
      </c>
      <c r="E4287">
        <v>6</v>
      </c>
      <c r="AI4287">
        <v>1</v>
      </c>
    </row>
    <row r="4288" spans="1:35">
      <c r="A4288" s="3" t="s">
        <v>4264</v>
      </c>
      <c r="E4288">
        <v>6</v>
      </c>
      <c r="AI4288">
        <v>1</v>
      </c>
    </row>
    <row r="4289" spans="1:34">
      <c r="A4289" s="3" t="s">
        <v>4265</v>
      </c>
      <c r="E4289">
        <v>6</v>
      </c>
      <c r="AH4289">
        <v>2</v>
      </c>
    </row>
    <row r="4290" spans="1:34">
      <c r="A4290" s="3" t="s">
        <v>4266</v>
      </c>
      <c r="E4290">
        <v>6</v>
      </c>
      <c r="AH4290">
        <v>2</v>
      </c>
    </row>
    <row r="4291" spans="1:34">
      <c r="A4291" s="3" t="s">
        <v>4267</v>
      </c>
      <c r="E4291">
        <v>6</v>
      </c>
      <c r="AH4291">
        <v>2</v>
      </c>
    </row>
    <row r="4292" spans="1:34">
      <c r="A4292" s="3" t="s">
        <v>4268</v>
      </c>
      <c r="E4292">
        <v>6</v>
      </c>
      <c r="AH4292">
        <v>2</v>
      </c>
    </row>
    <row r="4293" spans="1:34">
      <c r="A4293" s="3" t="s">
        <v>4269</v>
      </c>
      <c r="E4293">
        <v>6</v>
      </c>
      <c r="AH4293">
        <v>2</v>
      </c>
    </row>
    <row r="4294" spans="1:34">
      <c r="A4294" s="3" t="s">
        <v>4270</v>
      </c>
      <c r="E4294">
        <v>6</v>
      </c>
      <c r="AH4294">
        <v>2</v>
      </c>
    </row>
    <row r="4295" spans="1:34">
      <c r="A4295" s="3" t="s">
        <v>4271</v>
      </c>
      <c r="E4295">
        <v>6</v>
      </c>
      <c r="AH4295">
        <v>2</v>
      </c>
    </row>
    <row r="4296" spans="1:34">
      <c r="A4296" s="3" t="s">
        <v>4272</v>
      </c>
      <c r="E4296">
        <v>6</v>
      </c>
      <c r="AH4296">
        <v>2</v>
      </c>
    </row>
    <row r="4297" spans="1:34">
      <c r="A4297" s="3" t="s">
        <v>4273</v>
      </c>
      <c r="E4297">
        <v>6</v>
      </c>
      <c r="AH4297">
        <v>2</v>
      </c>
    </row>
    <row r="4298" spans="1:34">
      <c r="A4298" s="3" t="s">
        <v>4274</v>
      </c>
      <c r="E4298">
        <v>6</v>
      </c>
      <c r="AH4298">
        <v>2</v>
      </c>
    </row>
    <row r="4299" spans="1:34">
      <c r="A4299" s="3" t="s">
        <v>4275</v>
      </c>
      <c r="E4299">
        <v>6</v>
      </c>
      <c r="AH4299">
        <v>2</v>
      </c>
    </row>
    <row r="4300" spans="1:34">
      <c r="A4300" s="3" t="s">
        <v>4276</v>
      </c>
      <c r="E4300">
        <v>6</v>
      </c>
      <c r="AH4300">
        <v>2</v>
      </c>
    </row>
    <row r="4301" spans="1:34">
      <c r="A4301" s="3" t="s">
        <v>4277</v>
      </c>
      <c r="E4301">
        <v>6</v>
      </c>
      <c r="AH4301">
        <v>2</v>
      </c>
    </row>
    <row r="4302" spans="1:34">
      <c r="A4302" s="3" t="s">
        <v>4278</v>
      </c>
      <c r="E4302">
        <v>6</v>
      </c>
      <c r="AH4302">
        <v>2</v>
      </c>
    </row>
    <row r="4303" spans="1:34">
      <c r="A4303" s="3" t="s">
        <v>4279</v>
      </c>
      <c r="E4303">
        <v>6</v>
      </c>
      <c r="AH4303">
        <v>2</v>
      </c>
    </row>
    <row r="4304" spans="1:34">
      <c r="A4304" s="3" t="s">
        <v>4280</v>
      </c>
      <c r="E4304">
        <v>6</v>
      </c>
      <c r="AH4304">
        <v>2</v>
      </c>
    </row>
    <row r="4305" spans="1:34">
      <c r="A4305" s="3" t="s">
        <v>4281</v>
      </c>
      <c r="E4305">
        <v>6</v>
      </c>
      <c r="AH4305">
        <v>2</v>
      </c>
    </row>
    <row r="4306" spans="1:34">
      <c r="A4306" s="3" t="s">
        <v>4282</v>
      </c>
      <c r="E4306">
        <v>6</v>
      </c>
      <c r="AH4306">
        <v>2</v>
      </c>
    </row>
    <row r="4307" spans="1:34">
      <c r="A4307" s="3" t="s">
        <v>4283</v>
      </c>
      <c r="E4307">
        <v>6</v>
      </c>
      <c r="AH4307">
        <v>2</v>
      </c>
    </row>
    <row r="4308" spans="1:34">
      <c r="A4308" s="3" t="s">
        <v>4284</v>
      </c>
      <c r="E4308">
        <v>6</v>
      </c>
      <c r="AH4308">
        <v>2</v>
      </c>
    </row>
    <row r="4309" spans="1:34">
      <c r="A4309" s="3" t="s">
        <v>4285</v>
      </c>
      <c r="E4309">
        <v>6</v>
      </c>
      <c r="AH4309">
        <v>2</v>
      </c>
    </row>
    <row r="4310" spans="1:34">
      <c r="A4310" s="3" t="s">
        <v>4286</v>
      </c>
      <c r="E4310">
        <v>6</v>
      </c>
      <c r="AH4310">
        <v>2</v>
      </c>
    </row>
    <row r="4311" spans="1:34">
      <c r="A4311" s="3" t="s">
        <v>4287</v>
      </c>
      <c r="E4311">
        <v>6</v>
      </c>
      <c r="AH4311">
        <v>2</v>
      </c>
    </row>
    <row r="4312" spans="1:34">
      <c r="A4312" s="3" t="s">
        <v>4288</v>
      </c>
      <c r="E4312">
        <v>6</v>
      </c>
      <c r="AH4312">
        <v>2</v>
      </c>
    </row>
    <row r="4313" spans="1:34">
      <c r="A4313" s="3" t="s">
        <v>4289</v>
      </c>
      <c r="E4313">
        <v>6</v>
      </c>
      <c r="AH4313">
        <v>2</v>
      </c>
    </row>
    <row r="4314" spans="1:34">
      <c r="A4314" s="3" t="s">
        <v>4290</v>
      </c>
      <c r="E4314">
        <v>6</v>
      </c>
      <c r="AH4314">
        <v>2</v>
      </c>
    </row>
    <row r="4315" spans="1:34">
      <c r="A4315" s="3" t="s">
        <v>4291</v>
      </c>
      <c r="E4315">
        <v>6</v>
      </c>
      <c r="AH4315">
        <v>2</v>
      </c>
    </row>
    <row r="4316" spans="1:34">
      <c r="A4316" s="3" t="s">
        <v>4292</v>
      </c>
      <c r="E4316">
        <v>6</v>
      </c>
      <c r="AH4316">
        <v>2</v>
      </c>
    </row>
    <row r="4317" spans="1:34">
      <c r="A4317" s="3" t="s">
        <v>4293</v>
      </c>
      <c r="E4317">
        <v>6</v>
      </c>
      <c r="AH4317">
        <v>2</v>
      </c>
    </row>
    <row r="4318" spans="1:34">
      <c r="A4318" s="3" t="s">
        <v>4294</v>
      </c>
      <c r="E4318">
        <v>6</v>
      </c>
      <c r="AH4318">
        <v>2</v>
      </c>
    </row>
    <row r="4319" spans="1:34">
      <c r="A4319" s="3" t="s">
        <v>4295</v>
      </c>
      <c r="E4319">
        <v>6</v>
      </c>
      <c r="AH4319">
        <v>2</v>
      </c>
    </row>
    <row r="4320" spans="1:34">
      <c r="A4320" s="3" t="s">
        <v>4296</v>
      </c>
      <c r="E4320">
        <v>6</v>
      </c>
      <c r="AH4320">
        <v>2</v>
      </c>
    </row>
    <row r="4321" spans="1:34">
      <c r="A4321" s="3" t="s">
        <v>4297</v>
      </c>
      <c r="E4321">
        <v>6</v>
      </c>
      <c r="AH4321">
        <v>2</v>
      </c>
    </row>
    <row r="4322" spans="1:34">
      <c r="A4322" s="3" t="s">
        <v>4298</v>
      </c>
      <c r="E4322">
        <v>6</v>
      </c>
      <c r="AH4322">
        <v>2</v>
      </c>
    </row>
    <row r="4323" spans="1:34">
      <c r="A4323" s="3" t="s">
        <v>4299</v>
      </c>
      <c r="E4323">
        <v>6</v>
      </c>
      <c r="AH4323">
        <v>2</v>
      </c>
    </row>
    <row r="4324" spans="1:34">
      <c r="A4324" s="3" t="s">
        <v>4300</v>
      </c>
      <c r="E4324">
        <v>6</v>
      </c>
      <c r="AH4324">
        <v>2</v>
      </c>
    </row>
    <row r="4325" spans="1:34">
      <c r="A4325" s="3" t="s">
        <v>4301</v>
      </c>
      <c r="E4325">
        <v>6</v>
      </c>
      <c r="AH4325">
        <v>2</v>
      </c>
    </row>
    <row r="4326" spans="1:34">
      <c r="A4326" s="3" t="s">
        <v>4302</v>
      </c>
      <c r="E4326">
        <v>6</v>
      </c>
      <c r="AH4326">
        <v>2</v>
      </c>
    </row>
    <row r="4327" spans="1:34">
      <c r="A4327" s="3" t="s">
        <v>4303</v>
      </c>
      <c r="E4327">
        <v>6</v>
      </c>
      <c r="AH4327">
        <v>2</v>
      </c>
    </row>
    <row r="4328" spans="1:34">
      <c r="A4328" s="3" t="s">
        <v>4304</v>
      </c>
      <c r="E4328">
        <v>6</v>
      </c>
      <c r="AH4328">
        <v>2</v>
      </c>
    </row>
    <row r="4329" spans="1:34">
      <c r="A4329" s="3" t="s">
        <v>4305</v>
      </c>
      <c r="E4329">
        <v>6</v>
      </c>
      <c r="AH4329">
        <v>2</v>
      </c>
    </row>
    <row r="4330" spans="1:34">
      <c r="A4330" s="3" t="s">
        <v>4306</v>
      </c>
      <c r="E4330">
        <v>6</v>
      </c>
      <c r="AH4330">
        <v>2</v>
      </c>
    </row>
    <row r="4331" spans="1:34">
      <c r="A4331" s="3" t="s">
        <v>4307</v>
      </c>
      <c r="E4331">
        <v>6</v>
      </c>
      <c r="AH4331">
        <v>2</v>
      </c>
    </row>
    <row r="4332" spans="1:34">
      <c r="A4332" s="3" t="s">
        <v>4308</v>
      </c>
      <c r="E4332">
        <v>6</v>
      </c>
      <c r="AH4332">
        <v>2</v>
      </c>
    </row>
    <row r="4333" spans="1:34">
      <c r="A4333" s="3" t="s">
        <v>4309</v>
      </c>
      <c r="E4333">
        <v>6</v>
      </c>
      <c r="AH4333">
        <v>2</v>
      </c>
    </row>
    <row r="4334" spans="1:34">
      <c r="A4334" s="3" t="s">
        <v>4310</v>
      </c>
      <c r="E4334">
        <v>6</v>
      </c>
      <c r="AH4334">
        <v>2</v>
      </c>
    </row>
    <row r="4335" spans="1:34">
      <c r="A4335" s="3" t="s">
        <v>4311</v>
      </c>
      <c r="E4335">
        <v>6</v>
      </c>
      <c r="AH4335">
        <v>2</v>
      </c>
    </row>
    <row r="4336" spans="1:34">
      <c r="A4336" s="3" t="s">
        <v>4312</v>
      </c>
      <c r="E4336">
        <v>6</v>
      </c>
      <c r="AH4336">
        <v>2</v>
      </c>
    </row>
    <row r="4337" spans="1:34">
      <c r="A4337" s="3" t="s">
        <v>4313</v>
      </c>
      <c r="E4337">
        <v>6</v>
      </c>
      <c r="AH4337">
        <v>2</v>
      </c>
    </row>
    <row r="4338" spans="1:34">
      <c r="A4338" s="3" t="s">
        <v>4314</v>
      </c>
      <c r="E4338">
        <v>6</v>
      </c>
      <c r="AH4338">
        <v>2</v>
      </c>
    </row>
    <row r="4339" spans="1:34">
      <c r="A4339" s="3" t="s">
        <v>4315</v>
      </c>
      <c r="E4339">
        <v>6</v>
      </c>
      <c r="AH4339">
        <v>2</v>
      </c>
    </row>
    <row r="4340" spans="1:34">
      <c r="A4340" s="3" t="s">
        <v>4316</v>
      </c>
      <c r="E4340">
        <v>6</v>
      </c>
      <c r="AH4340">
        <v>2</v>
      </c>
    </row>
    <row r="4341" spans="1:34">
      <c r="A4341" s="3" t="s">
        <v>4317</v>
      </c>
      <c r="E4341">
        <v>6</v>
      </c>
      <c r="AH4341">
        <v>2</v>
      </c>
    </row>
    <row r="4342" spans="1:34">
      <c r="A4342" s="3" t="s">
        <v>4318</v>
      </c>
      <c r="E4342">
        <v>6</v>
      </c>
      <c r="AH4342">
        <v>2</v>
      </c>
    </row>
    <row r="4343" spans="1:34">
      <c r="A4343" s="3" t="s">
        <v>4319</v>
      </c>
      <c r="E4343">
        <v>6</v>
      </c>
      <c r="AH4343">
        <v>2</v>
      </c>
    </row>
    <row r="4344" spans="1:34">
      <c r="A4344" s="3" t="s">
        <v>4320</v>
      </c>
      <c r="E4344">
        <v>6</v>
      </c>
      <c r="AH4344">
        <v>2</v>
      </c>
    </row>
    <row r="4345" spans="1:34">
      <c r="A4345" s="3" t="s">
        <v>4321</v>
      </c>
      <c r="E4345">
        <v>6</v>
      </c>
      <c r="AH4345">
        <v>2</v>
      </c>
    </row>
    <row r="4346" spans="1:34">
      <c r="A4346" s="3" t="s">
        <v>4322</v>
      </c>
      <c r="E4346">
        <v>6</v>
      </c>
      <c r="AH4346">
        <v>2</v>
      </c>
    </row>
    <row r="4347" spans="1:34">
      <c r="A4347" s="3" t="s">
        <v>4323</v>
      </c>
      <c r="E4347">
        <v>6</v>
      </c>
      <c r="AH4347">
        <v>2</v>
      </c>
    </row>
    <row r="4348" spans="1:34">
      <c r="A4348" s="3" t="s">
        <v>4324</v>
      </c>
      <c r="E4348">
        <v>6</v>
      </c>
      <c r="AH4348">
        <v>2</v>
      </c>
    </row>
    <row r="4349" spans="1:34">
      <c r="A4349" s="3" t="s">
        <v>4325</v>
      </c>
      <c r="E4349">
        <v>6</v>
      </c>
      <c r="AH4349">
        <v>2</v>
      </c>
    </row>
    <row r="4350" spans="1:34">
      <c r="A4350" s="3" t="s">
        <v>4326</v>
      </c>
      <c r="E4350">
        <v>6</v>
      </c>
      <c r="AH4350">
        <v>2</v>
      </c>
    </row>
    <row r="4351" spans="1:34">
      <c r="A4351" s="3" t="s">
        <v>4327</v>
      </c>
      <c r="E4351">
        <v>6</v>
      </c>
      <c r="AH4351">
        <v>2</v>
      </c>
    </row>
    <row r="4352" spans="1:34">
      <c r="A4352" s="3" t="s">
        <v>4328</v>
      </c>
      <c r="E4352">
        <v>6</v>
      </c>
      <c r="AH4352">
        <v>2</v>
      </c>
    </row>
    <row r="4353" spans="1:34">
      <c r="A4353" s="3" t="s">
        <v>4329</v>
      </c>
      <c r="E4353">
        <v>6</v>
      </c>
      <c r="AH4353">
        <v>2</v>
      </c>
    </row>
    <row r="4354" spans="1:34">
      <c r="A4354" s="3" t="s">
        <v>4330</v>
      </c>
      <c r="E4354">
        <v>6</v>
      </c>
      <c r="AH4354">
        <v>2</v>
      </c>
    </row>
    <row r="4355" spans="1:34">
      <c r="A4355" s="3" t="s">
        <v>4331</v>
      </c>
      <c r="E4355">
        <v>6</v>
      </c>
      <c r="AH4355">
        <v>2</v>
      </c>
    </row>
    <row r="4356" spans="1:34">
      <c r="A4356" s="3" t="s">
        <v>4332</v>
      </c>
      <c r="E4356">
        <v>6</v>
      </c>
      <c r="AH4356">
        <v>2</v>
      </c>
    </row>
    <row r="4357" spans="1:34">
      <c r="A4357" s="3" t="s">
        <v>4333</v>
      </c>
      <c r="E4357">
        <v>6</v>
      </c>
      <c r="AH4357">
        <v>2</v>
      </c>
    </row>
    <row r="4358" spans="1:34">
      <c r="A4358" s="3" t="s">
        <v>4334</v>
      </c>
      <c r="E4358">
        <v>6</v>
      </c>
      <c r="AH4358">
        <v>2</v>
      </c>
    </row>
    <row r="4359" spans="1:34">
      <c r="A4359" s="3" t="s">
        <v>4335</v>
      </c>
      <c r="E4359">
        <v>6</v>
      </c>
      <c r="AH4359">
        <v>2</v>
      </c>
    </row>
    <row r="4360" spans="1:34">
      <c r="A4360" s="3" t="s">
        <v>4336</v>
      </c>
      <c r="E4360">
        <v>6</v>
      </c>
      <c r="AH4360">
        <v>2</v>
      </c>
    </row>
    <row r="4361" spans="1:34">
      <c r="A4361" s="3" t="s">
        <v>4337</v>
      </c>
      <c r="E4361">
        <v>6</v>
      </c>
      <c r="AH4361">
        <v>2</v>
      </c>
    </row>
    <row r="4362" spans="1:34">
      <c r="A4362" s="3" t="s">
        <v>4338</v>
      </c>
      <c r="E4362">
        <v>6</v>
      </c>
      <c r="AH4362">
        <v>2</v>
      </c>
    </row>
    <row r="4363" spans="1:34">
      <c r="A4363" s="3" t="s">
        <v>4339</v>
      </c>
      <c r="E4363">
        <v>6</v>
      </c>
      <c r="AH4363">
        <v>2</v>
      </c>
    </row>
    <row r="4364" spans="1:34">
      <c r="A4364" s="3" t="s">
        <v>4340</v>
      </c>
      <c r="E4364">
        <v>6</v>
      </c>
      <c r="AH4364">
        <v>2</v>
      </c>
    </row>
    <row r="4365" spans="1:34">
      <c r="A4365" s="3" t="s">
        <v>4341</v>
      </c>
      <c r="E4365">
        <v>6</v>
      </c>
      <c r="AH4365">
        <v>2</v>
      </c>
    </row>
    <row r="4366" spans="1:34">
      <c r="A4366" s="3" t="s">
        <v>4342</v>
      </c>
      <c r="E4366">
        <v>6</v>
      </c>
      <c r="AH4366">
        <v>2</v>
      </c>
    </row>
    <row r="4367" spans="1:34">
      <c r="A4367" s="3" t="s">
        <v>4343</v>
      </c>
      <c r="E4367">
        <v>6</v>
      </c>
      <c r="AH4367">
        <v>2</v>
      </c>
    </row>
    <row r="4368" spans="1:34">
      <c r="A4368" s="3" t="s">
        <v>4344</v>
      </c>
      <c r="E4368">
        <v>6</v>
      </c>
      <c r="AH4368">
        <v>2</v>
      </c>
    </row>
    <row r="4369" spans="1:49">
      <c r="A4369" s="3" t="s">
        <v>4345</v>
      </c>
      <c r="E4369">
        <v>6</v>
      </c>
      <c r="AH4369">
        <v>2</v>
      </c>
    </row>
    <row r="4370" spans="1:49">
      <c r="A4370" s="3" t="s">
        <v>4346</v>
      </c>
      <c r="E4370">
        <v>6</v>
      </c>
      <c r="AH4370">
        <v>2</v>
      </c>
    </row>
    <row r="4371" spans="1:49">
      <c r="A4371" s="3" t="s">
        <v>4347</v>
      </c>
      <c r="E4371">
        <v>6</v>
      </c>
      <c r="AH4371">
        <v>2</v>
      </c>
    </row>
    <row r="4372" spans="1:49">
      <c r="A4372" s="3" t="s">
        <v>4348</v>
      </c>
      <c r="E4372">
        <v>6</v>
      </c>
      <c r="AH4372">
        <v>2</v>
      </c>
    </row>
    <row r="4373" spans="1:49">
      <c r="A4373" s="3" t="s">
        <v>4349</v>
      </c>
      <c r="E4373">
        <v>6</v>
      </c>
      <c r="AH4373">
        <v>2</v>
      </c>
    </row>
    <row r="4374" spans="1:49">
      <c r="A4374" s="3" t="s">
        <v>4350</v>
      </c>
      <c r="E4374">
        <v>6</v>
      </c>
      <c r="AW4374">
        <v>36</v>
      </c>
    </row>
    <row r="4375" spans="1:49">
      <c r="A4375" s="3" t="s">
        <v>4351</v>
      </c>
      <c r="E4375">
        <v>6</v>
      </c>
      <c r="AW4375">
        <v>36</v>
      </c>
    </row>
    <row r="4376" spans="1:49">
      <c r="A4376" s="3" t="s">
        <v>4352</v>
      </c>
      <c r="E4376">
        <v>6</v>
      </c>
      <c r="AW4376">
        <v>36</v>
      </c>
    </row>
    <row r="4377" spans="1:49">
      <c r="A4377" s="3" t="s">
        <v>4353</v>
      </c>
      <c r="E4377">
        <v>6</v>
      </c>
      <c r="AW4377">
        <v>36</v>
      </c>
    </row>
    <row r="4378" spans="1:49">
      <c r="A4378" s="3" t="s">
        <v>4354</v>
      </c>
      <c r="E4378">
        <v>6</v>
      </c>
      <c r="J4378">
        <v>63</v>
      </c>
    </row>
    <row r="4379" spans="1:49">
      <c r="A4379" s="3" t="s">
        <v>4355</v>
      </c>
      <c r="E4379">
        <v>6</v>
      </c>
      <c r="J4379">
        <v>63</v>
      </c>
    </row>
    <row r="4380" spans="1:49">
      <c r="A4380" s="3" t="s">
        <v>4356</v>
      </c>
      <c r="E4380">
        <v>6</v>
      </c>
      <c r="J4380">
        <v>63</v>
      </c>
    </row>
    <row r="4381" spans="1:49">
      <c r="A4381" s="3" t="s">
        <v>4357</v>
      </c>
      <c r="E4381">
        <v>6</v>
      </c>
      <c r="J4381">
        <v>63</v>
      </c>
    </row>
    <row r="4382" spans="1:49">
      <c r="A4382" s="3" t="s">
        <v>4358</v>
      </c>
      <c r="E4382">
        <v>6</v>
      </c>
      <c r="J4382">
        <v>63</v>
      </c>
    </row>
    <row r="4383" spans="1:49">
      <c r="A4383" s="3" t="s">
        <v>4359</v>
      </c>
      <c r="E4383">
        <v>6</v>
      </c>
      <c r="J4383">
        <v>63</v>
      </c>
    </row>
    <row r="4384" spans="1:49">
      <c r="A4384" s="3" t="s">
        <v>4360</v>
      </c>
      <c r="E4384">
        <v>6</v>
      </c>
      <c r="J4384">
        <v>63</v>
      </c>
    </row>
    <row r="4385" spans="1:38">
      <c r="A4385" s="3" t="s">
        <v>4361</v>
      </c>
      <c r="E4385">
        <v>6</v>
      </c>
      <c r="J4385">
        <v>63</v>
      </c>
    </row>
    <row r="4386" spans="1:38">
      <c r="A4386" s="3" t="s">
        <v>4362</v>
      </c>
      <c r="E4386">
        <v>6</v>
      </c>
      <c r="J4386">
        <v>63</v>
      </c>
    </row>
    <row r="4387" spans="1:38">
      <c r="A4387" s="3" t="s">
        <v>4363</v>
      </c>
      <c r="E4387">
        <v>6</v>
      </c>
      <c r="J4387">
        <v>63</v>
      </c>
    </row>
    <row r="4388" spans="1:38">
      <c r="A4388" s="3" t="s">
        <v>4364</v>
      </c>
      <c r="E4388">
        <v>6</v>
      </c>
      <c r="J4388">
        <v>63</v>
      </c>
    </row>
    <row r="4389" spans="1:38">
      <c r="A4389" s="3" t="s">
        <v>4365</v>
      </c>
      <c r="E4389">
        <v>6</v>
      </c>
      <c r="J4389">
        <v>63</v>
      </c>
    </row>
    <row r="4390" spans="1:38">
      <c r="A4390" s="3" t="s">
        <v>4366</v>
      </c>
      <c r="E4390">
        <v>6</v>
      </c>
      <c r="J4390">
        <v>63</v>
      </c>
    </row>
    <row r="4391" spans="1:38">
      <c r="A4391" s="3" t="s">
        <v>4367</v>
      </c>
      <c r="E4391">
        <v>6</v>
      </c>
      <c r="J4391">
        <v>63</v>
      </c>
    </row>
    <row r="4392" spans="1:38">
      <c r="A4392" s="3" t="s">
        <v>4368</v>
      </c>
      <c r="E4392">
        <v>6</v>
      </c>
      <c r="J4392">
        <v>63</v>
      </c>
    </row>
    <row r="4393" spans="1:38">
      <c r="A4393" s="3" t="s">
        <v>4369</v>
      </c>
      <c r="E4393">
        <v>6</v>
      </c>
      <c r="J4393">
        <v>63</v>
      </c>
    </row>
    <row r="4394" spans="1:38">
      <c r="A4394" s="3" t="s">
        <v>4370</v>
      </c>
      <c r="E4394">
        <v>6</v>
      </c>
      <c r="J4394">
        <v>63</v>
      </c>
    </row>
    <row r="4395" spans="1:38">
      <c r="A4395" s="3" t="s">
        <v>4371</v>
      </c>
      <c r="E4395">
        <v>6</v>
      </c>
      <c r="J4395">
        <v>63</v>
      </c>
    </row>
    <row r="4396" spans="1:38">
      <c r="A4396" s="3" t="s">
        <v>4372</v>
      </c>
      <c r="E4396">
        <v>6</v>
      </c>
      <c r="J4396">
        <v>63</v>
      </c>
    </row>
    <row r="4397" spans="1:38">
      <c r="A4397" s="3" t="s">
        <v>4373</v>
      </c>
      <c r="E4397">
        <v>6</v>
      </c>
      <c r="J4397">
        <v>63</v>
      </c>
    </row>
    <row r="4398" spans="1:38">
      <c r="A4398" s="3" t="s">
        <v>4374</v>
      </c>
      <c r="E4398">
        <v>6</v>
      </c>
      <c r="J4398">
        <v>63</v>
      </c>
    </row>
    <row r="4399" spans="1:38">
      <c r="A4399" s="3" t="s">
        <v>4375</v>
      </c>
      <c r="E4399">
        <v>6</v>
      </c>
      <c r="AL4399">
        <v>2</v>
      </c>
    </row>
    <row r="4400" spans="1:38">
      <c r="A4400" s="3" t="s">
        <v>4376</v>
      </c>
      <c r="E4400">
        <v>6</v>
      </c>
      <c r="AL4400">
        <v>2</v>
      </c>
    </row>
    <row r="4401" spans="1:38">
      <c r="A4401" s="3" t="s">
        <v>4377</v>
      </c>
      <c r="E4401">
        <v>6</v>
      </c>
      <c r="AL4401">
        <v>2</v>
      </c>
    </row>
    <row r="4402" spans="1:38">
      <c r="A4402" s="3" t="s">
        <v>4378</v>
      </c>
      <c r="E4402">
        <v>6</v>
      </c>
      <c r="AL4402">
        <v>2</v>
      </c>
    </row>
    <row r="4403" spans="1:38">
      <c r="A4403" s="3" t="s">
        <v>4379</v>
      </c>
      <c r="E4403">
        <v>6</v>
      </c>
      <c r="AL4403">
        <v>2</v>
      </c>
    </row>
    <row r="4404" spans="1:38">
      <c r="A4404" s="3" t="s">
        <v>4380</v>
      </c>
      <c r="E4404">
        <v>6</v>
      </c>
      <c r="AL4404">
        <v>2</v>
      </c>
    </row>
    <row r="4405" spans="1:38">
      <c r="A4405" s="3" t="s">
        <v>4381</v>
      </c>
      <c r="E4405">
        <v>6</v>
      </c>
      <c r="AL4405">
        <v>2</v>
      </c>
    </row>
    <row r="4406" spans="1:38">
      <c r="A4406" s="3" t="s">
        <v>4382</v>
      </c>
      <c r="E4406">
        <v>6</v>
      </c>
      <c r="AL4406">
        <v>2</v>
      </c>
    </row>
    <row r="4407" spans="1:38">
      <c r="A4407" s="3" t="s">
        <v>4383</v>
      </c>
      <c r="E4407">
        <v>6</v>
      </c>
      <c r="AL4407">
        <v>2</v>
      </c>
    </row>
    <row r="4408" spans="1:38">
      <c r="A4408" s="3" t="s">
        <v>4384</v>
      </c>
      <c r="E4408">
        <v>6</v>
      </c>
      <c r="AL4408">
        <v>2</v>
      </c>
    </row>
    <row r="4409" spans="1:38">
      <c r="A4409" s="3" t="s">
        <v>4385</v>
      </c>
      <c r="E4409">
        <v>6</v>
      </c>
      <c r="AL4409">
        <v>2</v>
      </c>
    </row>
    <row r="4410" spans="1:38">
      <c r="A4410" s="3" t="s">
        <v>4386</v>
      </c>
      <c r="E4410">
        <v>6</v>
      </c>
      <c r="AL4410">
        <v>2</v>
      </c>
    </row>
    <row r="4411" spans="1:38">
      <c r="A4411" s="3" t="s">
        <v>4387</v>
      </c>
      <c r="E4411">
        <v>6</v>
      </c>
      <c r="AL4411">
        <v>2</v>
      </c>
    </row>
    <row r="4412" spans="1:38">
      <c r="A4412" s="3" t="s">
        <v>4388</v>
      </c>
      <c r="E4412">
        <v>6</v>
      </c>
      <c r="AL4412">
        <v>2</v>
      </c>
    </row>
    <row r="4413" spans="1:38">
      <c r="A4413" s="3" t="s">
        <v>4389</v>
      </c>
      <c r="E4413">
        <v>6</v>
      </c>
      <c r="AL4413">
        <v>2</v>
      </c>
    </row>
    <row r="4414" spans="1:38">
      <c r="A4414" s="3" t="s">
        <v>4390</v>
      </c>
      <c r="E4414">
        <v>6</v>
      </c>
      <c r="AL4414">
        <v>2</v>
      </c>
    </row>
    <row r="4415" spans="1:38">
      <c r="A4415" s="3" t="s">
        <v>4391</v>
      </c>
      <c r="E4415">
        <v>6</v>
      </c>
      <c r="AL4415">
        <v>2</v>
      </c>
    </row>
    <row r="4416" spans="1:38">
      <c r="A4416" s="3" t="s">
        <v>4392</v>
      </c>
      <c r="E4416">
        <v>6</v>
      </c>
      <c r="AL4416">
        <v>2</v>
      </c>
    </row>
    <row r="4417" spans="1:38">
      <c r="A4417" s="3" t="s">
        <v>4393</v>
      </c>
      <c r="E4417">
        <v>6</v>
      </c>
      <c r="AL4417">
        <v>2</v>
      </c>
    </row>
    <row r="4418" spans="1:38">
      <c r="A4418" s="3" t="s">
        <v>4394</v>
      </c>
      <c r="E4418">
        <v>6</v>
      </c>
      <c r="AL4418">
        <v>2</v>
      </c>
    </row>
    <row r="4419" spans="1:38">
      <c r="A4419" s="3" t="s">
        <v>4395</v>
      </c>
      <c r="E4419">
        <v>6</v>
      </c>
      <c r="AL4419">
        <v>2</v>
      </c>
    </row>
    <row r="4420" spans="1:38">
      <c r="A4420" s="3" t="s">
        <v>4396</v>
      </c>
      <c r="E4420">
        <v>6</v>
      </c>
      <c r="AL4420">
        <v>2</v>
      </c>
    </row>
    <row r="4421" spans="1:38">
      <c r="A4421" s="3" t="s">
        <v>4397</v>
      </c>
      <c r="E4421">
        <v>6</v>
      </c>
      <c r="AL4421">
        <v>2</v>
      </c>
    </row>
    <row r="4422" spans="1:38">
      <c r="A4422" s="3" t="s">
        <v>4398</v>
      </c>
      <c r="E4422">
        <v>6</v>
      </c>
      <c r="AL4422">
        <v>2</v>
      </c>
    </row>
    <row r="4423" spans="1:38">
      <c r="A4423" s="3" t="s">
        <v>4399</v>
      </c>
      <c r="E4423">
        <v>6</v>
      </c>
      <c r="AL4423">
        <v>2</v>
      </c>
    </row>
    <row r="4424" spans="1:38">
      <c r="A4424" s="3" t="s">
        <v>4400</v>
      </c>
      <c r="E4424">
        <v>6</v>
      </c>
      <c r="AL4424">
        <v>2</v>
      </c>
    </row>
    <row r="4425" spans="1:38">
      <c r="A4425" s="3" t="s">
        <v>4401</v>
      </c>
      <c r="E4425">
        <v>6</v>
      </c>
      <c r="AL4425">
        <v>2</v>
      </c>
    </row>
    <row r="4426" spans="1:38">
      <c r="A4426" s="3" t="s">
        <v>4402</v>
      </c>
      <c r="E4426">
        <v>6</v>
      </c>
      <c r="AL4426">
        <v>2</v>
      </c>
    </row>
    <row r="4427" spans="1:38">
      <c r="A4427" s="3" t="s">
        <v>4403</v>
      </c>
      <c r="E4427">
        <v>6</v>
      </c>
      <c r="AL4427">
        <v>2</v>
      </c>
    </row>
    <row r="4428" spans="1:38">
      <c r="A4428" s="3" t="s">
        <v>4404</v>
      </c>
      <c r="E4428">
        <v>6</v>
      </c>
      <c r="AL4428">
        <v>2</v>
      </c>
    </row>
    <row r="4429" spans="1:38">
      <c r="A4429" s="3" t="s">
        <v>4405</v>
      </c>
      <c r="E4429">
        <v>6</v>
      </c>
      <c r="AL4429">
        <v>2</v>
      </c>
    </row>
    <row r="4430" spans="1:38">
      <c r="A4430" s="3" t="s">
        <v>4406</v>
      </c>
      <c r="E4430">
        <v>6</v>
      </c>
      <c r="AL4430">
        <v>2</v>
      </c>
    </row>
    <row r="4431" spans="1:38">
      <c r="A4431" s="3" t="s">
        <v>4407</v>
      </c>
      <c r="E4431">
        <v>6</v>
      </c>
      <c r="AL4431">
        <v>2</v>
      </c>
    </row>
    <row r="4432" spans="1:38">
      <c r="A4432" s="3" t="s">
        <v>4408</v>
      </c>
      <c r="E4432">
        <v>6</v>
      </c>
      <c r="AL4432">
        <v>2</v>
      </c>
    </row>
    <row r="4433" spans="1:38">
      <c r="A4433" s="3" t="s">
        <v>4409</v>
      </c>
      <c r="E4433">
        <v>6</v>
      </c>
      <c r="AL4433">
        <v>2</v>
      </c>
    </row>
    <row r="4434" spans="1:38">
      <c r="A4434" s="3" t="s">
        <v>4410</v>
      </c>
      <c r="E4434">
        <v>6</v>
      </c>
      <c r="AL4434">
        <v>2</v>
      </c>
    </row>
    <row r="4435" spans="1:38">
      <c r="A4435" s="3" t="s">
        <v>4411</v>
      </c>
      <c r="E4435">
        <v>6</v>
      </c>
      <c r="AL4435">
        <v>2</v>
      </c>
    </row>
    <row r="4436" spans="1:38">
      <c r="A4436" s="3" t="s">
        <v>4412</v>
      </c>
      <c r="E4436">
        <v>6</v>
      </c>
      <c r="AL4436">
        <v>2</v>
      </c>
    </row>
    <row r="4437" spans="1:38">
      <c r="A4437" s="3" t="s">
        <v>4413</v>
      </c>
      <c r="E4437">
        <v>6</v>
      </c>
      <c r="AL4437">
        <v>2</v>
      </c>
    </row>
    <row r="4438" spans="1:38">
      <c r="A4438" s="3" t="s">
        <v>4414</v>
      </c>
      <c r="E4438">
        <v>6</v>
      </c>
      <c r="AL4438">
        <v>2</v>
      </c>
    </row>
    <row r="4439" spans="1:38">
      <c r="A4439" s="3" t="s">
        <v>4415</v>
      </c>
      <c r="E4439">
        <v>6</v>
      </c>
      <c r="J4439">
        <v>64</v>
      </c>
    </row>
    <row r="4440" spans="1:38">
      <c r="A4440" s="3" t="s">
        <v>4416</v>
      </c>
      <c r="E4440">
        <v>6</v>
      </c>
      <c r="J4440">
        <v>64</v>
      </c>
    </row>
    <row r="4441" spans="1:38">
      <c r="A4441" s="3" t="s">
        <v>4417</v>
      </c>
      <c r="E4441">
        <v>6</v>
      </c>
      <c r="J4441">
        <v>64</v>
      </c>
    </row>
    <row r="4442" spans="1:38">
      <c r="A4442" s="3" t="s">
        <v>4418</v>
      </c>
      <c r="E4442">
        <v>6</v>
      </c>
      <c r="J4442">
        <v>64</v>
      </c>
    </row>
    <row r="4443" spans="1:38">
      <c r="A4443" s="3" t="s">
        <v>4419</v>
      </c>
      <c r="E4443">
        <v>6</v>
      </c>
      <c r="J4443">
        <v>64</v>
      </c>
    </row>
    <row r="4444" spans="1:38">
      <c r="A4444" s="3" t="s">
        <v>4420</v>
      </c>
      <c r="E4444">
        <v>6</v>
      </c>
      <c r="J4444">
        <v>64</v>
      </c>
    </row>
    <row r="4445" spans="1:38">
      <c r="A4445" s="3" t="s">
        <v>4421</v>
      </c>
      <c r="E4445">
        <v>6</v>
      </c>
      <c r="J4445">
        <v>64</v>
      </c>
    </row>
    <row r="4446" spans="1:38">
      <c r="A4446" s="3" t="s">
        <v>4422</v>
      </c>
      <c r="E4446">
        <v>6</v>
      </c>
      <c r="J4446">
        <v>64</v>
      </c>
    </row>
    <row r="4447" spans="1:38">
      <c r="A4447" s="3" t="s">
        <v>4423</v>
      </c>
      <c r="E4447">
        <v>6</v>
      </c>
      <c r="J4447">
        <v>64</v>
      </c>
    </row>
    <row r="4448" spans="1:38">
      <c r="A4448" s="3" t="s">
        <v>4424</v>
      </c>
      <c r="E4448">
        <v>6</v>
      </c>
      <c r="J4448">
        <v>64</v>
      </c>
    </row>
    <row r="4449" spans="1:10">
      <c r="A4449" s="3" t="s">
        <v>4425</v>
      </c>
      <c r="E4449">
        <v>6</v>
      </c>
      <c r="J4449">
        <v>64</v>
      </c>
    </row>
    <row r="4450" spans="1:10">
      <c r="A4450" s="3" t="s">
        <v>4426</v>
      </c>
      <c r="E4450">
        <v>6</v>
      </c>
      <c r="J4450">
        <v>64</v>
      </c>
    </row>
    <row r="4451" spans="1:10">
      <c r="A4451" s="3" t="s">
        <v>4427</v>
      </c>
      <c r="E4451">
        <v>6</v>
      </c>
      <c r="J4451">
        <v>64</v>
      </c>
    </row>
    <row r="4452" spans="1:10">
      <c r="A4452" s="3" t="s">
        <v>4428</v>
      </c>
      <c r="E4452">
        <v>6</v>
      </c>
      <c r="J4452">
        <v>64</v>
      </c>
    </row>
    <row r="4453" spans="1:10">
      <c r="A4453" s="3" t="s">
        <v>4429</v>
      </c>
      <c r="B4453">
        <v>6</v>
      </c>
      <c r="E4453">
        <v>6</v>
      </c>
      <c r="J4453">
        <v>64</v>
      </c>
    </row>
    <row r="4454" spans="1:10">
      <c r="A4454" s="3" t="s">
        <v>4430</v>
      </c>
      <c r="B4454">
        <v>6</v>
      </c>
      <c r="E4454">
        <v>6</v>
      </c>
      <c r="J4454">
        <v>64</v>
      </c>
    </row>
    <row r="4455" spans="1:10">
      <c r="A4455" s="3" t="s">
        <v>4431</v>
      </c>
      <c r="B4455">
        <v>6</v>
      </c>
      <c r="E4455">
        <v>6</v>
      </c>
      <c r="J4455">
        <v>64</v>
      </c>
    </row>
    <row r="4456" spans="1:10">
      <c r="A4456" s="3" t="s">
        <v>4432</v>
      </c>
      <c r="B4456">
        <v>6</v>
      </c>
      <c r="E4456">
        <v>6</v>
      </c>
      <c r="J4456">
        <v>64</v>
      </c>
    </row>
    <row r="4457" spans="1:10">
      <c r="A4457" s="3" t="s">
        <v>4433</v>
      </c>
      <c r="B4457">
        <v>6</v>
      </c>
      <c r="E4457">
        <v>6</v>
      </c>
      <c r="J4457">
        <v>64</v>
      </c>
    </row>
    <row r="4458" spans="1:10">
      <c r="A4458" s="3" t="s">
        <v>4434</v>
      </c>
      <c r="B4458">
        <v>6</v>
      </c>
      <c r="E4458">
        <v>6</v>
      </c>
      <c r="J4458">
        <v>64</v>
      </c>
    </row>
    <row r="4459" spans="1:10">
      <c r="A4459" s="3" t="s">
        <v>4435</v>
      </c>
      <c r="B4459">
        <v>6</v>
      </c>
      <c r="E4459">
        <v>6</v>
      </c>
      <c r="J4459">
        <v>64</v>
      </c>
    </row>
    <row r="4460" spans="1:10">
      <c r="A4460" s="3" t="s">
        <v>4436</v>
      </c>
      <c r="B4460">
        <v>6</v>
      </c>
      <c r="E4460">
        <v>6</v>
      </c>
      <c r="J4460">
        <v>64</v>
      </c>
    </row>
    <row r="4461" spans="1:10">
      <c r="A4461" s="3" t="s">
        <v>4437</v>
      </c>
      <c r="B4461">
        <v>6</v>
      </c>
      <c r="E4461">
        <v>6</v>
      </c>
      <c r="J4461">
        <v>64</v>
      </c>
    </row>
    <row r="4462" spans="1:10">
      <c r="A4462" s="3" t="s">
        <v>4438</v>
      </c>
      <c r="B4462">
        <v>6</v>
      </c>
      <c r="E4462">
        <v>6</v>
      </c>
      <c r="J4462">
        <v>64</v>
      </c>
    </row>
    <row r="4463" spans="1:10">
      <c r="A4463" s="3" t="s">
        <v>4439</v>
      </c>
      <c r="B4463">
        <v>6</v>
      </c>
      <c r="E4463">
        <v>6</v>
      </c>
      <c r="J4463">
        <v>64</v>
      </c>
    </row>
    <row r="4464" spans="1:10">
      <c r="A4464" s="3" t="s">
        <v>4440</v>
      </c>
      <c r="B4464">
        <v>6</v>
      </c>
      <c r="E4464">
        <v>6</v>
      </c>
      <c r="J4464">
        <v>64</v>
      </c>
    </row>
    <row r="4465" spans="1:10">
      <c r="A4465" s="3" t="s">
        <v>4441</v>
      </c>
      <c r="B4465">
        <v>6</v>
      </c>
      <c r="E4465">
        <v>6</v>
      </c>
      <c r="J4465">
        <v>64</v>
      </c>
    </row>
    <row r="4466" spans="1:10">
      <c r="A4466" s="3" t="s">
        <v>4442</v>
      </c>
      <c r="B4466">
        <v>6</v>
      </c>
      <c r="E4466">
        <v>6</v>
      </c>
      <c r="J4466">
        <v>64</v>
      </c>
    </row>
    <row r="4467" spans="1:10">
      <c r="A4467" s="3" t="s">
        <v>4443</v>
      </c>
      <c r="B4467">
        <v>6</v>
      </c>
      <c r="J4467">
        <v>64</v>
      </c>
    </row>
    <row r="4468" spans="1:10">
      <c r="A4468" s="3" t="s">
        <v>4444</v>
      </c>
      <c r="B4468">
        <v>6</v>
      </c>
      <c r="J4468">
        <v>64</v>
      </c>
    </row>
    <row r="4469" spans="1:10">
      <c r="A4469" s="3" t="s">
        <v>4445</v>
      </c>
      <c r="B4469">
        <v>6</v>
      </c>
      <c r="J4469">
        <v>64</v>
      </c>
    </row>
    <row r="4470" spans="1:10">
      <c r="A4470" s="3" t="s">
        <v>4446</v>
      </c>
      <c r="B4470">
        <v>6</v>
      </c>
      <c r="J4470">
        <v>64</v>
      </c>
    </row>
    <row r="4471" spans="1:10">
      <c r="A4471" s="3" t="s">
        <v>4447</v>
      </c>
      <c r="B4471">
        <v>6</v>
      </c>
      <c r="J4471">
        <v>64</v>
      </c>
    </row>
    <row r="4472" spans="1:10">
      <c r="A4472" s="3" t="s">
        <v>4448</v>
      </c>
      <c r="B4472">
        <v>6</v>
      </c>
      <c r="J4472">
        <v>64</v>
      </c>
    </row>
    <row r="4473" spans="1:10">
      <c r="A4473" s="3" t="s">
        <v>4449</v>
      </c>
      <c r="B4473">
        <v>6</v>
      </c>
      <c r="J4473">
        <v>64</v>
      </c>
    </row>
    <row r="4474" spans="1:10">
      <c r="A4474" s="3" t="s">
        <v>4450</v>
      </c>
      <c r="B4474">
        <v>6</v>
      </c>
      <c r="J4474">
        <v>64</v>
      </c>
    </row>
    <row r="4475" spans="1:10">
      <c r="A4475" s="3" t="s">
        <v>4451</v>
      </c>
      <c r="B4475">
        <v>6</v>
      </c>
      <c r="J4475">
        <v>64</v>
      </c>
    </row>
    <row r="4476" spans="1:10">
      <c r="A4476" s="3" t="s">
        <v>4452</v>
      </c>
      <c r="B4476">
        <v>6</v>
      </c>
      <c r="J4476">
        <v>64</v>
      </c>
    </row>
    <row r="4477" spans="1:10">
      <c r="A4477" s="3" t="s">
        <v>4453</v>
      </c>
      <c r="B4477">
        <v>6</v>
      </c>
      <c r="J4477">
        <v>64</v>
      </c>
    </row>
    <row r="4478" spans="1:10">
      <c r="A4478" s="3" t="s">
        <v>4454</v>
      </c>
      <c r="B4478">
        <v>6</v>
      </c>
      <c r="J4478">
        <v>64</v>
      </c>
    </row>
    <row r="4479" spans="1:10">
      <c r="A4479" s="3" t="s">
        <v>4455</v>
      </c>
      <c r="B4479">
        <v>6</v>
      </c>
      <c r="J4479">
        <v>64</v>
      </c>
    </row>
    <row r="4480" spans="1:10">
      <c r="A4480" s="3" t="s">
        <v>4456</v>
      </c>
      <c r="B4480">
        <v>6</v>
      </c>
      <c r="J4480">
        <v>64</v>
      </c>
    </row>
    <row r="4481" spans="1:44">
      <c r="A4481" s="3" t="s">
        <v>4457</v>
      </c>
      <c r="B4481">
        <v>6</v>
      </c>
      <c r="J4481">
        <v>64</v>
      </c>
    </row>
    <row r="4482" spans="1:44">
      <c r="A4482" s="3" t="s">
        <v>4458</v>
      </c>
      <c r="B4482">
        <v>6</v>
      </c>
      <c r="J4482">
        <v>64</v>
      </c>
    </row>
    <row r="4483" spans="1:44">
      <c r="A4483" s="3" t="s">
        <v>4459</v>
      </c>
      <c r="B4483">
        <v>6</v>
      </c>
      <c r="AR4483">
        <v>3</v>
      </c>
    </row>
    <row r="4484" spans="1:44">
      <c r="A4484" s="3" t="s">
        <v>4460</v>
      </c>
      <c r="B4484">
        <v>6</v>
      </c>
      <c r="AR4484">
        <v>3</v>
      </c>
    </row>
    <row r="4485" spans="1:44">
      <c r="A4485" s="3" t="s">
        <v>4461</v>
      </c>
      <c r="B4485">
        <v>6</v>
      </c>
      <c r="AR4485">
        <v>3</v>
      </c>
    </row>
    <row r="4486" spans="1:44">
      <c r="A4486" s="3" t="s">
        <v>4462</v>
      </c>
      <c r="B4486">
        <v>6</v>
      </c>
      <c r="AR4486">
        <v>3</v>
      </c>
    </row>
    <row r="4487" spans="1:44">
      <c r="A4487" s="3" t="s">
        <v>4463</v>
      </c>
      <c r="B4487">
        <v>6</v>
      </c>
      <c r="AR4487">
        <v>3</v>
      </c>
    </row>
    <row r="4488" spans="1:44">
      <c r="A4488" s="3" t="s">
        <v>4464</v>
      </c>
      <c r="B4488">
        <v>6</v>
      </c>
      <c r="AR4488">
        <v>3</v>
      </c>
    </row>
    <row r="4489" spans="1:44">
      <c r="A4489" s="3" t="s">
        <v>4465</v>
      </c>
      <c r="B4489">
        <v>6</v>
      </c>
      <c r="AR4489">
        <v>3</v>
      </c>
    </row>
    <row r="4490" spans="1:44">
      <c r="A4490" s="3" t="s">
        <v>4466</v>
      </c>
      <c r="B4490">
        <v>6</v>
      </c>
      <c r="AR4490">
        <v>3</v>
      </c>
    </row>
    <row r="4491" spans="1:44">
      <c r="A4491" s="3" t="s">
        <v>4467</v>
      </c>
      <c r="B4491">
        <v>6</v>
      </c>
      <c r="AR4491">
        <v>3</v>
      </c>
    </row>
    <row r="4492" spans="1:44">
      <c r="A4492" s="3" t="s">
        <v>4468</v>
      </c>
      <c r="B4492">
        <v>6</v>
      </c>
      <c r="AR4492">
        <v>3</v>
      </c>
    </row>
    <row r="4493" spans="1:44">
      <c r="A4493" s="3" t="s">
        <v>4469</v>
      </c>
      <c r="B4493">
        <v>6</v>
      </c>
      <c r="AR4493">
        <v>3</v>
      </c>
    </row>
    <row r="4494" spans="1:44">
      <c r="A4494" s="3" t="s">
        <v>4470</v>
      </c>
      <c r="B4494">
        <v>6</v>
      </c>
      <c r="AR4494">
        <v>3</v>
      </c>
    </row>
    <row r="4495" spans="1:44">
      <c r="A4495" s="3" t="s">
        <v>4471</v>
      </c>
      <c r="B4495">
        <v>6</v>
      </c>
      <c r="AR4495">
        <v>3</v>
      </c>
    </row>
    <row r="4496" spans="1:44">
      <c r="A4496" s="3" t="s">
        <v>4472</v>
      </c>
      <c r="B4496">
        <v>6</v>
      </c>
      <c r="AR4496">
        <v>3</v>
      </c>
    </row>
    <row r="4497" spans="1:44">
      <c r="A4497" s="3" t="s">
        <v>4473</v>
      </c>
      <c r="B4497">
        <v>6</v>
      </c>
      <c r="AR4497">
        <v>3</v>
      </c>
    </row>
    <row r="4498" spans="1:44">
      <c r="A4498" s="3" t="s">
        <v>4474</v>
      </c>
      <c r="B4498">
        <v>6</v>
      </c>
      <c r="AR4498">
        <v>3</v>
      </c>
    </row>
    <row r="4499" spans="1:44">
      <c r="A4499" s="3" t="s">
        <v>4475</v>
      </c>
      <c r="B4499">
        <v>6</v>
      </c>
      <c r="AR4499">
        <v>3</v>
      </c>
    </row>
    <row r="4500" spans="1:44">
      <c r="A4500" s="3" t="s">
        <v>4476</v>
      </c>
      <c r="B4500">
        <v>6</v>
      </c>
      <c r="AR4500">
        <v>3</v>
      </c>
    </row>
    <row r="4501" spans="1:44">
      <c r="A4501" s="3" t="s">
        <v>4477</v>
      </c>
      <c r="B4501">
        <v>6</v>
      </c>
      <c r="AR4501">
        <v>3</v>
      </c>
    </row>
    <row r="4502" spans="1:44">
      <c r="A4502" s="3" t="s">
        <v>4478</v>
      </c>
      <c r="B4502">
        <v>6</v>
      </c>
      <c r="AR4502">
        <v>3</v>
      </c>
    </row>
    <row r="4503" spans="1:44">
      <c r="A4503" s="3" t="s">
        <v>4479</v>
      </c>
      <c r="B4503">
        <v>6</v>
      </c>
      <c r="AR4503">
        <v>3</v>
      </c>
    </row>
    <row r="4504" spans="1:44">
      <c r="A4504" s="3" t="s">
        <v>4480</v>
      </c>
      <c r="B4504">
        <v>6</v>
      </c>
      <c r="AR4504">
        <v>3</v>
      </c>
    </row>
    <row r="4505" spans="1:44">
      <c r="A4505" s="3" t="s">
        <v>4481</v>
      </c>
      <c r="B4505">
        <v>6</v>
      </c>
      <c r="AR4505">
        <v>3</v>
      </c>
    </row>
    <row r="4506" spans="1:44">
      <c r="A4506" s="3" t="s">
        <v>4482</v>
      </c>
      <c r="B4506">
        <v>6</v>
      </c>
      <c r="AR4506">
        <v>3</v>
      </c>
    </row>
    <row r="4507" spans="1:44">
      <c r="A4507" s="3" t="s">
        <v>4483</v>
      </c>
      <c r="B4507">
        <v>6</v>
      </c>
      <c r="AR4507">
        <v>3</v>
      </c>
    </row>
    <row r="4508" spans="1:44">
      <c r="A4508" s="3" t="s">
        <v>4484</v>
      </c>
      <c r="B4508">
        <v>6</v>
      </c>
      <c r="AR4508">
        <v>3</v>
      </c>
    </row>
    <row r="4509" spans="1:44">
      <c r="A4509" s="3" t="s">
        <v>4485</v>
      </c>
      <c r="B4509">
        <v>6</v>
      </c>
      <c r="AR4509">
        <v>3</v>
      </c>
    </row>
    <row r="4510" spans="1:44">
      <c r="A4510" s="3" t="s">
        <v>4486</v>
      </c>
      <c r="B4510">
        <v>6</v>
      </c>
      <c r="AR4510">
        <v>3</v>
      </c>
    </row>
    <row r="4511" spans="1:44">
      <c r="A4511" s="3" t="s">
        <v>4487</v>
      </c>
      <c r="B4511">
        <v>6</v>
      </c>
      <c r="AR4511">
        <v>3</v>
      </c>
    </row>
    <row r="4512" spans="1:44">
      <c r="A4512" s="3" t="s">
        <v>4488</v>
      </c>
      <c r="B4512">
        <v>6</v>
      </c>
      <c r="AR4512">
        <v>3</v>
      </c>
    </row>
    <row r="4513" spans="1:44">
      <c r="A4513" s="3" t="s">
        <v>4489</v>
      </c>
      <c r="B4513">
        <v>6</v>
      </c>
      <c r="AR4513">
        <v>3</v>
      </c>
    </row>
    <row r="4514" spans="1:44">
      <c r="A4514" s="3" t="s">
        <v>4490</v>
      </c>
      <c r="B4514">
        <v>6</v>
      </c>
      <c r="AR4514">
        <v>3</v>
      </c>
    </row>
    <row r="4515" spans="1:44">
      <c r="A4515" s="3" t="s">
        <v>4491</v>
      </c>
      <c r="B4515">
        <v>6</v>
      </c>
      <c r="AR4515">
        <v>3</v>
      </c>
    </row>
    <row r="4516" spans="1:44">
      <c r="A4516" s="3" t="s">
        <v>4492</v>
      </c>
      <c r="B4516">
        <v>6</v>
      </c>
      <c r="AR4516">
        <v>3</v>
      </c>
    </row>
    <row r="4517" spans="1:44">
      <c r="A4517" s="3" t="s">
        <v>4493</v>
      </c>
      <c r="B4517">
        <v>6</v>
      </c>
      <c r="AR4517">
        <v>3</v>
      </c>
    </row>
    <row r="4518" spans="1:44">
      <c r="A4518" s="3" t="s">
        <v>4494</v>
      </c>
      <c r="B4518">
        <v>6</v>
      </c>
      <c r="AR4518">
        <v>3</v>
      </c>
    </row>
    <row r="4519" spans="1:44">
      <c r="A4519" s="3" t="s">
        <v>4495</v>
      </c>
      <c r="B4519">
        <v>6</v>
      </c>
      <c r="AR4519">
        <v>3</v>
      </c>
    </row>
    <row r="4520" spans="1:44">
      <c r="A4520" s="3" t="s">
        <v>4496</v>
      </c>
      <c r="B4520">
        <v>6</v>
      </c>
      <c r="AR4520">
        <v>3</v>
      </c>
    </row>
    <row r="4521" spans="1:44">
      <c r="A4521" s="3" t="s">
        <v>4497</v>
      </c>
      <c r="B4521">
        <v>6</v>
      </c>
      <c r="AR4521">
        <v>3</v>
      </c>
    </row>
    <row r="4522" spans="1:44">
      <c r="A4522" s="3" t="s">
        <v>4498</v>
      </c>
      <c r="B4522">
        <v>6</v>
      </c>
      <c r="AR4522">
        <v>3</v>
      </c>
    </row>
    <row r="4523" spans="1:44">
      <c r="A4523" s="3" t="s">
        <v>4499</v>
      </c>
      <c r="B4523">
        <v>6</v>
      </c>
      <c r="AR4523">
        <v>3</v>
      </c>
    </row>
    <row r="4524" spans="1:44">
      <c r="A4524" s="3" t="s">
        <v>4500</v>
      </c>
      <c r="B4524">
        <v>6</v>
      </c>
      <c r="AR4524">
        <v>3</v>
      </c>
    </row>
    <row r="4525" spans="1:44">
      <c r="A4525" s="3" t="s">
        <v>4501</v>
      </c>
      <c r="B4525">
        <v>6</v>
      </c>
      <c r="J4525">
        <v>65</v>
      </c>
    </row>
    <row r="4526" spans="1:44">
      <c r="A4526" s="3" t="s">
        <v>4502</v>
      </c>
      <c r="B4526">
        <v>6</v>
      </c>
      <c r="J4526">
        <v>65</v>
      </c>
    </row>
    <row r="4527" spans="1:44">
      <c r="A4527" s="3" t="s">
        <v>4503</v>
      </c>
      <c r="B4527">
        <v>6</v>
      </c>
      <c r="J4527">
        <v>65</v>
      </c>
    </row>
    <row r="4528" spans="1:44">
      <c r="A4528" s="3" t="s">
        <v>4504</v>
      </c>
      <c r="B4528">
        <v>6</v>
      </c>
      <c r="J4528">
        <v>65</v>
      </c>
    </row>
    <row r="4529" spans="1:42">
      <c r="A4529" s="3" t="s">
        <v>4505</v>
      </c>
      <c r="B4529">
        <v>6</v>
      </c>
      <c r="J4529">
        <v>65</v>
      </c>
    </row>
    <row r="4530" spans="1:42">
      <c r="A4530" s="3" t="s">
        <v>4506</v>
      </c>
      <c r="B4530">
        <v>6</v>
      </c>
      <c r="J4530">
        <v>65</v>
      </c>
    </row>
    <row r="4531" spans="1:42">
      <c r="A4531" s="3" t="s">
        <v>4507</v>
      </c>
      <c r="B4531">
        <v>6</v>
      </c>
      <c r="J4531">
        <v>65</v>
      </c>
    </row>
    <row r="4532" spans="1:42">
      <c r="A4532" s="3" t="s">
        <v>4508</v>
      </c>
      <c r="B4532">
        <v>6</v>
      </c>
      <c r="J4532">
        <v>65</v>
      </c>
    </row>
    <row r="4533" spans="1:42">
      <c r="A4533" s="3" t="s">
        <v>4509</v>
      </c>
      <c r="B4533">
        <v>6</v>
      </c>
      <c r="J4533">
        <v>65</v>
      </c>
    </row>
    <row r="4534" spans="1:42">
      <c r="A4534" s="3" t="s">
        <v>4510</v>
      </c>
      <c r="B4534">
        <v>6</v>
      </c>
      <c r="AP4534">
        <v>1</v>
      </c>
    </row>
    <row r="4535" spans="1:42">
      <c r="A4535" s="3" t="s">
        <v>4511</v>
      </c>
      <c r="B4535">
        <v>6</v>
      </c>
      <c r="AP4535">
        <v>1</v>
      </c>
    </row>
    <row r="4536" spans="1:42">
      <c r="A4536" s="3" t="s">
        <v>4512</v>
      </c>
      <c r="B4536">
        <v>6</v>
      </c>
      <c r="AP4536">
        <v>1</v>
      </c>
    </row>
    <row r="4537" spans="1:42">
      <c r="A4537" s="3" t="s">
        <v>4513</v>
      </c>
      <c r="B4537">
        <v>6</v>
      </c>
      <c r="AP4537">
        <v>1</v>
      </c>
    </row>
    <row r="4538" spans="1:42">
      <c r="A4538" s="3" t="s">
        <v>4514</v>
      </c>
      <c r="B4538">
        <v>6</v>
      </c>
      <c r="AP4538">
        <v>1</v>
      </c>
    </row>
    <row r="4539" spans="1:42">
      <c r="A4539" s="3" t="s">
        <v>4515</v>
      </c>
      <c r="B4539">
        <v>6</v>
      </c>
      <c r="AP4539">
        <v>1</v>
      </c>
    </row>
    <row r="4540" spans="1:42">
      <c r="A4540" s="3" t="s">
        <v>4516</v>
      </c>
      <c r="B4540">
        <v>6</v>
      </c>
      <c r="AP4540">
        <v>1</v>
      </c>
    </row>
    <row r="4541" spans="1:42">
      <c r="A4541" s="3" t="s">
        <v>4517</v>
      </c>
      <c r="B4541">
        <v>6</v>
      </c>
      <c r="AP4541">
        <v>1</v>
      </c>
    </row>
    <row r="4542" spans="1:42">
      <c r="A4542" s="3" t="s">
        <v>4518</v>
      </c>
      <c r="B4542">
        <v>6</v>
      </c>
      <c r="AP4542">
        <v>1</v>
      </c>
    </row>
    <row r="4543" spans="1:42">
      <c r="A4543" s="3" t="s">
        <v>4519</v>
      </c>
      <c r="B4543">
        <v>6</v>
      </c>
      <c r="AP4543">
        <v>1</v>
      </c>
    </row>
    <row r="4544" spans="1:42">
      <c r="A4544" s="3" t="s">
        <v>4520</v>
      </c>
      <c r="B4544">
        <v>6</v>
      </c>
      <c r="AP4544">
        <v>1</v>
      </c>
    </row>
    <row r="4545" spans="1:42">
      <c r="A4545" s="3" t="s">
        <v>4521</v>
      </c>
      <c r="B4545">
        <v>6</v>
      </c>
      <c r="AP4545">
        <v>1</v>
      </c>
    </row>
    <row r="4546" spans="1:42">
      <c r="A4546" s="3" t="s">
        <v>4522</v>
      </c>
      <c r="B4546">
        <v>6</v>
      </c>
      <c r="AP4546">
        <v>1</v>
      </c>
    </row>
    <row r="4547" spans="1:42">
      <c r="A4547" s="3" t="s">
        <v>4523</v>
      </c>
      <c r="B4547">
        <v>6</v>
      </c>
      <c r="AP4547">
        <v>1</v>
      </c>
    </row>
    <row r="4548" spans="1:42">
      <c r="A4548" s="3" t="s">
        <v>4524</v>
      </c>
      <c r="B4548">
        <v>6</v>
      </c>
      <c r="AP4548">
        <v>1</v>
      </c>
    </row>
    <row r="4549" spans="1:42">
      <c r="A4549" s="3" t="s">
        <v>4525</v>
      </c>
      <c r="B4549">
        <v>6</v>
      </c>
      <c r="AP4549">
        <v>1</v>
      </c>
    </row>
    <row r="4550" spans="1:42">
      <c r="A4550" s="3" t="s">
        <v>4526</v>
      </c>
      <c r="B4550">
        <v>6</v>
      </c>
      <c r="AP4550">
        <v>1</v>
      </c>
    </row>
    <row r="4551" spans="1:42">
      <c r="A4551" s="3" t="s">
        <v>4527</v>
      </c>
      <c r="B4551">
        <v>6</v>
      </c>
      <c r="AP4551">
        <v>1</v>
      </c>
    </row>
    <row r="4552" spans="1:42">
      <c r="A4552" s="3" t="s">
        <v>4528</v>
      </c>
      <c r="B4552">
        <v>6</v>
      </c>
      <c r="AP4552">
        <v>1</v>
      </c>
    </row>
    <row r="4553" spans="1:42">
      <c r="A4553" s="3" t="s">
        <v>4529</v>
      </c>
      <c r="B4553">
        <v>6</v>
      </c>
      <c r="AP4553">
        <v>1</v>
      </c>
    </row>
    <row r="4554" spans="1:42">
      <c r="A4554" s="3" t="s">
        <v>4530</v>
      </c>
      <c r="B4554">
        <v>6</v>
      </c>
      <c r="AP4554">
        <v>1</v>
      </c>
    </row>
    <row r="4555" spans="1:42">
      <c r="A4555" s="3" t="s">
        <v>4531</v>
      </c>
      <c r="B4555">
        <v>6</v>
      </c>
      <c r="AP4555">
        <v>1</v>
      </c>
    </row>
    <row r="4556" spans="1:42">
      <c r="A4556" s="3" t="s">
        <v>4532</v>
      </c>
      <c r="B4556">
        <v>6</v>
      </c>
      <c r="AP4556">
        <v>1</v>
      </c>
    </row>
    <row r="4557" spans="1:42">
      <c r="A4557" s="3" t="s">
        <v>4533</v>
      </c>
      <c r="B4557">
        <v>6</v>
      </c>
      <c r="AP4557">
        <v>1</v>
      </c>
    </row>
    <row r="4558" spans="1:42">
      <c r="A4558" s="3" t="s">
        <v>4534</v>
      </c>
      <c r="B4558">
        <v>6</v>
      </c>
      <c r="AP4558">
        <v>1</v>
      </c>
    </row>
    <row r="4559" spans="1:42">
      <c r="A4559" s="3" t="s">
        <v>4535</v>
      </c>
      <c r="B4559">
        <v>6</v>
      </c>
      <c r="AP4559">
        <v>1</v>
      </c>
    </row>
    <row r="4560" spans="1:42">
      <c r="A4560" s="3" t="s">
        <v>4536</v>
      </c>
      <c r="B4560">
        <v>6</v>
      </c>
      <c r="AP4560">
        <v>1</v>
      </c>
    </row>
    <row r="4561" spans="1:49">
      <c r="A4561" s="3" t="s">
        <v>4537</v>
      </c>
      <c r="B4561">
        <v>6</v>
      </c>
      <c r="AP4561">
        <v>1</v>
      </c>
    </row>
    <row r="4562" spans="1:49">
      <c r="A4562" s="3" t="s">
        <v>4538</v>
      </c>
      <c r="B4562">
        <v>6</v>
      </c>
      <c r="AW4562">
        <v>37</v>
      </c>
    </row>
    <row r="4563" spans="1:49">
      <c r="A4563" s="3" t="s">
        <v>4539</v>
      </c>
      <c r="B4563">
        <v>6</v>
      </c>
      <c r="AW4563">
        <v>37</v>
      </c>
    </row>
    <row r="4564" spans="1:49">
      <c r="A4564" s="3" t="s">
        <v>4540</v>
      </c>
      <c r="B4564">
        <v>6</v>
      </c>
      <c r="AW4564">
        <v>37</v>
      </c>
    </row>
    <row r="4565" spans="1:49">
      <c r="A4565" s="3" t="s">
        <v>4541</v>
      </c>
      <c r="B4565">
        <v>6</v>
      </c>
      <c r="AW4565">
        <v>37</v>
      </c>
    </row>
    <row r="4566" spans="1:49">
      <c r="A4566" s="3" t="s">
        <v>4542</v>
      </c>
      <c r="B4566">
        <v>6</v>
      </c>
      <c r="J4566">
        <v>66</v>
      </c>
    </row>
    <row r="4567" spans="1:49">
      <c r="A4567" s="3" t="s">
        <v>4543</v>
      </c>
      <c r="B4567">
        <v>6</v>
      </c>
      <c r="J4567">
        <v>66</v>
      </c>
    </row>
    <row r="4568" spans="1:49">
      <c r="A4568" s="3" t="s">
        <v>4544</v>
      </c>
      <c r="B4568">
        <v>6</v>
      </c>
      <c r="J4568">
        <v>66</v>
      </c>
    </row>
    <row r="4569" spans="1:49">
      <c r="A4569" s="3" t="s">
        <v>4545</v>
      </c>
      <c r="B4569">
        <v>6</v>
      </c>
      <c r="J4569">
        <v>66</v>
      </c>
    </row>
    <row r="4570" spans="1:49">
      <c r="A4570" s="3" t="s">
        <v>4546</v>
      </c>
      <c r="B4570">
        <v>6</v>
      </c>
      <c r="J4570">
        <v>66</v>
      </c>
    </row>
    <row r="4571" spans="1:49">
      <c r="A4571" s="3" t="s">
        <v>4547</v>
      </c>
      <c r="B4571">
        <v>6</v>
      </c>
      <c r="AQ4571">
        <v>1</v>
      </c>
    </row>
    <row r="4572" spans="1:49">
      <c r="A4572" s="3" t="s">
        <v>4548</v>
      </c>
      <c r="B4572">
        <v>6</v>
      </c>
      <c r="AQ4572">
        <v>1</v>
      </c>
    </row>
    <row r="4573" spans="1:49">
      <c r="A4573" s="3" t="s">
        <v>4549</v>
      </c>
      <c r="B4573">
        <v>6</v>
      </c>
      <c r="AQ4573">
        <v>1</v>
      </c>
    </row>
    <row r="4574" spans="1:49">
      <c r="A4574" s="3" t="s">
        <v>4550</v>
      </c>
      <c r="B4574">
        <v>6</v>
      </c>
      <c r="AQ4574">
        <v>1</v>
      </c>
    </row>
    <row r="4575" spans="1:49">
      <c r="A4575" s="3" t="s">
        <v>4551</v>
      </c>
      <c r="B4575">
        <v>6</v>
      </c>
      <c r="AQ4575">
        <v>1</v>
      </c>
    </row>
    <row r="4576" spans="1:49">
      <c r="A4576" s="3" t="s">
        <v>4552</v>
      </c>
      <c r="B4576">
        <v>6</v>
      </c>
      <c r="AQ4576">
        <v>1</v>
      </c>
    </row>
    <row r="4577" spans="1:49">
      <c r="A4577" s="3" t="s">
        <v>4553</v>
      </c>
      <c r="B4577">
        <v>6</v>
      </c>
      <c r="AQ4577">
        <v>1</v>
      </c>
    </row>
    <row r="4578" spans="1:49">
      <c r="A4578" s="3" t="s">
        <v>4554</v>
      </c>
      <c r="B4578">
        <v>6</v>
      </c>
      <c r="AQ4578">
        <v>1</v>
      </c>
    </row>
    <row r="4579" spans="1:49">
      <c r="A4579" s="3" t="s">
        <v>4555</v>
      </c>
      <c r="B4579">
        <v>6</v>
      </c>
      <c r="AQ4579">
        <v>1</v>
      </c>
    </row>
    <row r="4580" spans="1:49">
      <c r="A4580" s="3" t="s">
        <v>4556</v>
      </c>
      <c r="B4580">
        <v>6</v>
      </c>
      <c r="AQ4580">
        <v>1</v>
      </c>
    </row>
    <row r="4581" spans="1:49">
      <c r="A4581" s="3" t="s">
        <v>4557</v>
      </c>
      <c r="B4581">
        <v>6</v>
      </c>
      <c r="AQ4581">
        <v>1</v>
      </c>
    </row>
    <row r="4582" spans="1:49">
      <c r="A4582" s="3" t="s">
        <v>4558</v>
      </c>
      <c r="B4582">
        <v>6</v>
      </c>
      <c r="AQ4582">
        <v>1</v>
      </c>
    </row>
    <row r="4583" spans="1:49">
      <c r="A4583" s="3" t="s">
        <v>4559</v>
      </c>
      <c r="B4583">
        <v>6</v>
      </c>
      <c r="AW4583">
        <v>38</v>
      </c>
    </row>
    <row r="4584" spans="1:49">
      <c r="A4584" s="3" t="s">
        <v>4560</v>
      </c>
      <c r="B4584">
        <v>6</v>
      </c>
      <c r="AW4584">
        <v>38</v>
      </c>
    </row>
    <row r="4585" spans="1:49">
      <c r="A4585" s="3" t="s">
        <v>4561</v>
      </c>
      <c r="B4585">
        <v>6</v>
      </c>
      <c r="J4585">
        <v>67</v>
      </c>
    </row>
    <row r="4586" spans="1:49">
      <c r="A4586" s="3" t="s">
        <v>4562</v>
      </c>
      <c r="B4586">
        <v>6</v>
      </c>
      <c r="J4586">
        <v>67</v>
      </c>
    </row>
    <row r="4587" spans="1:49">
      <c r="A4587" s="3" t="s">
        <v>4563</v>
      </c>
      <c r="B4587">
        <v>6</v>
      </c>
      <c r="J4587">
        <v>67</v>
      </c>
    </row>
    <row r="4588" spans="1:49">
      <c r="A4588" s="3" t="s">
        <v>4564</v>
      </c>
      <c r="B4588">
        <v>6</v>
      </c>
      <c r="J4588">
        <v>67</v>
      </c>
    </row>
    <row r="4589" spans="1:49">
      <c r="A4589" s="3" t="s">
        <v>4565</v>
      </c>
      <c r="B4589">
        <v>6</v>
      </c>
      <c r="J4589">
        <v>67</v>
      </c>
    </row>
    <row r="4590" spans="1:49">
      <c r="A4590" s="3" t="s">
        <v>4566</v>
      </c>
      <c r="B4590">
        <v>6</v>
      </c>
      <c r="J4590">
        <v>67</v>
      </c>
    </row>
    <row r="4591" spans="1:49">
      <c r="A4591" s="3" t="s">
        <v>4567</v>
      </c>
      <c r="B4591">
        <v>6</v>
      </c>
      <c r="AW4591">
        <v>39</v>
      </c>
    </row>
    <row r="4592" spans="1:49">
      <c r="A4592" s="3" t="s">
        <v>4568</v>
      </c>
      <c r="B4592">
        <v>6</v>
      </c>
      <c r="AV4592">
        <v>9</v>
      </c>
    </row>
    <row r="4593" spans="1:48">
      <c r="A4593" s="3" t="s">
        <v>4569</v>
      </c>
      <c r="B4593">
        <v>6</v>
      </c>
      <c r="AV4593">
        <v>9</v>
      </c>
    </row>
    <row r="4594" spans="1:48">
      <c r="A4594" s="3" t="s">
        <v>4570</v>
      </c>
      <c r="B4594">
        <v>6</v>
      </c>
      <c r="AV4594">
        <v>9</v>
      </c>
    </row>
    <row r="4595" spans="1:48">
      <c r="A4595" s="3" t="s">
        <v>4571</v>
      </c>
      <c r="B4595">
        <v>6</v>
      </c>
      <c r="AV4595">
        <v>9</v>
      </c>
    </row>
    <row r="4596" spans="1:48">
      <c r="A4596" s="3" t="s">
        <v>4572</v>
      </c>
      <c r="B4596">
        <v>6</v>
      </c>
      <c r="AV4596">
        <v>9</v>
      </c>
    </row>
    <row r="4597" spans="1:48">
      <c r="A4597" s="3" t="s">
        <v>4573</v>
      </c>
      <c r="B4597">
        <v>6</v>
      </c>
      <c r="AV4597">
        <v>9</v>
      </c>
    </row>
    <row r="4598" spans="1:48">
      <c r="A4598" s="3" t="s">
        <v>4574</v>
      </c>
      <c r="B4598">
        <v>6</v>
      </c>
      <c r="AV4598">
        <v>9</v>
      </c>
    </row>
    <row r="4599" spans="1:48">
      <c r="A4599" s="3" t="s">
        <v>4575</v>
      </c>
      <c r="B4599">
        <v>6</v>
      </c>
      <c r="AV4599">
        <v>9</v>
      </c>
    </row>
    <row r="4600" spans="1:48">
      <c r="A4600" s="3" t="s">
        <v>4576</v>
      </c>
      <c r="B4600">
        <v>6</v>
      </c>
      <c r="AV4600">
        <v>9</v>
      </c>
    </row>
    <row r="4601" spans="1:48">
      <c r="A4601" s="3" t="s">
        <v>4577</v>
      </c>
      <c r="B4601">
        <v>6</v>
      </c>
      <c r="AV4601">
        <v>9</v>
      </c>
    </row>
    <row r="4602" spans="1:48">
      <c r="A4602" s="3" t="s">
        <v>4578</v>
      </c>
      <c r="B4602">
        <v>6</v>
      </c>
      <c r="AV4602">
        <v>9</v>
      </c>
    </row>
    <row r="4603" spans="1:48">
      <c r="A4603" s="3" t="s">
        <v>4579</v>
      </c>
      <c r="B4603">
        <v>6</v>
      </c>
      <c r="AV4603">
        <v>9</v>
      </c>
    </row>
    <row r="4604" spans="1:48">
      <c r="A4604" s="3" t="s">
        <v>4580</v>
      </c>
      <c r="B4604">
        <v>6</v>
      </c>
      <c r="AV4604">
        <v>9</v>
      </c>
    </row>
    <row r="4605" spans="1:48">
      <c r="A4605" s="3" t="s">
        <v>4581</v>
      </c>
      <c r="B4605">
        <v>6</v>
      </c>
      <c r="AV4605">
        <v>9</v>
      </c>
    </row>
    <row r="4606" spans="1:48">
      <c r="A4606" s="3" t="s">
        <v>4582</v>
      </c>
      <c r="B4606">
        <v>6</v>
      </c>
      <c r="AV4606">
        <v>9</v>
      </c>
    </row>
    <row r="4607" spans="1:48">
      <c r="A4607" s="3" t="s">
        <v>4583</v>
      </c>
      <c r="B4607">
        <v>6</v>
      </c>
      <c r="AV4607">
        <v>9</v>
      </c>
    </row>
    <row r="4608" spans="1:48">
      <c r="A4608" s="3" t="s">
        <v>4584</v>
      </c>
      <c r="B4608">
        <v>6</v>
      </c>
      <c r="AV4608">
        <v>9</v>
      </c>
    </row>
    <row r="4609" spans="1:48">
      <c r="A4609" s="3" t="s">
        <v>4585</v>
      </c>
      <c r="B4609">
        <v>6</v>
      </c>
      <c r="AV4609">
        <v>9</v>
      </c>
    </row>
    <row r="4610" spans="1:48">
      <c r="A4610" s="3" t="s">
        <v>4586</v>
      </c>
      <c r="B4610">
        <v>6</v>
      </c>
      <c r="AV4610">
        <v>9</v>
      </c>
    </row>
    <row r="4611" spans="1:48">
      <c r="A4611" s="3" t="s">
        <v>4587</v>
      </c>
      <c r="B4611">
        <v>6</v>
      </c>
      <c r="AV4611">
        <v>9</v>
      </c>
    </row>
    <row r="4612" spans="1:48">
      <c r="A4612" s="3" t="s">
        <v>4588</v>
      </c>
      <c r="B4612">
        <v>6</v>
      </c>
      <c r="AV4612">
        <v>9</v>
      </c>
    </row>
    <row r="4613" spans="1:48">
      <c r="A4613" s="3" t="s">
        <v>4589</v>
      </c>
      <c r="B4613">
        <v>6</v>
      </c>
      <c r="AV4613">
        <v>9</v>
      </c>
    </row>
    <row r="4614" spans="1:48">
      <c r="A4614" s="3" t="s">
        <v>4590</v>
      </c>
      <c r="B4614">
        <v>6</v>
      </c>
      <c r="AV4614">
        <v>9</v>
      </c>
    </row>
    <row r="4615" spans="1:48">
      <c r="A4615" s="3" t="s">
        <v>4591</v>
      </c>
      <c r="B4615">
        <v>6</v>
      </c>
      <c r="AV4615">
        <v>9</v>
      </c>
    </row>
    <row r="4616" spans="1:48">
      <c r="A4616" s="3" t="s">
        <v>4592</v>
      </c>
      <c r="B4616">
        <v>6</v>
      </c>
      <c r="AV4616">
        <v>9</v>
      </c>
    </row>
    <row r="4617" spans="1:48">
      <c r="A4617" s="3" t="s">
        <v>4593</v>
      </c>
      <c r="B4617">
        <v>6</v>
      </c>
      <c r="AV4617">
        <v>9</v>
      </c>
    </row>
    <row r="4618" spans="1:48">
      <c r="A4618" s="3" t="s">
        <v>4594</v>
      </c>
      <c r="B4618">
        <v>6</v>
      </c>
      <c r="AV4618">
        <v>9</v>
      </c>
    </row>
    <row r="4619" spans="1:48">
      <c r="A4619" s="3" t="s">
        <v>4595</v>
      </c>
      <c r="B4619">
        <v>6</v>
      </c>
      <c r="AV4619">
        <v>9</v>
      </c>
    </row>
    <row r="4620" spans="1:48">
      <c r="A4620" s="3" t="s">
        <v>4596</v>
      </c>
      <c r="B4620">
        <v>6</v>
      </c>
      <c r="AV4620">
        <v>9</v>
      </c>
    </row>
    <row r="4621" spans="1:48">
      <c r="A4621" s="3" t="s">
        <v>4597</v>
      </c>
      <c r="B4621">
        <v>6</v>
      </c>
      <c r="AV4621">
        <v>9</v>
      </c>
    </row>
    <row r="4622" spans="1:48">
      <c r="A4622" s="3" t="s">
        <v>4598</v>
      </c>
      <c r="B4622">
        <v>6</v>
      </c>
      <c r="AV4622">
        <v>9</v>
      </c>
    </row>
    <row r="4623" spans="1:48">
      <c r="A4623" s="3" t="s">
        <v>4599</v>
      </c>
      <c r="B4623">
        <v>6</v>
      </c>
      <c r="AV4623">
        <v>9</v>
      </c>
    </row>
    <row r="4624" spans="1:48">
      <c r="A4624" s="3" t="s">
        <v>4600</v>
      </c>
      <c r="B4624">
        <v>6</v>
      </c>
      <c r="AV4624">
        <v>9</v>
      </c>
    </row>
    <row r="4625" spans="1:48">
      <c r="A4625" s="3" t="s">
        <v>4601</v>
      </c>
      <c r="B4625">
        <v>6</v>
      </c>
      <c r="AV4625">
        <v>9</v>
      </c>
    </row>
    <row r="4626" spans="1:48">
      <c r="A4626" s="3" t="s">
        <v>4602</v>
      </c>
      <c r="B4626">
        <v>6</v>
      </c>
      <c r="AV4626">
        <v>9</v>
      </c>
    </row>
    <row r="4627" spans="1:48">
      <c r="A4627" s="3" t="s">
        <v>4603</v>
      </c>
      <c r="B4627">
        <v>6</v>
      </c>
      <c r="AV4627">
        <v>9</v>
      </c>
    </row>
    <row r="4628" spans="1:48">
      <c r="A4628" s="3" t="s">
        <v>4604</v>
      </c>
      <c r="B4628">
        <v>6</v>
      </c>
      <c r="AV4628">
        <v>9</v>
      </c>
    </row>
    <row r="4629" spans="1:48">
      <c r="A4629" s="3" t="s">
        <v>4605</v>
      </c>
      <c r="B4629">
        <v>6</v>
      </c>
      <c r="AV4629">
        <v>9</v>
      </c>
    </row>
    <row r="4630" spans="1:48">
      <c r="A4630" s="3" t="s">
        <v>4606</v>
      </c>
      <c r="B4630">
        <v>6</v>
      </c>
      <c r="AV4630">
        <v>9</v>
      </c>
    </row>
    <row r="4631" spans="1:48">
      <c r="A4631" s="3" t="s">
        <v>4607</v>
      </c>
      <c r="B4631">
        <v>6</v>
      </c>
      <c r="AV4631">
        <v>9</v>
      </c>
    </row>
    <row r="4632" spans="1:48">
      <c r="A4632" s="3" t="s">
        <v>4608</v>
      </c>
      <c r="B4632">
        <v>6</v>
      </c>
      <c r="AV4632">
        <v>9</v>
      </c>
    </row>
    <row r="4633" spans="1:48">
      <c r="A4633" s="3" t="s">
        <v>4609</v>
      </c>
      <c r="B4633">
        <v>6</v>
      </c>
      <c r="AV4633">
        <v>9</v>
      </c>
    </row>
    <row r="4634" spans="1:48">
      <c r="A4634" s="3" t="s">
        <v>4610</v>
      </c>
      <c r="B4634">
        <v>6</v>
      </c>
      <c r="AV4634">
        <v>9</v>
      </c>
    </row>
    <row r="4635" spans="1:48">
      <c r="A4635" s="3" t="s">
        <v>4611</v>
      </c>
      <c r="B4635">
        <v>6</v>
      </c>
      <c r="AV4635">
        <v>9</v>
      </c>
    </row>
    <row r="4636" spans="1:48">
      <c r="A4636" s="3" t="s">
        <v>4612</v>
      </c>
      <c r="B4636">
        <v>6</v>
      </c>
      <c r="AV4636">
        <v>9</v>
      </c>
    </row>
    <row r="4637" spans="1:48">
      <c r="A4637" s="3" t="s">
        <v>4613</v>
      </c>
      <c r="B4637">
        <v>6</v>
      </c>
      <c r="AV4637">
        <v>9</v>
      </c>
    </row>
    <row r="4638" spans="1:48">
      <c r="A4638" s="3" t="s">
        <v>4614</v>
      </c>
      <c r="B4638">
        <v>6</v>
      </c>
      <c r="AV4638">
        <v>9</v>
      </c>
    </row>
    <row r="4639" spans="1:48">
      <c r="A4639" s="3" t="s">
        <v>4615</v>
      </c>
      <c r="B4639">
        <v>6</v>
      </c>
      <c r="AV4639">
        <v>9</v>
      </c>
    </row>
    <row r="4640" spans="1:48">
      <c r="A4640" s="3" t="s">
        <v>4616</v>
      </c>
      <c r="B4640">
        <v>6</v>
      </c>
      <c r="AV4640">
        <v>9</v>
      </c>
    </row>
    <row r="4641" spans="1:48">
      <c r="A4641" s="3" t="s">
        <v>4617</v>
      </c>
      <c r="B4641">
        <v>6</v>
      </c>
      <c r="AV4641">
        <v>9</v>
      </c>
    </row>
    <row r="4642" spans="1:48">
      <c r="A4642" s="3" t="s">
        <v>4618</v>
      </c>
      <c r="B4642">
        <v>6</v>
      </c>
      <c r="AV4642">
        <v>9</v>
      </c>
    </row>
    <row r="4643" spans="1:48">
      <c r="A4643" s="3" t="s">
        <v>4619</v>
      </c>
      <c r="B4643">
        <v>6</v>
      </c>
      <c r="AV4643">
        <v>9</v>
      </c>
    </row>
    <row r="4644" spans="1:48">
      <c r="A4644" s="3" t="s">
        <v>4620</v>
      </c>
      <c r="B4644">
        <v>6</v>
      </c>
      <c r="AV4644">
        <v>9</v>
      </c>
    </row>
    <row r="4645" spans="1:48">
      <c r="A4645" s="3" t="s">
        <v>4621</v>
      </c>
      <c r="B4645">
        <v>6</v>
      </c>
      <c r="AV4645">
        <v>9</v>
      </c>
    </row>
    <row r="4646" spans="1:48">
      <c r="A4646" s="3" t="s">
        <v>4622</v>
      </c>
      <c r="B4646">
        <v>6</v>
      </c>
      <c r="AV4646">
        <v>9</v>
      </c>
    </row>
    <row r="4647" spans="1:48">
      <c r="A4647" s="3" t="s">
        <v>4623</v>
      </c>
      <c r="B4647">
        <v>6</v>
      </c>
      <c r="AV4647">
        <v>9</v>
      </c>
    </row>
    <row r="4648" spans="1:48">
      <c r="A4648" s="3" t="s">
        <v>4624</v>
      </c>
      <c r="B4648">
        <v>6</v>
      </c>
      <c r="AV4648">
        <v>9</v>
      </c>
    </row>
    <row r="4649" spans="1:48">
      <c r="A4649" s="3" t="s">
        <v>4625</v>
      </c>
      <c r="B4649">
        <v>6</v>
      </c>
      <c r="AV4649">
        <v>9</v>
      </c>
    </row>
    <row r="4650" spans="1:48">
      <c r="A4650" s="3" t="s">
        <v>4626</v>
      </c>
      <c r="B4650">
        <v>6</v>
      </c>
      <c r="AV4650">
        <v>9</v>
      </c>
    </row>
    <row r="4651" spans="1:48">
      <c r="A4651" s="3" t="s">
        <v>4627</v>
      </c>
      <c r="B4651">
        <v>6</v>
      </c>
      <c r="AV4651">
        <v>9</v>
      </c>
    </row>
    <row r="4652" spans="1:48">
      <c r="A4652" s="3" t="s">
        <v>4628</v>
      </c>
      <c r="B4652">
        <v>6</v>
      </c>
      <c r="AV4652">
        <v>9</v>
      </c>
    </row>
    <row r="4653" spans="1:48">
      <c r="A4653" s="3" t="s">
        <v>4629</v>
      </c>
      <c r="B4653">
        <v>6</v>
      </c>
      <c r="AV4653">
        <v>9</v>
      </c>
    </row>
    <row r="4654" spans="1:48">
      <c r="A4654" s="3" t="s">
        <v>4630</v>
      </c>
      <c r="B4654">
        <v>6</v>
      </c>
      <c r="AV4654">
        <v>9</v>
      </c>
    </row>
    <row r="4655" spans="1:48">
      <c r="A4655" s="3" t="s">
        <v>4631</v>
      </c>
      <c r="B4655">
        <v>6</v>
      </c>
      <c r="AV4655">
        <v>9</v>
      </c>
    </row>
    <row r="4656" spans="1:48">
      <c r="A4656" s="3" t="s">
        <v>4632</v>
      </c>
      <c r="B4656">
        <v>6</v>
      </c>
      <c r="AV4656">
        <v>9</v>
      </c>
    </row>
    <row r="4657" spans="1:48">
      <c r="A4657" s="3" t="s">
        <v>4633</v>
      </c>
      <c r="B4657">
        <v>6</v>
      </c>
      <c r="AV4657">
        <v>9</v>
      </c>
    </row>
    <row r="4658" spans="1:48">
      <c r="A4658" s="3" t="s">
        <v>4634</v>
      </c>
      <c r="B4658">
        <v>6</v>
      </c>
      <c r="AV4658">
        <v>9</v>
      </c>
    </row>
    <row r="4659" spans="1:48">
      <c r="A4659" s="3" t="s">
        <v>4635</v>
      </c>
      <c r="B4659">
        <v>6</v>
      </c>
      <c r="AV4659">
        <v>9</v>
      </c>
    </row>
    <row r="4660" spans="1:48">
      <c r="A4660" s="3" t="s">
        <v>4636</v>
      </c>
      <c r="B4660">
        <v>6</v>
      </c>
      <c r="AV4660">
        <v>9</v>
      </c>
    </row>
    <row r="4661" spans="1:48">
      <c r="A4661" s="3" t="s">
        <v>4637</v>
      </c>
      <c r="B4661">
        <v>6</v>
      </c>
      <c r="AV4661">
        <v>9</v>
      </c>
    </row>
    <row r="4662" spans="1:48">
      <c r="A4662" s="3" t="s">
        <v>4638</v>
      </c>
      <c r="B4662">
        <v>6</v>
      </c>
      <c r="AV4662">
        <v>9</v>
      </c>
    </row>
    <row r="4663" spans="1:48">
      <c r="A4663" s="3" t="s">
        <v>4639</v>
      </c>
      <c r="B4663">
        <v>6</v>
      </c>
      <c r="AV4663">
        <v>9</v>
      </c>
    </row>
    <row r="4664" spans="1:48">
      <c r="A4664" s="3" t="s">
        <v>4640</v>
      </c>
      <c r="B4664">
        <v>6</v>
      </c>
      <c r="AV4664">
        <v>9</v>
      </c>
    </row>
    <row r="4665" spans="1:48">
      <c r="A4665" s="3" t="s">
        <v>4641</v>
      </c>
      <c r="B4665">
        <v>6</v>
      </c>
      <c r="AV4665">
        <v>9</v>
      </c>
    </row>
    <row r="4666" spans="1:48">
      <c r="A4666" s="3" t="s">
        <v>4642</v>
      </c>
      <c r="B4666">
        <v>6</v>
      </c>
      <c r="AV4666">
        <v>9</v>
      </c>
    </row>
    <row r="4667" spans="1:48">
      <c r="A4667" s="3" t="s">
        <v>4643</v>
      </c>
      <c r="B4667">
        <v>6</v>
      </c>
      <c r="AV4667">
        <v>9</v>
      </c>
    </row>
    <row r="4668" spans="1:48">
      <c r="A4668" s="3" t="s">
        <v>4644</v>
      </c>
      <c r="B4668">
        <v>6</v>
      </c>
      <c r="AV4668">
        <v>9</v>
      </c>
    </row>
    <row r="4669" spans="1:48">
      <c r="A4669" s="3" t="s">
        <v>4645</v>
      </c>
      <c r="B4669">
        <v>6</v>
      </c>
      <c r="AV4669">
        <v>9</v>
      </c>
    </row>
    <row r="4670" spans="1:48">
      <c r="A4670" s="3" t="s">
        <v>4646</v>
      </c>
      <c r="B4670">
        <v>6</v>
      </c>
      <c r="AV4670">
        <v>9</v>
      </c>
    </row>
    <row r="4671" spans="1:48">
      <c r="A4671" s="3" t="s">
        <v>4647</v>
      </c>
      <c r="B4671">
        <v>6</v>
      </c>
      <c r="AV4671">
        <v>9</v>
      </c>
    </row>
    <row r="4672" spans="1:48">
      <c r="A4672" s="3" t="s">
        <v>4648</v>
      </c>
      <c r="B4672">
        <v>6</v>
      </c>
      <c r="AV4672">
        <v>9</v>
      </c>
    </row>
    <row r="4673" spans="1:48">
      <c r="A4673" s="3" t="s">
        <v>4649</v>
      </c>
      <c r="B4673">
        <v>6</v>
      </c>
      <c r="AV4673">
        <v>9</v>
      </c>
    </row>
    <row r="4674" spans="1:48">
      <c r="A4674" s="3" t="s">
        <v>4650</v>
      </c>
      <c r="B4674">
        <v>6</v>
      </c>
      <c r="AV4674">
        <v>9</v>
      </c>
    </row>
    <row r="4675" spans="1:48">
      <c r="A4675" s="3" t="s">
        <v>4651</v>
      </c>
      <c r="B4675">
        <v>6</v>
      </c>
      <c r="AV4675">
        <v>9</v>
      </c>
    </row>
    <row r="4676" spans="1:48">
      <c r="A4676" s="3" t="s">
        <v>4652</v>
      </c>
      <c r="B4676">
        <v>6</v>
      </c>
      <c r="AV4676">
        <v>9</v>
      </c>
    </row>
    <row r="4677" spans="1:48">
      <c r="A4677" s="3" t="s">
        <v>4653</v>
      </c>
      <c r="B4677">
        <v>6</v>
      </c>
      <c r="AV4677">
        <v>9</v>
      </c>
    </row>
    <row r="4678" spans="1:48">
      <c r="A4678" s="3" t="s">
        <v>4654</v>
      </c>
      <c r="B4678">
        <v>6</v>
      </c>
      <c r="L4678">
        <v>9</v>
      </c>
    </row>
    <row r="4679" spans="1:48">
      <c r="A4679" s="3" t="s">
        <v>4655</v>
      </c>
      <c r="B4679">
        <v>6</v>
      </c>
      <c r="L4679">
        <v>9</v>
      </c>
    </row>
    <row r="4680" spans="1:48">
      <c r="A4680" s="3" t="s">
        <v>4656</v>
      </c>
      <c r="B4680">
        <v>6</v>
      </c>
      <c r="L4680">
        <v>9</v>
      </c>
    </row>
    <row r="4681" spans="1:48">
      <c r="A4681" s="3" t="s">
        <v>4657</v>
      </c>
      <c r="B4681">
        <v>6</v>
      </c>
      <c r="L4681">
        <v>9</v>
      </c>
    </row>
    <row r="4682" spans="1:48">
      <c r="A4682" s="3" t="s">
        <v>4658</v>
      </c>
      <c r="B4682">
        <v>6</v>
      </c>
      <c r="L4682">
        <v>9</v>
      </c>
    </row>
    <row r="4683" spans="1:48">
      <c r="A4683" s="3" t="s">
        <v>4659</v>
      </c>
      <c r="B4683">
        <v>6</v>
      </c>
      <c r="L4683">
        <v>9</v>
      </c>
    </row>
    <row r="4684" spans="1:48">
      <c r="A4684" s="3" t="s">
        <v>4660</v>
      </c>
      <c r="B4684">
        <v>6</v>
      </c>
      <c r="L4684">
        <v>9</v>
      </c>
    </row>
    <row r="4685" spans="1:48">
      <c r="A4685" s="3" t="s">
        <v>4661</v>
      </c>
      <c r="B4685">
        <v>6</v>
      </c>
      <c r="L4685">
        <v>9</v>
      </c>
    </row>
    <row r="4686" spans="1:48">
      <c r="A4686" s="3" t="s">
        <v>4662</v>
      </c>
      <c r="B4686">
        <v>6</v>
      </c>
      <c r="L4686">
        <v>9</v>
      </c>
    </row>
    <row r="4687" spans="1:48">
      <c r="A4687" s="3" t="s">
        <v>4663</v>
      </c>
      <c r="B4687">
        <v>6</v>
      </c>
      <c r="L4687">
        <v>9</v>
      </c>
    </row>
    <row r="4688" spans="1:48">
      <c r="A4688" s="3" t="s">
        <v>4664</v>
      </c>
      <c r="B4688">
        <v>6</v>
      </c>
      <c r="L4688">
        <v>9</v>
      </c>
    </row>
    <row r="4689" spans="1:12">
      <c r="A4689" s="3" t="s">
        <v>4665</v>
      </c>
      <c r="B4689">
        <v>6</v>
      </c>
      <c r="L4689">
        <v>9</v>
      </c>
    </row>
    <row r="4690" spans="1:12">
      <c r="A4690" s="3" t="s">
        <v>4666</v>
      </c>
      <c r="B4690">
        <v>6</v>
      </c>
      <c r="L4690">
        <v>9</v>
      </c>
    </row>
    <row r="4691" spans="1:12">
      <c r="A4691" s="3" t="s">
        <v>4667</v>
      </c>
      <c r="B4691">
        <v>6</v>
      </c>
      <c r="L4691">
        <v>9</v>
      </c>
    </row>
    <row r="4692" spans="1:12">
      <c r="A4692" s="3" t="s">
        <v>4668</v>
      </c>
      <c r="B4692">
        <v>6</v>
      </c>
      <c r="L4692">
        <v>9</v>
      </c>
    </row>
    <row r="4693" spans="1:12">
      <c r="A4693" s="3" t="s">
        <v>4669</v>
      </c>
      <c r="B4693">
        <v>6</v>
      </c>
      <c r="L4693">
        <v>9</v>
      </c>
    </row>
    <row r="4694" spans="1:12">
      <c r="A4694" s="3" t="s">
        <v>4670</v>
      </c>
      <c r="B4694">
        <v>6</v>
      </c>
      <c r="L4694">
        <v>9</v>
      </c>
    </row>
    <row r="4695" spans="1:12">
      <c r="A4695" s="3" t="s">
        <v>4671</v>
      </c>
      <c r="B4695">
        <v>6</v>
      </c>
      <c r="L4695">
        <v>9</v>
      </c>
    </row>
    <row r="4696" spans="1:12">
      <c r="A4696" s="3" t="s">
        <v>4672</v>
      </c>
      <c r="B4696">
        <v>6</v>
      </c>
      <c r="L4696">
        <v>9</v>
      </c>
    </row>
    <row r="4697" spans="1:12">
      <c r="A4697" s="3" t="s">
        <v>4673</v>
      </c>
      <c r="B4697">
        <v>6</v>
      </c>
      <c r="L4697">
        <v>9</v>
      </c>
    </row>
    <row r="4698" spans="1:12">
      <c r="A4698" s="3" t="s">
        <v>4674</v>
      </c>
      <c r="B4698">
        <v>6</v>
      </c>
      <c r="L4698">
        <v>9</v>
      </c>
    </row>
    <row r="4699" spans="1:12">
      <c r="A4699" s="3" t="s">
        <v>4675</v>
      </c>
      <c r="B4699">
        <v>6</v>
      </c>
      <c r="L4699">
        <v>9</v>
      </c>
    </row>
    <row r="4700" spans="1:12">
      <c r="A4700" s="3" t="s">
        <v>4676</v>
      </c>
      <c r="B4700">
        <v>6</v>
      </c>
      <c r="L4700">
        <v>9</v>
      </c>
    </row>
    <row r="4701" spans="1:12">
      <c r="A4701" s="3" t="s">
        <v>4677</v>
      </c>
      <c r="B4701">
        <v>6</v>
      </c>
      <c r="L4701">
        <v>9</v>
      </c>
    </row>
    <row r="4702" spans="1:12">
      <c r="A4702" s="3" t="s">
        <v>4678</v>
      </c>
      <c r="B4702">
        <v>6</v>
      </c>
      <c r="L4702">
        <v>9</v>
      </c>
    </row>
    <row r="4703" spans="1:12">
      <c r="A4703" s="3" t="s">
        <v>4679</v>
      </c>
      <c r="B4703">
        <v>6</v>
      </c>
      <c r="L4703">
        <v>9</v>
      </c>
    </row>
    <row r="4704" spans="1:12">
      <c r="A4704" s="3" t="s">
        <v>4680</v>
      </c>
      <c r="B4704">
        <v>6</v>
      </c>
      <c r="L4704">
        <v>9</v>
      </c>
    </row>
    <row r="4705" spans="1:12">
      <c r="A4705" s="3" t="s">
        <v>4681</v>
      </c>
      <c r="B4705">
        <v>6</v>
      </c>
      <c r="L4705">
        <v>9</v>
      </c>
    </row>
    <row r="4706" spans="1:12">
      <c r="A4706" s="3" t="s">
        <v>4682</v>
      </c>
      <c r="B4706">
        <v>6</v>
      </c>
      <c r="L4706">
        <v>9</v>
      </c>
    </row>
    <row r="4707" spans="1:12">
      <c r="A4707" s="3" t="s">
        <v>4683</v>
      </c>
      <c r="B4707">
        <v>6</v>
      </c>
      <c r="J4707">
        <v>68</v>
      </c>
    </row>
    <row r="4708" spans="1:12">
      <c r="A4708" s="3" t="s">
        <v>4684</v>
      </c>
      <c r="B4708">
        <v>6</v>
      </c>
      <c r="J4708">
        <v>68</v>
      </c>
    </row>
    <row r="4709" spans="1:12">
      <c r="A4709" s="3" t="s">
        <v>4685</v>
      </c>
      <c r="B4709">
        <v>6</v>
      </c>
      <c r="J4709">
        <v>68</v>
      </c>
    </row>
    <row r="4710" spans="1:12">
      <c r="A4710" s="3" t="s">
        <v>4686</v>
      </c>
      <c r="B4710">
        <v>6</v>
      </c>
      <c r="J4710">
        <v>68</v>
      </c>
    </row>
    <row r="4711" spans="1:12">
      <c r="A4711" s="3" t="s">
        <v>4687</v>
      </c>
      <c r="B4711">
        <v>6</v>
      </c>
      <c r="J4711">
        <v>68</v>
      </c>
    </row>
    <row r="4712" spans="1:12">
      <c r="A4712" s="3" t="s">
        <v>4688</v>
      </c>
      <c r="B4712">
        <v>6</v>
      </c>
      <c r="J4712">
        <v>68</v>
      </c>
    </row>
    <row r="4713" spans="1:12">
      <c r="A4713" s="3" t="s">
        <v>4689</v>
      </c>
      <c r="B4713">
        <v>6</v>
      </c>
      <c r="J4713">
        <v>68</v>
      </c>
    </row>
    <row r="4714" spans="1:12">
      <c r="A4714" s="3" t="s">
        <v>4690</v>
      </c>
      <c r="B4714">
        <v>6</v>
      </c>
      <c r="J4714">
        <v>68</v>
      </c>
    </row>
    <row r="4715" spans="1:12">
      <c r="A4715" s="3" t="s">
        <v>4691</v>
      </c>
      <c r="B4715">
        <v>6</v>
      </c>
      <c r="J4715">
        <v>68</v>
      </c>
    </row>
    <row r="4716" spans="1:12">
      <c r="A4716" s="3" t="s">
        <v>4692</v>
      </c>
      <c r="B4716">
        <v>6</v>
      </c>
      <c r="J4716">
        <v>68</v>
      </c>
    </row>
    <row r="4717" spans="1:12">
      <c r="A4717" s="3" t="s">
        <v>4693</v>
      </c>
      <c r="B4717">
        <v>6</v>
      </c>
      <c r="J4717">
        <v>68</v>
      </c>
    </row>
    <row r="4718" spans="1:12">
      <c r="A4718" s="3" t="s">
        <v>4694</v>
      </c>
      <c r="B4718">
        <v>6</v>
      </c>
      <c r="J4718">
        <v>68</v>
      </c>
    </row>
    <row r="4719" spans="1:12">
      <c r="A4719" s="3" t="s">
        <v>4695</v>
      </c>
      <c r="B4719">
        <v>6</v>
      </c>
      <c r="J4719">
        <v>68</v>
      </c>
    </row>
    <row r="4720" spans="1:12">
      <c r="A4720" s="3" t="s">
        <v>4696</v>
      </c>
      <c r="B4720">
        <v>6</v>
      </c>
      <c r="J4720">
        <v>68</v>
      </c>
    </row>
    <row r="4721" spans="1:10">
      <c r="A4721" s="3" t="s">
        <v>4697</v>
      </c>
      <c r="B4721">
        <v>6</v>
      </c>
      <c r="J4721">
        <v>68</v>
      </c>
    </row>
    <row r="4722" spans="1:10">
      <c r="A4722" s="3" t="s">
        <v>4698</v>
      </c>
      <c r="B4722">
        <v>6</v>
      </c>
      <c r="J4722">
        <v>68</v>
      </c>
    </row>
    <row r="4723" spans="1:10">
      <c r="A4723" s="3" t="s">
        <v>4699</v>
      </c>
      <c r="B4723">
        <v>6</v>
      </c>
      <c r="J4723">
        <v>68</v>
      </c>
    </row>
    <row r="4724" spans="1:10">
      <c r="A4724" s="3" t="s">
        <v>4700</v>
      </c>
      <c r="B4724">
        <v>6</v>
      </c>
      <c r="J4724">
        <v>68</v>
      </c>
    </row>
    <row r="4725" spans="1:10">
      <c r="A4725" s="3" t="s">
        <v>4701</v>
      </c>
      <c r="B4725">
        <v>6</v>
      </c>
      <c r="J4725">
        <v>68</v>
      </c>
    </row>
    <row r="4726" spans="1:10">
      <c r="A4726" s="3" t="s">
        <v>4702</v>
      </c>
      <c r="B4726">
        <v>6</v>
      </c>
      <c r="J4726">
        <v>68</v>
      </c>
    </row>
    <row r="4727" spans="1:10">
      <c r="A4727" s="3" t="s">
        <v>4703</v>
      </c>
      <c r="B4727">
        <v>6</v>
      </c>
      <c r="J4727">
        <v>68</v>
      </c>
    </row>
    <row r="4728" spans="1:10">
      <c r="A4728" s="3" t="s">
        <v>4704</v>
      </c>
      <c r="B4728">
        <v>6</v>
      </c>
      <c r="J4728">
        <v>68</v>
      </c>
    </row>
    <row r="4729" spans="1:10">
      <c r="A4729" s="3" t="s">
        <v>4705</v>
      </c>
      <c r="B4729">
        <v>6</v>
      </c>
      <c r="J4729">
        <v>68</v>
      </c>
    </row>
    <row r="4730" spans="1:10">
      <c r="A4730" s="3" t="s">
        <v>4706</v>
      </c>
      <c r="B4730">
        <v>6</v>
      </c>
      <c r="J4730">
        <v>68</v>
      </c>
    </row>
    <row r="4731" spans="1:10">
      <c r="A4731" s="3" t="s">
        <v>4707</v>
      </c>
      <c r="B4731">
        <v>6</v>
      </c>
      <c r="C4731">
        <v>5</v>
      </c>
      <c r="J4731">
        <v>68</v>
      </c>
    </row>
    <row r="4732" spans="1:10">
      <c r="A4732" s="3" t="s">
        <v>4708</v>
      </c>
      <c r="B4732">
        <v>6</v>
      </c>
      <c r="C4732">
        <v>5</v>
      </c>
      <c r="J4732">
        <v>68</v>
      </c>
    </row>
    <row r="4733" spans="1:10">
      <c r="A4733" s="3" t="s">
        <v>4709</v>
      </c>
      <c r="B4733">
        <v>6</v>
      </c>
      <c r="C4733">
        <v>5</v>
      </c>
      <c r="J4733">
        <v>68</v>
      </c>
    </row>
    <row r="4734" spans="1:10">
      <c r="A4734" s="3" t="s">
        <v>4710</v>
      </c>
      <c r="B4734">
        <v>6</v>
      </c>
      <c r="C4734">
        <v>5</v>
      </c>
      <c r="J4734">
        <v>68</v>
      </c>
    </row>
    <row r="4735" spans="1:10">
      <c r="A4735" s="3" t="s">
        <v>4711</v>
      </c>
      <c r="B4735">
        <v>6</v>
      </c>
      <c r="C4735">
        <v>5</v>
      </c>
      <c r="J4735">
        <v>68</v>
      </c>
    </row>
    <row r="4736" spans="1:10">
      <c r="A4736" s="3" t="s">
        <v>4712</v>
      </c>
      <c r="B4736">
        <v>6</v>
      </c>
      <c r="C4736">
        <v>5</v>
      </c>
      <c r="J4736">
        <v>68</v>
      </c>
    </row>
    <row r="4737" spans="1:10">
      <c r="A4737" s="3" t="s">
        <v>4713</v>
      </c>
      <c r="B4737">
        <v>6</v>
      </c>
      <c r="C4737">
        <v>5</v>
      </c>
      <c r="J4737">
        <v>68</v>
      </c>
    </row>
    <row r="4738" spans="1:10">
      <c r="A4738" s="3" t="s">
        <v>4714</v>
      </c>
      <c r="B4738">
        <v>6</v>
      </c>
      <c r="C4738">
        <v>5</v>
      </c>
      <c r="J4738">
        <v>68</v>
      </c>
    </row>
    <row r="4739" spans="1:10">
      <c r="A4739" s="3" t="s">
        <v>4715</v>
      </c>
      <c r="B4739">
        <v>6</v>
      </c>
      <c r="C4739">
        <v>5</v>
      </c>
      <c r="J4739">
        <v>68</v>
      </c>
    </row>
    <row r="4740" spans="1:10">
      <c r="A4740" s="3" t="s">
        <v>4716</v>
      </c>
      <c r="B4740">
        <v>6</v>
      </c>
      <c r="C4740">
        <v>5</v>
      </c>
      <c r="J4740">
        <v>68</v>
      </c>
    </row>
    <row r="4741" spans="1:10">
      <c r="A4741" s="3" t="s">
        <v>4717</v>
      </c>
      <c r="B4741">
        <v>6</v>
      </c>
      <c r="C4741">
        <v>5</v>
      </c>
      <c r="J4741">
        <v>68</v>
      </c>
    </row>
    <row r="4742" spans="1:10">
      <c r="A4742" s="3" t="s">
        <v>4718</v>
      </c>
      <c r="B4742">
        <v>6</v>
      </c>
      <c r="C4742">
        <v>5</v>
      </c>
      <c r="J4742">
        <v>68</v>
      </c>
    </row>
    <row r="4743" spans="1:10">
      <c r="A4743" s="3" t="s">
        <v>4719</v>
      </c>
      <c r="B4743">
        <v>6</v>
      </c>
      <c r="C4743">
        <v>5</v>
      </c>
      <c r="J4743">
        <v>68</v>
      </c>
    </row>
    <row r="4744" spans="1:10">
      <c r="A4744" s="3" t="s">
        <v>4720</v>
      </c>
      <c r="B4744">
        <v>6</v>
      </c>
      <c r="C4744">
        <v>5</v>
      </c>
      <c r="J4744">
        <v>68</v>
      </c>
    </row>
    <row r="4745" spans="1:10">
      <c r="A4745" s="3" t="s">
        <v>4721</v>
      </c>
      <c r="B4745">
        <v>6</v>
      </c>
      <c r="C4745">
        <v>5</v>
      </c>
      <c r="J4745">
        <v>68</v>
      </c>
    </row>
    <row r="4746" spans="1:10">
      <c r="A4746" s="3" t="s">
        <v>4722</v>
      </c>
      <c r="B4746">
        <v>6</v>
      </c>
      <c r="C4746">
        <v>5</v>
      </c>
      <c r="J4746">
        <v>68</v>
      </c>
    </row>
    <row r="4747" spans="1:10">
      <c r="A4747" s="3" t="s">
        <v>4723</v>
      </c>
      <c r="B4747">
        <v>6</v>
      </c>
      <c r="C4747">
        <v>5</v>
      </c>
      <c r="J4747">
        <v>68</v>
      </c>
    </row>
    <row r="4748" spans="1:10">
      <c r="A4748" s="3" t="s">
        <v>4724</v>
      </c>
      <c r="B4748">
        <v>6</v>
      </c>
      <c r="C4748">
        <v>5</v>
      </c>
      <c r="J4748">
        <v>68</v>
      </c>
    </row>
    <row r="4749" spans="1:10">
      <c r="A4749" s="3" t="s">
        <v>4725</v>
      </c>
      <c r="B4749">
        <v>6</v>
      </c>
      <c r="C4749">
        <v>5</v>
      </c>
      <c r="J4749">
        <v>68</v>
      </c>
    </row>
    <row r="4750" spans="1:10">
      <c r="A4750" s="3" t="s">
        <v>4726</v>
      </c>
      <c r="B4750">
        <v>6</v>
      </c>
      <c r="C4750">
        <v>5</v>
      </c>
      <c r="J4750">
        <v>68</v>
      </c>
    </row>
    <row r="4751" spans="1:10">
      <c r="A4751" s="3" t="s">
        <v>4727</v>
      </c>
      <c r="B4751">
        <v>6</v>
      </c>
      <c r="C4751">
        <v>5</v>
      </c>
      <c r="J4751">
        <v>68</v>
      </c>
    </row>
    <row r="4752" spans="1:10">
      <c r="A4752" s="3" t="s">
        <v>4728</v>
      </c>
      <c r="B4752">
        <v>6</v>
      </c>
      <c r="C4752">
        <v>5</v>
      </c>
      <c r="J4752">
        <v>68</v>
      </c>
    </row>
    <row r="4753" spans="1:20">
      <c r="A4753" s="3" t="s">
        <v>4729</v>
      </c>
      <c r="B4753">
        <v>6</v>
      </c>
      <c r="C4753">
        <v>5</v>
      </c>
      <c r="J4753">
        <v>68</v>
      </c>
    </row>
    <row r="4754" spans="1:20">
      <c r="A4754" s="3" t="s">
        <v>4730</v>
      </c>
      <c r="B4754">
        <v>6</v>
      </c>
      <c r="C4754">
        <v>5</v>
      </c>
      <c r="J4754">
        <v>68</v>
      </c>
    </row>
    <row r="4755" spans="1:20">
      <c r="A4755" s="3" t="s">
        <v>4731</v>
      </c>
      <c r="B4755">
        <v>6</v>
      </c>
      <c r="C4755">
        <v>5</v>
      </c>
      <c r="J4755">
        <v>68</v>
      </c>
    </row>
    <row r="4756" spans="1:20">
      <c r="A4756" s="3" t="s">
        <v>4732</v>
      </c>
      <c r="B4756">
        <v>6</v>
      </c>
      <c r="C4756">
        <v>5</v>
      </c>
      <c r="J4756">
        <v>68</v>
      </c>
    </row>
    <row r="4757" spans="1:20">
      <c r="A4757" s="3" t="s">
        <v>4733</v>
      </c>
      <c r="B4757">
        <v>6</v>
      </c>
      <c r="C4757">
        <v>5</v>
      </c>
      <c r="J4757">
        <v>68</v>
      </c>
    </row>
    <row r="4758" spans="1:20">
      <c r="A4758" s="3" t="s">
        <v>4734</v>
      </c>
      <c r="B4758">
        <v>6</v>
      </c>
      <c r="C4758">
        <v>5</v>
      </c>
      <c r="J4758">
        <v>68</v>
      </c>
    </row>
    <row r="4759" spans="1:20">
      <c r="A4759" s="3" t="s">
        <v>4735</v>
      </c>
      <c r="C4759">
        <v>5</v>
      </c>
      <c r="J4759">
        <v>68</v>
      </c>
    </row>
    <row r="4760" spans="1:20">
      <c r="A4760" s="3" t="s">
        <v>4736</v>
      </c>
      <c r="C4760">
        <v>5</v>
      </c>
      <c r="J4760">
        <v>68</v>
      </c>
    </row>
    <row r="4761" spans="1:20">
      <c r="A4761" s="3" t="s">
        <v>4737</v>
      </c>
      <c r="C4761">
        <v>5</v>
      </c>
      <c r="T4761">
        <v>2</v>
      </c>
    </row>
    <row r="4762" spans="1:20">
      <c r="A4762" s="3" t="s">
        <v>4738</v>
      </c>
      <c r="C4762">
        <v>5</v>
      </c>
      <c r="T4762">
        <v>2</v>
      </c>
    </row>
    <row r="4763" spans="1:20">
      <c r="A4763" s="3" t="s">
        <v>4739</v>
      </c>
      <c r="C4763">
        <v>5</v>
      </c>
      <c r="T4763">
        <v>2</v>
      </c>
    </row>
    <row r="4764" spans="1:20">
      <c r="A4764" s="3" t="s">
        <v>4740</v>
      </c>
      <c r="C4764">
        <v>5</v>
      </c>
      <c r="T4764">
        <v>2</v>
      </c>
    </row>
    <row r="4765" spans="1:20">
      <c r="A4765" s="3" t="s">
        <v>4741</v>
      </c>
      <c r="C4765">
        <v>5</v>
      </c>
      <c r="T4765">
        <v>2</v>
      </c>
    </row>
    <row r="4766" spans="1:20">
      <c r="A4766" s="3" t="s">
        <v>4742</v>
      </c>
      <c r="C4766">
        <v>5</v>
      </c>
      <c r="T4766">
        <v>2</v>
      </c>
    </row>
    <row r="4767" spans="1:20">
      <c r="A4767" s="3" t="s">
        <v>4743</v>
      </c>
      <c r="C4767">
        <v>5</v>
      </c>
      <c r="T4767">
        <v>2</v>
      </c>
    </row>
    <row r="4768" spans="1:20">
      <c r="A4768" s="3" t="s">
        <v>4744</v>
      </c>
      <c r="C4768">
        <v>5</v>
      </c>
      <c r="T4768">
        <v>2</v>
      </c>
    </row>
    <row r="4769" spans="1:20">
      <c r="A4769" s="3" t="s">
        <v>4745</v>
      </c>
      <c r="C4769">
        <v>5</v>
      </c>
      <c r="T4769">
        <v>2</v>
      </c>
    </row>
    <row r="4770" spans="1:20">
      <c r="A4770" s="3" t="s">
        <v>4746</v>
      </c>
      <c r="C4770">
        <v>5</v>
      </c>
      <c r="T4770">
        <v>2</v>
      </c>
    </row>
    <row r="4771" spans="1:20">
      <c r="A4771" s="3" t="s">
        <v>4747</v>
      </c>
      <c r="C4771">
        <v>5</v>
      </c>
      <c r="T4771">
        <v>2</v>
      </c>
    </row>
    <row r="4772" spans="1:20">
      <c r="A4772" s="3" t="s">
        <v>4748</v>
      </c>
      <c r="C4772">
        <v>5</v>
      </c>
      <c r="T4772">
        <v>2</v>
      </c>
    </row>
    <row r="4773" spans="1:20">
      <c r="A4773" s="3" t="s">
        <v>4749</v>
      </c>
      <c r="C4773">
        <v>5</v>
      </c>
      <c r="T4773">
        <v>2</v>
      </c>
    </row>
    <row r="4774" spans="1:20">
      <c r="A4774" s="3" t="s">
        <v>4750</v>
      </c>
      <c r="C4774">
        <v>5</v>
      </c>
      <c r="T4774">
        <v>2</v>
      </c>
    </row>
    <row r="4775" spans="1:20">
      <c r="A4775" s="3" t="s">
        <v>4751</v>
      </c>
      <c r="C4775">
        <v>5</v>
      </c>
      <c r="T4775">
        <v>2</v>
      </c>
    </row>
    <row r="4776" spans="1:20">
      <c r="A4776" s="3" t="s">
        <v>4752</v>
      </c>
      <c r="C4776">
        <v>5</v>
      </c>
      <c r="T4776">
        <v>2</v>
      </c>
    </row>
    <row r="4777" spans="1:20">
      <c r="A4777" s="3" t="s">
        <v>4753</v>
      </c>
      <c r="C4777">
        <v>5</v>
      </c>
      <c r="T4777">
        <v>2</v>
      </c>
    </row>
    <row r="4778" spans="1:20">
      <c r="A4778" s="3" t="s">
        <v>4754</v>
      </c>
      <c r="C4778">
        <v>5</v>
      </c>
      <c r="T4778">
        <v>2</v>
      </c>
    </row>
    <row r="4779" spans="1:20">
      <c r="A4779" s="3" t="s">
        <v>4755</v>
      </c>
      <c r="C4779">
        <v>5</v>
      </c>
      <c r="T4779">
        <v>2</v>
      </c>
    </row>
    <row r="4780" spans="1:20">
      <c r="A4780" s="3" t="s">
        <v>4756</v>
      </c>
      <c r="C4780">
        <v>5</v>
      </c>
      <c r="T4780">
        <v>2</v>
      </c>
    </row>
    <row r="4781" spans="1:20">
      <c r="A4781" s="3" t="s">
        <v>4757</v>
      </c>
      <c r="C4781">
        <v>5</v>
      </c>
      <c r="T4781">
        <v>2</v>
      </c>
    </row>
    <row r="4782" spans="1:20">
      <c r="A4782" s="3" t="s">
        <v>4758</v>
      </c>
      <c r="C4782">
        <v>5</v>
      </c>
      <c r="T4782">
        <v>2</v>
      </c>
    </row>
    <row r="4783" spans="1:20">
      <c r="A4783" s="3" t="s">
        <v>4759</v>
      </c>
      <c r="C4783">
        <v>5</v>
      </c>
      <c r="T4783">
        <v>2</v>
      </c>
    </row>
    <row r="4784" spans="1:20">
      <c r="A4784" s="3" t="s">
        <v>4760</v>
      </c>
      <c r="C4784">
        <v>5</v>
      </c>
      <c r="T4784">
        <v>2</v>
      </c>
    </row>
    <row r="4785" spans="1:49">
      <c r="A4785" s="3" t="s">
        <v>4761</v>
      </c>
      <c r="C4785">
        <v>5</v>
      </c>
      <c r="T4785">
        <v>2</v>
      </c>
    </row>
    <row r="4786" spans="1:49">
      <c r="A4786" s="3" t="s">
        <v>4762</v>
      </c>
      <c r="C4786">
        <v>5</v>
      </c>
      <c r="T4786">
        <v>2</v>
      </c>
    </row>
    <row r="4787" spans="1:49">
      <c r="A4787" s="3" t="s">
        <v>4763</v>
      </c>
      <c r="C4787">
        <v>5</v>
      </c>
      <c r="AW4787">
        <v>40</v>
      </c>
    </row>
    <row r="4788" spans="1:49">
      <c r="A4788" s="3" t="s">
        <v>4764</v>
      </c>
      <c r="C4788">
        <v>5</v>
      </c>
      <c r="AW4788">
        <v>40</v>
      </c>
    </row>
    <row r="4789" spans="1:49">
      <c r="A4789" s="3" t="s">
        <v>4765</v>
      </c>
      <c r="C4789">
        <v>5</v>
      </c>
      <c r="AW4789">
        <v>40</v>
      </c>
    </row>
    <row r="4790" spans="1:49">
      <c r="A4790" s="3" t="s">
        <v>4766</v>
      </c>
      <c r="C4790">
        <v>5</v>
      </c>
      <c r="AW4790">
        <v>40</v>
      </c>
    </row>
    <row r="4791" spans="1:49">
      <c r="A4791" s="3" t="s">
        <v>4767</v>
      </c>
      <c r="C4791">
        <v>5</v>
      </c>
      <c r="U4791">
        <v>1</v>
      </c>
    </row>
    <row r="4792" spans="1:49">
      <c r="A4792" s="3" t="s">
        <v>4768</v>
      </c>
      <c r="C4792">
        <v>5</v>
      </c>
      <c r="U4792">
        <v>1</v>
      </c>
    </row>
    <row r="4793" spans="1:49">
      <c r="A4793" s="3" t="s">
        <v>4769</v>
      </c>
      <c r="C4793">
        <v>5</v>
      </c>
      <c r="U4793">
        <v>1</v>
      </c>
    </row>
    <row r="4794" spans="1:49">
      <c r="A4794" s="3" t="s">
        <v>4770</v>
      </c>
      <c r="C4794">
        <v>5</v>
      </c>
      <c r="U4794">
        <v>1</v>
      </c>
    </row>
    <row r="4795" spans="1:49">
      <c r="A4795" s="3" t="s">
        <v>4771</v>
      </c>
      <c r="C4795">
        <v>5</v>
      </c>
      <c r="U4795">
        <v>1</v>
      </c>
    </row>
    <row r="4796" spans="1:49">
      <c r="A4796" s="3" t="s">
        <v>4772</v>
      </c>
      <c r="C4796">
        <v>5</v>
      </c>
      <c r="U4796">
        <v>1</v>
      </c>
    </row>
    <row r="4797" spans="1:49">
      <c r="A4797" s="3" t="s">
        <v>4773</v>
      </c>
      <c r="C4797">
        <v>5</v>
      </c>
      <c r="U4797">
        <v>1</v>
      </c>
    </row>
    <row r="4798" spans="1:49">
      <c r="A4798" s="3" t="s">
        <v>4774</v>
      </c>
      <c r="C4798">
        <v>5</v>
      </c>
      <c r="U4798">
        <v>1</v>
      </c>
    </row>
    <row r="4799" spans="1:49">
      <c r="A4799" s="3" t="s">
        <v>4775</v>
      </c>
      <c r="C4799">
        <v>5</v>
      </c>
      <c r="U4799">
        <v>1</v>
      </c>
    </row>
    <row r="4800" spans="1:49">
      <c r="A4800" s="3" t="s">
        <v>4776</v>
      </c>
      <c r="C4800">
        <v>5</v>
      </c>
      <c r="U4800">
        <v>1</v>
      </c>
    </row>
    <row r="4801" spans="1:21">
      <c r="A4801" s="3" t="s">
        <v>4777</v>
      </c>
      <c r="C4801">
        <v>5</v>
      </c>
      <c r="U4801">
        <v>1</v>
      </c>
    </row>
    <row r="4802" spans="1:21">
      <c r="A4802" s="3" t="s">
        <v>4778</v>
      </c>
      <c r="C4802">
        <v>5</v>
      </c>
      <c r="U4802">
        <v>1</v>
      </c>
    </row>
    <row r="4803" spans="1:21">
      <c r="A4803" s="3" t="s">
        <v>4779</v>
      </c>
      <c r="C4803">
        <v>5</v>
      </c>
      <c r="U4803">
        <v>1</v>
      </c>
    </row>
    <row r="4804" spans="1:21">
      <c r="A4804" s="3" t="s">
        <v>4780</v>
      </c>
      <c r="C4804">
        <v>5</v>
      </c>
      <c r="U4804">
        <v>1</v>
      </c>
    </row>
    <row r="4805" spans="1:21">
      <c r="A4805" s="3" t="s">
        <v>4781</v>
      </c>
      <c r="C4805">
        <v>5</v>
      </c>
      <c r="U4805">
        <v>1</v>
      </c>
    </row>
    <row r="4806" spans="1:21">
      <c r="A4806" s="3" t="s">
        <v>4782</v>
      </c>
      <c r="C4806">
        <v>5</v>
      </c>
      <c r="U4806">
        <v>1</v>
      </c>
    </row>
    <row r="4807" spans="1:21">
      <c r="A4807" s="3" t="s">
        <v>4783</v>
      </c>
      <c r="C4807">
        <v>5</v>
      </c>
      <c r="U4807">
        <v>1</v>
      </c>
    </row>
    <row r="4808" spans="1:21">
      <c r="A4808" s="3" t="s">
        <v>4784</v>
      </c>
      <c r="C4808">
        <v>5</v>
      </c>
      <c r="U4808">
        <v>1</v>
      </c>
    </row>
    <row r="4809" spans="1:21">
      <c r="A4809" s="3" t="s">
        <v>4785</v>
      </c>
      <c r="C4809">
        <v>5</v>
      </c>
      <c r="U4809">
        <v>1</v>
      </c>
    </row>
    <row r="4810" spans="1:21">
      <c r="A4810" s="3" t="s">
        <v>4786</v>
      </c>
      <c r="C4810">
        <v>5</v>
      </c>
      <c r="U4810">
        <v>1</v>
      </c>
    </row>
    <row r="4811" spans="1:21">
      <c r="A4811" s="3" t="s">
        <v>4787</v>
      </c>
      <c r="C4811">
        <v>5</v>
      </c>
      <c r="U4811">
        <v>1</v>
      </c>
    </row>
    <row r="4812" spans="1:21">
      <c r="A4812" s="3" t="s">
        <v>4788</v>
      </c>
      <c r="C4812">
        <v>5</v>
      </c>
      <c r="U4812">
        <v>1</v>
      </c>
    </row>
    <row r="4813" spans="1:21">
      <c r="A4813" s="3" t="s">
        <v>4789</v>
      </c>
      <c r="C4813">
        <v>5</v>
      </c>
      <c r="U4813">
        <v>1</v>
      </c>
    </row>
    <row r="4814" spans="1:21">
      <c r="A4814" s="3" t="s">
        <v>4790</v>
      </c>
      <c r="C4814">
        <v>5</v>
      </c>
      <c r="U4814">
        <v>1</v>
      </c>
    </row>
    <row r="4815" spans="1:21">
      <c r="A4815" s="3" t="s">
        <v>4791</v>
      </c>
      <c r="C4815">
        <v>5</v>
      </c>
      <c r="U4815">
        <v>1</v>
      </c>
    </row>
    <row r="4816" spans="1:21">
      <c r="A4816" s="3" t="s">
        <v>4792</v>
      </c>
      <c r="C4816">
        <v>5</v>
      </c>
      <c r="U4816">
        <v>1</v>
      </c>
    </row>
    <row r="4817" spans="1:21">
      <c r="A4817" s="3" t="s">
        <v>4793</v>
      </c>
      <c r="C4817">
        <v>5</v>
      </c>
      <c r="U4817">
        <v>1</v>
      </c>
    </row>
    <row r="4818" spans="1:21">
      <c r="A4818" s="3" t="s">
        <v>4794</v>
      </c>
      <c r="C4818">
        <v>5</v>
      </c>
      <c r="U4818">
        <v>1</v>
      </c>
    </row>
    <row r="4819" spans="1:21">
      <c r="A4819" s="3" t="s">
        <v>4795</v>
      </c>
      <c r="C4819">
        <v>5</v>
      </c>
      <c r="U4819">
        <v>1</v>
      </c>
    </row>
    <row r="4820" spans="1:21">
      <c r="A4820" s="3" t="s">
        <v>4796</v>
      </c>
      <c r="C4820">
        <v>5</v>
      </c>
      <c r="U4820">
        <v>1</v>
      </c>
    </row>
    <row r="4821" spans="1:21">
      <c r="A4821" s="3" t="s">
        <v>4797</v>
      </c>
      <c r="C4821">
        <v>5</v>
      </c>
      <c r="U4821">
        <v>1</v>
      </c>
    </row>
    <row r="4822" spans="1:21">
      <c r="A4822" s="3" t="s">
        <v>4798</v>
      </c>
      <c r="C4822">
        <v>5</v>
      </c>
      <c r="U4822">
        <v>1</v>
      </c>
    </row>
    <row r="4823" spans="1:21">
      <c r="A4823" s="3" t="s">
        <v>4799</v>
      </c>
      <c r="C4823">
        <v>5</v>
      </c>
      <c r="U4823">
        <v>1</v>
      </c>
    </row>
    <row r="4824" spans="1:21">
      <c r="A4824" s="3" t="s">
        <v>4800</v>
      </c>
      <c r="C4824">
        <v>5</v>
      </c>
      <c r="U4824">
        <v>1</v>
      </c>
    </row>
    <row r="4825" spans="1:21">
      <c r="A4825" s="3" t="s">
        <v>4801</v>
      </c>
      <c r="C4825">
        <v>5</v>
      </c>
      <c r="U4825">
        <v>1</v>
      </c>
    </row>
    <row r="4826" spans="1:21">
      <c r="A4826" s="3" t="s">
        <v>4802</v>
      </c>
      <c r="C4826">
        <v>5</v>
      </c>
      <c r="U4826">
        <v>1</v>
      </c>
    </row>
    <row r="4827" spans="1:21">
      <c r="A4827" s="3" t="s">
        <v>4803</v>
      </c>
      <c r="C4827">
        <v>5</v>
      </c>
      <c r="U4827">
        <v>1</v>
      </c>
    </row>
    <row r="4828" spans="1:21">
      <c r="A4828" s="3" t="s">
        <v>4804</v>
      </c>
      <c r="C4828">
        <v>5</v>
      </c>
      <c r="U4828">
        <v>1</v>
      </c>
    </row>
    <row r="4829" spans="1:21">
      <c r="A4829" s="3" t="s">
        <v>4805</v>
      </c>
      <c r="C4829">
        <v>5</v>
      </c>
      <c r="U4829">
        <v>1</v>
      </c>
    </row>
    <row r="4830" spans="1:21">
      <c r="A4830" s="3" t="s">
        <v>4806</v>
      </c>
      <c r="C4830">
        <v>5</v>
      </c>
      <c r="U4830">
        <v>1</v>
      </c>
    </row>
    <row r="4831" spans="1:21">
      <c r="A4831" s="3" t="s">
        <v>4807</v>
      </c>
      <c r="C4831">
        <v>5</v>
      </c>
      <c r="U4831">
        <v>1</v>
      </c>
    </row>
    <row r="4832" spans="1:21">
      <c r="A4832" s="3" t="s">
        <v>4808</v>
      </c>
      <c r="C4832">
        <v>5</v>
      </c>
      <c r="U4832">
        <v>1</v>
      </c>
    </row>
    <row r="4833" spans="1:21">
      <c r="A4833" s="3" t="s">
        <v>4809</v>
      </c>
      <c r="C4833">
        <v>5</v>
      </c>
      <c r="U4833">
        <v>1</v>
      </c>
    </row>
    <row r="4834" spans="1:21">
      <c r="A4834" s="3" t="s">
        <v>4810</v>
      </c>
      <c r="C4834">
        <v>5</v>
      </c>
      <c r="U4834">
        <v>1</v>
      </c>
    </row>
    <row r="4835" spans="1:21">
      <c r="A4835" s="3" t="s">
        <v>4811</v>
      </c>
      <c r="C4835">
        <v>5</v>
      </c>
      <c r="U4835">
        <v>1</v>
      </c>
    </row>
    <row r="4836" spans="1:21">
      <c r="A4836" s="3" t="s">
        <v>4812</v>
      </c>
      <c r="C4836">
        <v>5</v>
      </c>
      <c r="U4836">
        <v>1</v>
      </c>
    </row>
    <row r="4837" spans="1:21">
      <c r="A4837" s="3" t="s">
        <v>4813</v>
      </c>
      <c r="C4837">
        <v>5</v>
      </c>
      <c r="U4837">
        <v>1</v>
      </c>
    </row>
    <row r="4838" spans="1:21">
      <c r="A4838" s="3" t="s">
        <v>4814</v>
      </c>
      <c r="C4838">
        <v>5</v>
      </c>
      <c r="U4838">
        <v>1</v>
      </c>
    </row>
    <row r="4839" spans="1:21">
      <c r="A4839" s="3" t="s">
        <v>4815</v>
      </c>
      <c r="C4839">
        <v>5</v>
      </c>
      <c r="U4839">
        <v>1</v>
      </c>
    </row>
    <row r="4840" spans="1:21">
      <c r="A4840" s="3" t="s">
        <v>4816</v>
      </c>
      <c r="C4840">
        <v>5</v>
      </c>
      <c r="U4840">
        <v>1</v>
      </c>
    </row>
    <row r="4841" spans="1:21">
      <c r="A4841" s="3" t="s">
        <v>4817</v>
      </c>
      <c r="C4841">
        <v>5</v>
      </c>
      <c r="U4841">
        <v>1</v>
      </c>
    </row>
    <row r="4842" spans="1:21">
      <c r="A4842" s="3" t="s">
        <v>4818</v>
      </c>
      <c r="C4842">
        <v>5</v>
      </c>
      <c r="U4842">
        <v>1</v>
      </c>
    </row>
    <row r="4843" spans="1:21">
      <c r="A4843" s="3" t="s">
        <v>4819</v>
      </c>
      <c r="C4843">
        <v>5</v>
      </c>
      <c r="U4843">
        <v>1</v>
      </c>
    </row>
    <row r="4844" spans="1:21">
      <c r="A4844" s="3" t="s">
        <v>4820</v>
      </c>
      <c r="C4844">
        <v>5</v>
      </c>
      <c r="U4844">
        <v>1</v>
      </c>
    </row>
    <row r="4845" spans="1:21">
      <c r="A4845" s="3" t="s">
        <v>4821</v>
      </c>
      <c r="C4845">
        <v>5</v>
      </c>
      <c r="U4845">
        <v>1</v>
      </c>
    </row>
    <row r="4846" spans="1:21">
      <c r="A4846" s="3" t="s">
        <v>4822</v>
      </c>
      <c r="C4846">
        <v>5</v>
      </c>
      <c r="U4846">
        <v>1</v>
      </c>
    </row>
    <row r="4847" spans="1:21">
      <c r="A4847" s="3" t="s">
        <v>4823</v>
      </c>
      <c r="C4847">
        <v>5</v>
      </c>
      <c r="U4847">
        <v>1</v>
      </c>
    </row>
    <row r="4848" spans="1:21">
      <c r="A4848" s="3" t="s">
        <v>4824</v>
      </c>
      <c r="C4848">
        <v>5</v>
      </c>
      <c r="U4848">
        <v>1</v>
      </c>
    </row>
    <row r="4849" spans="1:21">
      <c r="A4849" s="3" t="s">
        <v>4825</v>
      </c>
      <c r="C4849">
        <v>5</v>
      </c>
      <c r="U4849">
        <v>1</v>
      </c>
    </row>
    <row r="4850" spans="1:21">
      <c r="A4850" s="3" t="s">
        <v>4826</v>
      </c>
      <c r="C4850">
        <v>5</v>
      </c>
      <c r="U4850">
        <v>1</v>
      </c>
    </row>
    <row r="4851" spans="1:21">
      <c r="A4851" s="3" t="s">
        <v>4827</v>
      </c>
      <c r="C4851">
        <v>5</v>
      </c>
      <c r="U4851">
        <v>1</v>
      </c>
    </row>
    <row r="4852" spans="1:21">
      <c r="A4852" s="3" t="s">
        <v>4828</v>
      </c>
      <c r="C4852">
        <v>5</v>
      </c>
      <c r="U4852">
        <v>1</v>
      </c>
    </row>
    <row r="4853" spans="1:21">
      <c r="A4853" s="3" t="s">
        <v>4829</v>
      </c>
      <c r="C4853">
        <v>5</v>
      </c>
      <c r="U4853">
        <v>1</v>
      </c>
    </row>
    <row r="4854" spans="1:21">
      <c r="A4854" s="3" t="s">
        <v>4830</v>
      </c>
      <c r="C4854">
        <v>5</v>
      </c>
      <c r="U4854">
        <v>1</v>
      </c>
    </row>
    <row r="4855" spans="1:21">
      <c r="A4855" s="3" t="s">
        <v>4831</v>
      </c>
      <c r="C4855">
        <v>5</v>
      </c>
      <c r="U4855">
        <v>1</v>
      </c>
    </row>
    <row r="4856" spans="1:21">
      <c r="A4856" s="3" t="s">
        <v>4832</v>
      </c>
      <c r="C4856">
        <v>5</v>
      </c>
      <c r="U4856">
        <v>1</v>
      </c>
    </row>
    <row r="4857" spans="1:21">
      <c r="A4857" s="3" t="s">
        <v>4833</v>
      </c>
      <c r="C4857">
        <v>5</v>
      </c>
      <c r="U4857">
        <v>1</v>
      </c>
    </row>
    <row r="4858" spans="1:21">
      <c r="A4858" s="3" t="s">
        <v>4834</v>
      </c>
      <c r="C4858">
        <v>5</v>
      </c>
      <c r="U4858">
        <v>1</v>
      </c>
    </row>
    <row r="4859" spans="1:21">
      <c r="A4859" s="3" t="s">
        <v>4835</v>
      </c>
      <c r="C4859">
        <v>5</v>
      </c>
      <c r="U4859">
        <v>1</v>
      </c>
    </row>
    <row r="4860" spans="1:21">
      <c r="A4860" s="3" t="s">
        <v>4836</v>
      </c>
      <c r="C4860">
        <v>5</v>
      </c>
      <c r="U4860">
        <v>1</v>
      </c>
    </row>
    <row r="4861" spans="1:21">
      <c r="A4861" s="3" t="s">
        <v>4837</v>
      </c>
      <c r="C4861">
        <v>5</v>
      </c>
      <c r="U4861">
        <v>1</v>
      </c>
    </row>
    <row r="4862" spans="1:21">
      <c r="A4862" s="3" t="s">
        <v>4838</v>
      </c>
      <c r="C4862">
        <v>5</v>
      </c>
      <c r="U4862">
        <v>1</v>
      </c>
    </row>
    <row r="4863" spans="1:21">
      <c r="A4863" s="3" t="s">
        <v>4839</v>
      </c>
      <c r="C4863">
        <v>5</v>
      </c>
      <c r="U4863">
        <v>1</v>
      </c>
    </row>
    <row r="4864" spans="1:21">
      <c r="A4864" s="3" t="s">
        <v>4840</v>
      </c>
      <c r="C4864">
        <v>5</v>
      </c>
      <c r="U4864">
        <v>1</v>
      </c>
    </row>
    <row r="4865" spans="1:21">
      <c r="A4865" s="3" t="s">
        <v>4841</v>
      </c>
      <c r="C4865">
        <v>5</v>
      </c>
      <c r="U4865">
        <v>1</v>
      </c>
    </row>
    <row r="4866" spans="1:21">
      <c r="A4866" s="3" t="s">
        <v>4842</v>
      </c>
      <c r="C4866">
        <v>5</v>
      </c>
      <c r="U4866">
        <v>1</v>
      </c>
    </row>
    <row r="4867" spans="1:21">
      <c r="A4867" s="3" t="s">
        <v>4843</v>
      </c>
      <c r="C4867">
        <v>5</v>
      </c>
      <c r="J4867">
        <v>69</v>
      </c>
    </row>
    <row r="4868" spans="1:21">
      <c r="A4868" s="3" t="s">
        <v>4844</v>
      </c>
      <c r="C4868">
        <v>5</v>
      </c>
      <c r="J4868">
        <v>69</v>
      </c>
    </row>
    <row r="4869" spans="1:21">
      <c r="A4869" s="3" t="s">
        <v>4845</v>
      </c>
      <c r="C4869">
        <v>5</v>
      </c>
      <c r="J4869">
        <v>69</v>
      </c>
    </row>
    <row r="4870" spans="1:21">
      <c r="A4870" s="3" t="s">
        <v>4846</v>
      </c>
      <c r="C4870">
        <v>5</v>
      </c>
      <c r="J4870">
        <v>69</v>
      </c>
    </row>
    <row r="4871" spans="1:21">
      <c r="A4871" s="3" t="s">
        <v>4847</v>
      </c>
      <c r="C4871">
        <v>5</v>
      </c>
      <c r="J4871">
        <v>69</v>
      </c>
    </row>
    <row r="4872" spans="1:21">
      <c r="A4872" s="3" t="s">
        <v>4848</v>
      </c>
      <c r="C4872">
        <v>5</v>
      </c>
      <c r="J4872">
        <v>69</v>
      </c>
    </row>
    <row r="4873" spans="1:21">
      <c r="A4873" s="3" t="s">
        <v>4849</v>
      </c>
      <c r="C4873">
        <v>5</v>
      </c>
      <c r="J4873">
        <v>69</v>
      </c>
    </row>
    <row r="4874" spans="1:21">
      <c r="A4874" s="3" t="s">
        <v>4850</v>
      </c>
      <c r="C4874">
        <v>5</v>
      </c>
      <c r="J4874">
        <v>69</v>
      </c>
    </row>
    <row r="4875" spans="1:21">
      <c r="A4875" s="3" t="s">
        <v>4851</v>
      </c>
      <c r="C4875">
        <v>5</v>
      </c>
      <c r="J4875">
        <v>69</v>
      </c>
    </row>
    <row r="4876" spans="1:21">
      <c r="A4876" s="3" t="s">
        <v>4852</v>
      </c>
      <c r="C4876">
        <v>5</v>
      </c>
      <c r="J4876">
        <v>69</v>
      </c>
    </row>
    <row r="4877" spans="1:21">
      <c r="A4877" s="3" t="s">
        <v>4853</v>
      </c>
      <c r="C4877">
        <v>5</v>
      </c>
      <c r="J4877">
        <v>69</v>
      </c>
    </row>
    <row r="4878" spans="1:21">
      <c r="A4878" s="3" t="s">
        <v>4854</v>
      </c>
      <c r="C4878">
        <v>5</v>
      </c>
      <c r="L4878">
        <v>10</v>
      </c>
    </row>
    <row r="4879" spans="1:21">
      <c r="A4879" s="3" t="s">
        <v>4855</v>
      </c>
      <c r="C4879">
        <v>5</v>
      </c>
      <c r="L4879">
        <v>10</v>
      </c>
    </row>
    <row r="4880" spans="1:21">
      <c r="A4880" s="3" t="s">
        <v>4856</v>
      </c>
      <c r="C4880">
        <v>5</v>
      </c>
      <c r="L4880">
        <v>10</v>
      </c>
    </row>
    <row r="4881" spans="1:12">
      <c r="A4881" s="3" t="s">
        <v>4857</v>
      </c>
      <c r="C4881">
        <v>5</v>
      </c>
      <c r="L4881">
        <v>10</v>
      </c>
    </row>
    <row r="4882" spans="1:12">
      <c r="A4882" s="3" t="s">
        <v>4858</v>
      </c>
      <c r="C4882">
        <v>5</v>
      </c>
      <c r="L4882">
        <v>10</v>
      </c>
    </row>
    <row r="4883" spans="1:12">
      <c r="A4883" s="3" t="s">
        <v>4859</v>
      </c>
      <c r="C4883">
        <v>5</v>
      </c>
      <c r="L4883">
        <v>10</v>
      </c>
    </row>
    <row r="4884" spans="1:12">
      <c r="A4884" s="3" t="s">
        <v>4860</v>
      </c>
      <c r="C4884">
        <v>5</v>
      </c>
      <c r="L4884">
        <v>10</v>
      </c>
    </row>
    <row r="4885" spans="1:12">
      <c r="A4885" s="3" t="s">
        <v>4861</v>
      </c>
      <c r="C4885">
        <v>5</v>
      </c>
      <c r="L4885">
        <v>10</v>
      </c>
    </row>
    <row r="4886" spans="1:12">
      <c r="A4886" s="3" t="s">
        <v>4862</v>
      </c>
      <c r="C4886">
        <v>5</v>
      </c>
      <c r="L4886">
        <v>10</v>
      </c>
    </row>
    <row r="4887" spans="1:12">
      <c r="A4887" s="3" t="s">
        <v>4863</v>
      </c>
      <c r="C4887">
        <v>5</v>
      </c>
      <c r="L4887">
        <v>10</v>
      </c>
    </row>
    <row r="4888" spans="1:12">
      <c r="A4888" s="3" t="s">
        <v>4864</v>
      </c>
      <c r="C4888">
        <v>5</v>
      </c>
      <c r="L4888">
        <v>10</v>
      </c>
    </row>
    <row r="4889" spans="1:12">
      <c r="A4889" s="3" t="s">
        <v>4865</v>
      </c>
      <c r="C4889">
        <v>5</v>
      </c>
      <c r="L4889">
        <v>10</v>
      </c>
    </row>
    <row r="4890" spans="1:12">
      <c r="A4890" s="3" t="s">
        <v>4866</v>
      </c>
      <c r="C4890">
        <v>5</v>
      </c>
      <c r="L4890">
        <v>10</v>
      </c>
    </row>
    <row r="4891" spans="1:12">
      <c r="A4891" s="3" t="s">
        <v>4867</v>
      </c>
      <c r="C4891">
        <v>5</v>
      </c>
      <c r="L4891">
        <v>10</v>
      </c>
    </row>
    <row r="4892" spans="1:12">
      <c r="A4892" s="3" t="s">
        <v>4868</v>
      </c>
      <c r="C4892">
        <v>5</v>
      </c>
      <c r="L4892">
        <v>10</v>
      </c>
    </row>
    <row r="4893" spans="1:12">
      <c r="A4893" s="3" t="s">
        <v>4869</v>
      </c>
      <c r="C4893">
        <v>5</v>
      </c>
      <c r="L4893">
        <v>10</v>
      </c>
    </row>
    <row r="4894" spans="1:12">
      <c r="A4894" s="3" t="s">
        <v>4870</v>
      </c>
      <c r="C4894">
        <v>5</v>
      </c>
      <c r="L4894">
        <v>10</v>
      </c>
    </row>
    <row r="4895" spans="1:12">
      <c r="A4895" s="3" t="s">
        <v>4871</v>
      </c>
      <c r="C4895">
        <v>5</v>
      </c>
      <c r="L4895">
        <v>10</v>
      </c>
    </row>
    <row r="4896" spans="1:12">
      <c r="A4896" s="3" t="s">
        <v>4872</v>
      </c>
      <c r="C4896">
        <v>5</v>
      </c>
      <c r="L4896">
        <v>10</v>
      </c>
    </row>
    <row r="4897" spans="1:49">
      <c r="A4897" s="3" t="s">
        <v>4873</v>
      </c>
      <c r="C4897">
        <v>5</v>
      </c>
      <c r="L4897">
        <v>10</v>
      </c>
    </row>
    <row r="4898" spans="1:49">
      <c r="A4898" s="3" t="s">
        <v>4874</v>
      </c>
      <c r="C4898">
        <v>5</v>
      </c>
      <c r="L4898">
        <v>10</v>
      </c>
    </row>
    <row r="4899" spans="1:49">
      <c r="A4899" s="3" t="s">
        <v>4875</v>
      </c>
      <c r="C4899">
        <v>5</v>
      </c>
      <c r="L4899">
        <v>10</v>
      </c>
    </row>
    <row r="4900" spans="1:49">
      <c r="A4900" s="3" t="s">
        <v>4876</v>
      </c>
      <c r="C4900">
        <v>5</v>
      </c>
      <c r="AW4900">
        <v>41</v>
      </c>
    </row>
    <row r="4901" spans="1:49">
      <c r="A4901" s="3" t="s">
        <v>4877</v>
      </c>
      <c r="C4901">
        <v>5</v>
      </c>
      <c r="J4901">
        <v>70</v>
      </c>
    </row>
    <row r="4902" spans="1:49">
      <c r="A4902" s="3" t="s">
        <v>4878</v>
      </c>
      <c r="C4902">
        <v>5</v>
      </c>
      <c r="J4902">
        <v>70</v>
      </c>
    </row>
    <row r="4903" spans="1:49">
      <c r="A4903" s="3" t="s">
        <v>4879</v>
      </c>
      <c r="C4903">
        <v>5</v>
      </c>
      <c r="J4903">
        <v>70</v>
      </c>
    </row>
    <row r="4904" spans="1:49">
      <c r="A4904" s="3" t="s">
        <v>4880</v>
      </c>
      <c r="C4904">
        <v>5</v>
      </c>
      <c r="J4904">
        <v>70</v>
      </c>
    </row>
    <row r="4905" spans="1:49">
      <c r="A4905" s="3" t="s">
        <v>4881</v>
      </c>
      <c r="C4905">
        <v>5</v>
      </c>
      <c r="J4905">
        <v>70</v>
      </c>
    </row>
    <row r="4906" spans="1:49">
      <c r="A4906" s="3" t="s">
        <v>4882</v>
      </c>
      <c r="C4906">
        <v>5</v>
      </c>
      <c r="J4906">
        <v>70</v>
      </c>
    </row>
    <row r="4907" spans="1:49">
      <c r="A4907" s="3" t="s">
        <v>4883</v>
      </c>
      <c r="C4907">
        <v>5</v>
      </c>
      <c r="J4907">
        <v>70</v>
      </c>
    </row>
    <row r="4908" spans="1:49">
      <c r="A4908" s="3" t="s">
        <v>4884</v>
      </c>
      <c r="C4908">
        <v>5</v>
      </c>
      <c r="J4908">
        <v>70</v>
      </c>
    </row>
    <row r="4909" spans="1:49">
      <c r="A4909" s="3" t="s">
        <v>4885</v>
      </c>
      <c r="C4909">
        <v>5</v>
      </c>
      <c r="L4909">
        <v>11</v>
      </c>
    </row>
    <row r="4910" spans="1:49">
      <c r="A4910" s="3" t="s">
        <v>4886</v>
      </c>
      <c r="C4910">
        <v>5</v>
      </c>
      <c r="L4910">
        <v>11</v>
      </c>
    </row>
    <row r="4911" spans="1:49">
      <c r="A4911" s="3" t="s">
        <v>4887</v>
      </c>
      <c r="C4911">
        <v>5</v>
      </c>
      <c r="L4911">
        <v>11</v>
      </c>
    </row>
    <row r="4912" spans="1:49">
      <c r="A4912" s="3" t="s">
        <v>4888</v>
      </c>
      <c r="C4912">
        <v>5</v>
      </c>
      <c r="L4912">
        <v>11</v>
      </c>
    </row>
    <row r="4913" spans="1:12">
      <c r="A4913" s="3" t="s">
        <v>4889</v>
      </c>
      <c r="C4913">
        <v>5</v>
      </c>
      <c r="L4913">
        <v>11</v>
      </c>
    </row>
    <row r="4914" spans="1:12">
      <c r="A4914" s="3" t="s">
        <v>4890</v>
      </c>
      <c r="C4914">
        <v>5</v>
      </c>
      <c r="L4914">
        <v>11</v>
      </c>
    </row>
    <row r="4915" spans="1:12">
      <c r="A4915" s="3" t="s">
        <v>4891</v>
      </c>
      <c r="C4915">
        <v>5</v>
      </c>
      <c r="L4915">
        <v>11</v>
      </c>
    </row>
    <row r="4916" spans="1:12">
      <c r="A4916" s="3" t="s">
        <v>4892</v>
      </c>
      <c r="C4916">
        <v>5</v>
      </c>
      <c r="L4916">
        <v>11</v>
      </c>
    </row>
    <row r="4917" spans="1:12">
      <c r="A4917" s="3" t="s">
        <v>4893</v>
      </c>
      <c r="C4917">
        <v>5</v>
      </c>
      <c r="L4917">
        <v>11</v>
      </c>
    </row>
    <row r="4918" spans="1:12">
      <c r="A4918" s="3" t="s">
        <v>4894</v>
      </c>
      <c r="C4918">
        <v>5</v>
      </c>
      <c r="L4918">
        <v>11</v>
      </c>
    </row>
    <row r="4919" spans="1:12">
      <c r="A4919" s="3" t="s">
        <v>4895</v>
      </c>
      <c r="C4919">
        <v>5</v>
      </c>
      <c r="L4919">
        <v>11</v>
      </c>
    </row>
    <row r="4920" spans="1:12">
      <c r="A4920" s="3" t="s">
        <v>4896</v>
      </c>
      <c r="C4920">
        <v>5</v>
      </c>
      <c r="L4920">
        <v>11</v>
      </c>
    </row>
    <row r="4921" spans="1:12">
      <c r="A4921" s="3" t="s">
        <v>4897</v>
      </c>
      <c r="C4921">
        <v>5</v>
      </c>
      <c r="L4921">
        <v>11</v>
      </c>
    </row>
    <row r="4922" spans="1:12">
      <c r="A4922" s="3" t="s">
        <v>4898</v>
      </c>
      <c r="C4922">
        <v>5</v>
      </c>
      <c r="L4922">
        <v>11</v>
      </c>
    </row>
    <row r="4923" spans="1:12">
      <c r="A4923" s="3" t="s">
        <v>4899</v>
      </c>
      <c r="C4923">
        <v>5</v>
      </c>
      <c r="J4923">
        <v>71</v>
      </c>
    </row>
    <row r="4924" spans="1:12">
      <c r="A4924" s="3" t="s">
        <v>4900</v>
      </c>
      <c r="C4924">
        <v>5</v>
      </c>
      <c r="J4924">
        <v>71</v>
      </c>
    </row>
    <row r="4925" spans="1:12">
      <c r="A4925" s="3" t="s">
        <v>4901</v>
      </c>
      <c r="C4925">
        <v>5</v>
      </c>
      <c r="J4925">
        <v>71</v>
      </c>
    </row>
    <row r="4926" spans="1:12">
      <c r="A4926" s="3" t="s">
        <v>4902</v>
      </c>
      <c r="C4926">
        <v>5</v>
      </c>
      <c r="J4926">
        <v>71</v>
      </c>
    </row>
    <row r="4927" spans="1:12">
      <c r="A4927" s="3" t="s">
        <v>4903</v>
      </c>
      <c r="C4927">
        <v>5</v>
      </c>
      <c r="J4927">
        <v>71</v>
      </c>
    </row>
    <row r="4928" spans="1:12">
      <c r="A4928" s="3" t="s">
        <v>4904</v>
      </c>
      <c r="C4928">
        <v>5</v>
      </c>
      <c r="J4928">
        <v>71</v>
      </c>
    </row>
    <row r="4929" spans="1:10">
      <c r="A4929" s="3" t="s">
        <v>4905</v>
      </c>
      <c r="C4929">
        <v>5</v>
      </c>
      <c r="J4929">
        <v>71</v>
      </c>
    </row>
    <row r="4930" spans="1:10">
      <c r="A4930" s="3" t="s">
        <v>4906</v>
      </c>
      <c r="C4930">
        <v>5</v>
      </c>
      <c r="J4930">
        <v>71</v>
      </c>
    </row>
    <row r="4931" spans="1:10">
      <c r="A4931" s="3" t="s">
        <v>4907</v>
      </c>
      <c r="C4931">
        <v>5</v>
      </c>
      <c r="J4931">
        <v>71</v>
      </c>
    </row>
    <row r="4932" spans="1:10">
      <c r="A4932" s="3" t="s">
        <v>4908</v>
      </c>
      <c r="C4932">
        <v>5</v>
      </c>
      <c r="J4932">
        <v>71</v>
      </c>
    </row>
    <row r="4933" spans="1:10">
      <c r="A4933" s="3" t="s">
        <v>4909</v>
      </c>
      <c r="C4933">
        <v>5</v>
      </c>
      <c r="J4933">
        <v>71</v>
      </c>
    </row>
    <row r="4934" spans="1:10">
      <c r="A4934" s="3" t="s">
        <v>4910</v>
      </c>
      <c r="C4934">
        <v>5</v>
      </c>
      <c r="J4934">
        <v>71</v>
      </c>
    </row>
    <row r="4935" spans="1:10">
      <c r="A4935" s="3" t="s">
        <v>4911</v>
      </c>
      <c r="C4935">
        <v>5</v>
      </c>
      <c r="J4935">
        <v>71</v>
      </c>
    </row>
    <row r="4936" spans="1:10">
      <c r="A4936" s="3" t="s">
        <v>4912</v>
      </c>
      <c r="C4936">
        <v>5</v>
      </c>
      <c r="J4936">
        <v>71</v>
      </c>
    </row>
    <row r="4937" spans="1:10">
      <c r="A4937" s="3" t="s">
        <v>4913</v>
      </c>
      <c r="C4937">
        <v>5</v>
      </c>
      <c r="J4937">
        <v>71</v>
      </c>
    </row>
    <row r="4938" spans="1:10">
      <c r="A4938" s="3" t="s">
        <v>4914</v>
      </c>
      <c r="C4938">
        <v>5</v>
      </c>
      <c r="J4938">
        <v>71</v>
      </c>
    </row>
    <row r="4939" spans="1:10">
      <c r="A4939" s="3" t="s">
        <v>4915</v>
      </c>
      <c r="C4939">
        <v>5</v>
      </c>
      <c r="D4939">
        <v>6</v>
      </c>
      <c r="J4939">
        <v>71</v>
      </c>
    </row>
    <row r="4940" spans="1:10">
      <c r="A4940" s="3" t="s">
        <v>4916</v>
      </c>
      <c r="C4940">
        <v>5</v>
      </c>
      <c r="D4940">
        <v>6</v>
      </c>
      <c r="J4940">
        <v>71</v>
      </c>
    </row>
    <row r="4941" spans="1:10">
      <c r="A4941" s="3" t="s">
        <v>4917</v>
      </c>
      <c r="C4941">
        <v>5</v>
      </c>
      <c r="D4941">
        <v>6</v>
      </c>
      <c r="J4941">
        <v>71</v>
      </c>
    </row>
    <row r="4942" spans="1:10">
      <c r="A4942" s="3" t="s">
        <v>4918</v>
      </c>
      <c r="C4942">
        <v>5</v>
      </c>
      <c r="D4942">
        <v>6</v>
      </c>
      <c r="J4942">
        <v>71</v>
      </c>
    </row>
    <row r="4943" spans="1:10">
      <c r="A4943" s="3" t="s">
        <v>4919</v>
      </c>
      <c r="C4943">
        <v>5</v>
      </c>
      <c r="D4943">
        <v>6</v>
      </c>
      <c r="J4943">
        <v>71</v>
      </c>
    </row>
    <row r="4944" spans="1:10">
      <c r="A4944" s="3" t="s">
        <v>4920</v>
      </c>
      <c r="C4944">
        <v>5</v>
      </c>
      <c r="D4944">
        <v>6</v>
      </c>
      <c r="J4944">
        <v>71</v>
      </c>
    </row>
    <row r="4945" spans="1:13">
      <c r="A4945" s="3" t="s">
        <v>4921</v>
      </c>
      <c r="C4945">
        <v>5</v>
      </c>
      <c r="D4945">
        <v>6</v>
      </c>
      <c r="J4945">
        <v>71</v>
      </c>
    </row>
    <row r="4946" spans="1:13">
      <c r="A4946" s="3" t="s">
        <v>4922</v>
      </c>
      <c r="C4946">
        <v>5</v>
      </c>
      <c r="D4946">
        <v>6</v>
      </c>
      <c r="J4946">
        <v>71</v>
      </c>
    </row>
    <row r="4947" spans="1:13">
      <c r="A4947" s="3" t="s">
        <v>4923</v>
      </c>
      <c r="C4947">
        <v>5</v>
      </c>
      <c r="D4947">
        <v>6</v>
      </c>
      <c r="J4947">
        <v>71</v>
      </c>
    </row>
    <row r="4948" spans="1:13">
      <c r="A4948" s="3" t="s">
        <v>4924</v>
      </c>
      <c r="C4948">
        <v>5</v>
      </c>
      <c r="D4948">
        <v>6</v>
      </c>
      <c r="J4948">
        <v>71</v>
      </c>
    </row>
    <row r="4949" spans="1:13">
      <c r="A4949" s="3" t="s">
        <v>4925</v>
      </c>
      <c r="C4949">
        <v>5</v>
      </c>
      <c r="D4949">
        <v>6</v>
      </c>
      <c r="J4949">
        <v>71</v>
      </c>
    </row>
    <row r="4950" spans="1:13">
      <c r="A4950" s="3" t="s">
        <v>4926</v>
      </c>
      <c r="C4950">
        <v>5</v>
      </c>
      <c r="D4950">
        <v>6</v>
      </c>
      <c r="M4950">
        <v>9</v>
      </c>
    </row>
    <row r="4951" spans="1:13">
      <c r="A4951" s="3" t="s">
        <v>4927</v>
      </c>
      <c r="C4951">
        <v>5</v>
      </c>
      <c r="D4951">
        <v>6</v>
      </c>
      <c r="M4951">
        <v>9</v>
      </c>
    </row>
    <row r="4952" spans="1:13">
      <c r="A4952" s="3" t="s">
        <v>4928</v>
      </c>
      <c r="C4952">
        <v>5</v>
      </c>
      <c r="D4952">
        <v>6</v>
      </c>
      <c r="M4952">
        <v>9</v>
      </c>
    </row>
    <row r="4953" spans="1:13">
      <c r="A4953" s="3" t="s">
        <v>4929</v>
      </c>
      <c r="C4953">
        <v>5</v>
      </c>
      <c r="D4953">
        <v>6</v>
      </c>
      <c r="M4953">
        <v>9</v>
      </c>
    </row>
    <row r="4954" spans="1:13">
      <c r="A4954" s="3" t="s">
        <v>4930</v>
      </c>
      <c r="C4954">
        <v>5</v>
      </c>
      <c r="D4954">
        <v>6</v>
      </c>
      <c r="M4954">
        <v>9</v>
      </c>
    </row>
    <row r="4955" spans="1:13">
      <c r="A4955" s="3" t="s">
        <v>4931</v>
      </c>
      <c r="C4955">
        <v>5</v>
      </c>
      <c r="D4955">
        <v>6</v>
      </c>
      <c r="M4955">
        <v>9</v>
      </c>
    </row>
    <row r="4956" spans="1:13">
      <c r="A4956" s="3" t="s">
        <v>4932</v>
      </c>
      <c r="C4956">
        <v>5</v>
      </c>
      <c r="D4956">
        <v>6</v>
      </c>
      <c r="M4956">
        <v>9</v>
      </c>
    </row>
    <row r="4957" spans="1:13">
      <c r="A4957" s="3" t="s">
        <v>4933</v>
      </c>
      <c r="C4957">
        <v>5</v>
      </c>
      <c r="D4957">
        <v>6</v>
      </c>
      <c r="M4957">
        <v>9</v>
      </c>
    </row>
    <row r="4958" spans="1:13">
      <c r="A4958" s="3" t="s">
        <v>4934</v>
      </c>
      <c r="C4958">
        <v>5</v>
      </c>
      <c r="D4958">
        <v>6</v>
      </c>
      <c r="M4958">
        <v>9</v>
      </c>
    </row>
    <row r="4959" spans="1:13">
      <c r="A4959" s="3" t="s">
        <v>4935</v>
      </c>
      <c r="C4959">
        <v>5</v>
      </c>
      <c r="D4959">
        <v>6</v>
      </c>
      <c r="M4959">
        <v>9</v>
      </c>
    </row>
    <row r="4960" spans="1:13">
      <c r="A4960" s="3" t="s">
        <v>4936</v>
      </c>
      <c r="C4960">
        <v>5</v>
      </c>
      <c r="D4960">
        <v>6</v>
      </c>
      <c r="M4960">
        <v>9</v>
      </c>
    </row>
    <row r="4961" spans="1:13">
      <c r="A4961" s="3" t="s">
        <v>4937</v>
      </c>
      <c r="C4961">
        <v>5</v>
      </c>
      <c r="D4961">
        <v>6</v>
      </c>
      <c r="M4961">
        <v>9</v>
      </c>
    </row>
    <row r="4962" spans="1:13">
      <c r="A4962" s="3" t="s">
        <v>4938</v>
      </c>
      <c r="C4962">
        <v>5</v>
      </c>
      <c r="D4962">
        <v>6</v>
      </c>
      <c r="M4962">
        <v>9</v>
      </c>
    </row>
    <row r="4963" spans="1:13">
      <c r="A4963" s="3" t="s">
        <v>4939</v>
      </c>
      <c r="C4963">
        <v>5</v>
      </c>
      <c r="D4963">
        <v>6</v>
      </c>
      <c r="M4963">
        <v>9</v>
      </c>
    </row>
    <row r="4964" spans="1:13">
      <c r="A4964" s="3" t="s">
        <v>4940</v>
      </c>
      <c r="C4964">
        <v>5</v>
      </c>
      <c r="D4964">
        <v>6</v>
      </c>
      <c r="M4964">
        <v>9</v>
      </c>
    </row>
    <row r="4965" spans="1:13">
      <c r="A4965" s="3" t="s">
        <v>4941</v>
      </c>
      <c r="C4965">
        <v>5</v>
      </c>
      <c r="D4965">
        <v>6</v>
      </c>
      <c r="M4965">
        <v>9</v>
      </c>
    </row>
    <row r="4966" spans="1:13">
      <c r="A4966" s="3" t="s">
        <v>4942</v>
      </c>
      <c r="C4966">
        <v>5</v>
      </c>
      <c r="D4966">
        <v>6</v>
      </c>
      <c r="M4966">
        <v>9</v>
      </c>
    </row>
    <row r="4967" spans="1:13">
      <c r="A4967" s="3" t="s">
        <v>4943</v>
      </c>
      <c r="C4967">
        <v>5</v>
      </c>
      <c r="D4967">
        <v>6</v>
      </c>
      <c r="M4967">
        <v>9</v>
      </c>
    </row>
    <row r="4968" spans="1:13">
      <c r="A4968" s="3" t="s">
        <v>4944</v>
      </c>
      <c r="C4968">
        <v>5</v>
      </c>
      <c r="D4968">
        <v>6</v>
      </c>
      <c r="M4968">
        <v>9</v>
      </c>
    </row>
    <row r="4969" spans="1:13">
      <c r="A4969" s="3" t="s">
        <v>4945</v>
      </c>
      <c r="C4969">
        <v>5</v>
      </c>
      <c r="D4969">
        <v>6</v>
      </c>
      <c r="M4969">
        <v>9</v>
      </c>
    </row>
    <row r="4970" spans="1:13">
      <c r="A4970" s="3" t="s">
        <v>4946</v>
      </c>
      <c r="C4970">
        <v>5</v>
      </c>
      <c r="D4970">
        <v>6</v>
      </c>
      <c r="M4970">
        <v>9</v>
      </c>
    </row>
    <row r="4971" spans="1:13">
      <c r="A4971" s="3" t="s">
        <v>4947</v>
      </c>
      <c r="C4971">
        <v>5</v>
      </c>
      <c r="D4971">
        <v>6</v>
      </c>
      <c r="M4971">
        <v>9</v>
      </c>
    </row>
    <row r="4972" spans="1:13">
      <c r="A4972" s="3" t="s">
        <v>4948</v>
      </c>
      <c r="C4972">
        <v>5</v>
      </c>
      <c r="D4972">
        <v>6</v>
      </c>
      <c r="M4972">
        <v>9</v>
      </c>
    </row>
    <row r="4973" spans="1:13">
      <c r="A4973" s="3" t="s">
        <v>4949</v>
      </c>
      <c r="C4973">
        <v>5</v>
      </c>
      <c r="D4973">
        <v>6</v>
      </c>
      <c r="M4973">
        <v>9</v>
      </c>
    </row>
    <row r="4974" spans="1:13">
      <c r="A4974" s="3" t="s">
        <v>4950</v>
      </c>
      <c r="C4974">
        <v>5</v>
      </c>
      <c r="D4974">
        <v>6</v>
      </c>
      <c r="M4974">
        <v>9</v>
      </c>
    </row>
    <row r="4975" spans="1:13">
      <c r="A4975" s="3" t="s">
        <v>4951</v>
      </c>
      <c r="C4975">
        <v>5</v>
      </c>
      <c r="D4975">
        <v>6</v>
      </c>
      <c r="M4975">
        <v>9</v>
      </c>
    </row>
    <row r="4976" spans="1:13">
      <c r="A4976" s="3" t="s">
        <v>4952</v>
      </c>
      <c r="C4976">
        <v>5</v>
      </c>
      <c r="D4976">
        <v>6</v>
      </c>
      <c r="M4976">
        <v>9</v>
      </c>
    </row>
    <row r="4977" spans="1:13">
      <c r="A4977" s="3" t="s">
        <v>4953</v>
      </c>
      <c r="C4977">
        <v>5</v>
      </c>
      <c r="D4977">
        <v>6</v>
      </c>
      <c r="M4977">
        <v>9</v>
      </c>
    </row>
    <row r="4978" spans="1:13">
      <c r="A4978" s="3" t="s">
        <v>4954</v>
      </c>
      <c r="C4978">
        <v>5</v>
      </c>
      <c r="D4978">
        <v>6</v>
      </c>
      <c r="M4978">
        <v>9</v>
      </c>
    </row>
    <row r="4979" spans="1:13">
      <c r="A4979" s="3" t="s">
        <v>4955</v>
      </c>
      <c r="C4979">
        <v>5</v>
      </c>
      <c r="D4979">
        <v>6</v>
      </c>
      <c r="M4979">
        <v>9</v>
      </c>
    </row>
    <row r="4980" spans="1:13">
      <c r="A4980" s="3" t="s">
        <v>4956</v>
      </c>
      <c r="C4980">
        <v>5</v>
      </c>
      <c r="D4980">
        <v>6</v>
      </c>
      <c r="M4980">
        <v>9</v>
      </c>
    </row>
    <row r="4981" spans="1:13">
      <c r="A4981" s="3" t="s">
        <v>4957</v>
      </c>
      <c r="C4981">
        <v>5</v>
      </c>
      <c r="D4981">
        <v>6</v>
      </c>
      <c r="M4981">
        <v>9</v>
      </c>
    </row>
    <row r="4982" spans="1:13">
      <c r="A4982" s="3" t="s">
        <v>4958</v>
      </c>
      <c r="C4982">
        <v>5</v>
      </c>
      <c r="D4982">
        <v>6</v>
      </c>
      <c r="M4982">
        <v>9</v>
      </c>
    </row>
    <row r="4983" spans="1:13">
      <c r="A4983" s="3" t="s">
        <v>4959</v>
      </c>
      <c r="C4983">
        <v>5</v>
      </c>
      <c r="D4983">
        <v>6</v>
      </c>
      <c r="M4983">
        <v>9</v>
      </c>
    </row>
    <row r="4984" spans="1:13">
      <c r="A4984" s="3" t="s">
        <v>4960</v>
      </c>
      <c r="C4984">
        <v>5</v>
      </c>
      <c r="D4984">
        <v>6</v>
      </c>
      <c r="M4984">
        <v>9</v>
      </c>
    </row>
    <row r="4985" spans="1:13">
      <c r="A4985" s="3" t="s">
        <v>4961</v>
      </c>
      <c r="C4985">
        <v>5</v>
      </c>
      <c r="D4985">
        <v>6</v>
      </c>
      <c r="M4985">
        <v>9</v>
      </c>
    </row>
    <row r="4986" spans="1:13">
      <c r="A4986" s="3" t="s">
        <v>4962</v>
      </c>
      <c r="C4986">
        <v>5</v>
      </c>
      <c r="D4986">
        <v>6</v>
      </c>
      <c r="M4986">
        <v>9</v>
      </c>
    </row>
    <row r="4987" spans="1:13">
      <c r="A4987" s="3" t="s">
        <v>4963</v>
      </c>
      <c r="C4987">
        <v>5</v>
      </c>
      <c r="D4987">
        <v>6</v>
      </c>
      <c r="M4987">
        <v>9</v>
      </c>
    </row>
    <row r="4988" spans="1:13">
      <c r="A4988" s="3" t="s">
        <v>4964</v>
      </c>
      <c r="C4988">
        <v>5</v>
      </c>
      <c r="D4988">
        <v>6</v>
      </c>
      <c r="M4988">
        <v>9</v>
      </c>
    </row>
    <row r="4989" spans="1:13">
      <c r="A4989" s="3" t="s">
        <v>4965</v>
      </c>
      <c r="C4989">
        <v>5</v>
      </c>
      <c r="D4989">
        <v>6</v>
      </c>
      <c r="M4989">
        <v>9</v>
      </c>
    </row>
    <row r="4990" spans="1:13">
      <c r="A4990" s="3" t="s">
        <v>4966</v>
      </c>
      <c r="C4990">
        <v>5</v>
      </c>
      <c r="D4990">
        <v>6</v>
      </c>
      <c r="M4990">
        <v>9</v>
      </c>
    </row>
    <row r="4991" spans="1:13">
      <c r="A4991" s="3" t="s">
        <v>4967</v>
      </c>
      <c r="C4991">
        <v>5</v>
      </c>
      <c r="D4991">
        <v>6</v>
      </c>
      <c r="M4991">
        <v>9</v>
      </c>
    </row>
    <row r="4992" spans="1:13">
      <c r="A4992" s="3" t="s">
        <v>4968</v>
      </c>
      <c r="C4992">
        <v>5</v>
      </c>
      <c r="D4992">
        <v>6</v>
      </c>
      <c r="M4992">
        <v>9</v>
      </c>
    </row>
    <row r="4993" spans="1:13">
      <c r="A4993" s="3" t="s">
        <v>4969</v>
      </c>
      <c r="C4993">
        <v>5</v>
      </c>
      <c r="D4993">
        <v>6</v>
      </c>
      <c r="M4993">
        <v>9</v>
      </c>
    </row>
    <row r="4994" spans="1:13">
      <c r="A4994" s="3" t="s">
        <v>4970</v>
      </c>
      <c r="C4994">
        <v>5</v>
      </c>
      <c r="D4994">
        <v>6</v>
      </c>
      <c r="M4994">
        <v>9</v>
      </c>
    </row>
    <row r="4995" spans="1:13">
      <c r="A4995" s="3" t="s">
        <v>4971</v>
      </c>
      <c r="C4995">
        <v>5</v>
      </c>
      <c r="D4995">
        <v>6</v>
      </c>
      <c r="M4995">
        <v>9</v>
      </c>
    </row>
    <row r="4996" spans="1:13">
      <c r="A4996" s="3" t="s">
        <v>4972</v>
      </c>
      <c r="C4996">
        <v>5</v>
      </c>
      <c r="D4996">
        <v>6</v>
      </c>
      <c r="M4996">
        <v>9</v>
      </c>
    </row>
    <row r="4997" spans="1:13">
      <c r="A4997" s="3" t="s">
        <v>4973</v>
      </c>
      <c r="C4997">
        <v>5</v>
      </c>
      <c r="D4997">
        <v>6</v>
      </c>
      <c r="M4997">
        <v>9</v>
      </c>
    </row>
    <row r="4998" spans="1:13">
      <c r="A4998" s="3" t="s">
        <v>4974</v>
      </c>
      <c r="C4998">
        <v>5</v>
      </c>
      <c r="D4998">
        <v>6</v>
      </c>
      <c r="M4998">
        <v>9</v>
      </c>
    </row>
    <row r="4999" spans="1:13">
      <c r="A4999" s="3" t="s">
        <v>4975</v>
      </c>
      <c r="C4999">
        <v>5</v>
      </c>
      <c r="D4999">
        <v>6</v>
      </c>
      <c r="J4999">
        <v>72</v>
      </c>
    </row>
    <row r="5000" spans="1:13">
      <c r="A5000" s="3" t="s">
        <v>4976</v>
      </c>
      <c r="C5000">
        <v>5</v>
      </c>
      <c r="D5000">
        <v>6</v>
      </c>
      <c r="J5000">
        <v>72</v>
      </c>
    </row>
    <row r="5001" spans="1:13">
      <c r="A5001" s="3" t="s">
        <v>4977</v>
      </c>
      <c r="C5001">
        <v>5</v>
      </c>
      <c r="D5001">
        <v>6</v>
      </c>
      <c r="J5001">
        <v>72</v>
      </c>
    </row>
    <row r="5002" spans="1:13">
      <c r="A5002" s="3" t="s">
        <v>4978</v>
      </c>
      <c r="C5002">
        <v>5</v>
      </c>
      <c r="D5002">
        <v>6</v>
      </c>
      <c r="J5002">
        <v>72</v>
      </c>
    </row>
    <row r="5003" spans="1:13">
      <c r="A5003" s="3" t="s">
        <v>4979</v>
      </c>
      <c r="C5003">
        <v>5</v>
      </c>
      <c r="D5003">
        <v>6</v>
      </c>
      <c r="J5003">
        <v>72</v>
      </c>
    </row>
    <row r="5004" spans="1:13">
      <c r="A5004" s="3" t="s">
        <v>4980</v>
      </c>
      <c r="D5004">
        <v>6</v>
      </c>
      <c r="J5004">
        <v>72</v>
      </c>
    </row>
    <row r="5005" spans="1:13">
      <c r="A5005" s="3" t="s">
        <v>4981</v>
      </c>
      <c r="D5005">
        <v>6</v>
      </c>
      <c r="J5005">
        <v>72</v>
      </c>
    </row>
    <row r="5006" spans="1:13">
      <c r="A5006" s="3" t="s">
        <v>4982</v>
      </c>
      <c r="D5006">
        <v>6</v>
      </c>
      <c r="J5006">
        <v>72</v>
      </c>
    </row>
    <row r="5007" spans="1:13">
      <c r="A5007" s="3" t="s">
        <v>4983</v>
      </c>
      <c r="D5007">
        <v>6</v>
      </c>
      <c r="J5007">
        <v>72</v>
      </c>
    </row>
    <row r="5008" spans="1:13">
      <c r="A5008" s="3" t="s">
        <v>4984</v>
      </c>
      <c r="D5008">
        <v>6</v>
      </c>
      <c r="J5008">
        <v>72</v>
      </c>
    </row>
    <row r="5009" spans="1:28">
      <c r="A5009" s="3" t="s">
        <v>4985</v>
      </c>
      <c r="D5009">
        <v>6</v>
      </c>
      <c r="J5009">
        <v>72</v>
      </c>
    </row>
    <row r="5010" spans="1:28">
      <c r="A5010" s="3" t="s">
        <v>4986</v>
      </c>
      <c r="D5010">
        <v>6</v>
      </c>
      <c r="AB5010">
        <v>4</v>
      </c>
    </row>
    <row r="5011" spans="1:28">
      <c r="A5011" s="3" t="s">
        <v>4987</v>
      </c>
      <c r="D5011">
        <v>6</v>
      </c>
      <c r="AB5011">
        <v>4</v>
      </c>
    </row>
    <row r="5012" spans="1:28">
      <c r="A5012" s="3" t="s">
        <v>4988</v>
      </c>
      <c r="D5012">
        <v>6</v>
      </c>
      <c r="AB5012">
        <v>4</v>
      </c>
    </row>
    <row r="5013" spans="1:28">
      <c r="A5013" s="3" t="s">
        <v>4989</v>
      </c>
      <c r="D5013">
        <v>6</v>
      </c>
      <c r="AB5013">
        <v>4</v>
      </c>
    </row>
    <row r="5014" spans="1:28">
      <c r="A5014" s="3" t="s">
        <v>4990</v>
      </c>
      <c r="D5014">
        <v>6</v>
      </c>
      <c r="AB5014">
        <v>4</v>
      </c>
    </row>
    <row r="5015" spans="1:28">
      <c r="A5015" s="3" t="s">
        <v>4991</v>
      </c>
      <c r="D5015">
        <v>6</v>
      </c>
      <c r="AB5015">
        <v>4</v>
      </c>
    </row>
    <row r="5016" spans="1:28">
      <c r="A5016" s="3" t="s">
        <v>4992</v>
      </c>
      <c r="D5016">
        <v>6</v>
      </c>
      <c r="AB5016">
        <v>4</v>
      </c>
    </row>
    <row r="5017" spans="1:28">
      <c r="A5017" s="3" t="s">
        <v>4993</v>
      </c>
      <c r="D5017">
        <v>6</v>
      </c>
      <c r="AB5017">
        <v>4</v>
      </c>
    </row>
    <row r="5018" spans="1:28">
      <c r="A5018" s="3" t="s">
        <v>4994</v>
      </c>
      <c r="D5018">
        <v>6</v>
      </c>
      <c r="AB5018">
        <v>4</v>
      </c>
    </row>
    <row r="5019" spans="1:28">
      <c r="A5019" s="3" t="s">
        <v>4995</v>
      </c>
      <c r="D5019">
        <v>6</v>
      </c>
      <c r="AB5019">
        <v>4</v>
      </c>
    </row>
    <row r="5020" spans="1:28">
      <c r="A5020" s="3" t="s">
        <v>4996</v>
      </c>
      <c r="D5020">
        <v>6</v>
      </c>
      <c r="AB5020">
        <v>4</v>
      </c>
    </row>
    <row r="5021" spans="1:28">
      <c r="A5021" s="3" t="s">
        <v>4997</v>
      </c>
      <c r="D5021">
        <v>6</v>
      </c>
      <c r="AB5021">
        <v>4</v>
      </c>
    </row>
    <row r="5022" spans="1:28">
      <c r="A5022" s="3" t="s">
        <v>4998</v>
      </c>
      <c r="D5022">
        <v>6</v>
      </c>
      <c r="AB5022">
        <v>4</v>
      </c>
    </row>
    <row r="5023" spans="1:28">
      <c r="A5023" s="3" t="s">
        <v>4999</v>
      </c>
      <c r="D5023">
        <v>6</v>
      </c>
      <c r="AB5023">
        <v>4</v>
      </c>
    </row>
    <row r="5024" spans="1:28">
      <c r="A5024" s="3" t="s">
        <v>5000</v>
      </c>
      <c r="D5024">
        <v>6</v>
      </c>
      <c r="AB5024">
        <v>4</v>
      </c>
    </row>
    <row r="5025" spans="1:28">
      <c r="A5025" s="3" t="s">
        <v>5001</v>
      </c>
      <c r="D5025">
        <v>6</v>
      </c>
      <c r="AB5025">
        <v>4</v>
      </c>
    </row>
    <row r="5026" spans="1:28">
      <c r="A5026" s="3" t="s">
        <v>5002</v>
      </c>
      <c r="D5026">
        <v>6</v>
      </c>
      <c r="AB5026">
        <v>4</v>
      </c>
    </row>
    <row r="5027" spans="1:28">
      <c r="A5027" s="3" t="s">
        <v>5003</v>
      </c>
      <c r="D5027">
        <v>6</v>
      </c>
      <c r="AB5027">
        <v>4</v>
      </c>
    </row>
    <row r="5028" spans="1:28">
      <c r="A5028" s="3" t="s">
        <v>5004</v>
      </c>
      <c r="D5028">
        <v>6</v>
      </c>
      <c r="AB5028">
        <v>4</v>
      </c>
    </row>
    <row r="5029" spans="1:28">
      <c r="A5029" s="3" t="s">
        <v>5005</v>
      </c>
      <c r="D5029">
        <v>6</v>
      </c>
      <c r="AB5029">
        <v>4</v>
      </c>
    </row>
    <row r="5030" spans="1:28">
      <c r="A5030" s="3" t="s">
        <v>5006</v>
      </c>
      <c r="D5030">
        <v>6</v>
      </c>
      <c r="AB5030">
        <v>4</v>
      </c>
    </row>
    <row r="5031" spans="1:28">
      <c r="A5031" s="3" t="s">
        <v>5007</v>
      </c>
      <c r="D5031">
        <v>6</v>
      </c>
      <c r="AB5031">
        <v>4</v>
      </c>
    </row>
    <row r="5032" spans="1:28">
      <c r="A5032" s="3" t="s">
        <v>5008</v>
      </c>
      <c r="D5032">
        <v>6</v>
      </c>
      <c r="AB5032">
        <v>4</v>
      </c>
    </row>
    <row r="5033" spans="1:28">
      <c r="A5033" s="3" t="s">
        <v>5009</v>
      </c>
      <c r="D5033">
        <v>6</v>
      </c>
      <c r="AB5033">
        <v>4</v>
      </c>
    </row>
    <row r="5034" spans="1:28">
      <c r="A5034" s="3" t="s">
        <v>5010</v>
      </c>
      <c r="D5034">
        <v>6</v>
      </c>
      <c r="AB5034">
        <v>4</v>
      </c>
    </row>
    <row r="5035" spans="1:28">
      <c r="A5035" s="3" t="s">
        <v>5011</v>
      </c>
      <c r="D5035">
        <v>6</v>
      </c>
      <c r="AB5035">
        <v>4</v>
      </c>
    </row>
    <row r="5036" spans="1:28">
      <c r="A5036" s="3" t="s">
        <v>5012</v>
      </c>
      <c r="D5036">
        <v>6</v>
      </c>
      <c r="AB5036">
        <v>4</v>
      </c>
    </row>
    <row r="5037" spans="1:28">
      <c r="A5037" s="3" t="s">
        <v>5013</v>
      </c>
      <c r="D5037">
        <v>6</v>
      </c>
      <c r="AB5037">
        <v>4</v>
      </c>
    </row>
    <row r="5038" spans="1:28">
      <c r="A5038" s="3" t="s">
        <v>5014</v>
      </c>
      <c r="D5038">
        <v>6</v>
      </c>
      <c r="AB5038">
        <v>4</v>
      </c>
    </row>
    <row r="5039" spans="1:28">
      <c r="A5039" s="3" t="s">
        <v>5015</v>
      </c>
      <c r="D5039">
        <v>6</v>
      </c>
      <c r="AB5039">
        <v>4</v>
      </c>
    </row>
    <row r="5040" spans="1:28">
      <c r="A5040" s="3" t="s">
        <v>5016</v>
      </c>
      <c r="D5040">
        <v>6</v>
      </c>
      <c r="AB5040">
        <v>4</v>
      </c>
    </row>
    <row r="5041" spans="1:49">
      <c r="A5041" s="3" t="s">
        <v>5017</v>
      </c>
      <c r="D5041">
        <v>6</v>
      </c>
      <c r="AB5041">
        <v>4</v>
      </c>
    </row>
    <row r="5042" spans="1:49">
      <c r="A5042" s="3" t="s">
        <v>5018</v>
      </c>
      <c r="D5042">
        <v>6</v>
      </c>
      <c r="AB5042">
        <v>4</v>
      </c>
    </row>
    <row r="5043" spans="1:49">
      <c r="A5043" s="3" t="s">
        <v>5019</v>
      </c>
      <c r="D5043">
        <v>6</v>
      </c>
      <c r="AB5043">
        <v>4</v>
      </c>
    </row>
    <row r="5044" spans="1:49">
      <c r="A5044" s="3" t="s">
        <v>5020</v>
      </c>
      <c r="D5044">
        <v>6</v>
      </c>
      <c r="AB5044">
        <v>4</v>
      </c>
    </row>
    <row r="5045" spans="1:49">
      <c r="A5045" s="3" t="s">
        <v>5021</v>
      </c>
      <c r="D5045">
        <v>6</v>
      </c>
      <c r="AB5045">
        <v>4</v>
      </c>
    </row>
    <row r="5046" spans="1:49">
      <c r="A5046" s="3" t="s">
        <v>5022</v>
      </c>
      <c r="D5046">
        <v>6</v>
      </c>
      <c r="AB5046">
        <v>4</v>
      </c>
    </row>
    <row r="5047" spans="1:49">
      <c r="A5047" s="3" t="s">
        <v>5023</v>
      </c>
      <c r="D5047">
        <v>6</v>
      </c>
      <c r="AB5047">
        <v>4</v>
      </c>
    </row>
    <row r="5048" spans="1:49">
      <c r="A5048" s="3" t="s">
        <v>5024</v>
      </c>
      <c r="D5048">
        <v>6</v>
      </c>
      <c r="AB5048">
        <v>4</v>
      </c>
    </row>
    <row r="5049" spans="1:49">
      <c r="A5049" s="3" t="s">
        <v>5025</v>
      </c>
      <c r="D5049">
        <v>6</v>
      </c>
      <c r="AB5049">
        <v>4</v>
      </c>
    </row>
    <row r="5050" spans="1:49">
      <c r="A5050" s="3" t="s">
        <v>5026</v>
      </c>
      <c r="D5050">
        <v>6</v>
      </c>
      <c r="AB5050">
        <v>4</v>
      </c>
    </row>
    <row r="5051" spans="1:49">
      <c r="A5051" s="3" t="s">
        <v>5027</v>
      </c>
      <c r="D5051">
        <v>6</v>
      </c>
      <c r="AW5051">
        <v>42</v>
      </c>
    </row>
    <row r="5052" spans="1:49">
      <c r="A5052" s="3" t="s">
        <v>5028</v>
      </c>
      <c r="D5052">
        <v>6</v>
      </c>
      <c r="AW5052">
        <v>42</v>
      </c>
    </row>
    <row r="5053" spans="1:49">
      <c r="A5053" s="3" t="s">
        <v>5029</v>
      </c>
      <c r="D5053">
        <v>6</v>
      </c>
      <c r="AW5053">
        <v>42</v>
      </c>
    </row>
    <row r="5054" spans="1:49">
      <c r="A5054" s="3" t="s">
        <v>5030</v>
      </c>
      <c r="D5054">
        <v>6</v>
      </c>
      <c r="AW5054">
        <v>42</v>
      </c>
    </row>
    <row r="5055" spans="1:49">
      <c r="A5055" s="3" t="s">
        <v>5031</v>
      </c>
      <c r="D5055">
        <v>6</v>
      </c>
      <c r="J5055">
        <v>73</v>
      </c>
    </row>
    <row r="5056" spans="1:49">
      <c r="A5056" s="3" t="s">
        <v>5032</v>
      </c>
      <c r="D5056">
        <v>6</v>
      </c>
      <c r="J5056">
        <v>73</v>
      </c>
    </row>
    <row r="5057" spans="1:26">
      <c r="A5057" s="3" t="s">
        <v>5033</v>
      </c>
      <c r="D5057">
        <v>6</v>
      </c>
      <c r="J5057">
        <v>73</v>
      </c>
    </row>
    <row r="5058" spans="1:26">
      <c r="A5058" s="3" t="s">
        <v>5034</v>
      </c>
      <c r="D5058">
        <v>6</v>
      </c>
      <c r="J5058">
        <v>73</v>
      </c>
    </row>
    <row r="5059" spans="1:26">
      <c r="A5059" s="3" t="s">
        <v>5035</v>
      </c>
      <c r="D5059">
        <v>6</v>
      </c>
      <c r="Z5059">
        <v>1</v>
      </c>
    </row>
    <row r="5060" spans="1:26">
      <c r="A5060" s="3" t="s">
        <v>5036</v>
      </c>
      <c r="D5060">
        <v>6</v>
      </c>
      <c r="Z5060">
        <v>1</v>
      </c>
    </row>
    <row r="5061" spans="1:26">
      <c r="A5061" s="3" t="s">
        <v>5037</v>
      </c>
      <c r="D5061">
        <v>6</v>
      </c>
      <c r="Z5061">
        <v>1</v>
      </c>
    </row>
    <row r="5062" spans="1:26">
      <c r="A5062" s="3" t="s">
        <v>5038</v>
      </c>
      <c r="D5062">
        <v>6</v>
      </c>
      <c r="Z5062">
        <v>1</v>
      </c>
    </row>
    <row r="5063" spans="1:26">
      <c r="A5063" s="3" t="s">
        <v>5039</v>
      </c>
      <c r="D5063">
        <v>6</v>
      </c>
      <c r="Z5063">
        <v>1</v>
      </c>
    </row>
    <row r="5064" spans="1:26">
      <c r="A5064" s="3" t="s">
        <v>5040</v>
      </c>
      <c r="D5064">
        <v>6</v>
      </c>
      <c r="Z5064">
        <v>1</v>
      </c>
    </row>
    <row r="5065" spans="1:26">
      <c r="A5065" s="3" t="s">
        <v>5041</v>
      </c>
      <c r="D5065">
        <v>6</v>
      </c>
      <c r="Z5065">
        <v>1</v>
      </c>
    </row>
    <row r="5066" spans="1:26">
      <c r="A5066" s="3" t="s">
        <v>5042</v>
      </c>
      <c r="D5066">
        <v>6</v>
      </c>
      <c r="Z5066">
        <v>1</v>
      </c>
    </row>
    <row r="5067" spans="1:26">
      <c r="A5067" s="3" t="s">
        <v>5043</v>
      </c>
      <c r="D5067">
        <v>6</v>
      </c>
      <c r="Z5067">
        <v>1</v>
      </c>
    </row>
    <row r="5068" spans="1:26">
      <c r="A5068" s="3" t="s">
        <v>5044</v>
      </c>
      <c r="D5068">
        <v>6</v>
      </c>
      <c r="Z5068">
        <v>1</v>
      </c>
    </row>
    <row r="5069" spans="1:26">
      <c r="A5069" s="3" t="s">
        <v>5045</v>
      </c>
      <c r="D5069">
        <v>6</v>
      </c>
      <c r="Z5069">
        <v>1</v>
      </c>
    </row>
    <row r="5070" spans="1:26">
      <c r="A5070" s="3" t="s">
        <v>5046</v>
      </c>
      <c r="D5070">
        <v>6</v>
      </c>
      <c r="Z5070">
        <v>1</v>
      </c>
    </row>
    <row r="5071" spans="1:26">
      <c r="A5071" s="3" t="s">
        <v>5047</v>
      </c>
      <c r="D5071">
        <v>6</v>
      </c>
      <c r="Z5071">
        <v>1</v>
      </c>
    </row>
    <row r="5072" spans="1:26">
      <c r="A5072" s="3" t="s">
        <v>5048</v>
      </c>
      <c r="D5072">
        <v>6</v>
      </c>
      <c r="Z5072">
        <v>1</v>
      </c>
    </row>
    <row r="5073" spans="1:26">
      <c r="A5073" s="3" t="s">
        <v>5049</v>
      </c>
      <c r="D5073">
        <v>6</v>
      </c>
      <c r="Z5073">
        <v>1</v>
      </c>
    </row>
    <row r="5074" spans="1:26">
      <c r="A5074" s="3" t="s">
        <v>5050</v>
      </c>
      <c r="D5074">
        <v>6</v>
      </c>
      <c r="Z5074">
        <v>1</v>
      </c>
    </row>
    <row r="5075" spans="1:26">
      <c r="A5075" s="3" t="s">
        <v>5051</v>
      </c>
      <c r="D5075">
        <v>6</v>
      </c>
      <c r="Z5075">
        <v>1</v>
      </c>
    </row>
    <row r="5076" spans="1:26">
      <c r="A5076" s="3" t="s">
        <v>5052</v>
      </c>
      <c r="D5076">
        <v>6</v>
      </c>
      <c r="Z5076">
        <v>1</v>
      </c>
    </row>
    <row r="5077" spans="1:26">
      <c r="A5077" s="3" t="s">
        <v>5053</v>
      </c>
      <c r="D5077">
        <v>6</v>
      </c>
      <c r="Z5077">
        <v>1</v>
      </c>
    </row>
    <row r="5078" spans="1:26">
      <c r="A5078" s="3" t="s">
        <v>5054</v>
      </c>
      <c r="D5078">
        <v>6</v>
      </c>
      <c r="Z5078">
        <v>1</v>
      </c>
    </row>
    <row r="5079" spans="1:26">
      <c r="A5079" s="3" t="s">
        <v>5055</v>
      </c>
      <c r="D5079">
        <v>6</v>
      </c>
      <c r="Z5079">
        <v>1</v>
      </c>
    </row>
    <row r="5080" spans="1:26">
      <c r="A5080" s="3" t="s">
        <v>5056</v>
      </c>
      <c r="D5080">
        <v>6</v>
      </c>
      <c r="Z5080">
        <v>1</v>
      </c>
    </row>
    <row r="5081" spans="1:26">
      <c r="A5081" s="3" t="s">
        <v>5057</v>
      </c>
      <c r="D5081">
        <v>6</v>
      </c>
      <c r="Z5081">
        <v>1</v>
      </c>
    </row>
    <row r="5082" spans="1:26">
      <c r="A5082" s="3" t="s">
        <v>5058</v>
      </c>
      <c r="D5082">
        <v>6</v>
      </c>
      <c r="Z5082">
        <v>1</v>
      </c>
    </row>
    <row r="5083" spans="1:26">
      <c r="A5083" s="3" t="s">
        <v>5059</v>
      </c>
      <c r="D5083">
        <v>6</v>
      </c>
      <c r="J5083">
        <v>74</v>
      </c>
    </row>
    <row r="5084" spans="1:26">
      <c r="A5084" s="3" t="s">
        <v>5060</v>
      </c>
      <c r="D5084">
        <v>6</v>
      </c>
      <c r="J5084">
        <v>74</v>
      </c>
    </row>
    <row r="5085" spans="1:26">
      <c r="A5085" s="3" t="s">
        <v>5061</v>
      </c>
      <c r="D5085">
        <v>6</v>
      </c>
      <c r="J5085">
        <v>74</v>
      </c>
    </row>
    <row r="5086" spans="1:26">
      <c r="A5086" s="3" t="s">
        <v>5062</v>
      </c>
      <c r="D5086">
        <v>6</v>
      </c>
      <c r="J5086">
        <v>74</v>
      </c>
    </row>
    <row r="5087" spans="1:26">
      <c r="A5087" s="3" t="s">
        <v>5063</v>
      </c>
      <c r="D5087">
        <v>6</v>
      </c>
      <c r="J5087">
        <v>74</v>
      </c>
    </row>
    <row r="5088" spans="1:26">
      <c r="A5088" s="3" t="s">
        <v>5064</v>
      </c>
      <c r="D5088">
        <v>6</v>
      </c>
      <c r="J5088">
        <v>74</v>
      </c>
    </row>
    <row r="5089" spans="1:49">
      <c r="A5089" s="3" t="s">
        <v>5065</v>
      </c>
      <c r="D5089">
        <v>6</v>
      </c>
      <c r="J5089">
        <v>74</v>
      </c>
    </row>
    <row r="5090" spans="1:49">
      <c r="A5090" s="3" t="s">
        <v>5066</v>
      </c>
      <c r="D5090">
        <v>6</v>
      </c>
      <c r="J5090">
        <v>74</v>
      </c>
    </row>
    <row r="5091" spans="1:49">
      <c r="A5091" s="3" t="s">
        <v>5067</v>
      </c>
      <c r="D5091">
        <v>6</v>
      </c>
      <c r="J5091">
        <v>74</v>
      </c>
    </row>
    <row r="5092" spans="1:49">
      <c r="A5092" s="3" t="s">
        <v>5068</v>
      </c>
      <c r="D5092">
        <v>6</v>
      </c>
      <c r="J5092">
        <v>74</v>
      </c>
    </row>
    <row r="5093" spans="1:49">
      <c r="A5093" s="3" t="s">
        <v>5069</v>
      </c>
      <c r="D5093">
        <v>6</v>
      </c>
      <c r="J5093">
        <v>74</v>
      </c>
    </row>
    <row r="5094" spans="1:49">
      <c r="A5094" s="3" t="s">
        <v>5070</v>
      </c>
      <c r="D5094">
        <v>6</v>
      </c>
      <c r="J5094">
        <v>74</v>
      </c>
    </row>
    <row r="5095" spans="1:49">
      <c r="A5095" s="3" t="s">
        <v>5071</v>
      </c>
      <c r="D5095">
        <v>6</v>
      </c>
      <c r="J5095">
        <v>74</v>
      </c>
    </row>
    <row r="5096" spans="1:49">
      <c r="A5096" s="3" t="s">
        <v>5072</v>
      </c>
      <c r="D5096">
        <v>6</v>
      </c>
      <c r="J5096">
        <v>74</v>
      </c>
    </row>
    <row r="5097" spans="1:49">
      <c r="A5097" s="3" t="s">
        <v>5073</v>
      </c>
      <c r="D5097">
        <v>6</v>
      </c>
      <c r="J5097">
        <v>74</v>
      </c>
    </row>
    <row r="5098" spans="1:49">
      <c r="A5098" s="3" t="s">
        <v>5074</v>
      </c>
      <c r="D5098">
        <v>6</v>
      </c>
      <c r="J5098">
        <v>74</v>
      </c>
    </row>
    <row r="5099" spans="1:49">
      <c r="A5099" s="3" t="s">
        <v>5075</v>
      </c>
      <c r="D5099">
        <v>6</v>
      </c>
      <c r="J5099">
        <v>74</v>
      </c>
    </row>
    <row r="5100" spans="1:49">
      <c r="A5100" s="3" t="s">
        <v>5076</v>
      </c>
      <c r="D5100">
        <v>6</v>
      </c>
      <c r="J5100">
        <v>74</v>
      </c>
    </row>
    <row r="5101" spans="1:49">
      <c r="A5101" s="3" t="s">
        <v>5077</v>
      </c>
      <c r="D5101">
        <v>6</v>
      </c>
      <c r="AW5101">
        <v>43</v>
      </c>
    </row>
    <row r="5102" spans="1:49">
      <c r="A5102" s="3" t="s">
        <v>5078</v>
      </c>
      <c r="D5102">
        <v>6</v>
      </c>
      <c r="AW5102">
        <v>43</v>
      </c>
    </row>
    <row r="5103" spans="1:49">
      <c r="A5103" s="3" t="s">
        <v>5079</v>
      </c>
      <c r="D5103">
        <v>6</v>
      </c>
      <c r="AW5103">
        <v>43</v>
      </c>
    </row>
    <row r="5104" spans="1:49">
      <c r="A5104" s="3" t="s">
        <v>5080</v>
      </c>
      <c r="D5104">
        <v>6</v>
      </c>
      <c r="AW5104">
        <v>43</v>
      </c>
    </row>
    <row r="5105" spans="1:49">
      <c r="A5105" s="3" t="s">
        <v>5081</v>
      </c>
      <c r="D5105">
        <v>6</v>
      </c>
      <c r="AW5105">
        <v>43</v>
      </c>
    </row>
    <row r="5106" spans="1:49">
      <c r="A5106" s="3" t="s">
        <v>5082</v>
      </c>
      <c r="D5106">
        <v>6</v>
      </c>
      <c r="AW5106">
        <v>43</v>
      </c>
    </row>
    <row r="5107" spans="1:49">
      <c r="A5107" s="3" t="s">
        <v>5083</v>
      </c>
      <c r="D5107">
        <v>6</v>
      </c>
      <c r="AW5107">
        <v>43</v>
      </c>
    </row>
    <row r="5108" spans="1:49">
      <c r="A5108" s="3" t="s">
        <v>5084</v>
      </c>
      <c r="D5108">
        <v>6</v>
      </c>
      <c r="AW5108">
        <v>43</v>
      </c>
    </row>
    <row r="5109" spans="1:49">
      <c r="A5109" s="3" t="s">
        <v>5085</v>
      </c>
      <c r="D5109">
        <v>6</v>
      </c>
      <c r="J5109">
        <v>75</v>
      </c>
    </row>
    <row r="5110" spans="1:49">
      <c r="A5110" s="3" t="s">
        <v>5086</v>
      </c>
      <c r="D5110">
        <v>6</v>
      </c>
      <c r="J5110">
        <v>75</v>
      </c>
    </row>
    <row r="5111" spans="1:49">
      <c r="A5111" s="3" t="s">
        <v>5087</v>
      </c>
      <c r="D5111">
        <v>6</v>
      </c>
      <c r="J5111">
        <v>75</v>
      </c>
    </row>
    <row r="5112" spans="1:49">
      <c r="A5112" s="3" t="s">
        <v>5088</v>
      </c>
      <c r="D5112">
        <v>6</v>
      </c>
      <c r="J5112">
        <v>75</v>
      </c>
    </row>
    <row r="5113" spans="1:49">
      <c r="A5113" s="3" t="s">
        <v>5089</v>
      </c>
      <c r="D5113">
        <v>6</v>
      </c>
      <c r="J5113">
        <v>75</v>
      </c>
    </row>
    <row r="5114" spans="1:49">
      <c r="A5114" s="3" t="s">
        <v>5090</v>
      </c>
      <c r="D5114">
        <v>6</v>
      </c>
      <c r="J5114">
        <v>75</v>
      </c>
    </row>
    <row r="5115" spans="1:49">
      <c r="A5115" s="3" t="s">
        <v>5091</v>
      </c>
      <c r="D5115">
        <v>6</v>
      </c>
      <c r="J5115">
        <v>75</v>
      </c>
    </row>
    <row r="5116" spans="1:49">
      <c r="A5116" s="3" t="s">
        <v>5092</v>
      </c>
      <c r="D5116">
        <v>6</v>
      </c>
      <c r="J5116">
        <v>75</v>
      </c>
    </row>
    <row r="5117" spans="1:49">
      <c r="A5117" s="3" t="s">
        <v>5093</v>
      </c>
      <c r="D5117">
        <v>6</v>
      </c>
      <c r="J5117">
        <v>75</v>
      </c>
    </row>
    <row r="5118" spans="1:49">
      <c r="A5118" s="3" t="s">
        <v>5094</v>
      </c>
      <c r="D5118">
        <v>6</v>
      </c>
      <c r="J5118">
        <v>75</v>
      </c>
    </row>
    <row r="5119" spans="1:49">
      <c r="A5119" s="3" t="s">
        <v>5095</v>
      </c>
      <c r="D5119">
        <v>6</v>
      </c>
      <c r="J5119">
        <v>75</v>
      </c>
    </row>
    <row r="5120" spans="1:49">
      <c r="A5120" s="3" t="s">
        <v>5096</v>
      </c>
      <c r="D5120">
        <v>6</v>
      </c>
      <c r="J5120">
        <v>75</v>
      </c>
    </row>
    <row r="5121" spans="1:49">
      <c r="A5121" s="3" t="s">
        <v>5097</v>
      </c>
      <c r="D5121">
        <v>6</v>
      </c>
      <c r="AW5121">
        <v>44</v>
      </c>
    </row>
    <row r="5122" spans="1:49">
      <c r="A5122" s="3" t="s">
        <v>5098</v>
      </c>
      <c r="D5122">
        <v>6</v>
      </c>
      <c r="AW5122">
        <v>44</v>
      </c>
    </row>
    <row r="5123" spans="1:49">
      <c r="A5123" s="3" t="s">
        <v>5099</v>
      </c>
      <c r="D5123">
        <v>6</v>
      </c>
      <c r="AW5123">
        <v>44</v>
      </c>
    </row>
    <row r="5124" spans="1:49">
      <c r="A5124" s="3" t="s">
        <v>5100</v>
      </c>
      <c r="D5124">
        <v>6</v>
      </c>
      <c r="AW5124">
        <v>44</v>
      </c>
    </row>
    <row r="5125" spans="1:49">
      <c r="A5125" s="3" t="s">
        <v>5101</v>
      </c>
      <c r="D5125">
        <v>6</v>
      </c>
      <c r="J5125">
        <v>76</v>
      </c>
    </row>
    <row r="5126" spans="1:49">
      <c r="A5126" s="3" t="s">
        <v>5102</v>
      </c>
      <c r="D5126">
        <v>6</v>
      </c>
      <c r="J5126">
        <v>76</v>
      </c>
    </row>
    <row r="5127" spans="1:49">
      <c r="A5127" s="3" t="s">
        <v>5103</v>
      </c>
      <c r="D5127">
        <v>6</v>
      </c>
      <c r="J5127">
        <v>76</v>
      </c>
    </row>
    <row r="5128" spans="1:49">
      <c r="A5128" s="3" t="s">
        <v>5104</v>
      </c>
      <c r="D5128">
        <v>6</v>
      </c>
      <c r="J5128">
        <v>76</v>
      </c>
    </row>
    <row r="5129" spans="1:49">
      <c r="A5129" s="3" t="s">
        <v>5105</v>
      </c>
      <c r="D5129">
        <v>6</v>
      </c>
      <c r="J5129">
        <v>76</v>
      </c>
    </row>
    <row r="5130" spans="1:49">
      <c r="A5130" s="3" t="s">
        <v>5106</v>
      </c>
      <c r="D5130">
        <v>6</v>
      </c>
      <c r="J5130">
        <v>76</v>
      </c>
    </row>
    <row r="5131" spans="1:49">
      <c r="A5131" s="3" t="s">
        <v>5107</v>
      </c>
      <c r="D5131">
        <v>6</v>
      </c>
      <c r="AW5131">
        <v>45</v>
      </c>
    </row>
    <row r="5132" spans="1:49">
      <c r="A5132" s="3" t="s">
        <v>5108</v>
      </c>
      <c r="D5132">
        <v>6</v>
      </c>
      <c r="AW5132">
        <v>45</v>
      </c>
    </row>
    <row r="5133" spans="1:49">
      <c r="A5133" s="3" t="s">
        <v>5109</v>
      </c>
      <c r="D5133">
        <v>6</v>
      </c>
      <c r="AW5133">
        <v>45</v>
      </c>
    </row>
    <row r="5134" spans="1:49">
      <c r="A5134" s="3" t="s">
        <v>5110</v>
      </c>
      <c r="D5134">
        <v>6</v>
      </c>
      <c r="AW5134">
        <v>45</v>
      </c>
    </row>
    <row r="5135" spans="1:49">
      <c r="A5135" s="3" t="s">
        <v>5111</v>
      </c>
      <c r="D5135">
        <v>6</v>
      </c>
      <c r="J5135">
        <v>77</v>
      </c>
    </row>
    <row r="5136" spans="1:49">
      <c r="A5136" s="3" t="s">
        <v>5112</v>
      </c>
      <c r="D5136">
        <v>6</v>
      </c>
      <c r="E5136">
        <v>7</v>
      </c>
      <c r="J5136">
        <v>77</v>
      </c>
    </row>
    <row r="5137" spans="1:49">
      <c r="A5137" s="3" t="s">
        <v>5113</v>
      </c>
      <c r="D5137">
        <v>6</v>
      </c>
      <c r="E5137">
        <v>7</v>
      </c>
      <c r="J5137">
        <v>77</v>
      </c>
    </row>
    <row r="5138" spans="1:49">
      <c r="A5138" s="3" t="s">
        <v>5114</v>
      </c>
      <c r="D5138">
        <v>6</v>
      </c>
      <c r="E5138">
        <v>7</v>
      </c>
      <c r="J5138">
        <v>77</v>
      </c>
    </row>
    <row r="5139" spans="1:49">
      <c r="A5139" s="3" t="s">
        <v>5115</v>
      </c>
      <c r="D5139">
        <v>6</v>
      </c>
      <c r="E5139">
        <v>7</v>
      </c>
      <c r="J5139">
        <v>77</v>
      </c>
    </row>
    <row r="5140" spans="1:49">
      <c r="A5140" s="3" t="s">
        <v>5116</v>
      </c>
      <c r="D5140">
        <v>6</v>
      </c>
      <c r="E5140">
        <v>7</v>
      </c>
      <c r="J5140">
        <v>77</v>
      </c>
    </row>
    <row r="5141" spans="1:49">
      <c r="A5141" s="3" t="s">
        <v>5117</v>
      </c>
      <c r="D5141">
        <v>6</v>
      </c>
      <c r="E5141">
        <v>7</v>
      </c>
      <c r="AW5141">
        <v>46</v>
      </c>
    </row>
    <row r="5142" spans="1:49">
      <c r="A5142" s="3" t="s">
        <v>5118</v>
      </c>
      <c r="D5142">
        <v>6</v>
      </c>
      <c r="E5142">
        <v>7</v>
      </c>
      <c r="AW5142">
        <v>46</v>
      </c>
    </row>
    <row r="5143" spans="1:49">
      <c r="A5143" s="3" t="s">
        <v>5119</v>
      </c>
      <c r="D5143">
        <v>6</v>
      </c>
      <c r="E5143">
        <v>7</v>
      </c>
      <c r="AW5143">
        <v>46</v>
      </c>
    </row>
    <row r="5144" spans="1:49">
      <c r="A5144" s="3" t="s">
        <v>5120</v>
      </c>
      <c r="D5144">
        <v>6</v>
      </c>
      <c r="E5144">
        <v>7</v>
      </c>
      <c r="AW5144">
        <v>46</v>
      </c>
    </row>
    <row r="5145" spans="1:49">
      <c r="A5145" s="3" t="s">
        <v>5121</v>
      </c>
      <c r="D5145">
        <v>6</v>
      </c>
      <c r="E5145">
        <v>7</v>
      </c>
      <c r="J5145">
        <v>78</v>
      </c>
    </row>
    <row r="5146" spans="1:49">
      <c r="A5146" s="3" t="s">
        <v>5122</v>
      </c>
      <c r="D5146">
        <v>6</v>
      </c>
      <c r="E5146">
        <v>7</v>
      </c>
      <c r="J5146">
        <v>78</v>
      </c>
    </row>
    <row r="5147" spans="1:49">
      <c r="A5147" s="3" t="s">
        <v>5123</v>
      </c>
      <c r="D5147">
        <v>6</v>
      </c>
      <c r="E5147">
        <v>7</v>
      </c>
      <c r="J5147">
        <v>78</v>
      </c>
    </row>
    <row r="5148" spans="1:49">
      <c r="A5148" s="3" t="s">
        <v>5124</v>
      </c>
      <c r="D5148">
        <v>6</v>
      </c>
      <c r="E5148">
        <v>7</v>
      </c>
      <c r="J5148">
        <v>78</v>
      </c>
    </row>
    <row r="5149" spans="1:49">
      <c r="A5149" s="3" t="s">
        <v>5125</v>
      </c>
      <c r="D5149">
        <v>6</v>
      </c>
      <c r="E5149">
        <v>7</v>
      </c>
      <c r="AT5149">
        <v>10</v>
      </c>
    </row>
    <row r="5150" spans="1:49">
      <c r="A5150" s="3" t="s">
        <v>5126</v>
      </c>
      <c r="D5150">
        <v>6</v>
      </c>
      <c r="E5150">
        <v>7</v>
      </c>
      <c r="AT5150">
        <v>10</v>
      </c>
    </row>
    <row r="5151" spans="1:49">
      <c r="A5151" s="3" t="s">
        <v>5127</v>
      </c>
      <c r="D5151">
        <v>6</v>
      </c>
      <c r="E5151">
        <v>7</v>
      </c>
      <c r="AT5151">
        <v>10</v>
      </c>
    </row>
    <row r="5152" spans="1:49">
      <c r="A5152" s="3" t="s">
        <v>5128</v>
      </c>
      <c r="D5152">
        <v>6</v>
      </c>
      <c r="E5152">
        <v>7</v>
      </c>
      <c r="AT5152">
        <v>10</v>
      </c>
    </row>
    <row r="5153" spans="1:46">
      <c r="A5153" s="3" t="s">
        <v>5129</v>
      </c>
      <c r="D5153">
        <v>6</v>
      </c>
      <c r="E5153">
        <v>7</v>
      </c>
      <c r="AT5153">
        <v>10</v>
      </c>
    </row>
    <row r="5154" spans="1:46">
      <c r="A5154" s="3" t="s">
        <v>5130</v>
      </c>
      <c r="D5154">
        <v>6</v>
      </c>
      <c r="E5154">
        <v>7</v>
      </c>
      <c r="AT5154">
        <v>10</v>
      </c>
    </row>
    <row r="5155" spans="1:46">
      <c r="A5155" s="3" t="s">
        <v>5131</v>
      </c>
      <c r="D5155">
        <v>6</v>
      </c>
      <c r="E5155">
        <v>7</v>
      </c>
      <c r="AT5155">
        <v>10</v>
      </c>
    </row>
    <row r="5156" spans="1:46">
      <c r="A5156" s="3" t="s">
        <v>5132</v>
      </c>
      <c r="D5156">
        <v>6</v>
      </c>
      <c r="E5156">
        <v>7</v>
      </c>
      <c r="AT5156">
        <v>10</v>
      </c>
    </row>
    <row r="5157" spans="1:46">
      <c r="A5157" s="3" t="s">
        <v>5133</v>
      </c>
      <c r="D5157">
        <v>6</v>
      </c>
      <c r="E5157">
        <v>7</v>
      </c>
      <c r="AT5157">
        <v>10</v>
      </c>
    </row>
    <row r="5158" spans="1:46">
      <c r="A5158" s="3" t="s">
        <v>5134</v>
      </c>
      <c r="D5158">
        <v>6</v>
      </c>
      <c r="E5158">
        <v>7</v>
      </c>
      <c r="AT5158">
        <v>10</v>
      </c>
    </row>
    <row r="5159" spans="1:46">
      <c r="A5159" s="3" t="s">
        <v>5135</v>
      </c>
      <c r="D5159">
        <v>6</v>
      </c>
      <c r="E5159">
        <v>7</v>
      </c>
      <c r="AT5159">
        <v>10</v>
      </c>
    </row>
    <row r="5160" spans="1:46">
      <c r="A5160" s="3" t="s">
        <v>5136</v>
      </c>
      <c r="D5160">
        <v>6</v>
      </c>
      <c r="E5160">
        <v>7</v>
      </c>
      <c r="AT5160">
        <v>10</v>
      </c>
    </row>
    <row r="5161" spans="1:46">
      <c r="A5161" s="3" t="s">
        <v>5137</v>
      </c>
      <c r="D5161">
        <v>6</v>
      </c>
      <c r="E5161">
        <v>7</v>
      </c>
      <c r="AT5161">
        <v>10</v>
      </c>
    </row>
    <row r="5162" spans="1:46">
      <c r="A5162" s="3" t="s">
        <v>5138</v>
      </c>
      <c r="D5162">
        <v>6</v>
      </c>
      <c r="E5162">
        <v>7</v>
      </c>
      <c r="AT5162">
        <v>10</v>
      </c>
    </row>
    <row r="5163" spans="1:46">
      <c r="A5163" s="3" t="s">
        <v>5139</v>
      </c>
      <c r="D5163">
        <v>6</v>
      </c>
      <c r="E5163">
        <v>7</v>
      </c>
      <c r="AT5163">
        <v>10</v>
      </c>
    </row>
    <row r="5164" spans="1:46">
      <c r="A5164" s="3" t="s">
        <v>5140</v>
      </c>
      <c r="D5164">
        <v>6</v>
      </c>
      <c r="E5164">
        <v>7</v>
      </c>
      <c r="AT5164">
        <v>10</v>
      </c>
    </row>
    <row r="5165" spans="1:46">
      <c r="A5165" s="3" t="s">
        <v>5141</v>
      </c>
      <c r="D5165">
        <v>6</v>
      </c>
      <c r="E5165">
        <v>7</v>
      </c>
      <c r="AT5165">
        <v>10</v>
      </c>
    </row>
    <row r="5166" spans="1:46">
      <c r="A5166" s="3" t="s">
        <v>5142</v>
      </c>
      <c r="D5166">
        <v>6</v>
      </c>
      <c r="E5166">
        <v>7</v>
      </c>
      <c r="AT5166">
        <v>10</v>
      </c>
    </row>
    <row r="5167" spans="1:46">
      <c r="A5167" s="3" t="s">
        <v>5143</v>
      </c>
      <c r="D5167">
        <v>6</v>
      </c>
      <c r="E5167">
        <v>7</v>
      </c>
      <c r="AT5167">
        <v>10</v>
      </c>
    </row>
    <row r="5168" spans="1:46">
      <c r="A5168" s="3" t="s">
        <v>5144</v>
      </c>
      <c r="D5168">
        <v>6</v>
      </c>
      <c r="E5168">
        <v>7</v>
      </c>
      <c r="AT5168">
        <v>10</v>
      </c>
    </row>
    <row r="5169" spans="1:46">
      <c r="A5169" s="3" t="s">
        <v>5145</v>
      </c>
      <c r="D5169">
        <v>6</v>
      </c>
      <c r="E5169">
        <v>7</v>
      </c>
      <c r="AT5169">
        <v>10</v>
      </c>
    </row>
    <row r="5170" spans="1:46">
      <c r="A5170" s="3" t="s">
        <v>5146</v>
      </c>
      <c r="D5170">
        <v>6</v>
      </c>
      <c r="E5170">
        <v>7</v>
      </c>
      <c r="AT5170">
        <v>10</v>
      </c>
    </row>
    <row r="5171" spans="1:46">
      <c r="A5171" s="3" t="s">
        <v>5147</v>
      </c>
      <c r="D5171">
        <v>6</v>
      </c>
      <c r="E5171">
        <v>7</v>
      </c>
      <c r="AT5171">
        <v>10</v>
      </c>
    </row>
    <row r="5172" spans="1:46">
      <c r="A5172" s="3" t="s">
        <v>5148</v>
      </c>
      <c r="D5172">
        <v>6</v>
      </c>
      <c r="E5172">
        <v>7</v>
      </c>
      <c r="AT5172">
        <v>10</v>
      </c>
    </row>
    <row r="5173" spans="1:46">
      <c r="A5173" s="3" t="s">
        <v>5149</v>
      </c>
      <c r="D5173">
        <v>6</v>
      </c>
      <c r="E5173">
        <v>7</v>
      </c>
      <c r="AT5173">
        <v>10</v>
      </c>
    </row>
    <row r="5174" spans="1:46">
      <c r="A5174" s="3" t="s">
        <v>5150</v>
      </c>
      <c r="D5174">
        <v>6</v>
      </c>
      <c r="E5174">
        <v>7</v>
      </c>
      <c r="AT5174">
        <v>10</v>
      </c>
    </row>
    <row r="5175" spans="1:46">
      <c r="A5175" s="3" t="s">
        <v>5151</v>
      </c>
      <c r="D5175">
        <v>6</v>
      </c>
      <c r="E5175">
        <v>7</v>
      </c>
      <c r="AT5175">
        <v>10</v>
      </c>
    </row>
    <row r="5176" spans="1:46">
      <c r="A5176" s="3" t="s">
        <v>5152</v>
      </c>
      <c r="D5176">
        <v>6</v>
      </c>
      <c r="E5176">
        <v>7</v>
      </c>
      <c r="AT5176">
        <v>10</v>
      </c>
    </row>
    <row r="5177" spans="1:46">
      <c r="A5177" s="3" t="s">
        <v>5153</v>
      </c>
      <c r="D5177">
        <v>6</v>
      </c>
      <c r="E5177">
        <v>7</v>
      </c>
      <c r="AT5177">
        <v>10</v>
      </c>
    </row>
    <row r="5178" spans="1:46">
      <c r="A5178" s="3" t="s">
        <v>5154</v>
      </c>
      <c r="D5178">
        <v>6</v>
      </c>
      <c r="E5178">
        <v>7</v>
      </c>
      <c r="AT5178">
        <v>10</v>
      </c>
    </row>
    <row r="5179" spans="1:46">
      <c r="A5179" s="3" t="s">
        <v>5155</v>
      </c>
      <c r="D5179">
        <v>6</v>
      </c>
      <c r="E5179">
        <v>7</v>
      </c>
      <c r="AT5179">
        <v>10</v>
      </c>
    </row>
    <row r="5180" spans="1:46">
      <c r="A5180" s="3" t="s">
        <v>5156</v>
      </c>
      <c r="D5180">
        <v>6</v>
      </c>
      <c r="E5180">
        <v>7</v>
      </c>
      <c r="AT5180">
        <v>10</v>
      </c>
    </row>
    <row r="5181" spans="1:46">
      <c r="A5181" s="3" t="s">
        <v>5157</v>
      </c>
      <c r="D5181">
        <v>6</v>
      </c>
      <c r="E5181">
        <v>7</v>
      </c>
      <c r="AT5181">
        <v>10</v>
      </c>
    </row>
    <row r="5182" spans="1:46">
      <c r="A5182" s="3" t="s">
        <v>5158</v>
      </c>
      <c r="D5182">
        <v>6</v>
      </c>
      <c r="E5182">
        <v>7</v>
      </c>
      <c r="AT5182">
        <v>10</v>
      </c>
    </row>
    <row r="5183" spans="1:46">
      <c r="A5183" s="3" t="s">
        <v>5159</v>
      </c>
      <c r="D5183">
        <v>6</v>
      </c>
      <c r="E5183">
        <v>7</v>
      </c>
      <c r="AT5183">
        <v>10</v>
      </c>
    </row>
    <row r="5184" spans="1:46">
      <c r="A5184" s="3" t="s">
        <v>5160</v>
      </c>
      <c r="D5184">
        <v>6</v>
      </c>
      <c r="E5184">
        <v>7</v>
      </c>
      <c r="J5184">
        <v>79</v>
      </c>
    </row>
    <row r="5185" spans="1:36">
      <c r="A5185" s="3" t="s">
        <v>5161</v>
      </c>
      <c r="D5185">
        <v>6</v>
      </c>
      <c r="E5185">
        <v>7</v>
      </c>
      <c r="J5185">
        <v>79</v>
      </c>
    </row>
    <row r="5186" spans="1:36">
      <c r="A5186" s="3" t="s">
        <v>5162</v>
      </c>
      <c r="D5186">
        <v>6</v>
      </c>
      <c r="E5186">
        <v>7</v>
      </c>
      <c r="J5186">
        <v>79</v>
      </c>
    </row>
    <row r="5187" spans="1:36">
      <c r="A5187" s="3" t="s">
        <v>5163</v>
      </c>
      <c r="D5187">
        <v>6</v>
      </c>
      <c r="E5187">
        <v>7</v>
      </c>
      <c r="J5187">
        <v>79</v>
      </c>
    </row>
    <row r="5188" spans="1:36">
      <c r="A5188" s="3" t="s">
        <v>5164</v>
      </c>
      <c r="D5188">
        <v>6</v>
      </c>
      <c r="E5188">
        <v>7</v>
      </c>
      <c r="J5188">
        <v>79</v>
      </c>
    </row>
    <row r="5189" spans="1:36">
      <c r="A5189" s="3" t="s">
        <v>5165</v>
      </c>
      <c r="E5189">
        <v>7</v>
      </c>
      <c r="J5189">
        <v>79</v>
      </c>
    </row>
    <row r="5190" spans="1:36">
      <c r="A5190" s="3" t="s">
        <v>5166</v>
      </c>
      <c r="E5190">
        <v>7</v>
      </c>
      <c r="J5190">
        <v>79</v>
      </c>
    </row>
    <row r="5191" spans="1:36">
      <c r="A5191" s="3" t="s">
        <v>5167</v>
      </c>
      <c r="E5191">
        <v>7</v>
      </c>
      <c r="J5191">
        <v>79</v>
      </c>
    </row>
    <row r="5192" spans="1:36">
      <c r="A5192" s="3" t="s">
        <v>5168</v>
      </c>
      <c r="E5192">
        <v>7</v>
      </c>
      <c r="J5192">
        <v>79</v>
      </c>
    </row>
    <row r="5193" spans="1:36">
      <c r="A5193" s="3" t="s">
        <v>5169</v>
      </c>
      <c r="E5193">
        <v>7</v>
      </c>
      <c r="J5193">
        <v>79</v>
      </c>
    </row>
    <row r="5194" spans="1:36">
      <c r="A5194" s="3" t="s">
        <v>5170</v>
      </c>
      <c r="E5194">
        <v>7</v>
      </c>
      <c r="J5194">
        <v>79</v>
      </c>
    </row>
    <row r="5195" spans="1:36">
      <c r="A5195" s="3" t="s">
        <v>5171</v>
      </c>
      <c r="E5195">
        <v>7</v>
      </c>
      <c r="AJ5195">
        <v>3</v>
      </c>
    </row>
    <row r="5196" spans="1:36">
      <c r="A5196" s="3" t="s">
        <v>5172</v>
      </c>
      <c r="E5196">
        <v>7</v>
      </c>
      <c r="AJ5196">
        <v>3</v>
      </c>
    </row>
    <row r="5197" spans="1:36">
      <c r="A5197" s="3" t="s">
        <v>5173</v>
      </c>
      <c r="E5197">
        <v>7</v>
      </c>
      <c r="AJ5197">
        <v>3</v>
      </c>
    </row>
    <row r="5198" spans="1:36">
      <c r="A5198" s="3" t="s">
        <v>5174</v>
      </c>
      <c r="E5198">
        <v>7</v>
      </c>
      <c r="AJ5198">
        <v>3</v>
      </c>
    </row>
    <row r="5199" spans="1:36">
      <c r="A5199" s="3" t="s">
        <v>5175</v>
      </c>
      <c r="E5199">
        <v>7</v>
      </c>
      <c r="AJ5199">
        <v>3</v>
      </c>
    </row>
    <row r="5200" spans="1:36">
      <c r="A5200" s="3" t="s">
        <v>5176</v>
      </c>
      <c r="E5200">
        <v>7</v>
      </c>
      <c r="AJ5200">
        <v>3</v>
      </c>
    </row>
    <row r="5201" spans="1:36">
      <c r="A5201" s="3" t="s">
        <v>5177</v>
      </c>
      <c r="E5201">
        <v>7</v>
      </c>
      <c r="AJ5201">
        <v>3</v>
      </c>
    </row>
    <row r="5202" spans="1:36">
      <c r="A5202" s="3" t="s">
        <v>5178</v>
      </c>
      <c r="E5202">
        <v>7</v>
      </c>
      <c r="AJ5202">
        <v>3</v>
      </c>
    </row>
    <row r="5203" spans="1:36">
      <c r="A5203" s="3" t="s">
        <v>5179</v>
      </c>
      <c r="E5203">
        <v>7</v>
      </c>
      <c r="AJ5203">
        <v>3</v>
      </c>
    </row>
    <row r="5204" spans="1:36">
      <c r="A5204" s="3" t="s">
        <v>5180</v>
      </c>
      <c r="E5204">
        <v>7</v>
      </c>
      <c r="AJ5204">
        <v>3</v>
      </c>
    </row>
    <row r="5205" spans="1:36">
      <c r="A5205" s="3" t="s">
        <v>5181</v>
      </c>
      <c r="E5205">
        <v>7</v>
      </c>
      <c r="AJ5205">
        <v>3</v>
      </c>
    </row>
    <row r="5206" spans="1:36">
      <c r="A5206" s="3" t="s">
        <v>5182</v>
      </c>
      <c r="E5206">
        <v>7</v>
      </c>
      <c r="AJ5206">
        <v>3</v>
      </c>
    </row>
    <row r="5207" spans="1:36">
      <c r="A5207" s="3" t="s">
        <v>5183</v>
      </c>
      <c r="E5207">
        <v>7</v>
      </c>
      <c r="AJ5207">
        <v>3</v>
      </c>
    </row>
    <row r="5208" spans="1:36">
      <c r="A5208" s="3" t="s">
        <v>5184</v>
      </c>
      <c r="E5208">
        <v>7</v>
      </c>
      <c r="AJ5208">
        <v>3</v>
      </c>
    </row>
    <row r="5209" spans="1:36">
      <c r="A5209" s="3" t="s">
        <v>5185</v>
      </c>
      <c r="E5209">
        <v>7</v>
      </c>
      <c r="AJ5209">
        <v>3</v>
      </c>
    </row>
    <row r="5210" spans="1:36">
      <c r="A5210" s="3" t="s">
        <v>5186</v>
      </c>
      <c r="E5210">
        <v>7</v>
      </c>
      <c r="AJ5210">
        <v>3</v>
      </c>
    </row>
    <row r="5211" spans="1:36">
      <c r="A5211" s="3" t="s">
        <v>5187</v>
      </c>
      <c r="E5211">
        <v>7</v>
      </c>
      <c r="AJ5211">
        <v>3</v>
      </c>
    </row>
    <row r="5212" spans="1:36">
      <c r="A5212" s="3" t="s">
        <v>5188</v>
      </c>
      <c r="E5212">
        <v>7</v>
      </c>
      <c r="AJ5212">
        <v>3</v>
      </c>
    </row>
    <row r="5213" spans="1:36">
      <c r="A5213" s="3" t="s">
        <v>5189</v>
      </c>
      <c r="E5213">
        <v>7</v>
      </c>
      <c r="AJ5213">
        <v>3</v>
      </c>
    </row>
    <row r="5214" spans="1:36">
      <c r="A5214" s="3" t="s">
        <v>5190</v>
      </c>
      <c r="E5214">
        <v>7</v>
      </c>
      <c r="AJ5214">
        <v>3</v>
      </c>
    </row>
    <row r="5215" spans="1:36">
      <c r="A5215" s="3" t="s">
        <v>5191</v>
      </c>
      <c r="E5215">
        <v>7</v>
      </c>
      <c r="AJ5215">
        <v>3</v>
      </c>
    </row>
    <row r="5216" spans="1:36">
      <c r="A5216" s="3" t="s">
        <v>5192</v>
      </c>
      <c r="E5216">
        <v>7</v>
      </c>
      <c r="AJ5216">
        <v>3</v>
      </c>
    </row>
    <row r="5217" spans="1:49">
      <c r="A5217" s="3" t="s">
        <v>5193</v>
      </c>
      <c r="E5217">
        <v>7</v>
      </c>
      <c r="AW5217">
        <v>47</v>
      </c>
    </row>
    <row r="5218" spans="1:49">
      <c r="A5218" s="3" t="s">
        <v>5194</v>
      </c>
      <c r="E5218">
        <v>7</v>
      </c>
      <c r="AW5218">
        <v>47</v>
      </c>
    </row>
    <row r="5219" spans="1:49">
      <c r="A5219" s="3" t="s">
        <v>5195</v>
      </c>
      <c r="E5219">
        <v>7</v>
      </c>
      <c r="AW5219">
        <v>47</v>
      </c>
    </row>
    <row r="5220" spans="1:49">
      <c r="A5220" s="3" t="s">
        <v>5196</v>
      </c>
      <c r="E5220">
        <v>7</v>
      </c>
      <c r="AW5220">
        <v>47</v>
      </c>
    </row>
    <row r="5221" spans="1:49">
      <c r="A5221" s="3" t="s">
        <v>5197</v>
      </c>
      <c r="E5221">
        <v>7</v>
      </c>
      <c r="AW5221">
        <v>47</v>
      </c>
    </row>
    <row r="5222" spans="1:49">
      <c r="A5222" s="3" t="s">
        <v>5198</v>
      </c>
      <c r="E5222">
        <v>7</v>
      </c>
      <c r="J5222">
        <v>80</v>
      </c>
    </row>
    <row r="5223" spans="1:49">
      <c r="A5223" s="3" t="s">
        <v>5199</v>
      </c>
      <c r="E5223">
        <v>7</v>
      </c>
      <c r="J5223">
        <v>80</v>
      </c>
    </row>
    <row r="5224" spans="1:49">
      <c r="A5224" s="3" t="s">
        <v>5200</v>
      </c>
      <c r="E5224">
        <v>7</v>
      </c>
      <c r="J5224">
        <v>80</v>
      </c>
    </row>
    <row r="5225" spans="1:49">
      <c r="A5225" s="3" t="s">
        <v>5201</v>
      </c>
      <c r="E5225">
        <v>7</v>
      </c>
      <c r="J5225">
        <v>80</v>
      </c>
    </row>
    <row r="5226" spans="1:49">
      <c r="A5226" s="3" t="s">
        <v>5202</v>
      </c>
      <c r="E5226">
        <v>7</v>
      </c>
      <c r="J5226">
        <v>80</v>
      </c>
    </row>
    <row r="5227" spans="1:49">
      <c r="A5227" s="3" t="s">
        <v>5203</v>
      </c>
      <c r="E5227">
        <v>7</v>
      </c>
      <c r="J5227">
        <v>80</v>
      </c>
    </row>
    <row r="5228" spans="1:49">
      <c r="A5228" s="3" t="s">
        <v>5204</v>
      </c>
      <c r="E5228">
        <v>7</v>
      </c>
      <c r="J5228">
        <v>80</v>
      </c>
    </row>
    <row r="5229" spans="1:49">
      <c r="A5229" s="3" t="s">
        <v>5205</v>
      </c>
      <c r="E5229">
        <v>7</v>
      </c>
      <c r="J5229">
        <v>80</v>
      </c>
    </row>
    <row r="5230" spans="1:49">
      <c r="A5230" s="3" t="s">
        <v>5206</v>
      </c>
      <c r="E5230">
        <v>7</v>
      </c>
      <c r="J5230">
        <v>80</v>
      </c>
    </row>
    <row r="5231" spans="1:49">
      <c r="A5231" s="3" t="s">
        <v>5207</v>
      </c>
      <c r="E5231">
        <v>7</v>
      </c>
      <c r="J5231">
        <v>80</v>
      </c>
    </row>
    <row r="5232" spans="1:49">
      <c r="A5232" s="3" t="s">
        <v>5208</v>
      </c>
      <c r="E5232">
        <v>7</v>
      </c>
      <c r="J5232">
        <v>80</v>
      </c>
    </row>
    <row r="5233" spans="1:10">
      <c r="A5233" s="3" t="s">
        <v>5209</v>
      </c>
      <c r="E5233">
        <v>7</v>
      </c>
      <c r="J5233">
        <v>80</v>
      </c>
    </row>
    <row r="5234" spans="1:10">
      <c r="A5234" s="3" t="s">
        <v>5210</v>
      </c>
      <c r="E5234">
        <v>7</v>
      </c>
      <c r="J5234">
        <v>80</v>
      </c>
    </row>
    <row r="5235" spans="1:10">
      <c r="A5235" s="3" t="s">
        <v>5211</v>
      </c>
      <c r="E5235">
        <v>7</v>
      </c>
      <c r="J5235">
        <v>80</v>
      </c>
    </row>
    <row r="5236" spans="1:10">
      <c r="A5236" s="3" t="s">
        <v>5212</v>
      </c>
      <c r="E5236">
        <v>7</v>
      </c>
      <c r="J5236">
        <v>80</v>
      </c>
    </row>
    <row r="5237" spans="1:10">
      <c r="A5237" s="3" t="s">
        <v>5213</v>
      </c>
      <c r="E5237">
        <v>7</v>
      </c>
      <c r="J5237">
        <v>80</v>
      </c>
    </row>
    <row r="5238" spans="1:10">
      <c r="A5238" s="3" t="s">
        <v>5214</v>
      </c>
      <c r="E5238">
        <v>7</v>
      </c>
      <c r="J5238">
        <v>80</v>
      </c>
    </row>
    <row r="5239" spans="1:10">
      <c r="A5239" s="3" t="s">
        <v>5215</v>
      </c>
      <c r="E5239">
        <v>7</v>
      </c>
      <c r="J5239">
        <v>80</v>
      </c>
    </row>
    <row r="5240" spans="1:10">
      <c r="A5240" s="3" t="s">
        <v>5216</v>
      </c>
      <c r="E5240">
        <v>7</v>
      </c>
      <c r="J5240">
        <v>80</v>
      </c>
    </row>
    <row r="5241" spans="1:10">
      <c r="A5241" s="3" t="s">
        <v>5217</v>
      </c>
      <c r="E5241">
        <v>7</v>
      </c>
      <c r="J5241">
        <v>80</v>
      </c>
    </row>
    <row r="5242" spans="1:10">
      <c r="A5242" s="3" t="s">
        <v>5218</v>
      </c>
      <c r="E5242">
        <v>7</v>
      </c>
      <c r="J5242">
        <v>80</v>
      </c>
    </row>
    <row r="5243" spans="1:10">
      <c r="A5243" s="3" t="s">
        <v>5219</v>
      </c>
      <c r="E5243">
        <v>7</v>
      </c>
      <c r="J5243">
        <v>80</v>
      </c>
    </row>
    <row r="5244" spans="1:10">
      <c r="A5244" s="3" t="s">
        <v>5220</v>
      </c>
      <c r="E5244">
        <v>7</v>
      </c>
      <c r="J5244">
        <v>80</v>
      </c>
    </row>
    <row r="5245" spans="1:10">
      <c r="A5245" s="3" t="s">
        <v>5221</v>
      </c>
      <c r="E5245">
        <v>7</v>
      </c>
      <c r="J5245">
        <v>80</v>
      </c>
    </row>
    <row r="5246" spans="1:10">
      <c r="A5246" s="3" t="s">
        <v>5222</v>
      </c>
      <c r="E5246">
        <v>7</v>
      </c>
      <c r="J5246">
        <v>80</v>
      </c>
    </row>
    <row r="5247" spans="1:10">
      <c r="A5247" s="3" t="s">
        <v>5223</v>
      </c>
      <c r="E5247">
        <v>7</v>
      </c>
      <c r="J5247">
        <v>80</v>
      </c>
    </row>
    <row r="5248" spans="1:10">
      <c r="A5248" s="3" t="s">
        <v>5224</v>
      </c>
      <c r="E5248">
        <v>7</v>
      </c>
      <c r="J5248">
        <v>80</v>
      </c>
    </row>
    <row r="5249" spans="1:49">
      <c r="A5249" s="3" t="s">
        <v>5225</v>
      </c>
      <c r="E5249">
        <v>7</v>
      </c>
      <c r="J5249">
        <v>80</v>
      </c>
    </row>
    <row r="5250" spans="1:49">
      <c r="A5250" s="3" t="s">
        <v>5226</v>
      </c>
      <c r="E5250">
        <v>7</v>
      </c>
      <c r="J5250">
        <v>80</v>
      </c>
    </row>
    <row r="5251" spans="1:49">
      <c r="A5251" s="3" t="s">
        <v>5227</v>
      </c>
      <c r="E5251">
        <v>7</v>
      </c>
      <c r="J5251">
        <v>80</v>
      </c>
    </row>
    <row r="5252" spans="1:49">
      <c r="A5252" s="3" t="s">
        <v>5228</v>
      </c>
      <c r="E5252">
        <v>7</v>
      </c>
      <c r="J5252">
        <v>80</v>
      </c>
    </row>
    <row r="5253" spans="1:49">
      <c r="A5253" s="3" t="s">
        <v>5229</v>
      </c>
      <c r="E5253">
        <v>7</v>
      </c>
      <c r="J5253">
        <v>80</v>
      </c>
    </row>
    <row r="5254" spans="1:49">
      <c r="A5254" s="3" t="s">
        <v>5230</v>
      </c>
      <c r="E5254">
        <v>7</v>
      </c>
      <c r="J5254">
        <v>80</v>
      </c>
    </row>
    <row r="5255" spans="1:49">
      <c r="A5255" s="3" t="s">
        <v>5231</v>
      </c>
      <c r="E5255">
        <v>7</v>
      </c>
      <c r="AW5255">
        <v>48</v>
      </c>
    </row>
    <row r="5256" spans="1:49">
      <c r="A5256" s="3" t="s">
        <v>5232</v>
      </c>
      <c r="E5256">
        <v>7</v>
      </c>
      <c r="AW5256">
        <v>48</v>
      </c>
    </row>
    <row r="5257" spans="1:49">
      <c r="A5257" s="3" t="s">
        <v>5233</v>
      </c>
      <c r="E5257">
        <v>7</v>
      </c>
      <c r="AW5257">
        <v>48</v>
      </c>
    </row>
    <row r="5258" spans="1:49">
      <c r="A5258" s="3" t="s">
        <v>5234</v>
      </c>
      <c r="E5258">
        <v>7</v>
      </c>
      <c r="AN5258">
        <v>1</v>
      </c>
    </row>
    <row r="5259" spans="1:49">
      <c r="A5259" s="3" t="s">
        <v>5235</v>
      </c>
      <c r="E5259">
        <v>7</v>
      </c>
      <c r="AN5259">
        <v>1</v>
      </c>
    </row>
    <row r="5260" spans="1:49">
      <c r="A5260" s="3" t="s">
        <v>5236</v>
      </c>
      <c r="E5260">
        <v>7</v>
      </c>
      <c r="AN5260">
        <v>1</v>
      </c>
    </row>
    <row r="5261" spans="1:49">
      <c r="A5261" s="3" t="s">
        <v>5237</v>
      </c>
      <c r="E5261">
        <v>7</v>
      </c>
      <c r="AN5261">
        <v>1</v>
      </c>
    </row>
    <row r="5262" spans="1:49">
      <c r="A5262" s="3" t="s">
        <v>5238</v>
      </c>
      <c r="E5262">
        <v>7</v>
      </c>
      <c r="AN5262">
        <v>1</v>
      </c>
    </row>
    <row r="5263" spans="1:49">
      <c r="A5263" s="3" t="s">
        <v>5239</v>
      </c>
      <c r="E5263">
        <v>7</v>
      </c>
      <c r="AN5263">
        <v>1</v>
      </c>
    </row>
    <row r="5264" spans="1:49">
      <c r="A5264" s="3" t="s">
        <v>5240</v>
      </c>
      <c r="E5264">
        <v>7</v>
      </c>
      <c r="AN5264">
        <v>1</v>
      </c>
    </row>
    <row r="5265" spans="1:40">
      <c r="A5265" s="3" t="s">
        <v>5241</v>
      </c>
      <c r="E5265">
        <v>7</v>
      </c>
      <c r="AN5265">
        <v>1</v>
      </c>
    </row>
    <row r="5266" spans="1:40">
      <c r="A5266" s="3" t="s">
        <v>5242</v>
      </c>
      <c r="E5266">
        <v>7</v>
      </c>
      <c r="AN5266">
        <v>1</v>
      </c>
    </row>
    <row r="5267" spans="1:40">
      <c r="A5267" s="3" t="s">
        <v>5243</v>
      </c>
      <c r="E5267">
        <v>7</v>
      </c>
      <c r="AN5267">
        <v>1</v>
      </c>
    </row>
    <row r="5268" spans="1:40">
      <c r="A5268" s="3" t="s">
        <v>5244</v>
      </c>
      <c r="E5268">
        <v>7</v>
      </c>
      <c r="AN5268">
        <v>1</v>
      </c>
    </row>
    <row r="5269" spans="1:40">
      <c r="A5269" s="3" t="s">
        <v>5245</v>
      </c>
      <c r="E5269">
        <v>7</v>
      </c>
      <c r="AN5269">
        <v>1</v>
      </c>
    </row>
    <row r="5270" spans="1:40">
      <c r="A5270" s="3" t="s">
        <v>5246</v>
      </c>
      <c r="E5270">
        <v>7</v>
      </c>
      <c r="AN5270">
        <v>1</v>
      </c>
    </row>
    <row r="5271" spans="1:40">
      <c r="A5271" s="3" t="s">
        <v>5247</v>
      </c>
      <c r="E5271">
        <v>7</v>
      </c>
      <c r="AN5271">
        <v>1</v>
      </c>
    </row>
    <row r="5272" spans="1:40">
      <c r="A5272" s="3" t="s">
        <v>5248</v>
      </c>
      <c r="E5272">
        <v>7</v>
      </c>
      <c r="AN5272">
        <v>1</v>
      </c>
    </row>
    <row r="5273" spans="1:40">
      <c r="A5273" s="3" t="s">
        <v>5249</v>
      </c>
      <c r="E5273">
        <v>7</v>
      </c>
      <c r="AN5273">
        <v>1</v>
      </c>
    </row>
    <row r="5274" spans="1:40">
      <c r="A5274" s="3" t="s">
        <v>5250</v>
      </c>
      <c r="E5274">
        <v>7</v>
      </c>
      <c r="AN5274">
        <v>1</v>
      </c>
    </row>
    <row r="5275" spans="1:40">
      <c r="A5275" s="3" t="s">
        <v>5251</v>
      </c>
      <c r="E5275">
        <v>7</v>
      </c>
      <c r="AN5275">
        <v>1</v>
      </c>
    </row>
    <row r="5276" spans="1:40">
      <c r="A5276" s="3" t="s">
        <v>5252</v>
      </c>
      <c r="E5276">
        <v>7</v>
      </c>
      <c r="AN5276">
        <v>1</v>
      </c>
    </row>
    <row r="5277" spans="1:40">
      <c r="A5277" s="3" t="s">
        <v>5253</v>
      </c>
      <c r="E5277">
        <v>7</v>
      </c>
      <c r="AN5277">
        <v>1</v>
      </c>
    </row>
    <row r="5278" spans="1:40">
      <c r="A5278" s="3" t="s">
        <v>5254</v>
      </c>
      <c r="E5278">
        <v>7</v>
      </c>
      <c r="AN5278">
        <v>1</v>
      </c>
    </row>
    <row r="5279" spans="1:40">
      <c r="A5279" s="3" t="s">
        <v>5255</v>
      </c>
      <c r="E5279">
        <v>7</v>
      </c>
      <c r="AN5279">
        <v>1</v>
      </c>
    </row>
    <row r="5280" spans="1:40">
      <c r="A5280" s="3" t="s">
        <v>5256</v>
      </c>
      <c r="E5280">
        <v>7</v>
      </c>
      <c r="AN5280">
        <v>1</v>
      </c>
    </row>
    <row r="5281" spans="1:49">
      <c r="A5281" s="3" t="s">
        <v>5257</v>
      </c>
      <c r="E5281">
        <v>7</v>
      </c>
      <c r="AN5281">
        <v>1</v>
      </c>
    </row>
    <row r="5282" spans="1:49">
      <c r="A5282" s="3" t="s">
        <v>5258</v>
      </c>
      <c r="E5282">
        <v>7</v>
      </c>
      <c r="AN5282">
        <v>1</v>
      </c>
    </row>
    <row r="5283" spans="1:49">
      <c r="A5283" s="3" t="s">
        <v>5259</v>
      </c>
      <c r="E5283">
        <v>7</v>
      </c>
      <c r="AN5283">
        <v>1</v>
      </c>
    </row>
    <row r="5284" spans="1:49">
      <c r="A5284" s="3" t="s">
        <v>5260</v>
      </c>
      <c r="E5284">
        <v>7</v>
      </c>
      <c r="AN5284">
        <v>1</v>
      </c>
    </row>
    <row r="5285" spans="1:49">
      <c r="A5285" s="3" t="s">
        <v>5261</v>
      </c>
      <c r="E5285">
        <v>7</v>
      </c>
      <c r="AN5285">
        <v>1</v>
      </c>
    </row>
    <row r="5286" spans="1:49">
      <c r="A5286" s="3" t="s">
        <v>5262</v>
      </c>
      <c r="E5286">
        <v>7</v>
      </c>
      <c r="AN5286">
        <v>1</v>
      </c>
    </row>
    <row r="5287" spans="1:49">
      <c r="A5287" s="3" t="s">
        <v>5263</v>
      </c>
      <c r="E5287">
        <v>7</v>
      </c>
      <c r="AN5287">
        <v>1</v>
      </c>
    </row>
    <row r="5288" spans="1:49">
      <c r="A5288" s="3" t="s">
        <v>5264</v>
      </c>
      <c r="E5288">
        <v>7</v>
      </c>
      <c r="AN5288">
        <v>1</v>
      </c>
    </row>
    <row r="5289" spans="1:49">
      <c r="A5289" s="3" t="s">
        <v>5265</v>
      </c>
      <c r="E5289">
        <v>7</v>
      </c>
      <c r="AW5289">
        <v>49</v>
      </c>
    </row>
    <row r="5290" spans="1:49">
      <c r="A5290" s="3" t="s">
        <v>5266</v>
      </c>
      <c r="E5290">
        <v>7</v>
      </c>
      <c r="AW5290">
        <v>49</v>
      </c>
    </row>
    <row r="5291" spans="1:49">
      <c r="A5291" s="3" t="s">
        <v>5267</v>
      </c>
      <c r="E5291">
        <v>7</v>
      </c>
      <c r="J5291">
        <v>81</v>
      </c>
    </row>
    <row r="5292" spans="1:49">
      <c r="A5292" s="3" t="s">
        <v>5268</v>
      </c>
      <c r="E5292">
        <v>7</v>
      </c>
      <c r="J5292">
        <v>81</v>
      </c>
    </row>
    <row r="5293" spans="1:49">
      <c r="A5293" s="3" t="s">
        <v>5269</v>
      </c>
      <c r="E5293">
        <v>7</v>
      </c>
      <c r="J5293">
        <v>81</v>
      </c>
    </row>
    <row r="5294" spans="1:49">
      <c r="A5294" s="3" t="s">
        <v>5270</v>
      </c>
      <c r="E5294">
        <v>7</v>
      </c>
      <c r="J5294">
        <v>81</v>
      </c>
    </row>
    <row r="5295" spans="1:49">
      <c r="A5295" s="3" t="s">
        <v>5271</v>
      </c>
      <c r="E5295">
        <v>7</v>
      </c>
      <c r="J5295">
        <v>81</v>
      </c>
    </row>
    <row r="5296" spans="1:49">
      <c r="A5296" s="3" t="s">
        <v>5272</v>
      </c>
      <c r="E5296">
        <v>7</v>
      </c>
      <c r="AO5296">
        <v>1</v>
      </c>
    </row>
    <row r="5297" spans="1:41">
      <c r="A5297" s="3" t="s">
        <v>5273</v>
      </c>
      <c r="E5297">
        <v>7</v>
      </c>
      <c r="AO5297">
        <v>1</v>
      </c>
    </row>
    <row r="5298" spans="1:41">
      <c r="A5298" s="3" t="s">
        <v>5274</v>
      </c>
      <c r="E5298">
        <v>7</v>
      </c>
      <c r="AO5298">
        <v>1</v>
      </c>
    </row>
    <row r="5299" spans="1:41">
      <c r="A5299" s="3" t="s">
        <v>5275</v>
      </c>
      <c r="E5299">
        <v>7</v>
      </c>
      <c r="AO5299">
        <v>1</v>
      </c>
    </row>
    <row r="5300" spans="1:41">
      <c r="A5300" s="3" t="s">
        <v>5276</v>
      </c>
      <c r="E5300">
        <v>7</v>
      </c>
      <c r="AO5300">
        <v>1</v>
      </c>
    </row>
    <row r="5301" spans="1:41">
      <c r="A5301" s="3" t="s">
        <v>5277</v>
      </c>
      <c r="E5301">
        <v>7</v>
      </c>
      <c r="AO5301">
        <v>1</v>
      </c>
    </row>
    <row r="5302" spans="1:41">
      <c r="A5302" s="3" t="s">
        <v>5278</v>
      </c>
      <c r="E5302">
        <v>7</v>
      </c>
      <c r="AO5302">
        <v>1</v>
      </c>
    </row>
    <row r="5303" spans="1:41">
      <c r="A5303" s="3" t="s">
        <v>5279</v>
      </c>
      <c r="E5303">
        <v>7</v>
      </c>
      <c r="AO5303">
        <v>1</v>
      </c>
    </row>
    <row r="5304" spans="1:41">
      <c r="A5304" s="3" t="s">
        <v>5280</v>
      </c>
      <c r="E5304">
        <v>7</v>
      </c>
      <c r="AO5304">
        <v>1</v>
      </c>
    </row>
    <row r="5305" spans="1:41">
      <c r="A5305" s="3" t="s">
        <v>5281</v>
      </c>
      <c r="E5305">
        <v>7</v>
      </c>
      <c r="AO5305">
        <v>1</v>
      </c>
    </row>
    <row r="5306" spans="1:41">
      <c r="A5306" s="3" t="s">
        <v>5282</v>
      </c>
      <c r="E5306">
        <v>7</v>
      </c>
      <c r="AO5306">
        <v>1</v>
      </c>
    </row>
    <row r="5307" spans="1:41">
      <c r="A5307" s="3" t="s">
        <v>5283</v>
      </c>
      <c r="E5307">
        <v>7</v>
      </c>
      <c r="AO5307">
        <v>1</v>
      </c>
    </row>
    <row r="5308" spans="1:41">
      <c r="A5308" s="3" t="s">
        <v>5284</v>
      </c>
      <c r="E5308">
        <v>7</v>
      </c>
      <c r="AO5308">
        <v>1</v>
      </c>
    </row>
    <row r="5309" spans="1:41">
      <c r="A5309" s="3" t="s">
        <v>5285</v>
      </c>
      <c r="E5309">
        <v>7</v>
      </c>
      <c r="AO5309">
        <v>1</v>
      </c>
    </row>
    <row r="5310" spans="1:41">
      <c r="A5310" s="3" t="s">
        <v>5286</v>
      </c>
      <c r="E5310">
        <v>7</v>
      </c>
      <c r="AO5310">
        <v>1</v>
      </c>
    </row>
    <row r="5311" spans="1:41">
      <c r="A5311" s="3" t="s">
        <v>5287</v>
      </c>
      <c r="E5311">
        <v>7</v>
      </c>
      <c r="AO5311">
        <v>1</v>
      </c>
    </row>
    <row r="5312" spans="1:41">
      <c r="A5312" s="3" t="s">
        <v>5288</v>
      </c>
      <c r="E5312">
        <v>7</v>
      </c>
      <c r="AO5312">
        <v>1</v>
      </c>
    </row>
    <row r="5313" spans="1:41">
      <c r="A5313" s="3" t="s">
        <v>5289</v>
      </c>
      <c r="E5313">
        <v>7</v>
      </c>
      <c r="AO5313">
        <v>1</v>
      </c>
    </row>
    <row r="5314" spans="1:41">
      <c r="A5314" s="3" t="s">
        <v>5290</v>
      </c>
      <c r="E5314">
        <v>7</v>
      </c>
      <c r="AO5314">
        <v>1</v>
      </c>
    </row>
    <row r="5315" spans="1:41">
      <c r="A5315" s="3" t="s">
        <v>5291</v>
      </c>
      <c r="E5315">
        <v>7</v>
      </c>
      <c r="AO5315">
        <v>1</v>
      </c>
    </row>
    <row r="5316" spans="1:41">
      <c r="A5316" s="3" t="s">
        <v>5292</v>
      </c>
      <c r="E5316">
        <v>7</v>
      </c>
      <c r="AO5316">
        <v>1</v>
      </c>
    </row>
    <row r="5317" spans="1:41">
      <c r="A5317" s="3" t="s">
        <v>5293</v>
      </c>
      <c r="E5317">
        <v>7</v>
      </c>
      <c r="AO5317">
        <v>1</v>
      </c>
    </row>
    <row r="5318" spans="1:41">
      <c r="A5318" s="3" t="s">
        <v>5294</v>
      </c>
      <c r="E5318">
        <v>7</v>
      </c>
      <c r="AO5318">
        <v>1</v>
      </c>
    </row>
    <row r="5319" spans="1:41">
      <c r="A5319" s="3" t="s">
        <v>5295</v>
      </c>
      <c r="E5319">
        <v>7</v>
      </c>
      <c r="AO5319">
        <v>1</v>
      </c>
    </row>
    <row r="5320" spans="1:41">
      <c r="A5320" s="3" t="s">
        <v>5296</v>
      </c>
      <c r="E5320">
        <v>7</v>
      </c>
      <c r="AO5320">
        <v>1</v>
      </c>
    </row>
    <row r="5321" spans="1:41">
      <c r="A5321" s="3" t="s">
        <v>5297</v>
      </c>
      <c r="E5321">
        <v>7</v>
      </c>
      <c r="AO5321">
        <v>1</v>
      </c>
    </row>
    <row r="5322" spans="1:41">
      <c r="A5322" s="3" t="s">
        <v>5298</v>
      </c>
      <c r="E5322">
        <v>7</v>
      </c>
      <c r="AO5322">
        <v>1</v>
      </c>
    </row>
    <row r="5323" spans="1:41">
      <c r="A5323" s="3" t="s">
        <v>5299</v>
      </c>
      <c r="E5323">
        <v>7</v>
      </c>
      <c r="AO5323">
        <v>1</v>
      </c>
    </row>
    <row r="5324" spans="1:41">
      <c r="A5324" s="3" t="s">
        <v>5300</v>
      </c>
      <c r="E5324">
        <v>7</v>
      </c>
      <c r="AO5324">
        <v>1</v>
      </c>
    </row>
    <row r="5325" spans="1:41">
      <c r="A5325" s="3" t="s">
        <v>5301</v>
      </c>
      <c r="E5325">
        <v>7</v>
      </c>
      <c r="AO5325">
        <v>1</v>
      </c>
    </row>
    <row r="5326" spans="1:41">
      <c r="A5326" s="3" t="s">
        <v>5302</v>
      </c>
      <c r="E5326">
        <v>7</v>
      </c>
      <c r="AO5326">
        <v>1</v>
      </c>
    </row>
    <row r="5327" spans="1:41">
      <c r="A5327" s="3" t="s">
        <v>5303</v>
      </c>
      <c r="E5327">
        <v>7</v>
      </c>
      <c r="AO5327">
        <v>1</v>
      </c>
    </row>
    <row r="5328" spans="1:41">
      <c r="A5328" s="3" t="s">
        <v>5304</v>
      </c>
      <c r="E5328">
        <v>7</v>
      </c>
      <c r="AO5328">
        <v>1</v>
      </c>
    </row>
    <row r="5329" spans="1:41">
      <c r="A5329" s="3" t="s">
        <v>5305</v>
      </c>
      <c r="E5329">
        <v>7</v>
      </c>
      <c r="AO5329">
        <v>1</v>
      </c>
    </row>
    <row r="5330" spans="1:41">
      <c r="A5330" s="3" t="s">
        <v>5306</v>
      </c>
      <c r="E5330">
        <v>7</v>
      </c>
      <c r="AO5330">
        <v>1</v>
      </c>
    </row>
    <row r="5331" spans="1:41">
      <c r="A5331" s="3" t="s">
        <v>5307</v>
      </c>
      <c r="E5331">
        <v>7</v>
      </c>
      <c r="AO5331">
        <v>1</v>
      </c>
    </row>
    <row r="5332" spans="1:41">
      <c r="A5332" s="3" t="s">
        <v>5308</v>
      </c>
      <c r="E5332">
        <v>7</v>
      </c>
      <c r="AO5332">
        <v>1</v>
      </c>
    </row>
    <row r="5333" spans="1:41">
      <c r="A5333" s="3" t="s">
        <v>5309</v>
      </c>
      <c r="E5333">
        <v>7</v>
      </c>
      <c r="AO5333">
        <v>1</v>
      </c>
    </row>
    <row r="5334" spans="1:41">
      <c r="A5334" s="3" t="s">
        <v>5310</v>
      </c>
      <c r="E5334">
        <v>7</v>
      </c>
      <c r="AO5334">
        <v>1</v>
      </c>
    </row>
    <row r="5335" spans="1:41">
      <c r="A5335" s="3" t="s">
        <v>5311</v>
      </c>
      <c r="E5335">
        <v>7</v>
      </c>
      <c r="AO5335">
        <v>1</v>
      </c>
    </row>
    <row r="5336" spans="1:41">
      <c r="A5336" s="3" t="s">
        <v>5312</v>
      </c>
      <c r="E5336">
        <v>7</v>
      </c>
      <c r="AO5336">
        <v>1</v>
      </c>
    </row>
    <row r="5337" spans="1:41">
      <c r="A5337" s="3" t="s">
        <v>5313</v>
      </c>
      <c r="E5337">
        <v>7</v>
      </c>
      <c r="AO5337">
        <v>1</v>
      </c>
    </row>
    <row r="5338" spans="1:41">
      <c r="A5338" s="3" t="s">
        <v>5314</v>
      </c>
      <c r="E5338">
        <v>7</v>
      </c>
      <c r="AO5338">
        <v>1</v>
      </c>
    </row>
    <row r="5339" spans="1:41">
      <c r="A5339" s="3" t="s">
        <v>5315</v>
      </c>
      <c r="E5339">
        <v>7</v>
      </c>
      <c r="AO5339">
        <v>1</v>
      </c>
    </row>
    <row r="5340" spans="1:41">
      <c r="A5340" s="3" t="s">
        <v>5316</v>
      </c>
      <c r="E5340">
        <v>7</v>
      </c>
      <c r="AO5340">
        <v>1</v>
      </c>
    </row>
    <row r="5341" spans="1:41">
      <c r="A5341" s="3" t="s">
        <v>5317</v>
      </c>
      <c r="E5341">
        <v>7</v>
      </c>
      <c r="AO5341">
        <v>1</v>
      </c>
    </row>
    <row r="5342" spans="1:41">
      <c r="A5342" s="3" t="s">
        <v>5318</v>
      </c>
      <c r="E5342">
        <v>7</v>
      </c>
      <c r="AO5342">
        <v>1</v>
      </c>
    </row>
    <row r="5343" spans="1:41">
      <c r="A5343" s="3" t="s">
        <v>5319</v>
      </c>
      <c r="E5343">
        <v>7</v>
      </c>
      <c r="AO5343">
        <v>1</v>
      </c>
    </row>
    <row r="5344" spans="1:41">
      <c r="A5344" s="3" t="s">
        <v>5320</v>
      </c>
      <c r="E5344">
        <v>7</v>
      </c>
      <c r="AO5344">
        <v>1</v>
      </c>
    </row>
    <row r="5345" spans="1:41">
      <c r="A5345" s="3" t="s">
        <v>5321</v>
      </c>
      <c r="E5345">
        <v>7</v>
      </c>
      <c r="AO5345">
        <v>1</v>
      </c>
    </row>
    <row r="5346" spans="1:41">
      <c r="A5346" s="3" t="s">
        <v>5322</v>
      </c>
      <c r="E5346">
        <v>7</v>
      </c>
      <c r="AO5346">
        <v>1</v>
      </c>
    </row>
    <row r="5347" spans="1:41">
      <c r="A5347" s="3" t="s">
        <v>5323</v>
      </c>
      <c r="E5347">
        <v>7</v>
      </c>
      <c r="AO5347">
        <v>1</v>
      </c>
    </row>
    <row r="5348" spans="1:41">
      <c r="A5348" s="3" t="s">
        <v>5324</v>
      </c>
      <c r="E5348">
        <v>7</v>
      </c>
      <c r="AO5348">
        <v>1</v>
      </c>
    </row>
    <row r="5349" spans="1:41">
      <c r="A5349" s="3" t="s">
        <v>5325</v>
      </c>
      <c r="E5349">
        <v>7</v>
      </c>
      <c r="AO5349">
        <v>1</v>
      </c>
    </row>
    <row r="5350" spans="1:41">
      <c r="A5350" s="3" t="s">
        <v>5326</v>
      </c>
      <c r="E5350">
        <v>7</v>
      </c>
      <c r="AO5350">
        <v>1</v>
      </c>
    </row>
    <row r="5351" spans="1:41">
      <c r="A5351" s="3" t="s">
        <v>5327</v>
      </c>
      <c r="E5351">
        <v>7</v>
      </c>
      <c r="AO5351">
        <v>1</v>
      </c>
    </row>
    <row r="5352" spans="1:41">
      <c r="A5352" s="3" t="s">
        <v>5328</v>
      </c>
      <c r="E5352">
        <v>7</v>
      </c>
      <c r="AO5352">
        <v>1</v>
      </c>
    </row>
    <row r="5353" spans="1:41">
      <c r="A5353" s="3" t="s">
        <v>5329</v>
      </c>
      <c r="E5353">
        <v>7</v>
      </c>
      <c r="AO5353">
        <v>1</v>
      </c>
    </row>
    <row r="5354" spans="1:41">
      <c r="A5354" s="3" t="s">
        <v>5330</v>
      </c>
      <c r="E5354">
        <v>7</v>
      </c>
      <c r="AO5354">
        <v>1</v>
      </c>
    </row>
    <row r="5355" spans="1:41">
      <c r="A5355" s="3" t="s">
        <v>5331</v>
      </c>
      <c r="E5355">
        <v>7</v>
      </c>
      <c r="AO5355">
        <v>1</v>
      </c>
    </row>
    <row r="5356" spans="1:41">
      <c r="A5356" s="3" t="s">
        <v>5332</v>
      </c>
      <c r="E5356">
        <v>7</v>
      </c>
      <c r="AO5356">
        <v>1</v>
      </c>
    </row>
    <row r="5357" spans="1:41">
      <c r="A5357" s="3" t="s">
        <v>5333</v>
      </c>
      <c r="E5357">
        <v>7</v>
      </c>
      <c r="AO5357">
        <v>1</v>
      </c>
    </row>
    <row r="5358" spans="1:41">
      <c r="A5358" s="3" t="s">
        <v>5334</v>
      </c>
      <c r="E5358">
        <v>7</v>
      </c>
      <c r="AO5358">
        <v>1</v>
      </c>
    </row>
    <row r="5359" spans="1:41">
      <c r="A5359" s="3" t="s">
        <v>5335</v>
      </c>
      <c r="E5359">
        <v>7</v>
      </c>
      <c r="AO5359">
        <v>1</v>
      </c>
    </row>
    <row r="5360" spans="1:41">
      <c r="A5360" s="3" t="s">
        <v>5336</v>
      </c>
      <c r="E5360">
        <v>7</v>
      </c>
      <c r="AO5360">
        <v>1</v>
      </c>
    </row>
    <row r="5361" spans="1:41">
      <c r="A5361" s="3" t="s">
        <v>5337</v>
      </c>
      <c r="E5361">
        <v>7</v>
      </c>
      <c r="AO5361">
        <v>1</v>
      </c>
    </row>
    <row r="5362" spans="1:41">
      <c r="A5362" s="3" t="s">
        <v>5338</v>
      </c>
      <c r="E5362">
        <v>7</v>
      </c>
      <c r="AO5362">
        <v>1</v>
      </c>
    </row>
    <row r="5363" spans="1:41">
      <c r="A5363" s="3" t="s">
        <v>5339</v>
      </c>
      <c r="E5363">
        <v>7</v>
      </c>
      <c r="AO5363">
        <v>1</v>
      </c>
    </row>
    <row r="5364" spans="1:41">
      <c r="A5364" s="3" t="s">
        <v>5340</v>
      </c>
      <c r="E5364">
        <v>7</v>
      </c>
      <c r="AO5364">
        <v>1</v>
      </c>
    </row>
    <row r="5365" spans="1:41">
      <c r="A5365" s="3" t="s">
        <v>5341</v>
      </c>
      <c r="E5365">
        <v>7</v>
      </c>
      <c r="J5365">
        <v>82</v>
      </c>
    </row>
    <row r="5366" spans="1:41">
      <c r="A5366" s="3" t="s">
        <v>5342</v>
      </c>
      <c r="E5366">
        <v>7</v>
      </c>
      <c r="J5366">
        <v>82</v>
      </c>
    </row>
    <row r="5367" spans="1:41">
      <c r="A5367" s="3" t="s">
        <v>5343</v>
      </c>
      <c r="E5367">
        <v>7</v>
      </c>
      <c r="J5367">
        <v>82</v>
      </c>
    </row>
    <row r="5368" spans="1:41">
      <c r="A5368" s="3" t="s">
        <v>5344</v>
      </c>
      <c r="E5368">
        <v>7</v>
      </c>
      <c r="J5368">
        <v>82</v>
      </c>
    </row>
    <row r="5369" spans="1:41">
      <c r="A5369" s="3" t="s">
        <v>5345</v>
      </c>
      <c r="E5369">
        <v>7</v>
      </c>
      <c r="J5369">
        <v>82</v>
      </c>
    </row>
    <row r="5370" spans="1:41">
      <c r="A5370" s="3" t="s">
        <v>5346</v>
      </c>
      <c r="B5370">
        <v>7</v>
      </c>
      <c r="E5370">
        <v>7</v>
      </c>
      <c r="J5370">
        <v>82</v>
      </c>
    </row>
    <row r="5371" spans="1:41">
      <c r="A5371" s="3" t="s">
        <v>5347</v>
      </c>
      <c r="B5371">
        <v>7</v>
      </c>
      <c r="E5371">
        <v>7</v>
      </c>
      <c r="J5371">
        <v>82</v>
      </c>
    </row>
    <row r="5372" spans="1:41">
      <c r="A5372" s="3" t="s">
        <v>5348</v>
      </c>
      <c r="B5372">
        <v>7</v>
      </c>
      <c r="E5372">
        <v>7</v>
      </c>
      <c r="J5372">
        <v>82</v>
      </c>
    </row>
    <row r="5373" spans="1:41">
      <c r="A5373" s="3" t="s">
        <v>5349</v>
      </c>
      <c r="B5373">
        <v>7</v>
      </c>
      <c r="E5373">
        <v>7</v>
      </c>
      <c r="J5373">
        <v>82</v>
      </c>
    </row>
    <row r="5374" spans="1:41">
      <c r="A5374" s="3" t="s">
        <v>5350</v>
      </c>
      <c r="B5374">
        <v>7</v>
      </c>
      <c r="E5374">
        <v>7</v>
      </c>
      <c r="J5374">
        <v>82</v>
      </c>
    </row>
    <row r="5375" spans="1:41">
      <c r="A5375" s="3" t="s">
        <v>5351</v>
      </c>
      <c r="B5375">
        <v>7</v>
      </c>
      <c r="E5375">
        <v>7</v>
      </c>
      <c r="J5375">
        <v>82</v>
      </c>
    </row>
    <row r="5376" spans="1:41">
      <c r="A5376" s="3" t="s">
        <v>5352</v>
      </c>
      <c r="B5376">
        <v>7</v>
      </c>
      <c r="E5376">
        <v>7</v>
      </c>
      <c r="J5376">
        <v>82</v>
      </c>
    </row>
    <row r="5377" spans="1:49">
      <c r="A5377" s="3" t="s">
        <v>5353</v>
      </c>
      <c r="B5377">
        <v>7</v>
      </c>
      <c r="E5377">
        <v>7</v>
      </c>
      <c r="J5377">
        <v>82</v>
      </c>
    </row>
    <row r="5378" spans="1:49">
      <c r="A5378" s="3" t="s">
        <v>5354</v>
      </c>
      <c r="B5378">
        <v>7</v>
      </c>
      <c r="E5378">
        <v>7</v>
      </c>
      <c r="AW5378">
        <v>50</v>
      </c>
    </row>
    <row r="5379" spans="1:49">
      <c r="A5379" s="3" t="s">
        <v>5355</v>
      </c>
      <c r="B5379">
        <v>7</v>
      </c>
      <c r="E5379">
        <v>7</v>
      </c>
      <c r="AW5379">
        <v>50</v>
      </c>
    </row>
    <row r="5380" spans="1:49">
      <c r="A5380" s="3" t="s">
        <v>5356</v>
      </c>
      <c r="B5380">
        <v>7</v>
      </c>
      <c r="E5380">
        <v>7</v>
      </c>
      <c r="AW5380">
        <v>50</v>
      </c>
    </row>
    <row r="5381" spans="1:49">
      <c r="A5381" s="3" t="s">
        <v>5357</v>
      </c>
      <c r="B5381">
        <v>7</v>
      </c>
      <c r="E5381">
        <v>7</v>
      </c>
      <c r="AW5381">
        <v>50</v>
      </c>
    </row>
    <row r="5382" spans="1:49">
      <c r="A5382" s="3" t="s">
        <v>5358</v>
      </c>
      <c r="B5382">
        <v>7</v>
      </c>
      <c r="E5382">
        <v>7</v>
      </c>
      <c r="M5382">
        <v>10</v>
      </c>
    </row>
    <row r="5383" spans="1:49">
      <c r="A5383" s="3" t="s">
        <v>5359</v>
      </c>
      <c r="B5383">
        <v>7</v>
      </c>
      <c r="E5383">
        <v>7</v>
      </c>
      <c r="M5383">
        <v>10</v>
      </c>
    </row>
    <row r="5384" spans="1:49">
      <c r="A5384" s="3" t="s">
        <v>5360</v>
      </c>
      <c r="B5384">
        <v>7</v>
      </c>
      <c r="E5384">
        <v>7</v>
      </c>
      <c r="M5384">
        <v>10</v>
      </c>
    </row>
    <row r="5385" spans="1:49">
      <c r="A5385" s="3" t="s">
        <v>5361</v>
      </c>
      <c r="B5385">
        <v>7</v>
      </c>
      <c r="E5385">
        <v>7</v>
      </c>
      <c r="M5385">
        <v>10</v>
      </c>
    </row>
    <row r="5386" spans="1:49">
      <c r="A5386" s="3" t="s">
        <v>5362</v>
      </c>
      <c r="B5386">
        <v>7</v>
      </c>
      <c r="E5386">
        <v>7</v>
      </c>
      <c r="M5386">
        <v>10</v>
      </c>
    </row>
    <row r="5387" spans="1:49">
      <c r="A5387" s="3" t="s">
        <v>5363</v>
      </c>
      <c r="B5387">
        <v>7</v>
      </c>
      <c r="E5387">
        <v>7</v>
      </c>
      <c r="M5387">
        <v>10</v>
      </c>
    </row>
    <row r="5388" spans="1:49">
      <c r="A5388" s="3" t="s">
        <v>5364</v>
      </c>
      <c r="B5388">
        <v>7</v>
      </c>
      <c r="E5388">
        <v>7</v>
      </c>
      <c r="M5388">
        <v>10</v>
      </c>
    </row>
    <row r="5389" spans="1:49">
      <c r="A5389" s="3" t="s">
        <v>5365</v>
      </c>
      <c r="B5389">
        <v>7</v>
      </c>
      <c r="E5389">
        <v>7</v>
      </c>
      <c r="M5389">
        <v>10</v>
      </c>
    </row>
    <row r="5390" spans="1:49">
      <c r="A5390" s="3" t="s">
        <v>5366</v>
      </c>
      <c r="B5390">
        <v>7</v>
      </c>
      <c r="E5390">
        <v>7</v>
      </c>
      <c r="M5390">
        <v>10</v>
      </c>
    </row>
    <row r="5391" spans="1:49">
      <c r="A5391" s="3" t="s">
        <v>5367</v>
      </c>
      <c r="B5391">
        <v>7</v>
      </c>
      <c r="E5391">
        <v>7</v>
      </c>
      <c r="M5391">
        <v>10</v>
      </c>
    </row>
    <row r="5392" spans="1:49">
      <c r="A5392" s="3" t="s">
        <v>5368</v>
      </c>
      <c r="B5392">
        <v>7</v>
      </c>
      <c r="E5392">
        <v>7</v>
      </c>
      <c r="M5392">
        <v>10</v>
      </c>
    </row>
    <row r="5393" spans="1:13">
      <c r="A5393" s="3" t="s">
        <v>5369</v>
      </c>
      <c r="B5393">
        <v>7</v>
      </c>
      <c r="E5393">
        <v>7</v>
      </c>
      <c r="M5393">
        <v>10</v>
      </c>
    </row>
    <row r="5394" spans="1:13">
      <c r="A5394" s="3" t="s">
        <v>5370</v>
      </c>
      <c r="B5394">
        <v>7</v>
      </c>
      <c r="E5394">
        <v>7</v>
      </c>
      <c r="M5394">
        <v>10</v>
      </c>
    </row>
    <row r="5395" spans="1:13">
      <c r="A5395" s="3" t="s">
        <v>5371</v>
      </c>
      <c r="B5395">
        <v>7</v>
      </c>
      <c r="E5395">
        <v>7</v>
      </c>
      <c r="M5395">
        <v>10</v>
      </c>
    </row>
    <row r="5396" spans="1:13">
      <c r="A5396" s="3" t="s">
        <v>5372</v>
      </c>
      <c r="B5396">
        <v>7</v>
      </c>
      <c r="E5396">
        <v>7</v>
      </c>
      <c r="M5396">
        <v>10</v>
      </c>
    </row>
    <row r="5397" spans="1:13">
      <c r="A5397" s="3" t="s">
        <v>5373</v>
      </c>
      <c r="B5397">
        <v>7</v>
      </c>
      <c r="E5397">
        <v>7</v>
      </c>
      <c r="M5397">
        <v>10</v>
      </c>
    </row>
    <row r="5398" spans="1:13">
      <c r="A5398" s="3" t="s">
        <v>5374</v>
      </c>
      <c r="B5398">
        <v>7</v>
      </c>
      <c r="E5398">
        <v>7</v>
      </c>
      <c r="M5398">
        <v>10</v>
      </c>
    </row>
    <row r="5399" spans="1:13">
      <c r="A5399" s="3" t="s">
        <v>5375</v>
      </c>
      <c r="B5399">
        <v>7</v>
      </c>
      <c r="E5399">
        <v>7</v>
      </c>
      <c r="M5399">
        <v>10</v>
      </c>
    </row>
    <row r="5400" spans="1:13">
      <c r="A5400" s="3" t="s">
        <v>5376</v>
      </c>
      <c r="B5400">
        <v>7</v>
      </c>
      <c r="E5400">
        <v>7</v>
      </c>
      <c r="M5400">
        <v>10</v>
      </c>
    </row>
    <row r="5401" spans="1:13">
      <c r="A5401" s="3" t="s">
        <v>5377</v>
      </c>
      <c r="B5401">
        <v>7</v>
      </c>
      <c r="E5401">
        <v>7</v>
      </c>
      <c r="M5401">
        <v>10</v>
      </c>
    </row>
    <row r="5402" spans="1:13">
      <c r="A5402" s="3" t="s">
        <v>5378</v>
      </c>
      <c r="B5402">
        <v>7</v>
      </c>
      <c r="E5402">
        <v>7</v>
      </c>
      <c r="M5402">
        <v>10</v>
      </c>
    </row>
    <row r="5403" spans="1:13">
      <c r="A5403" s="3" t="s">
        <v>5379</v>
      </c>
      <c r="B5403">
        <v>7</v>
      </c>
      <c r="E5403">
        <v>7</v>
      </c>
      <c r="M5403">
        <v>10</v>
      </c>
    </row>
    <row r="5404" spans="1:13">
      <c r="A5404" s="3" t="s">
        <v>5380</v>
      </c>
      <c r="B5404">
        <v>7</v>
      </c>
      <c r="E5404">
        <v>7</v>
      </c>
      <c r="M5404">
        <v>10</v>
      </c>
    </row>
    <row r="5405" spans="1:13">
      <c r="A5405" s="3" t="s">
        <v>5381</v>
      </c>
      <c r="B5405">
        <v>7</v>
      </c>
      <c r="E5405">
        <v>7</v>
      </c>
      <c r="M5405">
        <v>10</v>
      </c>
    </row>
    <row r="5406" spans="1:13">
      <c r="A5406" s="3" t="s">
        <v>5382</v>
      </c>
      <c r="B5406">
        <v>7</v>
      </c>
      <c r="E5406">
        <v>7</v>
      </c>
      <c r="M5406">
        <v>10</v>
      </c>
    </row>
    <row r="5407" spans="1:13">
      <c r="A5407" s="3" t="s">
        <v>5383</v>
      </c>
      <c r="B5407">
        <v>7</v>
      </c>
      <c r="E5407">
        <v>7</v>
      </c>
      <c r="M5407">
        <v>10</v>
      </c>
    </row>
    <row r="5408" spans="1:13">
      <c r="A5408" s="3" t="s">
        <v>5384</v>
      </c>
      <c r="B5408">
        <v>7</v>
      </c>
      <c r="E5408">
        <v>7</v>
      </c>
      <c r="M5408">
        <v>10</v>
      </c>
    </row>
    <row r="5409" spans="1:13">
      <c r="A5409" s="3" t="s">
        <v>5385</v>
      </c>
      <c r="B5409">
        <v>7</v>
      </c>
      <c r="E5409">
        <v>7</v>
      </c>
      <c r="M5409">
        <v>10</v>
      </c>
    </row>
    <row r="5410" spans="1:13">
      <c r="A5410" s="3" t="s">
        <v>5386</v>
      </c>
      <c r="B5410">
        <v>7</v>
      </c>
      <c r="E5410">
        <v>7</v>
      </c>
      <c r="M5410">
        <v>10</v>
      </c>
    </row>
    <row r="5411" spans="1:13">
      <c r="A5411" s="3" t="s">
        <v>5387</v>
      </c>
      <c r="B5411">
        <v>7</v>
      </c>
      <c r="E5411">
        <v>7</v>
      </c>
      <c r="M5411">
        <v>10</v>
      </c>
    </row>
    <row r="5412" spans="1:13">
      <c r="A5412" s="3" t="s">
        <v>5388</v>
      </c>
      <c r="B5412">
        <v>7</v>
      </c>
      <c r="E5412">
        <v>7</v>
      </c>
      <c r="M5412">
        <v>10</v>
      </c>
    </row>
    <row r="5413" spans="1:13">
      <c r="A5413" s="3" t="s">
        <v>5389</v>
      </c>
      <c r="B5413">
        <v>7</v>
      </c>
      <c r="E5413">
        <v>7</v>
      </c>
      <c r="M5413">
        <v>10</v>
      </c>
    </row>
    <row r="5414" spans="1:13">
      <c r="A5414" s="3" t="s">
        <v>5390</v>
      </c>
      <c r="B5414">
        <v>7</v>
      </c>
      <c r="E5414">
        <v>7</v>
      </c>
      <c r="M5414">
        <v>10</v>
      </c>
    </row>
    <row r="5415" spans="1:13">
      <c r="A5415" s="3" t="s">
        <v>5391</v>
      </c>
      <c r="B5415">
        <v>7</v>
      </c>
      <c r="E5415">
        <v>7</v>
      </c>
      <c r="M5415">
        <v>10</v>
      </c>
    </row>
    <row r="5416" spans="1:13">
      <c r="A5416" s="3" t="s">
        <v>5392</v>
      </c>
      <c r="B5416">
        <v>7</v>
      </c>
      <c r="E5416">
        <v>7</v>
      </c>
      <c r="M5416">
        <v>10</v>
      </c>
    </row>
    <row r="5417" spans="1:13">
      <c r="A5417" s="3" t="s">
        <v>5393</v>
      </c>
      <c r="B5417">
        <v>7</v>
      </c>
      <c r="E5417">
        <v>7</v>
      </c>
      <c r="M5417">
        <v>10</v>
      </c>
    </row>
    <row r="5418" spans="1:13">
      <c r="A5418" s="3" t="s">
        <v>5394</v>
      </c>
      <c r="B5418">
        <v>7</v>
      </c>
      <c r="E5418">
        <v>7</v>
      </c>
      <c r="M5418">
        <v>10</v>
      </c>
    </row>
    <row r="5419" spans="1:13">
      <c r="A5419" s="3" t="s">
        <v>5395</v>
      </c>
      <c r="B5419">
        <v>7</v>
      </c>
      <c r="E5419">
        <v>7</v>
      </c>
      <c r="M5419">
        <v>10</v>
      </c>
    </row>
    <row r="5420" spans="1:13">
      <c r="A5420" s="3" t="s">
        <v>5396</v>
      </c>
      <c r="B5420">
        <v>7</v>
      </c>
      <c r="E5420">
        <v>7</v>
      </c>
      <c r="M5420">
        <v>10</v>
      </c>
    </row>
    <row r="5421" spans="1:13">
      <c r="A5421" s="3" t="s">
        <v>5397</v>
      </c>
      <c r="B5421">
        <v>7</v>
      </c>
      <c r="E5421">
        <v>7</v>
      </c>
      <c r="M5421">
        <v>10</v>
      </c>
    </row>
    <row r="5422" spans="1:13">
      <c r="A5422" s="3" t="s">
        <v>5398</v>
      </c>
      <c r="B5422">
        <v>7</v>
      </c>
      <c r="E5422">
        <v>7</v>
      </c>
      <c r="M5422">
        <v>10</v>
      </c>
    </row>
    <row r="5423" spans="1:13">
      <c r="A5423" s="3" t="s">
        <v>5399</v>
      </c>
      <c r="B5423">
        <v>7</v>
      </c>
      <c r="E5423">
        <v>7</v>
      </c>
      <c r="M5423">
        <v>10</v>
      </c>
    </row>
    <row r="5424" spans="1:13">
      <c r="A5424" s="3" t="s">
        <v>5400</v>
      </c>
      <c r="B5424">
        <v>7</v>
      </c>
      <c r="E5424">
        <v>7</v>
      </c>
      <c r="M5424">
        <v>10</v>
      </c>
    </row>
    <row r="5425" spans="1:13">
      <c r="A5425" s="3" t="s">
        <v>5401</v>
      </c>
      <c r="B5425">
        <v>7</v>
      </c>
      <c r="E5425">
        <v>7</v>
      </c>
      <c r="M5425">
        <v>10</v>
      </c>
    </row>
    <row r="5426" spans="1:13">
      <c r="A5426" s="3" t="s">
        <v>5402</v>
      </c>
      <c r="B5426">
        <v>7</v>
      </c>
      <c r="E5426">
        <v>7</v>
      </c>
      <c r="M5426">
        <v>10</v>
      </c>
    </row>
    <row r="5427" spans="1:13">
      <c r="A5427" s="3" t="s">
        <v>5403</v>
      </c>
      <c r="B5427">
        <v>7</v>
      </c>
      <c r="E5427">
        <v>7</v>
      </c>
      <c r="M5427">
        <v>10</v>
      </c>
    </row>
    <row r="5428" spans="1:13">
      <c r="A5428" s="3" t="s">
        <v>5404</v>
      </c>
      <c r="B5428">
        <v>7</v>
      </c>
      <c r="E5428">
        <v>7</v>
      </c>
      <c r="M5428">
        <v>10</v>
      </c>
    </row>
    <row r="5429" spans="1:13">
      <c r="A5429" s="3" t="s">
        <v>5405</v>
      </c>
      <c r="B5429">
        <v>7</v>
      </c>
      <c r="E5429">
        <v>7</v>
      </c>
      <c r="M5429">
        <v>10</v>
      </c>
    </row>
    <row r="5430" spans="1:13">
      <c r="A5430" s="3" t="s">
        <v>5406</v>
      </c>
      <c r="B5430">
        <v>7</v>
      </c>
      <c r="E5430">
        <v>7</v>
      </c>
      <c r="M5430">
        <v>10</v>
      </c>
    </row>
    <row r="5431" spans="1:13">
      <c r="A5431" s="3" t="s">
        <v>5407</v>
      </c>
      <c r="B5431">
        <v>7</v>
      </c>
      <c r="E5431">
        <v>7</v>
      </c>
      <c r="M5431">
        <v>10</v>
      </c>
    </row>
    <row r="5432" spans="1:13">
      <c r="A5432" s="3" t="s">
        <v>5408</v>
      </c>
      <c r="B5432">
        <v>7</v>
      </c>
      <c r="E5432">
        <v>7</v>
      </c>
      <c r="M5432">
        <v>10</v>
      </c>
    </row>
    <row r="5433" spans="1:13">
      <c r="A5433" s="3" t="s">
        <v>5409</v>
      </c>
      <c r="B5433">
        <v>7</v>
      </c>
      <c r="E5433">
        <v>7</v>
      </c>
      <c r="M5433">
        <v>10</v>
      </c>
    </row>
    <row r="5434" spans="1:13">
      <c r="A5434" s="3" t="s">
        <v>5410</v>
      </c>
      <c r="B5434">
        <v>7</v>
      </c>
      <c r="E5434">
        <v>7</v>
      </c>
      <c r="M5434">
        <v>10</v>
      </c>
    </row>
    <row r="5435" spans="1:13">
      <c r="A5435" s="3" t="s">
        <v>5411</v>
      </c>
      <c r="B5435">
        <v>7</v>
      </c>
      <c r="E5435">
        <v>7</v>
      </c>
      <c r="M5435">
        <v>10</v>
      </c>
    </row>
    <row r="5436" spans="1:13">
      <c r="A5436" s="3" t="s">
        <v>5412</v>
      </c>
      <c r="B5436">
        <v>7</v>
      </c>
      <c r="E5436">
        <v>7</v>
      </c>
      <c r="M5436">
        <v>10</v>
      </c>
    </row>
    <row r="5437" spans="1:13">
      <c r="A5437" s="3" t="s">
        <v>5413</v>
      </c>
      <c r="B5437">
        <v>7</v>
      </c>
      <c r="E5437">
        <v>7</v>
      </c>
      <c r="M5437">
        <v>10</v>
      </c>
    </row>
    <row r="5438" spans="1:13">
      <c r="A5438" s="3" t="s">
        <v>5414</v>
      </c>
      <c r="B5438">
        <v>7</v>
      </c>
      <c r="E5438">
        <v>7</v>
      </c>
      <c r="M5438">
        <v>10</v>
      </c>
    </row>
    <row r="5439" spans="1:13">
      <c r="A5439" s="3" t="s">
        <v>5415</v>
      </c>
      <c r="B5439">
        <v>7</v>
      </c>
      <c r="E5439">
        <v>7</v>
      </c>
      <c r="M5439">
        <v>10</v>
      </c>
    </row>
    <row r="5440" spans="1:13">
      <c r="A5440" s="3" t="s">
        <v>5416</v>
      </c>
      <c r="B5440">
        <v>7</v>
      </c>
      <c r="E5440">
        <v>7</v>
      </c>
      <c r="M5440">
        <v>10</v>
      </c>
    </row>
    <row r="5441" spans="1:13">
      <c r="A5441" s="3" t="s">
        <v>5417</v>
      </c>
      <c r="B5441">
        <v>7</v>
      </c>
      <c r="E5441">
        <v>7</v>
      </c>
      <c r="M5441">
        <v>10</v>
      </c>
    </row>
    <row r="5442" spans="1:13">
      <c r="A5442" s="3" t="s">
        <v>5418</v>
      </c>
      <c r="B5442">
        <v>7</v>
      </c>
      <c r="E5442">
        <v>7</v>
      </c>
      <c r="M5442">
        <v>10</v>
      </c>
    </row>
    <row r="5443" spans="1:13">
      <c r="A5443" s="3" t="s">
        <v>5419</v>
      </c>
      <c r="B5443">
        <v>7</v>
      </c>
      <c r="E5443">
        <v>7</v>
      </c>
      <c r="M5443">
        <v>10</v>
      </c>
    </row>
    <row r="5444" spans="1:13">
      <c r="A5444" s="3" t="s">
        <v>5420</v>
      </c>
      <c r="B5444">
        <v>7</v>
      </c>
      <c r="E5444">
        <v>7</v>
      </c>
      <c r="M5444">
        <v>10</v>
      </c>
    </row>
    <row r="5445" spans="1:13">
      <c r="A5445" s="3" t="s">
        <v>5421</v>
      </c>
      <c r="B5445">
        <v>7</v>
      </c>
      <c r="E5445">
        <v>7</v>
      </c>
      <c r="M5445">
        <v>10</v>
      </c>
    </row>
    <row r="5446" spans="1:13">
      <c r="A5446" s="3" t="s">
        <v>5422</v>
      </c>
      <c r="B5446">
        <v>7</v>
      </c>
      <c r="E5446">
        <v>7</v>
      </c>
      <c r="M5446">
        <v>10</v>
      </c>
    </row>
    <row r="5447" spans="1:13">
      <c r="A5447" s="3" t="s">
        <v>5423</v>
      </c>
      <c r="B5447">
        <v>7</v>
      </c>
      <c r="E5447">
        <v>7</v>
      </c>
      <c r="M5447">
        <v>10</v>
      </c>
    </row>
    <row r="5448" spans="1:13">
      <c r="A5448" s="3" t="s">
        <v>5424</v>
      </c>
      <c r="B5448">
        <v>7</v>
      </c>
      <c r="E5448">
        <v>7</v>
      </c>
      <c r="M5448">
        <v>10</v>
      </c>
    </row>
    <row r="5449" spans="1:13">
      <c r="A5449" s="3" t="s">
        <v>5425</v>
      </c>
      <c r="B5449">
        <v>7</v>
      </c>
      <c r="E5449">
        <v>7</v>
      </c>
      <c r="M5449">
        <v>10</v>
      </c>
    </row>
    <row r="5450" spans="1:13">
      <c r="A5450" s="3" t="s">
        <v>5426</v>
      </c>
      <c r="B5450">
        <v>7</v>
      </c>
      <c r="E5450">
        <v>7</v>
      </c>
      <c r="M5450">
        <v>10</v>
      </c>
    </row>
    <row r="5451" spans="1:13">
      <c r="A5451" s="3" t="s">
        <v>5427</v>
      </c>
      <c r="B5451">
        <v>7</v>
      </c>
      <c r="E5451">
        <v>7</v>
      </c>
      <c r="M5451">
        <v>10</v>
      </c>
    </row>
    <row r="5452" spans="1:13">
      <c r="A5452" s="3" t="s">
        <v>5428</v>
      </c>
      <c r="B5452">
        <v>7</v>
      </c>
      <c r="E5452">
        <v>7</v>
      </c>
      <c r="M5452">
        <v>10</v>
      </c>
    </row>
    <row r="5453" spans="1:13">
      <c r="A5453" s="3" t="s">
        <v>5429</v>
      </c>
      <c r="B5453">
        <v>7</v>
      </c>
      <c r="E5453">
        <v>7</v>
      </c>
      <c r="M5453">
        <v>10</v>
      </c>
    </row>
    <row r="5454" spans="1:13">
      <c r="A5454" s="3" t="s">
        <v>5430</v>
      </c>
      <c r="B5454">
        <v>7</v>
      </c>
      <c r="E5454">
        <v>7</v>
      </c>
      <c r="M5454">
        <v>10</v>
      </c>
    </row>
    <row r="5455" spans="1:13">
      <c r="A5455" s="3" t="s">
        <v>5431</v>
      </c>
      <c r="B5455">
        <v>7</v>
      </c>
      <c r="E5455">
        <v>7</v>
      </c>
      <c r="M5455">
        <v>10</v>
      </c>
    </row>
    <row r="5456" spans="1:13">
      <c r="A5456" s="3" t="s">
        <v>5432</v>
      </c>
      <c r="B5456">
        <v>7</v>
      </c>
      <c r="E5456">
        <v>7</v>
      </c>
      <c r="M5456">
        <v>10</v>
      </c>
    </row>
    <row r="5457" spans="1:13">
      <c r="A5457" s="3" t="s">
        <v>5433</v>
      </c>
      <c r="B5457">
        <v>7</v>
      </c>
      <c r="E5457">
        <v>7</v>
      </c>
      <c r="M5457">
        <v>10</v>
      </c>
    </row>
    <row r="5458" spans="1:13">
      <c r="A5458" s="3" t="s">
        <v>5434</v>
      </c>
      <c r="B5458">
        <v>7</v>
      </c>
      <c r="E5458">
        <v>7</v>
      </c>
      <c r="M5458">
        <v>10</v>
      </c>
    </row>
    <row r="5459" spans="1:13">
      <c r="A5459" s="3" t="s">
        <v>5435</v>
      </c>
      <c r="B5459">
        <v>7</v>
      </c>
      <c r="E5459">
        <v>7</v>
      </c>
      <c r="M5459">
        <v>10</v>
      </c>
    </row>
    <row r="5460" spans="1:13">
      <c r="A5460" s="3" t="s">
        <v>5436</v>
      </c>
      <c r="B5460">
        <v>7</v>
      </c>
      <c r="E5460">
        <v>7</v>
      </c>
      <c r="M5460">
        <v>10</v>
      </c>
    </row>
    <row r="5461" spans="1:13">
      <c r="A5461" s="3" t="s">
        <v>5437</v>
      </c>
      <c r="B5461">
        <v>7</v>
      </c>
      <c r="E5461">
        <v>7</v>
      </c>
      <c r="M5461">
        <v>10</v>
      </c>
    </row>
    <row r="5462" spans="1:13">
      <c r="A5462" s="3" t="s">
        <v>5438</v>
      </c>
      <c r="B5462">
        <v>7</v>
      </c>
      <c r="E5462">
        <v>7</v>
      </c>
      <c r="M5462">
        <v>10</v>
      </c>
    </row>
    <row r="5463" spans="1:13">
      <c r="A5463" s="3" t="s">
        <v>5439</v>
      </c>
      <c r="B5463">
        <v>7</v>
      </c>
      <c r="E5463">
        <v>7</v>
      </c>
      <c r="M5463">
        <v>10</v>
      </c>
    </row>
    <row r="5464" spans="1:13">
      <c r="A5464" s="3" t="s">
        <v>5440</v>
      </c>
      <c r="B5464">
        <v>7</v>
      </c>
      <c r="E5464">
        <v>7</v>
      </c>
      <c r="M5464">
        <v>10</v>
      </c>
    </row>
    <row r="5465" spans="1:13">
      <c r="A5465" s="3" t="s">
        <v>5441</v>
      </c>
      <c r="B5465">
        <v>7</v>
      </c>
      <c r="E5465">
        <v>7</v>
      </c>
      <c r="M5465">
        <v>10</v>
      </c>
    </row>
    <row r="5466" spans="1:13">
      <c r="A5466" s="3" t="s">
        <v>5442</v>
      </c>
      <c r="B5466">
        <v>7</v>
      </c>
      <c r="E5466">
        <v>7</v>
      </c>
      <c r="M5466">
        <v>10</v>
      </c>
    </row>
    <row r="5467" spans="1:13">
      <c r="A5467" s="3" t="s">
        <v>5443</v>
      </c>
      <c r="B5467">
        <v>7</v>
      </c>
      <c r="E5467">
        <v>7</v>
      </c>
      <c r="M5467">
        <v>10</v>
      </c>
    </row>
    <row r="5468" spans="1:13">
      <c r="A5468" s="3" t="s">
        <v>5444</v>
      </c>
      <c r="B5468">
        <v>7</v>
      </c>
      <c r="E5468">
        <v>7</v>
      </c>
      <c r="M5468">
        <v>10</v>
      </c>
    </row>
    <row r="5469" spans="1:13">
      <c r="A5469" s="3" t="s">
        <v>5445</v>
      </c>
      <c r="B5469">
        <v>7</v>
      </c>
      <c r="E5469">
        <v>7</v>
      </c>
      <c r="M5469">
        <v>10</v>
      </c>
    </row>
    <row r="5470" spans="1:13">
      <c r="A5470" s="3" t="s">
        <v>5446</v>
      </c>
      <c r="B5470">
        <v>7</v>
      </c>
      <c r="E5470">
        <v>7</v>
      </c>
      <c r="M5470">
        <v>10</v>
      </c>
    </row>
    <row r="5471" spans="1:13">
      <c r="A5471" s="3" t="s">
        <v>5447</v>
      </c>
      <c r="B5471">
        <v>7</v>
      </c>
      <c r="E5471">
        <v>7</v>
      </c>
      <c r="M5471">
        <v>10</v>
      </c>
    </row>
    <row r="5472" spans="1:13">
      <c r="A5472" s="3" t="s">
        <v>5448</v>
      </c>
      <c r="B5472">
        <v>7</v>
      </c>
      <c r="E5472">
        <v>7</v>
      </c>
      <c r="M5472">
        <v>10</v>
      </c>
    </row>
    <row r="5473" spans="1:13">
      <c r="A5473" s="3" t="s">
        <v>5449</v>
      </c>
      <c r="B5473">
        <v>7</v>
      </c>
      <c r="E5473">
        <v>7</v>
      </c>
      <c r="M5473">
        <v>10</v>
      </c>
    </row>
    <row r="5474" spans="1:13">
      <c r="A5474" s="3" t="s">
        <v>5450</v>
      </c>
      <c r="B5474">
        <v>7</v>
      </c>
      <c r="E5474">
        <v>7</v>
      </c>
      <c r="M5474">
        <v>10</v>
      </c>
    </row>
    <row r="5475" spans="1:13">
      <c r="A5475" s="3" t="s">
        <v>5451</v>
      </c>
      <c r="B5475">
        <v>7</v>
      </c>
      <c r="E5475">
        <v>7</v>
      </c>
      <c r="M5475">
        <v>10</v>
      </c>
    </row>
    <row r="5476" spans="1:13">
      <c r="A5476" s="3" t="s">
        <v>5452</v>
      </c>
      <c r="B5476">
        <v>7</v>
      </c>
      <c r="E5476">
        <v>7</v>
      </c>
      <c r="M5476">
        <v>10</v>
      </c>
    </row>
    <row r="5477" spans="1:13">
      <c r="A5477" s="3" t="s">
        <v>5453</v>
      </c>
      <c r="B5477">
        <v>7</v>
      </c>
      <c r="E5477">
        <v>7</v>
      </c>
      <c r="M5477">
        <v>10</v>
      </c>
    </row>
    <row r="5478" spans="1:13">
      <c r="A5478" s="3" t="s">
        <v>5454</v>
      </c>
      <c r="B5478">
        <v>7</v>
      </c>
      <c r="E5478">
        <v>7</v>
      </c>
      <c r="M5478">
        <v>10</v>
      </c>
    </row>
    <row r="5479" spans="1:13">
      <c r="A5479" s="3" t="s">
        <v>5455</v>
      </c>
      <c r="B5479">
        <v>7</v>
      </c>
      <c r="E5479">
        <v>7</v>
      </c>
      <c r="M5479">
        <v>10</v>
      </c>
    </row>
    <row r="5480" spans="1:13">
      <c r="A5480" s="3" t="s">
        <v>5456</v>
      </c>
      <c r="B5480">
        <v>7</v>
      </c>
      <c r="E5480">
        <v>7</v>
      </c>
      <c r="M5480">
        <v>10</v>
      </c>
    </row>
    <row r="5481" spans="1:13">
      <c r="A5481" s="3" t="s">
        <v>5457</v>
      </c>
      <c r="B5481">
        <v>7</v>
      </c>
      <c r="E5481">
        <v>7</v>
      </c>
      <c r="M5481">
        <v>10</v>
      </c>
    </row>
    <row r="5482" spans="1:13">
      <c r="A5482" s="3" t="s">
        <v>5458</v>
      </c>
      <c r="B5482">
        <v>7</v>
      </c>
      <c r="E5482">
        <v>7</v>
      </c>
      <c r="M5482">
        <v>10</v>
      </c>
    </row>
    <row r="5483" spans="1:13">
      <c r="A5483" s="3" t="s">
        <v>5459</v>
      </c>
      <c r="B5483">
        <v>7</v>
      </c>
      <c r="E5483">
        <v>7</v>
      </c>
      <c r="M5483">
        <v>10</v>
      </c>
    </row>
    <row r="5484" spans="1:13">
      <c r="A5484" s="3" t="s">
        <v>5460</v>
      </c>
      <c r="B5484">
        <v>7</v>
      </c>
      <c r="E5484">
        <v>7</v>
      </c>
      <c r="M5484">
        <v>10</v>
      </c>
    </row>
    <row r="5485" spans="1:13">
      <c r="A5485" s="3" t="s">
        <v>5461</v>
      </c>
      <c r="B5485">
        <v>7</v>
      </c>
      <c r="E5485">
        <v>7</v>
      </c>
      <c r="M5485">
        <v>10</v>
      </c>
    </row>
    <row r="5486" spans="1:13">
      <c r="A5486" s="3" t="s">
        <v>5462</v>
      </c>
      <c r="B5486">
        <v>7</v>
      </c>
      <c r="E5486">
        <v>7</v>
      </c>
      <c r="M5486">
        <v>10</v>
      </c>
    </row>
    <row r="5487" spans="1:13">
      <c r="A5487" s="3" t="s">
        <v>5463</v>
      </c>
      <c r="B5487">
        <v>7</v>
      </c>
      <c r="E5487">
        <v>7</v>
      </c>
      <c r="M5487">
        <v>10</v>
      </c>
    </row>
    <row r="5488" spans="1:13">
      <c r="A5488" s="3" t="s">
        <v>5464</v>
      </c>
      <c r="B5488">
        <v>7</v>
      </c>
      <c r="E5488">
        <v>7</v>
      </c>
      <c r="M5488">
        <v>10</v>
      </c>
    </row>
    <row r="5489" spans="1:13">
      <c r="A5489" s="3" t="s">
        <v>5465</v>
      </c>
      <c r="B5489">
        <v>7</v>
      </c>
      <c r="E5489">
        <v>7</v>
      </c>
      <c r="M5489">
        <v>10</v>
      </c>
    </row>
    <row r="5490" spans="1:13">
      <c r="A5490" s="3" t="s">
        <v>5466</v>
      </c>
      <c r="B5490">
        <v>7</v>
      </c>
      <c r="E5490">
        <v>7</v>
      </c>
      <c r="M5490">
        <v>10</v>
      </c>
    </row>
    <row r="5491" spans="1:13">
      <c r="A5491" s="3" t="s">
        <v>5467</v>
      </c>
      <c r="B5491">
        <v>7</v>
      </c>
      <c r="E5491">
        <v>7</v>
      </c>
      <c r="M5491">
        <v>10</v>
      </c>
    </row>
    <row r="5492" spans="1:13">
      <c r="A5492" s="3" t="s">
        <v>5468</v>
      </c>
      <c r="B5492">
        <v>7</v>
      </c>
      <c r="E5492">
        <v>7</v>
      </c>
      <c r="M5492">
        <v>10</v>
      </c>
    </row>
    <row r="5493" spans="1:13">
      <c r="A5493" s="3" t="s">
        <v>5469</v>
      </c>
      <c r="B5493">
        <v>7</v>
      </c>
      <c r="E5493">
        <v>7</v>
      </c>
      <c r="M5493">
        <v>10</v>
      </c>
    </row>
    <row r="5494" spans="1:13">
      <c r="A5494" s="3" t="s">
        <v>5470</v>
      </c>
      <c r="B5494">
        <v>7</v>
      </c>
      <c r="E5494">
        <v>7</v>
      </c>
      <c r="M5494">
        <v>10</v>
      </c>
    </row>
    <row r="5495" spans="1:13">
      <c r="A5495" s="3" t="s">
        <v>5471</v>
      </c>
      <c r="B5495">
        <v>7</v>
      </c>
      <c r="E5495">
        <v>7</v>
      </c>
      <c r="M5495">
        <v>10</v>
      </c>
    </row>
    <row r="5496" spans="1:13">
      <c r="A5496" s="3" t="s">
        <v>5472</v>
      </c>
      <c r="B5496">
        <v>7</v>
      </c>
      <c r="E5496">
        <v>7</v>
      </c>
      <c r="M5496">
        <v>10</v>
      </c>
    </row>
    <row r="5497" spans="1:13">
      <c r="A5497" s="3" t="s">
        <v>5473</v>
      </c>
      <c r="B5497">
        <v>7</v>
      </c>
      <c r="E5497">
        <v>7</v>
      </c>
      <c r="M5497">
        <v>10</v>
      </c>
    </row>
    <row r="5498" spans="1:13">
      <c r="A5498" s="3" t="s">
        <v>5474</v>
      </c>
      <c r="B5498">
        <v>7</v>
      </c>
      <c r="E5498">
        <v>7</v>
      </c>
      <c r="M5498">
        <v>10</v>
      </c>
    </row>
    <row r="5499" spans="1:13">
      <c r="A5499" s="3" t="s">
        <v>5475</v>
      </c>
      <c r="B5499">
        <v>7</v>
      </c>
      <c r="E5499">
        <v>7</v>
      </c>
      <c r="M5499">
        <v>10</v>
      </c>
    </row>
    <row r="5500" spans="1:13">
      <c r="A5500" s="3" t="s">
        <v>5476</v>
      </c>
      <c r="B5500">
        <v>7</v>
      </c>
      <c r="E5500">
        <v>7</v>
      </c>
      <c r="M5500">
        <v>10</v>
      </c>
    </row>
    <row r="5501" spans="1:13">
      <c r="A5501" s="3" t="s">
        <v>5477</v>
      </c>
      <c r="B5501">
        <v>7</v>
      </c>
      <c r="E5501">
        <v>7</v>
      </c>
      <c r="M5501">
        <v>10</v>
      </c>
    </row>
    <row r="5502" spans="1:13">
      <c r="A5502" s="3" t="s">
        <v>5478</v>
      </c>
      <c r="B5502">
        <v>7</v>
      </c>
      <c r="E5502">
        <v>7</v>
      </c>
      <c r="M5502">
        <v>10</v>
      </c>
    </row>
    <row r="5503" spans="1:13">
      <c r="A5503" s="3" t="s">
        <v>5479</v>
      </c>
      <c r="B5503">
        <v>7</v>
      </c>
      <c r="E5503">
        <v>7</v>
      </c>
      <c r="M5503">
        <v>10</v>
      </c>
    </row>
    <row r="5504" spans="1:13">
      <c r="A5504" s="3" t="s">
        <v>5480</v>
      </c>
      <c r="B5504">
        <v>7</v>
      </c>
      <c r="E5504">
        <v>7</v>
      </c>
      <c r="M5504">
        <v>10</v>
      </c>
    </row>
    <row r="5505" spans="1:13">
      <c r="A5505" s="3" t="s">
        <v>5481</v>
      </c>
      <c r="B5505">
        <v>7</v>
      </c>
      <c r="E5505">
        <v>7</v>
      </c>
      <c r="M5505">
        <v>10</v>
      </c>
    </row>
    <row r="5506" spans="1:13">
      <c r="A5506" s="3" t="s">
        <v>5482</v>
      </c>
      <c r="B5506">
        <v>7</v>
      </c>
      <c r="E5506">
        <v>7</v>
      </c>
      <c r="M5506">
        <v>10</v>
      </c>
    </row>
    <row r="5507" spans="1:13">
      <c r="A5507" s="3" t="s">
        <v>5483</v>
      </c>
      <c r="B5507">
        <v>7</v>
      </c>
      <c r="E5507">
        <v>7</v>
      </c>
      <c r="M5507">
        <v>10</v>
      </c>
    </row>
    <row r="5508" spans="1:13">
      <c r="A5508" s="3" t="s">
        <v>5484</v>
      </c>
      <c r="B5508">
        <v>7</v>
      </c>
      <c r="E5508">
        <v>7</v>
      </c>
      <c r="M5508">
        <v>10</v>
      </c>
    </row>
    <row r="5509" spans="1:13">
      <c r="A5509" s="3" t="s">
        <v>5485</v>
      </c>
      <c r="B5509">
        <v>7</v>
      </c>
      <c r="E5509">
        <v>7</v>
      </c>
      <c r="M5509">
        <v>10</v>
      </c>
    </row>
    <row r="5510" spans="1:13">
      <c r="A5510" s="3" t="s">
        <v>5486</v>
      </c>
      <c r="B5510">
        <v>7</v>
      </c>
      <c r="E5510">
        <v>7</v>
      </c>
      <c r="M5510">
        <v>10</v>
      </c>
    </row>
    <row r="5511" spans="1:13">
      <c r="A5511" s="3" t="s">
        <v>5487</v>
      </c>
      <c r="B5511">
        <v>7</v>
      </c>
      <c r="E5511">
        <v>7</v>
      </c>
      <c r="M5511">
        <v>10</v>
      </c>
    </row>
    <row r="5512" spans="1:13">
      <c r="A5512" s="3" t="s">
        <v>5488</v>
      </c>
      <c r="B5512">
        <v>7</v>
      </c>
      <c r="E5512">
        <v>7</v>
      </c>
      <c r="M5512">
        <v>10</v>
      </c>
    </row>
    <row r="5513" spans="1:13">
      <c r="A5513" s="3" t="s">
        <v>5489</v>
      </c>
      <c r="B5513">
        <v>7</v>
      </c>
      <c r="E5513">
        <v>7</v>
      </c>
      <c r="M5513">
        <v>10</v>
      </c>
    </row>
    <row r="5514" spans="1:13">
      <c r="A5514" s="3" t="s">
        <v>5490</v>
      </c>
      <c r="B5514">
        <v>7</v>
      </c>
      <c r="E5514">
        <v>7</v>
      </c>
      <c r="M5514">
        <v>10</v>
      </c>
    </row>
    <row r="5515" spans="1:13">
      <c r="A5515" s="3" t="s">
        <v>5491</v>
      </c>
      <c r="B5515">
        <v>7</v>
      </c>
      <c r="E5515">
        <v>7</v>
      </c>
      <c r="M5515">
        <v>10</v>
      </c>
    </row>
    <row r="5516" spans="1:13">
      <c r="A5516" s="3" t="s">
        <v>5492</v>
      </c>
      <c r="B5516">
        <v>7</v>
      </c>
      <c r="E5516">
        <v>7</v>
      </c>
      <c r="M5516">
        <v>10</v>
      </c>
    </row>
    <row r="5517" spans="1:13">
      <c r="A5517" s="3" t="s">
        <v>5493</v>
      </c>
      <c r="B5517">
        <v>7</v>
      </c>
      <c r="E5517">
        <v>7</v>
      </c>
      <c r="M5517">
        <v>10</v>
      </c>
    </row>
    <row r="5518" spans="1:13">
      <c r="A5518" s="3" t="s">
        <v>5494</v>
      </c>
      <c r="B5518">
        <v>7</v>
      </c>
      <c r="E5518">
        <v>7</v>
      </c>
      <c r="M5518">
        <v>10</v>
      </c>
    </row>
    <row r="5519" spans="1:13">
      <c r="A5519" s="3" t="s">
        <v>5495</v>
      </c>
      <c r="B5519">
        <v>7</v>
      </c>
      <c r="E5519">
        <v>7</v>
      </c>
      <c r="M5519">
        <v>10</v>
      </c>
    </row>
    <row r="5520" spans="1:13">
      <c r="A5520" s="3" t="s">
        <v>5496</v>
      </c>
      <c r="B5520">
        <v>7</v>
      </c>
      <c r="E5520">
        <v>7</v>
      </c>
      <c r="M5520">
        <v>10</v>
      </c>
    </row>
    <row r="5521" spans="1:13">
      <c r="A5521" s="3" t="s">
        <v>5497</v>
      </c>
      <c r="B5521">
        <v>7</v>
      </c>
      <c r="E5521">
        <v>7</v>
      </c>
      <c r="M5521">
        <v>10</v>
      </c>
    </row>
    <row r="5522" spans="1:13">
      <c r="A5522" s="3" t="s">
        <v>5498</v>
      </c>
      <c r="B5522">
        <v>7</v>
      </c>
      <c r="E5522">
        <v>7</v>
      </c>
      <c r="M5522">
        <v>10</v>
      </c>
    </row>
    <row r="5523" spans="1:13">
      <c r="A5523" s="3" t="s">
        <v>5499</v>
      </c>
      <c r="B5523">
        <v>7</v>
      </c>
      <c r="E5523">
        <v>7</v>
      </c>
      <c r="M5523">
        <v>10</v>
      </c>
    </row>
    <row r="5524" spans="1:13">
      <c r="A5524" s="3" t="s">
        <v>5500</v>
      </c>
      <c r="B5524">
        <v>7</v>
      </c>
      <c r="E5524">
        <v>7</v>
      </c>
      <c r="M5524">
        <v>10</v>
      </c>
    </row>
    <row r="5525" spans="1:13">
      <c r="A5525" s="3" t="s">
        <v>5501</v>
      </c>
      <c r="B5525">
        <v>7</v>
      </c>
      <c r="E5525">
        <v>7</v>
      </c>
      <c r="M5525">
        <v>10</v>
      </c>
    </row>
    <row r="5526" spans="1:13">
      <c r="A5526" s="3" t="s">
        <v>5502</v>
      </c>
      <c r="B5526">
        <v>7</v>
      </c>
      <c r="E5526">
        <v>7</v>
      </c>
      <c r="M5526">
        <v>10</v>
      </c>
    </row>
    <row r="5527" spans="1:13">
      <c r="A5527" s="3" t="s">
        <v>5503</v>
      </c>
      <c r="B5527">
        <v>7</v>
      </c>
      <c r="E5527">
        <v>7</v>
      </c>
      <c r="M5527">
        <v>10</v>
      </c>
    </row>
    <row r="5528" spans="1:13">
      <c r="A5528" s="3" t="s">
        <v>5504</v>
      </c>
      <c r="B5528">
        <v>7</v>
      </c>
      <c r="E5528">
        <v>7</v>
      </c>
      <c r="M5528">
        <v>10</v>
      </c>
    </row>
    <row r="5529" spans="1:13">
      <c r="A5529" s="3" t="s">
        <v>5505</v>
      </c>
      <c r="B5529">
        <v>7</v>
      </c>
      <c r="E5529">
        <v>7</v>
      </c>
      <c r="M5529">
        <v>10</v>
      </c>
    </row>
    <row r="5530" spans="1:13">
      <c r="A5530" s="3" t="s">
        <v>5506</v>
      </c>
      <c r="B5530">
        <v>7</v>
      </c>
      <c r="E5530">
        <v>7</v>
      </c>
      <c r="M5530">
        <v>10</v>
      </c>
    </row>
    <row r="5531" spans="1:13">
      <c r="A5531" s="3" t="s">
        <v>5507</v>
      </c>
      <c r="B5531">
        <v>7</v>
      </c>
      <c r="E5531">
        <v>7</v>
      </c>
      <c r="M5531">
        <v>10</v>
      </c>
    </row>
    <row r="5532" spans="1:13">
      <c r="A5532" s="3" t="s">
        <v>5508</v>
      </c>
      <c r="B5532">
        <v>7</v>
      </c>
      <c r="E5532">
        <v>7</v>
      </c>
      <c r="M5532">
        <v>10</v>
      </c>
    </row>
    <row r="5533" spans="1:13">
      <c r="A5533" s="3" t="s">
        <v>5509</v>
      </c>
      <c r="B5533">
        <v>7</v>
      </c>
      <c r="E5533">
        <v>7</v>
      </c>
      <c r="M5533">
        <v>10</v>
      </c>
    </row>
    <row r="5534" spans="1:13">
      <c r="A5534" s="3" t="s">
        <v>5510</v>
      </c>
      <c r="B5534">
        <v>7</v>
      </c>
      <c r="E5534">
        <v>7</v>
      </c>
      <c r="M5534">
        <v>10</v>
      </c>
    </row>
    <row r="5535" spans="1:13">
      <c r="A5535" s="3" t="s">
        <v>5511</v>
      </c>
      <c r="B5535">
        <v>7</v>
      </c>
      <c r="E5535">
        <v>7</v>
      </c>
      <c r="M5535">
        <v>10</v>
      </c>
    </row>
    <row r="5536" spans="1:13">
      <c r="A5536" s="3" t="s">
        <v>5512</v>
      </c>
      <c r="B5536">
        <v>7</v>
      </c>
      <c r="E5536">
        <v>7</v>
      </c>
      <c r="M5536">
        <v>10</v>
      </c>
    </row>
    <row r="5537" spans="1:13">
      <c r="A5537" s="3" t="s">
        <v>5513</v>
      </c>
      <c r="B5537">
        <v>7</v>
      </c>
      <c r="E5537">
        <v>7</v>
      </c>
      <c r="M5537">
        <v>10</v>
      </c>
    </row>
    <row r="5538" spans="1:13">
      <c r="A5538" s="3" t="s">
        <v>5514</v>
      </c>
      <c r="B5538">
        <v>7</v>
      </c>
      <c r="E5538">
        <v>7</v>
      </c>
      <c r="M5538">
        <v>10</v>
      </c>
    </row>
    <row r="5539" spans="1:13">
      <c r="A5539" s="3" t="s">
        <v>5515</v>
      </c>
      <c r="B5539">
        <v>7</v>
      </c>
      <c r="E5539">
        <v>7</v>
      </c>
      <c r="M5539">
        <v>10</v>
      </c>
    </row>
    <row r="5540" spans="1:13">
      <c r="A5540" s="3" t="s">
        <v>5516</v>
      </c>
      <c r="B5540">
        <v>7</v>
      </c>
      <c r="E5540">
        <v>7</v>
      </c>
      <c r="M5540">
        <v>10</v>
      </c>
    </row>
    <row r="5541" spans="1:13">
      <c r="A5541" s="3" t="s">
        <v>5517</v>
      </c>
      <c r="B5541">
        <v>7</v>
      </c>
      <c r="E5541">
        <v>7</v>
      </c>
      <c r="M5541">
        <v>10</v>
      </c>
    </row>
    <row r="5542" spans="1:13">
      <c r="A5542" s="3" t="s">
        <v>5518</v>
      </c>
      <c r="B5542">
        <v>7</v>
      </c>
      <c r="E5542">
        <v>7</v>
      </c>
      <c r="M5542">
        <v>10</v>
      </c>
    </row>
    <row r="5543" spans="1:13">
      <c r="A5543" s="3" t="s">
        <v>5519</v>
      </c>
      <c r="B5543">
        <v>7</v>
      </c>
      <c r="E5543">
        <v>7</v>
      </c>
      <c r="M5543">
        <v>10</v>
      </c>
    </row>
    <row r="5544" spans="1:13">
      <c r="A5544" s="3" t="s">
        <v>5520</v>
      </c>
      <c r="B5544">
        <v>7</v>
      </c>
      <c r="E5544">
        <v>7</v>
      </c>
      <c r="M5544">
        <v>10</v>
      </c>
    </row>
    <row r="5545" spans="1:13">
      <c r="A5545" s="3" t="s">
        <v>5521</v>
      </c>
      <c r="B5545">
        <v>7</v>
      </c>
      <c r="E5545">
        <v>7</v>
      </c>
      <c r="M5545">
        <v>10</v>
      </c>
    </row>
    <row r="5546" spans="1:13">
      <c r="A5546" s="3" t="s">
        <v>5522</v>
      </c>
      <c r="B5546">
        <v>7</v>
      </c>
      <c r="E5546">
        <v>7</v>
      </c>
      <c r="M5546">
        <v>10</v>
      </c>
    </row>
    <row r="5547" spans="1:13">
      <c r="A5547" s="3" t="s">
        <v>5523</v>
      </c>
      <c r="B5547">
        <v>7</v>
      </c>
      <c r="E5547">
        <v>7</v>
      </c>
      <c r="M5547">
        <v>10</v>
      </c>
    </row>
    <row r="5548" spans="1:13">
      <c r="A5548" s="3" t="s">
        <v>5524</v>
      </c>
      <c r="B5548">
        <v>7</v>
      </c>
      <c r="E5548">
        <v>7</v>
      </c>
      <c r="M5548">
        <v>10</v>
      </c>
    </row>
    <row r="5549" spans="1:13">
      <c r="A5549" s="3" t="s">
        <v>5525</v>
      </c>
      <c r="B5549">
        <v>7</v>
      </c>
      <c r="E5549">
        <v>7</v>
      </c>
      <c r="M5549">
        <v>10</v>
      </c>
    </row>
    <row r="5550" spans="1:13">
      <c r="A5550" s="3" t="s">
        <v>5526</v>
      </c>
      <c r="B5550">
        <v>7</v>
      </c>
      <c r="E5550">
        <v>7</v>
      </c>
      <c r="M5550">
        <v>10</v>
      </c>
    </row>
    <row r="5551" spans="1:13">
      <c r="A5551" s="3" t="s">
        <v>5527</v>
      </c>
      <c r="B5551">
        <v>7</v>
      </c>
      <c r="E5551">
        <v>7</v>
      </c>
      <c r="M5551">
        <v>10</v>
      </c>
    </row>
    <row r="5552" spans="1:13">
      <c r="A5552" s="3" t="s">
        <v>5528</v>
      </c>
      <c r="B5552">
        <v>7</v>
      </c>
      <c r="E5552">
        <v>7</v>
      </c>
      <c r="M5552">
        <v>10</v>
      </c>
    </row>
    <row r="5553" spans="1:13">
      <c r="A5553" s="3" t="s">
        <v>5529</v>
      </c>
      <c r="B5553">
        <v>7</v>
      </c>
      <c r="E5553">
        <v>7</v>
      </c>
      <c r="M5553">
        <v>10</v>
      </c>
    </row>
    <row r="5554" spans="1:13">
      <c r="A5554" s="3" t="s">
        <v>5530</v>
      </c>
      <c r="B5554">
        <v>7</v>
      </c>
      <c r="E5554">
        <v>7</v>
      </c>
      <c r="M5554">
        <v>10</v>
      </c>
    </row>
    <row r="5555" spans="1:13">
      <c r="A5555" s="3" t="s">
        <v>5531</v>
      </c>
      <c r="B5555">
        <v>7</v>
      </c>
      <c r="E5555">
        <v>7</v>
      </c>
      <c r="M5555">
        <v>10</v>
      </c>
    </row>
    <row r="5556" spans="1:13">
      <c r="A5556" s="3" t="s">
        <v>5532</v>
      </c>
      <c r="B5556">
        <v>7</v>
      </c>
      <c r="E5556">
        <v>7</v>
      </c>
      <c r="M5556">
        <v>10</v>
      </c>
    </row>
    <row r="5557" spans="1:13">
      <c r="A5557" s="3" t="s">
        <v>5533</v>
      </c>
      <c r="B5557">
        <v>7</v>
      </c>
      <c r="E5557">
        <v>7</v>
      </c>
      <c r="M5557">
        <v>10</v>
      </c>
    </row>
    <row r="5558" spans="1:13">
      <c r="A5558" s="3" t="s">
        <v>5534</v>
      </c>
      <c r="B5558">
        <v>7</v>
      </c>
      <c r="E5558">
        <v>7</v>
      </c>
      <c r="M5558">
        <v>10</v>
      </c>
    </row>
    <row r="5559" spans="1:13">
      <c r="A5559" s="3" t="s">
        <v>5535</v>
      </c>
      <c r="B5559">
        <v>7</v>
      </c>
      <c r="E5559">
        <v>7</v>
      </c>
      <c r="M5559">
        <v>10</v>
      </c>
    </row>
    <row r="5560" spans="1:13">
      <c r="A5560" s="3" t="s">
        <v>5536</v>
      </c>
      <c r="B5560">
        <v>7</v>
      </c>
      <c r="E5560">
        <v>7</v>
      </c>
      <c r="M5560">
        <v>10</v>
      </c>
    </row>
    <row r="5561" spans="1:13">
      <c r="A5561" s="3" t="s">
        <v>5537</v>
      </c>
      <c r="B5561">
        <v>7</v>
      </c>
      <c r="E5561">
        <v>7</v>
      </c>
      <c r="M5561">
        <v>10</v>
      </c>
    </row>
    <row r="5562" spans="1:13">
      <c r="A5562" s="3" t="s">
        <v>5538</v>
      </c>
      <c r="B5562">
        <v>7</v>
      </c>
      <c r="E5562">
        <v>7</v>
      </c>
      <c r="M5562">
        <v>10</v>
      </c>
    </row>
    <row r="5563" spans="1:13">
      <c r="A5563" s="3" t="s">
        <v>5539</v>
      </c>
      <c r="B5563">
        <v>7</v>
      </c>
      <c r="E5563">
        <v>7</v>
      </c>
      <c r="M5563">
        <v>10</v>
      </c>
    </row>
    <row r="5564" spans="1:13">
      <c r="A5564" s="3" t="s">
        <v>5540</v>
      </c>
      <c r="B5564">
        <v>7</v>
      </c>
      <c r="E5564">
        <v>7</v>
      </c>
      <c r="M5564">
        <v>10</v>
      </c>
    </row>
    <row r="5565" spans="1:13">
      <c r="A5565" s="3" t="s">
        <v>5541</v>
      </c>
      <c r="B5565">
        <v>7</v>
      </c>
      <c r="E5565">
        <v>7</v>
      </c>
      <c r="M5565">
        <v>10</v>
      </c>
    </row>
    <row r="5566" spans="1:13">
      <c r="A5566" s="3" t="s">
        <v>5542</v>
      </c>
      <c r="B5566">
        <v>7</v>
      </c>
      <c r="E5566">
        <v>7</v>
      </c>
      <c r="M5566">
        <v>10</v>
      </c>
    </row>
    <row r="5567" spans="1:13">
      <c r="A5567" s="3" t="s">
        <v>5543</v>
      </c>
      <c r="B5567">
        <v>7</v>
      </c>
      <c r="E5567">
        <v>7</v>
      </c>
      <c r="M5567">
        <v>10</v>
      </c>
    </row>
    <row r="5568" spans="1:13">
      <c r="A5568" s="3" t="s">
        <v>5544</v>
      </c>
      <c r="B5568">
        <v>7</v>
      </c>
      <c r="E5568">
        <v>7</v>
      </c>
      <c r="M5568">
        <v>10</v>
      </c>
    </row>
    <row r="5569" spans="1:49">
      <c r="A5569" s="3" t="s">
        <v>5545</v>
      </c>
      <c r="B5569">
        <v>7</v>
      </c>
      <c r="E5569">
        <v>7</v>
      </c>
      <c r="M5569">
        <v>10</v>
      </c>
    </row>
    <row r="5570" spans="1:49">
      <c r="A5570" s="3" t="s">
        <v>5546</v>
      </c>
      <c r="B5570">
        <v>7</v>
      </c>
      <c r="E5570">
        <v>7</v>
      </c>
      <c r="M5570">
        <v>10</v>
      </c>
    </row>
    <row r="5571" spans="1:49">
      <c r="A5571" s="3" t="s">
        <v>5547</v>
      </c>
      <c r="B5571">
        <v>7</v>
      </c>
      <c r="E5571">
        <v>7</v>
      </c>
      <c r="AW5571">
        <v>51</v>
      </c>
    </row>
    <row r="5572" spans="1:49">
      <c r="A5572" s="3" t="s">
        <v>5548</v>
      </c>
      <c r="B5572">
        <v>7</v>
      </c>
      <c r="E5572">
        <v>7</v>
      </c>
      <c r="AW5572">
        <v>51</v>
      </c>
    </row>
    <row r="5573" spans="1:49">
      <c r="A5573" s="3" t="s">
        <v>5549</v>
      </c>
      <c r="B5573">
        <v>7</v>
      </c>
      <c r="E5573">
        <v>7</v>
      </c>
      <c r="AW5573">
        <v>51</v>
      </c>
    </row>
    <row r="5574" spans="1:49">
      <c r="A5574" s="3" t="s">
        <v>5550</v>
      </c>
      <c r="B5574">
        <v>7</v>
      </c>
      <c r="E5574">
        <v>7</v>
      </c>
      <c r="AW5574">
        <v>51</v>
      </c>
    </row>
    <row r="5575" spans="1:49">
      <c r="A5575" s="3" t="s">
        <v>5551</v>
      </c>
      <c r="B5575">
        <v>7</v>
      </c>
      <c r="E5575">
        <v>7</v>
      </c>
      <c r="AW5575">
        <v>51</v>
      </c>
    </row>
    <row r="5576" spans="1:49">
      <c r="A5576" s="3" t="s">
        <v>5552</v>
      </c>
      <c r="B5576">
        <v>7</v>
      </c>
      <c r="E5576">
        <v>7</v>
      </c>
      <c r="AW5576">
        <v>51</v>
      </c>
    </row>
    <row r="5577" spans="1:49">
      <c r="A5577" s="3" t="s">
        <v>5553</v>
      </c>
      <c r="B5577">
        <v>7</v>
      </c>
      <c r="E5577">
        <v>7</v>
      </c>
      <c r="J5577">
        <v>83</v>
      </c>
    </row>
    <row r="5578" spans="1:49">
      <c r="A5578" s="3" t="s">
        <v>5554</v>
      </c>
      <c r="B5578">
        <v>7</v>
      </c>
      <c r="E5578">
        <v>7</v>
      </c>
      <c r="J5578">
        <v>83</v>
      </c>
    </row>
    <row r="5579" spans="1:49">
      <c r="A5579" s="3" t="s">
        <v>5555</v>
      </c>
      <c r="B5579">
        <v>7</v>
      </c>
      <c r="J5579">
        <v>83</v>
      </c>
    </row>
    <row r="5580" spans="1:49">
      <c r="A5580" s="3" t="s">
        <v>5556</v>
      </c>
      <c r="B5580">
        <v>7</v>
      </c>
      <c r="J5580">
        <v>83</v>
      </c>
    </row>
    <row r="5581" spans="1:49">
      <c r="A5581" s="3" t="s">
        <v>5557</v>
      </c>
      <c r="B5581">
        <v>7</v>
      </c>
      <c r="J5581">
        <v>83</v>
      </c>
    </row>
    <row r="5582" spans="1:49">
      <c r="A5582" s="3" t="s">
        <v>5558</v>
      </c>
      <c r="B5582">
        <v>7</v>
      </c>
      <c r="J5582">
        <v>83</v>
      </c>
    </row>
    <row r="5583" spans="1:49">
      <c r="A5583" s="3" t="s">
        <v>5559</v>
      </c>
      <c r="B5583">
        <v>7</v>
      </c>
      <c r="J5583">
        <v>83</v>
      </c>
    </row>
    <row r="5584" spans="1:49">
      <c r="A5584" s="3" t="s">
        <v>5560</v>
      </c>
      <c r="B5584">
        <v>7</v>
      </c>
      <c r="J5584">
        <v>83</v>
      </c>
    </row>
    <row r="5585" spans="1:10">
      <c r="A5585" s="3" t="s">
        <v>5561</v>
      </c>
      <c r="B5585">
        <v>7</v>
      </c>
      <c r="J5585">
        <v>83</v>
      </c>
    </row>
    <row r="5586" spans="1:10">
      <c r="A5586" s="3" t="s">
        <v>5562</v>
      </c>
      <c r="B5586">
        <v>7</v>
      </c>
      <c r="J5586">
        <v>83</v>
      </c>
    </row>
    <row r="5587" spans="1:10">
      <c r="A5587" s="3" t="s">
        <v>5563</v>
      </c>
      <c r="B5587">
        <v>7</v>
      </c>
      <c r="J5587">
        <v>83</v>
      </c>
    </row>
    <row r="5588" spans="1:10">
      <c r="A5588" s="3" t="s">
        <v>5564</v>
      </c>
      <c r="B5588">
        <v>7</v>
      </c>
      <c r="J5588">
        <v>83</v>
      </c>
    </row>
    <row r="5589" spans="1:10">
      <c r="A5589" s="3" t="s">
        <v>5565</v>
      </c>
      <c r="B5589">
        <v>7</v>
      </c>
      <c r="J5589">
        <v>83</v>
      </c>
    </row>
    <row r="5590" spans="1:10">
      <c r="A5590" s="3" t="s">
        <v>5566</v>
      </c>
      <c r="B5590">
        <v>7</v>
      </c>
      <c r="J5590">
        <v>83</v>
      </c>
    </row>
    <row r="5591" spans="1:10">
      <c r="A5591" s="3" t="s">
        <v>5567</v>
      </c>
      <c r="B5591">
        <v>7</v>
      </c>
      <c r="J5591">
        <v>83</v>
      </c>
    </row>
    <row r="5592" spans="1:10">
      <c r="A5592" s="3" t="s">
        <v>5568</v>
      </c>
      <c r="B5592">
        <v>7</v>
      </c>
      <c r="J5592">
        <v>83</v>
      </c>
    </row>
    <row r="5593" spans="1:10">
      <c r="A5593" s="3" t="s">
        <v>5569</v>
      </c>
      <c r="B5593">
        <v>7</v>
      </c>
      <c r="J5593">
        <v>83</v>
      </c>
    </row>
    <row r="5594" spans="1:10">
      <c r="A5594" s="3" t="s">
        <v>5570</v>
      </c>
      <c r="B5594">
        <v>7</v>
      </c>
      <c r="J5594">
        <v>83</v>
      </c>
    </row>
    <row r="5595" spans="1:10">
      <c r="A5595" s="3" t="s">
        <v>5571</v>
      </c>
      <c r="B5595">
        <v>7</v>
      </c>
      <c r="J5595">
        <v>83</v>
      </c>
    </row>
    <row r="5596" spans="1:10">
      <c r="A5596" s="3" t="s">
        <v>5572</v>
      </c>
      <c r="B5596">
        <v>7</v>
      </c>
      <c r="J5596">
        <v>83</v>
      </c>
    </row>
    <row r="5597" spans="1:10">
      <c r="A5597" s="3" t="s">
        <v>5573</v>
      </c>
      <c r="B5597">
        <v>7</v>
      </c>
      <c r="J5597">
        <v>83</v>
      </c>
    </row>
    <row r="5598" spans="1:10">
      <c r="A5598" s="3" t="s">
        <v>5574</v>
      </c>
      <c r="B5598">
        <v>7</v>
      </c>
      <c r="J5598">
        <v>83</v>
      </c>
    </row>
    <row r="5599" spans="1:10">
      <c r="A5599" s="3" t="s">
        <v>5575</v>
      </c>
      <c r="B5599">
        <v>7</v>
      </c>
      <c r="J5599">
        <v>83</v>
      </c>
    </row>
    <row r="5600" spans="1:10">
      <c r="A5600" s="3" t="s">
        <v>5576</v>
      </c>
      <c r="B5600">
        <v>7</v>
      </c>
      <c r="J5600">
        <v>83</v>
      </c>
    </row>
    <row r="5601" spans="1:10">
      <c r="A5601" s="3" t="s">
        <v>5577</v>
      </c>
      <c r="B5601">
        <v>7</v>
      </c>
      <c r="J5601">
        <v>83</v>
      </c>
    </row>
    <row r="5602" spans="1:10">
      <c r="A5602" s="3" t="s">
        <v>5578</v>
      </c>
      <c r="B5602">
        <v>7</v>
      </c>
      <c r="J5602">
        <v>83</v>
      </c>
    </row>
    <row r="5603" spans="1:10">
      <c r="A5603" s="3" t="s">
        <v>5579</v>
      </c>
      <c r="B5603">
        <v>7</v>
      </c>
      <c r="J5603">
        <v>83</v>
      </c>
    </row>
    <row r="5604" spans="1:10">
      <c r="A5604" s="3" t="s">
        <v>5580</v>
      </c>
      <c r="B5604">
        <v>7</v>
      </c>
      <c r="J5604">
        <v>83</v>
      </c>
    </row>
    <row r="5605" spans="1:10">
      <c r="A5605" s="3" t="s">
        <v>5581</v>
      </c>
      <c r="B5605">
        <v>7</v>
      </c>
      <c r="J5605">
        <v>83</v>
      </c>
    </row>
    <row r="5606" spans="1:10">
      <c r="A5606" s="3" t="s">
        <v>5582</v>
      </c>
      <c r="B5606">
        <v>7</v>
      </c>
      <c r="J5606">
        <v>83</v>
      </c>
    </row>
    <row r="5607" spans="1:10">
      <c r="A5607" s="3" t="s">
        <v>5583</v>
      </c>
      <c r="B5607">
        <v>7</v>
      </c>
      <c r="J5607">
        <v>83</v>
      </c>
    </row>
    <row r="5608" spans="1:10">
      <c r="A5608" s="3" t="s">
        <v>5584</v>
      </c>
      <c r="B5608">
        <v>7</v>
      </c>
      <c r="J5608">
        <v>83</v>
      </c>
    </row>
    <row r="5609" spans="1:10">
      <c r="A5609" s="3" t="s">
        <v>5585</v>
      </c>
      <c r="B5609">
        <v>7</v>
      </c>
      <c r="J5609">
        <v>83</v>
      </c>
    </row>
    <row r="5610" spans="1:10">
      <c r="A5610" s="3" t="s">
        <v>5586</v>
      </c>
      <c r="B5610">
        <v>7</v>
      </c>
      <c r="J5610">
        <v>83</v>
      </c>
    </row>
    <row r="5611" spans="1:10">
      <c r="A5611" s="3" t="s">
        <v>5587</v>
      </c>
      <c r="B5611">
        <v>7</v>
      </c>
      <c r="J5611">
        <v>83</v>
      </c>
    </row>
    <row r="5612" spans="1:10">
      <c r="A5612" s="3" t="s">
        <v>5588</v>
      </c>
      <c r="B5612">
        <v>7</v>
      </c>
      <c r="J5612">
        <v>83</v>
      </c>
    </row>
    <row r="5613" spans="1:10">
      <c r="A5613" s="3" t="s">
        <v>5589</v>
      </c>
      <c r="B5613">
        <v>7</v>
      </c>
      <c r="J5613">
        <v>83</v>
      </c>
    </row>
    <row r="5614" spans="1:10">
      <c r="A5614" s="3" t="s">
        <v>5590</v>
      </c>
      <c r="B5614">
        <v>7</v>
      </c>
      <c r="J5614">
        <v>83</v>
      </c>
    </row>
    <row r="5615" spans="1:10">
      <c r="A5615" s="3" t="s">
        <v>5591</v>
      </c>
      <c r="B5615">
        <v>7</v>
      </c>
      <c r="J5615">
        <v>83</v>
      </c>
    </row>
    <row r="5616" spans="1:10">
      <c r="A5616" s="3" t="s">
        <v>5592</v>
      </c>
      <c r="B5616">
        <v>7</v>
      </c>
      <c r="J5616">
        <v>83</v>
      </c>
    </row>
    <row r="5617" spans="1:16">
      <c r="A5617" s="3" t="s">
        <v>5593</v>
      </c>
      <c r="B5617">
        <v>7</v>
      </c>
      <c r="J5617">
        <v>83</v>
      </c>
    </row>
    <row r="5618" spans="1:16">
      <c r="A5618" s="3" t="s">
        <v>5594</v>
      </c>
      <c r="B5618">
        <v>7</v>
      </c>
      <c r="P5618">
        <v>2</v>
      </c>
    </row>
    <row r="5619" spans="1:16">
      <c r="A5619" s="3" t="s">
        <v>5595</v>
      </c>
      <c r="B5619">
        <v>7</v>
      </c>
      <c r="P5619">
        <v>2</v>
      </c>
    </row>
    <row r="5620" spans="1:16">
      <c r="A5620" s="3" t="s">
        <v>5596</v>
      </c>
      <c r="B5620">
        <v>7</v>
      </c>
      <c r="P5620">
        <v>2</v>
      </c>
    </row>
    <row r="5621" spans="1:16">
      <c r="A5621" s="3" t="s">
        <v>5597</v>
      </c>
      <c r="B5621">
        <v>7</v>
      </c>
      <c r="P5621">
        <v>2</v>
      </c>
    </row>
    <row r="5622" spans="1:16">
      <c r="A5622" s="3" t="s">
        <v>5598</v>
      </c>
      <c r="B5622">
        <v>7</v>
      </c>
      <c r="P5622">
        <v>2</v>
      </c>
    </row>
    <row r="5623" spans="1:16">
      <c r="A5623" s="3" t="s">
        <v>5599</v>
      </c>
      <c r="B5623">
        <v>7</v>
      </c>
      <c r="P5623">
        <v>2</v>
      </c>
    </row>
    <row r="5624" spans="1:16">
      <c r="A5624" s="3" t="s">
        <v>5600</v>
      </c>
      <c r="B5624">
        <v>7</v>
      </c>
      <c r="P5624">
        <v>2</v>
      </c>
    </row>
    <row r="5625" spans="1:16">
      <c r="A5625" s="3" t="s">
        <v>5601</v>
      </c>
      <c r="B5625">
        <v>7</v>
      </c>
      <c r="P5625">
        <v>2</v>
      </c>
    </row>
    <row r="5626" spans="1:16">
      <c r="A5626" s="3" t="s">
        <v>5602</v>
      </c>
      <c r="B5626">
        <v>7</v>
      </c>
      <c r="P5626">
        <v>2</v>
      </c>
    </row>
    <row r="5627" spans="1:16">
      <c r="A5627" s="3" t="s">
        <v>5603</v>
      </c>
      <c r="B5627">
        <v>7</v>
      </c>
      <c r="P5627">
        <v>2</v>
      </c>
    </row>
    <row r="5628" spans="1:16">
      <c r="A5628" s="3" t="s">
        <v>5604</v>
      </c>
      <c r="B5628">
        <v>7</v>
      </c>
      <c r="P5628">
        <v>2</v>
      </c>
    </row>
    <row r="5629" spans="1:16">
      <c r="A5629" s="3" t="s">
        <v>5605</v>
      </c>
      <c r="B5629">
        <v>7</v>
      </c>
      <c r="P5629">
        <v>2</v>
      </c>
    </row>
    <row r="5630" spans="1:16">
      <c r="A5630" s="3" t="s">
        <v>5606</v>
      </c>
      <c r="B5630">
        <v>7</v>
      </c>
      <c r="P5630">
        <v>2</v>
      </c>
    </row>
    <row r="5631" spans="1:16">
      <c r="A5631" s="3" t="s">
        <v>5607</v>
      </c>
      <c r="B5631">
        <v>7</v>
      </c>
      <c r="P5631">
        <v>2</v>
      </c>
    </row>
    <row r="5632" spans="1:16">
      <c r="A5632" s="3" t="s">
        <v>5608</v>
      </c>
      <c r="B5632">
        <v>7</v>
      </c>
      <c r="P5632">
        <v>2</v>
      </c>
    </row>
    <row r="5633" spans="1:16">
      <c r="A5633" s="3" t="s">
        <v>5609</v>
      </c>
      <c r="B5633">
        <v>7</v>
      </c>
      <c r="P5633">
        <v>2</v>
      </c>
    </row>
    <row r="5634" spans="1:16">
      <c r="A5634" s="3" t="s">
        <v>5610</v>
      </c>
      <c r="B5634">
        <v>7</v>
      </c>
      <c r="P5634">
        <v>2</v>
      </c>
    </row>
    <row r="5635" spans="1:16">
      <c r="A5635" s="3" t="s">
        <v>5611</v>
      </c>
      <c r="B5635">
        <v>7</v>
      </c>
      <c r="P5635">
        <v>2</v>
      </c>
    </row>
    <row r="5636" spans="1:16">
      <c r="A5636" s="3" t="s">
        <v>5612</v>
      </c>
      <c r="B5636">
        <v>7</v>
      </c>
      <c r="P5636">
        <v>2</v>
      </c>
    </row>
    <row r="5637" spans="1:16">
      <c r="A5637" s="3" t="s">
        <v>5613</v>
      </c>
      <c r="B5637">
        <v>7</v>
      </c>
      <c r="P5637">
        <v>2</v>
      </c>
    </row>
    <row r="5638" spans="1:16">
      <c r="A5638" s="3" t="s">
        <v>5614</v>
      </c>
      <c r="B5638">
        <v>7</v>
      </c>
      <c r="P5638">
        <v>2</v>
      </c>
    </row>
    <row r="5639" spans="1:16">
      <c r="A5639" s="3" t="s">
        <v>5615</v>
      </c>
      <c r="B5639">
        <v>7</v>
      </c>
      <c r="P5639">
        <v>2</v>
      </c>
    </row>
    <row r="5640" spans="1:16">
      <c r="A5640" s="3" t="s">
        <v>5616</v>
      </c>
      <c r="B5640">
        <v>7</v>
      </c>
      <c r="P5640">
        <v>2</v>
      </c>
    </row>
    <row r="5641" spans="1:16">
      <c r="A5641" s="3" t="s">
        <v>5617</v>
      </c>
      <c r="B5641">
        <v>7</v>
      </c>
      <c r="P5641">
        <v>2</v>
      </c>
    </row>
    <row r="5642" spans="1:16">
      <c r="A5642" s="3" t="s">
        <v>5618</v>
      </c>
      <c r="B5642">
        <v>7</v>
      </c>
      <c r="P5642">
        <v>2</v>
      </c>
    </row>
    <row r="5643" spans="1:16">
      <c r="A5643" s="3" t="s">
        <v>5619</v>
      </c>
      <c r="B5643">
        <v>7</v>
      </c>
      <c r="P5643">
        <v>2</v>
      </c>
    </row>
    <row r="5644" spans="1:16">
      <c r="A5644" s="3" t="s">
        <v>5620</v>
      </c>
      <c r="B5644">
        <v>7</v>
      </c>
      <c r="P5644">
        <v>2</v>
      </c>
    </row>
    <row r="5645" spans="1:16">
      <c r="A5645" s="3" t="s">
        <v>5621</v>
      </c>
      <c r="B5645">
        <v>7</v>
      </c>
      <c r="P5645">
        <v>2</v>
      </c>
    </row>
    <row r="5646" spans="1:16">
      <c r="A5646" s="3" t="s">
        <v>5622</v>
      </c>
      <c r="B5646">
        <v>7</v>
      </c>
      <c r="P5646">
        <v>2</v>
      </c>
    </row>
    <row r="5647" spans="1:16">
      <c r="A5647" s="3" t="s">
        <v>5623</v>
      </c>
      <c r="B5647">
        <v>7</v>
      </c>
      <c r="P5647">
        <v>2</v>
      </c>
    </row>
    <row r="5648" spans="1:16">
      <c r="A5648" s="3" t="s">
        <v>5624</v>
      </c>
      <c r="B5648">
        <v>7</v>
      </c>
      <c r="P5648">
        <v>2</v>
      </c>
    </row>
    <row r="5649" spans="1:49">
      <c r="A5649" s="3" t="s">
        <v>5625</v>
      </c>
      <c r="B5649">
        <v>7</v>
      </c>
      <c r="P5649">
        <v>2</v>
      </c>
    </row>
    <row r="5650" spans="1:49">
      <c r="A5650" s="3" t="s">
        <v>5626</v>
      </c>
      <c r="B5650">
        <v>7</v>
      </c>
      <c r="AW5650">
        <v>52</v>
      </c>
    </row>
    <row r="5651" spans="1:49">
      <c r="A5651" s="3" t="s">
        <v>5627</v>
      </c>
      <c r="B5651">
        <v>7</v>
      </c>
      <c r="AW5651">
        <v>52</v>
      </c>
    </row>
    <row r="5652" spans="1:49">
      <c r="A5652" s="3" t="s">
        <v>5628</v>
      </c>
      <c r="B5652">
        <v>7</v>
      </c>
      <c r="J5652">
        <v>84</v>
      </c>
    </row>
    <row r="5653" spans="1:49">
      <c r="A5653" s="3" t="s">
        <v>5629</v>
      </c>
      <c r="B5653">
        <v>7</v>
      </c>
      <c r="J5653">
        <v>84</v>
      </c>
    </row>
    <row r="5654" spans="1:49">
      <c r="A5654" s="3" t="s">
        <v>5630</v>
      </c>
      <c r="B5654">
        <v>7</v>
      </c>
      <c r="J5654">
        <v>84</v>
      </c>
    </row>
    <row r="5655" spans="1:49">
      <c r="A5655" s="3" t="s">
        <v>5631</v>
      </c>
      <c r="B5655">
        <v>7</v>
      </c>
      <c r="J5655">
        <v>84</v>
      </c>
    </row>
    <row r="5656" spans="1:49">
      <c r="A5656" s="3" t="s">
        <v>5632</v>
      </c>
      <c r="B5656">
        <v>7</v>
      </c>
      <c r="J5656">
        <v>84</v>
      </c>
    </row>
    <row r="5657" spans="1:49">
      <c r="A5657" s="3" t="s">
        <v>5633</v>
      </c>
      <c r="B5657">
        <v>7</v>
      </c>
      <c r="J5657">
        <v>84</v>
      </c>
    </row>
    <row r="5658" spans="1:49">
      <c r="A5658" s="3" t="s">
        <v>5634</v>
      </c>
      <c r="B5658">
        <v>7</v>
      </c>
      <c r="Q5658">
        <v>1</v>
      </c>
    </row>
    <row r="5659" spans="1:49">
      <c r="A5659" s="3" t="s">
        <v>5635</v>
      </c>
      <c r="B5659">
        <v>7</v>
      </c>
      <c r="Q5659">
        <v>1</v>
      </c>
    </row>
    <row r="5660" spans="1:49">
      <c r="A5660" s="3" t="s">
        <v>5636</v>
      </c>
      <c r="B5660">
        <v>7</v>
      </c>
      <c r="Q5660">
        <v>1</v>
      </c>
    </row>
    <row r="5661" spans="1:49">
      <c r="A5661" s="3" t="s">
        <v>5637</v>
      </c>
      <c r="B5661">
        <v>7</v>
      </c>
      <c r="Q5661">
        <v>1</v>
      </c>
    </row>
    <row r="5662" spans="1:49">
      <c r="A5662" s="3" t="s">
        <v>5638</v>
      </c>
      <c r="B5662">
        <v>7</v>
      </c>
      <c r="Q5662">
        <v>1</v>
      </c>
    </row>
    <row r="5663" spans="1:49">
      <c r="A5663" s="3" t="s">
        <v>5639</v>
      </c>
      <c r="B5663">
        <v>7</v>
      </c>
      <c r="Q5663">
        <v>1</v>
      </c>
    </row>
    <row r="5664" spans="1:49">
      <c r="A5664" s="3" t="s">
        <v>5640</v>
      </c>
      <c r="B5664">
        <v>7</v>
      </c>
      <c r="Q5664">
        <v>1</v>
      </c>
    </row>
    <row r="5665" spans="1:17">
      <c r="A5665" s="3" t="s">
        <v>5641</v>
      </c>
      <c r="B5665">
        <v>7</v>
      </c>
      <c r="Q5665">
        <v>1</v>
      </c>
    </row>
    <row r="5666" spans="1:17">
      <c r="A5666" s="3" t="s">
        <v>5642</v>
      </c>
      <c r="B5666">
        <v>7</v>
      </c>
      <c r="Q5666">
        <v>1</v>
      </c>
    </row>
    <row r="5667" spans="1:17">
      <c r="A5667" s="3" t="s">
        <v>5643</v>
      </c>
      <c r="B5667">
        <v>7</v>
      </c>
      <c r="Q5667">
        <v>1</v>
      </c>
    </row>
    <row r="5668" spans="1:17">
      <c r="A5668" s="3" t="s">
        <v>5644</v>
      </c>
      <c r="B5668">
        <v>7</v>
      </c>
      <c r="Q5668">
        <v>1</v>
      </c>
    </row>
    <row r="5669" spans="1:17">
      <c r="A5669" s="3" t="s">
        <v>5645</v>
      </c>
      <c r="B5669">
        <v>7</v>
      </c>
      <c r="Q5669">
        <v>1</v>
      </c>
    </row>
    <row r="5670" spans="1:17">
      <c r="A5670" s="3" t="s">
        <v>5646</v>
      </c>
      <c r="B5670">
        <v>7</v>
      </c>
      <c r="Q5670">
        <v>1</v>
      </c>
    </row>
    <row r="5671" spans="1:17">
      <c r="A5671" s="3" t="s">
        <v>5647</v>
      </c>
      <c r="B5671">
        <v>7</v>
      </c>
      <c r="Q5671">
        <v>1</v>
      </c>
    </row>
    <row r="5672" spans="1:17">
      <c r="A5672" s="3" t="s">
        <v>5648</v>
      </c>
      <c r="B5672">
        <v>7</v>
      </c>
      <c r="Q5672">
        <v>1</v>
      </c>
    </row>
    <row r="5673" spans="1:17">
      <c r="A5673" s="3" t="s">
        <v>5649</v>
      </c>
      <c r="B5673">
        <v>7</v>
      </c>
      <c r="Q5673">
        <v>1</v>
      </c>
    </row>
    <row r="5674" spans="1:17">
      <c r="A5674" s="3" t="s">
        <v>5650</v>
      </c>
      <c r="B5674">
        <v>7</v>
      </c>
      <c r="Q5674">
        <v>1</v>
      </c>
    </row>
    <row r="5675" spans="1:17">
      <c r="A5675" s="3" t="s">
        <v>5651</v>
      </c>
      <c r="B5675">
        <v>7</v>
      </c>
      <c r="Q5675">
        <v>1</v>
      </c>
    </row>
    <row r="5676" spans="1:17">
      <c r="A5676" s="3" t="s">
        <v>5652</v>
      </c>
      <c r="B5676">
        <v>7</v>
      </c>
      <c r="Q5676">
        <v>1</v>
      </c>
    </row>
    <row r="5677" spans="1:17">
      <c r="A5677" s="3" t="s">
        <v>5653</v>
      </c>
      <c r="B5677">
        <v>7</v>
      </c>
      <c r="Q5677">
        <v>1</v>
      </c>
    </row>
    <row r="5678" spans="1:17">
      <c r="A5678" s="3" t="s">
        <v>5654</v>
      </c>
      <c r="B5678">
        <v>7</v>
      </c>
      <c r="Q5678">
        <v>1</v>
      </c>
    </row>
    <row r="5679" spans="1:17">
      <c r="A5679" s="3" t="s">
        <v>5655</v>
      </c>
      <c r="B5679">
        <v>7</v>
      </c>
      <c r="Q5679">
        <v>1</v>
      </c>
    </row>
    <row r="5680" spans="1:17">
      <c r="A5680" s="3" t="s">
        <v>5656</v>
      </c>
      <c r="B5680">
        <v>7</v>
      </c>
      <c r="Q5680">
        <v>1</v>
      </c>
    </row>
    <row r="5681" spans="1:17">
      <c r="A5681" s="3" t="s">
        <v>5657</v>
      </c>
      <c r="B5681">
        <v>7</v>
      </c>
      <c r="Q5681">
        <v>1</v>
      </c>
    </row>
    <row r="5682" spans="1:17">
      <c r="A5682" s="3" t="s">
        <v>5658</v>
      </c>
      <c r="B5682">
        <v>7</v>
      </c>
      <c r="Q5682">
        <v>1</v>
      </c>
    </row>
    <row r="5683" spans="1:17">
      <c r="A5683" s="3" t="s">
        <v>5659</v>
      </c>
      <c r="B5683">
        <v>7</v>
      </c>
      <c r="Q5683">
        <v>1</v>
      </c>
    </row>
    <row r="5684" spans="1:17">
      <c r="A5684" s="3" t="s">
        <v>5660</v>
      </c>
      <c r="B5684">
        <v>7</v>
      </c>
      <c r="Q5684">
        <v>1</v>
      </c>
    </row>
    <row r="5685" spans="1:17">
      <c r="A5685" s="3" t="s">
        <v>5661</v>
      </c>
      <c r="B5685">
        <v>7</v>
      </c>
      <c r="Q5685">
        <v>1</v>
      </c>
    </row>
    <row r="5686" spans="1:17">
      <c r="A5686" s="3" t="s">
        <v>5662</v>
      </c>
      <c r="B5686">
        <v>7</v>
      </c>
      <c r="Q5686">
        <v>1</v>
      </c>
    </row>
    <row r="5687" spans="1:17">
      <c r="A5687" s="3" t="s">
        <v>5663</v>
      </c>
      <c r="B5687">
        <v>7</v>
      </c>
      <c r="Q5687">
        <v>1</v>
      </c>
    </row>
    <row r="5688" spans="1:17">
      <c r="A5688" s="3" t="s">
        <v>5664</v>
      </c>
      <c r="B5688">
        <v>7</v>
      </c>
      <c r="Q5688">
        <v>1</v>
      </c>
    </row>
    <row r="5689" spans="1:17">
      <c r="A5689" s="3" t="s">
        <v>5665</v>
      </c>
      <c r="B5689">
        <v>7</v>
      </c>
      <c r="Q5689">
        <v>1</v>
      </c>
    </row>
    <row r="5690" spans="1:17">
      <c r="A5690" s="3" t="s">
        <v>5666</v>
      </c>
      <c r="B5690">
        <v>7</v>
      </c>
      <c r="Q5690">
        <v>1</v>
      </c>
    </row>
    <row r="5691" spans="1:17">
      <c r="A5691" s="3" t="s">
        <v>5667</v>
      </c>
      <c r="B5691">
        <v>7</v>
      </c>
      <c r="Q5691">
        <v>1</v>
      </c>
    </row>
    <row r="5692" spans="1:17">
      <c r="A5692" s="3" t="s">
        <v>5668</v>
      </c>
      <c r="B5692">
        <v>7</v>
      </c>
      <c r="Q5692">
        <v>1</v>
      </c>
    </row>
    <row r="5693" spans="1:17">
      <c r="A5693" s="3" t="s">
        <v>5669</v>
      </c>
      <c r="B5693">
        <v>7</v>
      </c>
      <c r="Q5693">
        <v>1</v>
      </c>
    </row>
    <row r="5694" spans="1:17">
      <c r="A5694" s="3" t="s">
        <v>5670</v>
      </c>
      <c r="B5694">
        <v>7</v>
      </c>
      <c r="Q5694">
        <v>1</v>
      </c>
    </row>
    <row r="5695" spans="1:17">
      <c r="A5695" s="3" t="s">
        <v>5671</v>
      </c>
      <c r="B5695">
        <v>7</v>
      </c>
      <c r="Q5695">
        <v>1</v>
      </c>
    </row>
    <row r="5696" spans="1:17">
      <c r="A5696" s="3" t="s">
        <v>5672</v>
      </c>
      <c r="B5696">
        <v>7</v>
      </c>
      <c r="Q5696">
        <v>1</v>
      </c>
    </row>
    <row r="5697" spans="1:17">
      <c r="A5697" s="3" t="s">
        <v>5673</v>
      </c>
      <c r="B5697">
        <v>7</v>
      </c>
      <c r="Q5697">
        <v>1</v>
      </c>
    </row>
    <row r="5698" spans="1:17">
      <c r="A5698" s="3" t="s">
        <v>5674</v>
      </c>
      <c r="B5698">
        <v>7</v>
      </c>
      <c r="Q5698">
        <v>1</v>
      </c>
    </row>
    <row r="5699" spans="1:17">
      <c r="A5699" s="3" t="s">
        <v>5675</v>
      </c>
      <c r="B5699">
        <v>7</v>
      </c>
      <c r="Q5699">
        <v>1</v>
      </c>
    </row>
    <row r="5700" spans="1:17">
      <c r="A5700" s="3" t="s">
        <v>5676</v>
      </c>
      <c r="B5700">
        <v>7</v>
      </c>
      <c r="Q5700">
        <v>1</v>
      </c>
    </row>
    <row r="5701" spans="1:17">
      <c r="A5701" s="3" t="s">
        <v>5677</v>
      </c>
      <c r="B5701">
        <v>7</v>
      </c>
      <c r="Q5701">
        <v>1</v>
      </c>
    </row>
    <row r="5702" spans="1:17">
      <c r="A5702" s="3" t="s">
        <v>5678</v>
      </c>
      <c r="B5702">
        <v>7</v>
      </c>
      <c r="Q5702">
        <v>1</v>
      </c>
    </row>
    <row r="5703" spans="1:17">
      <c r="A5703" s="3" t="s">
        <v>5679</v>
      </c>
      <c r="B5703">
        <v>7</v>
      </c>
      <c r="Q5703">
        <v>1</v>
      </c>
    </row>
    <row r="5704" spans="1:17">
      <c r="A5704" s="3" t="s">
        <v>5680</v>
      </c>
      <c r="B5704">
        <v>7</v>
      </c>
      <c r="Q5704">
        <v>1</v>
      </c>
    </row>
    <row r="5705" spans="1:17">
      <c r="A5705" s="3" t="s">
        <v>5681</v>
      </c>
      <c r="B5705">
        <v>7</v>
      </c>
      <c r="Q5705">
        <v>1</v>
      </c>
    </row>
    <row r="5706" spans="1:17">
      <c r="A5706" s="3" t="s">
        <v>5682</v>
      </c>
      <c r="B5706">
        <v>7</v>
      </c>
      <c r="Q5706">
        <v>1</v>
      </c>
    </row>
    <row r="5707" spans="1:17">
      <c r="A5707" s="3" t="s">
        <v>5683</v>
      </c>
      <c r="B5707">
        <v>7</v>
      </c>
      <c r="Q5707">
        <v>1</v>
      </c>
    </row>
    <row r="5708" spans="1:17">
      <c r="A5708" s="3" t="s">
        <v>5684</v>
      </c>
      <c r="B5708">
        <v>7</v>
      </c>
      <c r="Q5708">
        <v>1</v>
      </c>
    </row>
    <row r="5709" spans="1:17">
      <c r="A5709" s="3" t="s">
        <v>5685</v>
      </c>
      <c r="B5709">
        <v>7</v>
      </c>
      <c r="Q5709">
        <v>1</v>
      </c>
    </row>
    <row r="5710" spans="1:17">
      <c r="A5710" s="3" t="s">
        <v>5686</v>
      </c>
      <c r="B5710">
        <v>7</v>
      </c>
      <c r="Q5710">
        <v>1</v>
      </c>
    </row>
    <row r="5711" spans="1:17">
      <c r="A5711" s="3" t="s">
        <v>5687</v>
      </c>
      <c r="B5711">
        <v>7</v>
      </c>
      <c r="Q5711">
        <v>1</v>
      </c>
    </row>
    <row r="5712" spans="1:17">
      <c r="A5712" s="3" t="s">
        <v>5688</v>
      </c>
      <c r="B5712">
        <v>7</v>
      </c>
      <c r="Q5712">
        <v>1</v>
      </c>
    </row>
    <row r="5713" spans="1:46">
      <c r="A5713" s="3" t="s">
        <v>5689</v>
      </c>
      <c r="B5713">
        <v>7</v>
      </c>
      <c r="AT5713">
        <v>11</v>
      </c>
    </row>
    <row r="5714" spans="1:46">
      <c r="A5714" s="3" t="s">
        <v>5690</v>
      </c>
      <c r="B5714">
        <v>7</v>
      </c>
      <c r="AT5714">
        <v>11</v>
      </c>
    </row>
    <row r="5715" spans="1:46">
      <c r="A5715" s="3" t="s">
        <v>5691</v>
      </c>
      <c r="B5715">
        <v>7</v>
      </c>
      <c r="AT5715">
        <v>11</v>
      </c>
    </row>
    <row r="5716" spans="1:46">
      <c r="A5716" s="3" t="s">
        <v>5692</v>
      </c>
      <c r="B5716">
        <v>7</v>
      </c>
      <c r="AT5716">
        <v>11</v>
      </c>
    </row>
    <row r="5717" spans="1:46">
      <c r="A5717" s="3" t="s">
        <v>5693</v>
      </c>
      <c r="B5717">
        <v>7</v>
      </c>
      <c r="AT5717">
        <v>11</v>
      </c>
    </row>
    <row r="5718" spans="1:46">
      <c r="A5718" s="3" t="s">
        <v>5694</v>
      </c>
      <c r="B5718">
        <v>7</v>
      </c>
      <c r="AT5718">
        <v>11</v>
      </c>
    </row>
    <row r="5719" spans="1:46">
      <c r="A5719" s="3" t="s">
        <v>5695</v>
      </c>
      <c r="B5719">
        <v>7</v>
      </c>
      <c r="AT5719">
        <v>11</v>
      </c>
    </row>
    <row r="5720" spans="1:46">
      <c r="A5720" s="3" t="s">
        <v>5696</v>
      </c>
      <c r="B5720">
        <v>7</v>
      </c>
      <c r="AT5720">
        <v>11</v>
      </c>
    </row>
    <row r="5721" spans="1:46">
      <c r="A5721" s="3" t="s">
        <v>5697</v>
      </c>
      <c r="B5721">
        <v>7</v>
      </c>
      <c r="AT5721">
        <v>11</v>
      </c>
    </row>
    <row r="5722" spans="1:46">
      <c r="A5722" s="3" t="s">
        <v>5698</v>
      </c>
      <c r="B5722">
        <v>7</v>
      </c>
      <c r="AT5722">
        <v>11</v>
      </c>
    </row>
    <row r="5723" spans="1:46">
      <c r="A5723" s="3" t="s">
        <v>5699</v>
      </c>
      <c r="B5723">
        <v>7</v>
      </c>
      <c r="AT5723">
        <v>11</v>
      </c>
    </row>
    <row r="5724" spans="1:46">
      <c r="A5724" s="3" t="s">
        <v>5700</v>
      </c>
      <c r="B5724">
        <v>7</v>
      </c>
      <c r="AT5724">
        <v>11</v>
      </c>
    </row>
    <row r="5725" spans="1:46">
      <c r="A5725" s="3" t="s">
        <v>5701</v>
      </c>
      <c r="B5725">
        <v>7</v>
      </c>
      <c r="P5725">
        <v>3</v>
      </c>
    </row>
    <row r="5726" spans="1:46">
      <c r="A5726" s="3" t="s">
        <v>5702</v>
      </c>
      <c r="B5726">
        <v>7</v>
      </c>
      <c r="P5726">
        <v>3</v>
      </c>
    </row>
    <row r="5727" spans="1:46">
      <c r="A5727" s="3" t="s">
        <v>5703</v>
      </c>
      <c r="B5727">
        <v>7</v>
      </c>
      <c r="P5727">
        <v>3</v>
      </c>
    </row>
    <row r="5728" spans="1:46">
      <c r="A5728" s="3" t="s">
        <v>5704</v>
      </c>
      <c r="B5728">
        <v>7</v>
      </c>
      <c r="P5728">
        <v>3</v>
      </c>
    </row>
    <row r="5729" spans="1:16">
      <c r="A5729" s="3" t="s">
        <v>5705</v>
      </c>
      <c r="B5729">
        <v>7</v>
      </c>
      <c r="P5729">
        <v>3</v>
      </c>
    </row>
    <row r="5730" spans="1:16">
      <c r="A5730" s="3" t="s">
        <v>5706</v>
      </c>
      <c r="B5730">
        <v>7</v>
      </c>
      <c r="P5730">
        <v>3</v>
      </c>
    </row>
    <row r="5731" spans="1:16">
      <c r="A5731" s="3" t="s">
        <v>5707</v>
      </c>
      <c r="B5731">
        <v>7</v>
      </c>
      <c r="P5731">
        <v>3</v>
      </c>
    </row>
    <row r="5732" spans="1:16">
      <c r="A5732" s="3" t="s">
        <v>5708</v>
      </c>
      <c r="B5732">
        <v>7</v>
      </c>
      <c r="P5732">
        <v>3</v>
      </c>
    </row>
    <row r="5733" spans="1:16">
      <c r="A5733" s="3" t="s">
        <v>5709</v>
      </c>
      <c r="B5733">
        <v>7</v>
      </c>
      <c r="P5733">
        <v>3</v>
      </c>
    </row>
    <row r="5734" spans="1:16">
      <c r="A5734" s="3" t="s">
        <v>5710</v>
      </c>
      <c r="B5734">
        <v>7</v>
      </c>
      <c r="P5734">
        <v>3</v>
      </c>
    </row>
    <row r="5735" spans="1:16">
      <c r="A5735" s="3" t="s">
        <v>5711</v>
      </c>
      <c r="B5735">
        <v>7</v>
      </c>
      <c r="P5735">
        <v>3</v>
      </c>
    </row>
    <row r="5736" spans="1:16">
      <c r="A5736" s="3" t="s">
        <v>5712</v>
      </c>
      <c r="B5736">
        <v>7</v>
      </c>
      <c r="P5736">
        <v>3</v>
      </c>
    </row>
    <row r="5737" spans="1:16">
      <c r="A5737" s="3" t="s">
        <v>5713</v>
      </c>
      <c r="B5737">
        <v>7</v>
      </c>
      <c r="P5737">
        <v>3</v>
      </c>
    </row>
    <row r="5738" spans="1:16">
      <c r="A5738" s="3" t="s">
        <v>5714</v>
      </c>
      <c r="B5738">
        <v>7</v>
      </c>
      <c r="P5738">
        <v>3</v>
      </c>
    </row>
    <row r="5739" spans="1:16">
      <c r="A5739" s="3" t="s">
        <v>5715</v>
      </c>
      <c r="B5739">
        <v>7</v>
      </c>
      <c r="P5739">
        <v>3</v>
      </c>
    </row>
    <row r="5740" spans="1:16">
      <c r="A5740" s="3" t="s">
        <v>5716</v>
      </c>
      <c r="B5740">
        <v>7</v>
      </c>
      <c r="P5740">
        <v>3</v>
      </c>
    </row>
    <row r="5741" spans="1:16">
      <c r="A5741" s="3" t="s">
        <v>5717</v>
      </c>
      <c r="B5741">
        <v>7</v>
      </c>
      <c r="P5741">
        <v>3</v>
      </c>
    </row>
    <row r="5742" spans="1:16">
      <c r="A5742" s="3" t="s">
        <v>5718</v>
      </c>
      <c r="B5742">
        <v>7</v>
      </c>
      <c r="P5742">
        <v>3</v>
      </c>
    </row>
    <row r="5743" spans="1:16">
      <c r="A5743" s="3" t="s">
        <v>5719</v>
      </c>
      <c r="B5743">
        <v>7</v>
      </c>
      <c r="P5743">
        <v>3</v>
      </c>
    </row>
    <row r="5744" spans="1:16">
      <c r="A5744" s="3" t="s">
        <v>5720</v>
      </c>
      <c r="B5744">
        <v>7</v>
      </c>
      <c r="P5744">
        <v>3</v>
      </c>
    </row>
    <row r="5745" spans="1:16">
      <c r="A5745" s="3" t="s">
        <v>5721</v>
      </c>
      <c r="B5745">
        <v>7</v>
      </c>
      <c r="P5745">
        <v>3</v>
      </c>
    </row>
    <row r="5746" spans="1:16">
      <c r="A5746" s="3" t="s">
        <v>5722</v>
      </c>
      <c r="B5746">
        <v>7</v>
      </c>
      <c r="P5746">
        <v>3</v>
      </c>
    </row>
    <row r="5747" spans="1:16">
      <c r="A5747" s="3" t="s">
        <v>5723</v>
      </c>
      <c r="B5747">
        <v>7</v>
      </c>
      <c r="P5747">
        <v>3</v>
      </c>
    </row>
    <row r="5748" spans="1:16">
      <c r="A5748" s="3" t="s">
        <v>5724</v>
      </c>
      <c r="B5748">
        <v>7</v>
      </c>
      <c r="P5748">
        <v>3</v>
      </c>
    </row>
    <row r="5749" spans="1:16">
      <c r="A5749" s="3" t="s">
        <v>5725</v>
      </c>
      <c r="B5749">
        <v>7</v>
      </c>
      <c r="P5749">
        <v>3</v>
      </c>
    </row>
    <row r="5750" spans="1:16">
      <c r="A5750" s="3" t="s">
        <v>5726</v>
      </c>
      <c r="B5750">
        <v>7</v>
      </c>
      <c r="P5750">
        <v>3</v>
      </c>
    </row>
    <row r="5751" spans="1:16">
      <c r="A5751" s="3" t="s">
        <v>5727</v>
      </c>
      <c r="B5751">
        <v>7</v>
      </c>
      <c r="P5751">
        <v>3</v>
      </c>
    </row>
    <row r="5752" spans="1:16">
      <c r="A5752" s="3" t="s">
        <v>5728</v>
      </c>
      <c r="B5752">
        <v>7</v>
      </c>
      <c r="P5752">
        <v>3</v>
      </c>
    </row>
    <row r="5753" spans="1:16">
      <c r="A5753" s="3" t="s">
        <v>5729</v>
      </c>
      <c r="B5753">
        <v>7</v>
      </c>
      <c r="P5753">
        <v>3</v>
      </c>
    </row>
    <row r="5754" spans="1:16">
      <c r="A5754" s="3" t="s">
        <v>5730</v>
      </c>
      <c r="B5754">
        <v>7</v>
      </c>
      <c r="P5754">
        <v>3</v>
      </c>
    </row>
    <row r="5755" spans="1:16">
      <c r="A5755" s="3" t="s">
        <v>5731</v>
      </c>
      <c r="B5755">
        <v>7</v>
      </c>
      <c r="P5755">
        <v>3</v>
      </c>
    </row>
    <row r="5756" spans="1:16">
      <c r="A5756" s="3" t="s">
        <v>5732</v>
      </c>
      <c r="B5756">
        <v>7</v>
      </c>
      <c r="P5756">
        <v>3</v>
      </c>
    </row>
    <row r="5757" spans="1:16">
      <c r="A5757" s="3" t="s">
        <v>5733</v>
      </c>
      <c r="B5757">
        <v>7</v>
      </c>
      <c r="P5757">
        <v>3</v>
      </c>
    </row>
    <row r="5758" spans="1:16">
      <c r="A5758" s="3" t="s">
        <v>5734</v>
      </c>
      <c r="B5758">
        <v>7</v>
      </c>
      <c r="P5758">
        <v>3</v>
      </c>
    </row>
    <row r="5759" spans="1:16">
      <c r="A5759" s="3" t="s">
        <v>5735</v>
      </c>
      <c r="B5759">
        <v>7</v>
      </c>
      <c r="P5759">
        <v>3</v>
      </c>
    </row>
    <row r="5760" spans="1:16">
      <c r="A5760" s="3" t="s">
        <v>5736</v>
      </c>
      <c r="B5760">
        <v>7</v>
      </c>
      <c r="P5760">
        <v>3</v>
      </c>
    </row>
    <row r="5761" spans="1:16">
      <c r="A5761" s="3" t="s">
        <v>5737</v>
      </c>
      <c r="B5761">
        <v>7</v>
      </c>
      <c r="P5761">
        <v>3</v>
      </c>
    </row>
    <row r="5762" spans="1:16">
      <c r="A5762" s="3" t="s">
        <v>5738</v>
      </c>
      <c r="B5762">
        <v>7</v>
      </c>
      <c r="P5762">
        <v>3</v>
      </c>
    </row>
    <row r="5763" spans="1:16">
      <c r="A5763" s="3" t="s">
        <v>5739</v>
      </c>
      <c r="B5763">
        <v>7</v>
      </c>
      <c r="P5763">
        <v>3</v>
      </c>
    </row>
    <row r="5764" spans="1:16">
      <c r="A5764" s="3" t="s">
        <v>5740</v>
      </c>
      <c r="B5764">
        <v>7</v>
      </c>
      <c r="P5764">
        <v>3</v>
      </c>
    </row>
    <row r="5765" spans="1:16">
      <c r="A5765" s="3" t="s">
        <v>5741</v>
      </c>
      <c r="B5765">
        <v>7</v>
      </c>
      <c r="P5765">
        <v>3</v>
      </c>
    </row>
    <row r="5766" spans="1:16">
      <c r="A5766" s="3" t="s">
        <v>5742</v>
      </c>
      <c r="B5766">
        <v>7</v>
      </c>
      <c r="P5766">
        <v>3</v>
      </c>
    </row>
    <row r="5767" spans="1:16">
      <c r="A5767" s="3" t="s">
        <v>5743</v>
      </c>
      <c r="B5767">
        <v>7</v>
      </c>
      <c r="P5767">
        <v>3</v>
      </c>
    </row>
    <row r="5768" spans="1:16">
      <c r="A5768" s="3" t="s">
        <v>5744</v>
      </c>
      <c r="B5768">
        <v>7</v>
      </c>
      <c r="P5768">
        <v>3</v>
      </c>
    </row>
    <row r="5769" spans="1:16">
      <c r="A5769" s="3" t="s">
        <v>5745</v>
      </c>
      <c r="B5769">
        <v>7</v>
      </c>
      <c r="P5769">
        <v>3</v>
      </c>
    </row>
    <row r="5770" spans="1:16">
      <c r="A5770" s="3" t="s">
        <v>5746</v>
      </c>
      <c r="B5770">
        <v>7</v>
      </c>
      <c r="P5770">
        <v>3</v>
      </c>
    </row>
    <row r="5771" spans="1:16">
      <c r="A5771" s="3" t="s">
        <v>5747</v>
      </c>
      <c r="B5771">
        <v>7</v>
      </c>
      <c r="P5771">
        <v>3</v>
      </c>
    </row>
    <row r="5772" spans="1:16">
      <c r="A5772" s="3" t="s">
        <v>5748</v>
      </c>
      <c r="B5772">
        <v>7</v>
      </c>
      <c r="P5772">
        <v>3</v>
      </c>
    </row>
    <row r="5773" spans="1:16">
      <c r="A5773" s="3" t="s">
        <v>5749</v>
      </c>
      <c r="B5773">
        <v>7</v>
      </c>
      <c r="P5773">
        <v>3</v>
      </c>
    </row>
    <row r="5774" spans="1:16">
      <c r="A5774" s="3" t="s">
        <v>5750</v>
      </c>
      <c r="B5774">
        <v>7</v>
      </c>
      <c r="K5774">
        <v>11</v>
      </c>
    </row>
    <row r="5775" spans="1:16">
      <c r="A5775" s="3" t="s">
        <v>5751</v>
      </c>
      <c r="B5775">
        <v>7</v>
      </c>
      <c r="K5775">
        <v>11</v>
      </c>
    </row>
    <row r="5776" spans="1:16">
      <c r="A5776" s="3" t="s">
        <v>5752</v>
      </c>
      <c r="B5776">
        <v>7</v>
      </c>
      <c r="K5776">
        <v>11</v>
      </c>
    </row>
    <row r="5777" spans="1:11">
      <c r="A5777" s="3" t="s">
        <v>5753</v>
      </c>
      <c r="B5777">
        <v>7</v>
      </c>
      <c r="K5777">
        <v>11</v>
      </c>
    </row>
    <row r="5778" spans="1:11">
      <c r="A5778" s="3" t="s">
        <v>5754</v>
      </c>
      <c r="B5778">
        <v>7</v>
      </c>
      <c r="K5778">
        <v>11</v>
      </c>
    </row>
    <row r="5779" spans="1:11">
      <c r="A5779" s="3" t="s">
        <v>5755</v>
      </c>
      <c r="B5779">
        <v>7</v>
      </c>
      <c r="K5779">
        <v>11</v>
      </c>
    </row>
    <row r="5780" spans="1:11">
      <c r="A5780" s="3" t="s">
        <v>5756</v>
      </c>
      <c r="B5780">
        <v>7</v>
      </c>
      <c r="K5780">
        <v>11</v>
      </c>
    </row>
    <row r="5781" spans="1:11">
      <c r="A5781" s="3" t="s">
        <v>5757</v>
      </c>
      <c r="B5781">
        <v>7</v>
      </c>
      <c r="K5781">
        <v>11</v>
      </c>
    </row>
    <row r="5782" spans="1:11">
      <c r="A5782" s="3" t="s">
        <v>5758</v>
      </c>
      <c r="B5782">
        <v>7</v>
      </c>
      <c r="K5782">
        <v>11</v>
      </c>
    </row>
    <row r="5783" spans="1:11">
      <c r="A5783" s="3" t="s">
        <v>5759</v>
      </c>
      <c r="B5783">
        <v>7</v>
      </c>
      <c r="K5783">
        <v>11</v>
      </c>
    </row>
    <row r="5784" spans="1:11">
      <c r="A5784" s="3" t="s">
        <v>5760</v>
      </c>
      <c r="B5784">
        <v>7</v>
      </c>
      <c r="K5784">
        <v>11</v>
      </c>
    </row>
    <row r="5785" spans="1:11">
      <c r="A5785" s="3" t="s">
        <v>5761</v>
      </c>
      <c r="B5785">
        <v>7</v>
      </c>
      <c r="K5785">
        <v>11</v>
      </c>
    </row>
    <row r="5786" spans="1:11">
      <c r="A5786" s="3" t="s">
        <v>5762</v>
      </c>
      <c r="B5786">
        <v>7</v>
      </c>
      <c r="J5786">
        <v>85</v>
      </c>
    </row>
    <row r="5787" spans="1:11">
      <c r="A5787" s="3" t="s">
        <v>5763</v>
      </c>
      <c r="B5787">
        <v>7</v>
      </c>
      <c r="J5787">
        <v>85</v>
      </c>
    </row>
    <row r="5788" spans="1:11">
      <c r="A5788" s="3" t="s">
        <v>5764</v>
      </c>
      <c r="B5788">
        <v>7</v>
      </c>
      <c r="J5788">
        <v>85</v>
      </c>
    </row>
    <row r="5789" spans="1:11">
      <c r="A5789" s="3" t="s">
        <v>5765</v>
      </c>
      <c r="B5789">
        <v>7</v>
      </c>
      <c r="J5789">
        <v>85</v>
      </c>
    </row>
    <row r="5790" spans="1:11">
      <c r="A5790" s="3" t="s">
        <v>5766</v>
      </c>
      <c r="B5790">
        <v>7</v>
      </c>
      <c r="J5790">
        <v>85</v>
      </c>
    </row>
    <row r="5791" spans="1:11">
      <c r="A5791" s="3" t="s">
        <v>5767</v>
      </c>
      <c r="B5791">
        <v>7</v>
      </c>
      <c r="J5791">
        <v>85</v>
      </c>
    </row>
    <row r="5792" spans="1:11">
      <c r="A5792" s="3" t="s">
        <v>5768</v>
      </c>
      <c r="B5792">
        <v>7</v>
      </c>
      <c r="J5792">
        <v>85</v>
      </c>
    </row>
    <row r="5793" spans="1:47">
      <c r="A5793" s="3" t="s">
        <v>5769</v>
      </c>
      <c r="B5793">
        <v>7</v>
      </c>
      <c r="J5793">
        <v>85</v>
      </c>
    </row>
    <row r="5794" spans="1:47">
      <c r="A5794" s="3" t="s">
        <v>5770</v>
      </c>
      <c r="B5794">
        <v>7</v>
      </c>
      <c r="J5794">
        <v>85</v>
      </c>
    </row>
    <row r="5795" spans="1:47">
      <c r="A5795" s="3" t="s">
        <v>5771</v>
      </c>
      <c r="B5795">
        <v>7</v>
      </c>
      <c r="AU5795">
        <v>7</v>
      </c>
    </row>
    <row r="5796" spans="1:47">
      <c r="A5796" s="3" t="s">
        <v>5772</v>
      </c>
      <c r="B5796">
        <v>7</v>
      </c>
      <c r="AU5796">
        <v>7</v>
      </c>
    </row>
    <row r="5797" spans="1:47">
      <c r="A5797" s="3" t="s">
        <v>5773</v>
      </c>
      <c r="B5797">
        <v>7</v>
      </c>
      <c r="AU5797">
        <v>7</v>
      </c>
    </row>
    <row r="5798" spans="1:47">
      <c r="A5798" s="3" t="s">
        <v>5774</v>
      </c>
      <c r="B5798">
        <v>7</v>
      </c>
      <c r="AU5798">
        <v>7</v>
      </c>
    </row>
    <row r="5799" spans="1:47">
      <c r="A5799" s="3" t="s">
        <v>5775</v>
      </c>
      <c r="B5799">
        <v>7</v>
      </c>
      <c r="AU5799">
        <v>7</v>
      </c>
    </row>
    <row r="5800" spans="1:47">
      <c r="A5800" s="3" t="s">
        <v>5776</v>
      </c>
      <c r="B5800">
        <v>7</v>
      </c>
      <c r="AU5800">
        <v>7</v>
      </c>
    </row>
    <row r="5801" spans="1:47">
      <c r="A5801" s="3" t="s">
        <v>5777</v>
      </c>
      <c r="B5801">
        <v>7</v>
      </c>
      <c r="AU5801">
        <v>7</v>
      </c>
    </row>
    <row r="5802" spans="1:47">
      <c r="A5802" s="3" t="s">
        <v>5778</v>
      </c>
      <c r="B5802">
        <v>7</v>
      </c>
      <c r="AU5802">
        <v>7</v>
      </c>
    </row>
    <row r="5803" spans="1:47">
      <c r="A5803" s="3" t="s">
        <v>5779</v>
      </c>
      <c r="B5803">
        <v>7</v>
      </c>
      <c r="AU5803">
        <v>7</v>
      </c>
    </row>
    <row r="5804" spans="1:47">
      <c r="A5804" s="3" t="s">
        <v>5780</v>
      </c>
      <c r="B5804">
        <v>7</v>
      </c>
      <c r="AU5804">
        <v>7</v>
      </c>
    </row>
    <row r="5805" spans="1:47">
      <c r="A5805" s="3" t="s">
        <v>5781</v>
      </c>
      <c r="B5805">
        <v>7</v>
      </c>
      <c r="AU5805">
        <v>7</v>
      </c>
    </row>
    <row r="5806" spans="1:47">
      <c r="A5806" s="3" t="s">
        <v>5782</v>
      </c>
      <c r="B5806">
        <v>7</v>
      </c>
      <c r="AU5806">
        <v>7</v>
      </c>
    </row>
    <row r="5807" spans="1:47">
      <c r="A5807" s="3" t="s">
        <v>5783</v>
      </c>
      <c r="B5807">
        <v>7</v>
      </c>
      <c r="AU5807">
        <v>7</v>
      </c>
    </row>
    <row r="5808" spans="1:47">
      <c r="A5808" s="3" t="s">
        <v>5784</v>
      </c>
      <c r="B5808">
        <v>7</v>
      </c>
      <c r="AU5808">
        <v>7</v>
      </c>
    </row>
    <row r="5809" spans="1:47">
      <c r="A5809" s="3" t="s">
        <v>5785</v>
      </c>
      <c r="B5809">
        <v>7</v>
      </c>
      <c r="AU5809">
        <v>7</v>
      </c>
    </row>
    <row r="5810" spans="1:47">
      <c r="A5810" s="3" t="s">
        <v>5786</v>
      </c>
      <c r="B5810">
        <v>7</v>
      </c>
      <c r="AU5810">
        <v>7</v>
      </c>
    </row>
    <row r="5811" spans="1:47">
      <c r="A5811" s="3" t="s">
        <v>5787</v>
      </c>
      <c r="B5811">
        <v>7</v>
      </c>
      <c r="AU5811">
        <v>7</v>
      </c>
    </row>
    <row r="5812" spans="1:47">
      <c r="A5812" s="3" t="s">
        <v>5788</v>
      </c>
      <c r="B5812">
        <v>7</v>
      </c>
      <c r="AU5812">
        <v>7</v>
      </c>
    </row>
    <row r="5813" spans="1:47">
      <c r="A5813" s="3" t="s">
        <v>5789</v>
      </c>
      <c r="B5813">
        <v>7</v>
      </c>
      <c r="AU5813">
        <v>7</v>
      </c>
    </row>
    <row r="5814" spans="1:47">
      <c r="A5814" s="3" t="s">
        <v>5790</v>
      </c>
      <c r="B5814">
        <v>7</v>
      </c>
      <c r="AU5814">
        <v>7</v>
      </c>
    </row>
    <row r="5815" spans="1:47">
      <c r="A5815" s="3" t="s">
        <v>5791</v>
      </c>
      <c r="B5815">
        <v>7</v>
      </c>
      <c r="AU5815">
        <v>7</v>
      </c>
    </row>
    <row r="5816" spans="1:47">
      <c r="A5816" s="3" t="s">
        <v>5792</v>
      </c>
      <c r="B5816">
        <v>7</v>
      </c>
      <c r="AU5816">
        <v>7</v>
      </c>
    </row>
    <row r="5817" spans="1:47">
      <c r="A5817" s="3" t="s">
        <v>5793</v>
      </c>
      <c r="B5817">
        <v>7</v>
      </c>
      <c r="AU5817">
        <v>7</v>
      </c>
    </row>
    <row r="5818" spans="1:47">
      <c r="A5818" s="3" t="s">
        <v>5794</v>
      </c>
      <c r="B5818">
        <v>7</v>
      </c>
      <c r="AU5818">
        <v>7</v>
      </c>
    </row>
    <row r="5819" spans="1:47">
      <c r="A5819" s="3" t="s">
        <v>5795</v>
      </c>
      <c r="B5819">
        <v>7</v>
      </c>
      <c r="AU5819">
        <v>7</v>
      </c>
    </row>
    <row r="5820" spans="1:47">
      <c r="A5820" s="3" t="s">
        <v>5796</v>
      </c>
      <c r="B5820">
        <v>7</v>
      </c>
      <c r="AU5820">
        <v>7</v>
      </c>
    </row>
    <row r="5821" spans="1:47">
      <c r="A5821" s="3" t="s">
        <v>5797</v>
      </c>
      <c r="B5821">
        <v>7</v>
      </c>
      <c r="AU5821">
        <v>7</v>
      </c>
    </row>
    <row r="5822" spans="1:47">
      <c r="A5822" s="3" t="s">
        <v>5798</v>
      </c>
      <c r="B5822">
        <v>7</v>
      </c>
      <c r="AU5822">
        <v>7</v>
      </c>
    </row>
    <row r="5823" spans="1:47">
      <c r="A5823" s="3" t="s">
        <v>5799</v>
      </c>
      <c r="B5823">
        <v>7</v>
      </c>
      <c r="AU5823">
        <v>7</v>
      </c>
    </row>
    <row r="5824" spans="1:47">
      <c r="A5824" s="3" t="s">
        <v>5800</v>
      </c>
      <c r="B5824">
        <v>7</v>
      </c>
      <c r="AU5824">
        <v>7</v>
      </c>
    </row>
    <row r="5825" spans="1:47">
      <c r="A5825" s="3" t="s">
        <v>5801</v>
      </c>
      <c r="B5825">
        <v>7</v>
      </c>
      <c r="AU5825">
        <v>7</v>
      </c>
    </row>
    <row r="5826" spans="1:47">
      <c r="A5826" s="3" t="s">
        <v>5802</v>
      </c>
      <c r="B5826">
        <v>7</v>
      </c>
      <c r="AU5826">
        <v>7</v>
      </c>
    </row>
    <row r="5827" spans="1:47">
      <c r="A5827" s="3" t="s">
        <v>5803</v>
      </c>
      <c r="B5827">
        <v>7</v>
      </c>
      <c r="AU5827">
        <v>7</v>
      </c>
    </row>
    <row r="5828" spans="1:47">
      <c r="A5828" s="3" t="s">
        <v>5804</v>
      </c>
      <c r="B5828">
        <v>7</v>
      </c>
      <c r="AU5828">
        <v>7</v>
      </c>
    </row>
    <row r="5829" spans="1:47">
      <c r="A5829" s="3" t="s">
        <v>5805</v>
      </c>
      <c r="B5829">
        <v>7</v>
      </c>
      <c r="AU5829">
        <v>7</v>
      </c>
    </row>
    <row r="5830" spans="1:47">
      <c r="A5830" s="3" t="s">
        <v>5806</v>
      </c>
      <c r="B5830">
        <v>7</v>
      </c>
      <c r="AU5830">
        <v>7</v>
      </c>
    </row>
    <row r="5831" spans="1:47">
      <c r="A5831" s="3" t="s">
        <v>5807</v>
      </c>
      <c r="B5831">
        <v>7</v>
      </c>
      <c r="AU5831">
        <v>7</v>
      </c>
    </row>
    <row r="5832" spans="1:47">
      <c r="A5832" s="3" t="s">
        <v>5808</v>
      </c>
      <c r="B5832">
        <v>7</v>
      </c>
      <c r="AU5832">
        <v>7</v>
      </c>
    </row>
    <row r="5833" spans="1:47">
      <c r="A5833" s="3" t="s">
        <v>5809</v>
      </c>
      <c r="B5833">
        <v>7</v>
      </c>
      <c r="AU5833">
        <v>7</v>
      </c>
    </row>
    <row r="5834" spans="1:47">
      <c r="A5834" s="3" t="s">
        <v>5810</v>
      </c>
      <c r="B5834">
        <v>7</v>
      </c>
      <c r="AU5834">
        <v>7</v>
      </c>
    </row>
    <row r="5835" spans="1:47">
      <c r="A5835" s="3" t="s">
        <v>5811</v>
      </c>
      <c r="B5835">
        <v>7</v>
      </c>
      <c r="AU5835">
        <v>7</v>
      </c>
    </row>
    <row r="5836" spans="1:47">
      <c r="A5836" s="3" t="s">
        <v>5812</v>
      </c>
      <c r="B5836">
        <v>7</v>
      </c>
      <c r="AU5836">
        <v>7</v>
      </c>
    </row>
    <row r="5837" spans="1:47">
      <c r="A5837" s="3" t="s">
        <v>5813</v>
      </c>
      <c r="B5837">
        <v>7</v>
      </c>
      <c r="AU5837">
        <v>7</v>
      </c>
    </row>
    <row r="5838" spans="1:47">
      <c r="A5838" s="3" t="s">
        <v>5814</v>
      </c>
      <c r="B5838">
        <v>7</v>
      </c>
      <c r="AU5838">
        <v>7</v>
      </c>
    </row>
    <row r="5839" spans="1:47">
      <c r="A5839" s="3" t="s">
        <v>5815</v>
      </c>
      <c r="B5839">
        <v>7</v>
      </c>
      <c r="AU5839">
        <v>7</v>
      </c>
    </row>
    <row r="5840" spans="1:47">
      <c r="A5840" s="3" t="s">
        <v>5816</v>
      </c>
      <c r="B5840">
        <v>7</v>
      </c>
      <c r="AU5840">
        <v>7</v>
      </c>
    </row>
    <row r="5841" spans="1:47">
      <c r="A5841" s="3" t="s">
        <v>5817</v>
      </c>
      <c r="B5841">
        <v>7</v>
      </c>
      <c r="AU5841">
        <v>7</v>
      </c>
    </row>
    <row r="5842" spans="1:47">
      <c r="A5842" s="3" t="s">
        <v>5818</v>
      </c>
      <c r="B5842">
        <v>7</v>
      </c>
      <c r="AU5842">
        <v>7</v>
      </c>
    </row>
    <row r="5843" spans="1:47">
      <c r="A5843" s="3" t="s">
        <v>5819</v>
      </c>
      <c r="B5843">
        <v>7</v>
      </c>
      <c r="AU5843">
        <v>7</v>
      </c>
    </row>
    <row r="5844" spans="1:47">
      <c r="A5844" s="3" t="s">
        <v>5820</v>
      </c>
      <c r="B5844">
        <v>7</v>
      </c>
      <c r="AU5844">
        <v>7</v>
      </c>
    </row>
    <row r="5845" spans="1:47">
      <c r="A5845" s="3" t="s">
        <v>5821</v>
      </c>
      <c r="B5845">
        <v>7</v>
      </c>
      <c r="AU5845">
        <v>7</v>
      </c>
    </row>
    <row r="5846" spans="1:47">
      <c r="A5846" s="3" t="s">
        <v>5822</v>
      </c>
      <c r="B5846">
        <v>7</v>
      </c>
      <c r="AU5846">
        <v>7</v>
      </c>
    </row>
    <row r="5847" spans="1:47">
      <c r="A5847" s="3" t="s">
        <v>5823</v>
      </c>
      <c r="B5847">
        <v>7</v>
      </c>
      <c r="AU5847">
        <v>7</v>
      </c>
    </row>
    <row r="5848" spans="1:47">
      <c r="A5848" s="3" t="s">
        <v>5824</v>
      </c>
      <c r="B5848">
        <v>7</v>
      </c>
      <c r="AU5848">
        <v>7</v>
      </c>
    </row>
    <row r="5849" spans="1:47">
      <c r="A5849" s="3" t="s">
        <v>5825</v>
      </c>
      <c r="B5849">
        <v>7</v>
      </c>
      <c r="AU5849">
        <v>7</v>
      </c>
    </row>
    <row r="5850" spans="1:47">
      <c r="A5850" s="3" t="s">
        <v>5826</v>
      </c>
      <c r="B5850">
        <v>7</v>
      </c>
      <c r="AU5850">
        <v>7</v>
      </c>
    </row>
    <row r="5851" spans="1:47">
      <c r="A5851" s="3" t="s">
        <v>5827</v>
      </c>
      <c r="B5851">
        <v>7</v>
      </c>
      <c r="AU5851">
        <v>7</v>
      </c>
    </row>
    <row r="5852" spans="1:47">
      <c r="A5852" s="3" t="s">
        <v>5828</v>
      </c>
      <c r="B5852">
        <v>7</v>
      </c>
      <c r="AU5852">
        <v>7</v>
      </c>
    </row>
    <row r="5853" spans="1:47">
      <c r="A5853" s="3" t="s">
        <v>5829</v>
      </c>
      <c r="B5853">
        <v>7</v>
      </c>
      <c r="AU5853">
        <v>7</v>
      </c>
    </row>
    <row r="5854" spans="1:47">
      <c r="A5854" s="3" t="s">
        <v>5830</v>
      </c>
      <c r="B5854">
        <v>7</v>
      </c>
      <c r="AU5854">
        <v>7</v>
      </c>
    </row>
    <row r="5855" spans="1:47">
      <c r="A5855" s="3" t="s">
        <v>5831</v>
      </c>
      <c r="B5855">
        <v>7</v>
      </c>
      <c r="AU5855">
        <v>7</v>
      </c>
    </row>
    <row r="5856" spans="1:47">
      <c r="A5856" s="3" t="s">
        <v>5832</v>
      </c>
      <c r="B5856">
        <v>7</v>
      </c>
      <c r="AU5856">
        <v>7</v>
      </c>
    </row>
    <row r="5857" spans="1:47">
      <c r="A5857" s="3" t="s">
        <v>5833</v>
      </c>
      <c r="B5857">
        <v>7</v>
      </c>
      <c r="AU5857">
        <v>7</v>
      </c>
    </row>
    <row r="5858" spans="1:47">
      <c r="A5858" s="3" t="s">
        <v>5834</v>
      </c>
      <c r="B5858">
        <v>7</v>
      </c>
      <c r="AU5858">
        <v>7</v>
      </c>
    </row>
    <row r="5859" spans="1:47">
      <c r="A5859" s="3" t="s">
        <v>5835</v>
      </c>
      <c r="B5859">
        <v>7</v>
      </c>
      <c r="AU5859">
        <v>7</v>
      </c>
    </row>
    <row r="5860" spans="1:47">
      <c r="A5860" s="3" t="s">
        <v>5836</v>
      </c>
      <c r="B5860">
        <v>7</v>
      </c>
      <c r="AU5860">
        <v>7</v>
      </c>
    </row>
    <row r="5861" spans="1:47">
      <c r="A5861" s="3" t="s">
        <v>5837</v>
      </c>
      <c r="B5861">
        <v>7</v>
      </c>
      <c r="AU5861">
        <v>7</v>
      </c>
    </row>
    <row r="5862" spans="1:47">
      <c r="A5862" s="3" t="s">
        <v>5838</v>
      </c>
      <c r="B5862">
        <v>7</v>
      </c>
      <c r="AU5862">
        <v>7</v>
      </c>
    </row>
    <row r="5863" spans="1:47">
      <c r="A5863" s="3" t="s">
        <v>5839</v>
      </c>
      <c r="B5863">
        <v>7</v>
      </c>
      <c r="AU5863">
        <v>7</v>
      </c>
    </row>
    <row r="5864" spans="1:47">
      <c r="A5864" s="3" t="s">
        <v>5840</v>
      </c>
      <c r="B5864">
        <v>7</v>
      </c>
      <c r="AU5864">
        <v>7</v>
      </c>
    </row>
    <row r="5865" spans="1:47">
      <c r="A5865" s="3" t="s">
        <v>5841</v>
      </c>
      <c r="B5865">
        <v>7</v>
      </c>
      <c r="AU5865">
        <v>7</v>
      </c>
    </row>
    <row r="5866" spans="1:47">
      <c r="A5866" s="3" t="s">
        <v>5842</v>
      </c>
      <c r="B5866">
        <v>7</v>
      </c>
      <c r="AU5866">
        <v>7</v>
      </c>
    </row>
    <row r="5867" spans="1:47">
      <c r="A5867" s="3" t="s">
        <v>5843</v>
      </c>
      <c r="B5867">
        <v>7</v>
      </c>
      <c r="AU5867">
        <v>7</v>
      </c>
    </row>
    <row r="5868" spans="1:47">
      <c r="A5868" s="3" t="s">
        <v>5844</v>
      </c>
      <c r="B5868">
        <v>7</v>
      </c>
      <c r="AU5868">
        <v>7</v>
      </c>
    </row>
    <row r="5869" spans="1:47">
      <c r="A5869" s="3" t="s">
        <v>5845</v>
      </c>
      <c r="B5869">
        <v>7</v>
      </c>
      <c r="AU5869">
        <v>7</v>
      </c>
    </row>
    <row r="5870" spans="1:47">
      <c r="A5870" s="3" t="s">
        <v>5846</v>
      </c>
      <c r="B5870">
        <v>7</v>
      </c>
      <c r="AU5870">
        <v>7</v>
      </c>
    </row>
    <row r="5871" spans="1:47">
      <c r="A5871" s="3" t="s">
        <v>5847</v>
      </c>
      <c r="B5871">
        <v>7</v>
      </c>
      <c r="AU5871">
        <v>7</v>
      </c>
    </row>
    <row r="5872" spans="1:47">
      <c r="A5872" s="3" t="s">
        <v>5848</v>
      </c>
      <c r="B5872">
        <v>7</v>
      </c>
      <c r="AU5872">
        <v>7</v>
      </c>
    </row>
    <row r="5873" spans="1:47">
      <c r="A5873" s="3" t="s">
        <v>5849</v>
      </c>
      <c r="B5873">
        <v>7</v>
      </c>
      <c r="AU5873">
        <v>7</v>
      </c>
    </row>
    <row r="5874" spans="1:47">
      <c r="A5874" s="3" t="s">
        <v>5850</v>
      </c>
      <c r="B5874">
        <v>7</v>
      </c>
      <c r="AU5874">
        <v>7</v>
      </c>
    </row>
    <row r="5875" spans="1:47">
      <c r="A5875" s="3" t="s">
        <v>5851</v>
      </c>
      <c r="B5875">
        <v>7</v>
      </c>
      <c r="AU5875">
        <v>7</v>
      </c>
    </row>
    <row r="5876" spans="1:47">
      <c r="A5876" s="3" t="s">
        <v>5852</v>
      </c>
      <c r="B5876">
        <v>7</v>
      </c>
      <c r="AU5876">
        <v>7</v>
      </c>
    </row>
    <row r="5877" spans="1:47">
      <c r="A5877" s="3" t="s">
        <v>5853</v>
      </c>
      <c r="B5877">
        <v>7</v>
      </c>
      <c r="AU5877">
        <v>7</v>
      </c>
    </row>
    <row r="5878" spans="1:47">
      <c r="A5878" s="3" t="s">
        <v>5854</v>
      </c>
      <c r="B5878">
        <v>7</v>
      </c>
      <c r="AU5878">
        <v>7</v>
      </c>
    </row>
    <row r="5879" spans="1:47">
      <c r="A5879" s="3" t="s">
        <v>5855</v>
      </c>
      <c r="B5879">
        <v>7</v>
      </c>
      <c r="AU5879">
        <v>7</v>
      </c>
    </row>
    <row r="5880" spans="1:47">
      <c r="A5880" s="3" t="s">
        <v>5856</v>
      </c>
      <c r="B5880">
        <v>7</v>
      </c>
      <c r="AU5880">
        <v>7</v>
      </c>
    </row>
    <row r="5881" spans="1:47">
      <c r="A5881" s="3" t="s">
        <v>5857</v>
      </c>
      <c r="B5881">
        <v>7</v>
      </c>
      <c r="AU5881">
        <v>7</v>
      </c>
    </row>
    <row r="5882" spans="1:47">
      <c r="A5882" s="3" t="s">
        <v>5858</v>
      </c>
      <c r="B5882">
        <v>7</v>
      </c>
      <c r="AU5882">
        <v>7</v>
      </c>
    </row>
    <row r="5883" spans="1:47">
      <c r="A5883" s="3" t="s">
        <v>5859</v>
      </c>
      <c r="B5883">
        <v>7</v>
      </c>
      <c r="AU5883">
        <v>7</v>
      </c>
    </row>
    <row r="5884" spans="1:47">
      <c r="A5884" s="3" t="s">
        <v>5860</v>
      </c>
      <c r="B5884">
        <v>7</v>
      </c>
      <c r="K5884">
        <v>12</v>
      </c>
    </row>
    <row r="5885" spans="1:47">
      <c r="A5885" s="3" t="s">
        <v>5861</v>
      </c>
      <c r="B5885">
        <v>7</v>
      </c>
      <c r="K5885">
        <v>12</v>
      </c>
    </row>
    <row r="5886" spans="1:47">
      <c r="A5886" s="3" t="s">
        <v>5862</v>
      </c>
      <c r="B5886">
        <v>7</v>
      </c>
      <c r="K5886">
        <v>12</v>
      </c>
    </row>
    <row r="5887" spans="1:47">
      <c r="A5887" s="3" t="s">
        <v>5863</v>
      </c>
      <c r="B5887">
        <v>7</v>
      </c>
      <c r="K5887">
        <v>12</v>
      </c>
    </row>
    <row r="5888" spans="1:47">
      <c r="A5888" s="3" t="s">
        <v>5864</v>
      </c>
      <c r="B5888">
        <v>7</v>
      </c>
      <c r="K5888">
        <v>12</v>
      </c>
    </row>
    <row r="5889" spans="1:11">
      <c r="A5889" s="3" t="s">
        <v>5865</v>
      </c>
      <c r="B5889">
        <v>7</v>
      </c>
      <c r="K5889">
        <v>12</v>
      </c>
    </row>
    <row r="5890" spans="1:11">
      <c r="A5890" s="3" t="s">
        <v>5866</v>
      </c>
      <c r="B5890">
        <v>7</v>
      </c>
      <c r="K5890">
        <v>12</v>
      </c>
    </row>
    <row r="5891" spans="1:11">
      <c r="A5891" s="3" t="s">
        <v>5867</v>
      </c>
      <c r="B5891">
        <v>7</v>
      </c>
      <c r="K5891">
        <v>12</v>
      </c>
    </row>
    <row r="5892" spans="1:11">
      <c r="A5892" s="3" t="s">
        <v>5868</v>
      </c>
      <c r="B5892">
        <v>7</v>
      </c>
      <c r="K5892">
        <v>12</v>
      </c>
    </row>
    <row r="5893" spans="1:11">
      <c r="A5893" s="3" t="s">
        <v>5869</v>
      </c>
      <c r="B5893">
        <v>7</v>
      </c>
      <c r="K5893">
        <v>12</v>
      </c>
    </row>
    <row r="5894" spans="1:11">
      <c r="A5894" s="3" t="s">
        <v>5870</v>
      </c>
      <c r="B5894">
        <v>7</v>
      </c>
      <c r="K5894">
        <v>12</v>
      </c>
    </row>
    <row r="5895" spans="1:11">
      <c r="A5895" s="3" t="s">
        <v>5871</v>
      </c>
      <c r="B5895">
        <v>7</v>
      </c>
      <c r="K5895">
        <v>12</v>
      </c>
    </row>
    <row r="5896" spans="1:11">
      <c r="A5896" s="3" t="s">
        <v>5872</v>
      </c>
      <c r="B5896">
        <v>7</v>
      </c>
      <c r="K5896">
        <v>12</v>
      </c>
    </row>
    <row r="5897" spans="1:11">
      <c r="A5897" s="3" t="s">
        <v>5873</v>
      </c>
      <c r="B5897">
        <v>7</v>
      </c>
      <c r="K5897">
        <v>12</v>
      </c>
    </row>
    <row r="5898" spans="1:11">
      <c r="A5898" s="3" t="s">
        <v>5874</v>
      </c>
      <c r="B5898">
        <v>7</v>
      </c>
      <c r="K5898">
        <v>12</v>
      </c>
    </row>
    <row r="5899" spans="1:11">
      <c r="A5899" s="3" t="s">
        <v>5875</v>
      </c>
      <c r="B5899">
        <v>7</v>
      </c>
      <c r="K5899">
        <v>12</v>
      </c>
    </row>
    <row r="5900" spans="1:11">
      <c r="A5900" s="3" t="s">
        <v>5876</v>
      </c>
      <c r="B5900">
        <v>7</v>
      </c>
      <c r="K5900">
        <v>12</v>
      </c>
    </row>
    <row r="5901" spans="1:11">
      <c r="A5901" s="3" t="s">
        <v>5877</v>
      </c>
      <c r="B5901">
        <v>7</v>
      </c>
      <c r="K5901">
        <v>12</v>
      </c>
    </row>
    <row r="5902" spans="1:11">
      <c r="A5902" s="3" t="s">
        <v>5878</v>
      </c>
      <c r="B5902">
        <v>7</v>
      </c>
      <c r="K5902">
        <v>12</v>
      </c>
    </row>
    <row r="5903" spans="1:11">
      <c r="A5903" s="3" t="s">
        <v>5879</v>
      </c>
      <c r="B5903">
        <v>7</v>
      </c>
      <c r="K5903">
        <v>12</v>
      </c>
    </row>
    <row r="5904" spans="1:11">
      <c r="A5904" s="3" t="s">
        <v>5880</v>
      </c>
      <c r="B5904">
        <v>7</v>
      </c>
      <c r="K5904">
        <v>12</v>
      </c>
    </row>
    <row r="5905" spans="1:11">
      <c r="A5905" s="3" t="s">
        <v>5881</v>
      </c>
      <c r="B5905">
        <v>7</v>
      </c>
      <c r="K5905">
        <v>12</v>
      </c>
    </row>
    <row r="5906" spans="1:11">
      <c r="A5906" s="3" t="s">
        <v>5882</v>
      </c>
      <c r="B5906">
        <v>7</v>
      </c>
      <c r="K5906">
        <v>12</v>
      </c>
    </row>
    <row r="5907" spans="1:11">
      <c r="A5907" s="3" t="s">
        <v>5883</v>
      </c>
      <c r="B5907">
        <v>7</v>
      </c>
      <c r="K5907">
        <v>12</v>
      </c>
    </row>
    <row r="5908" spans="1:11">
      <c r="A5908" s="3" t="s">
        <v>5884</v>
      </c>
      <c r="B5908">
        <v>7</v>
      </c>
      <c r="K5908">
        <v>12</v>
      </c>
    </row>
    <row r="5909" spans="1:11">
      <c r="A5909" s="3" t="s">
        <v>5885</v>
      </c>
      <c r="B5909">
        <v>7</v>
      </c>
      <c r="K5909">
        <v>12</v>
      </c>
    </row>
    <row r="5910" spans="1:11">
      <c r="A5910" s="3" t="s">
        <v>5886</v>
      </c>
      <c r="B5910">
        <v>7</v>
      </c>
      <c r="K5910">
        <v>12</v>
      </c>
    </row>
    <row r="5911" spans="1:11">
      <c r="A5911" s="3" t="s">
        <v>5887</v>
      </c>
      <c r="B5911">
        <v>7</v>
      </c>
      <c r="K5911">
        <v>12</v>
      </c>
    </row>
    <row r="5912" spans="1:11">
      <c r="A5912" s="3" t="s">
        <v>5888</v>
      </c>
      <c r="B5912">
        <v>7</v>
      </c>
      <c r="K5912">
        <v>12</v>
      </c>
    </row>
    <row r="5913" spans="1:11">
      <c r="A5913" s="3" t="s">
        <v>5889</v>
      </c>
      <c r="B5913">
        <v>7</v>
      </c>
      <c r="K5913">
        <v>12</v>
      </c>
    </row>
    <row r="5914" spans="1:11">
      <c r="A5914" s="3" t="s">
        <v>5890</v>
      </c>
      <c r="B5914">
        <v>7</v>
      </c>
      <c r="K5914">
        <v>12</v>
      </c>
    </row>
    <row r="5915" spans="1:11">
      <c r="A5915" s="3" t="s">
        <v>5891</v>
      </c>
      <c r="B5915">
        <v>7</v>
      </c>
      <c r="K5915">
        <v>12</v>
      </c>
    </row>
    <row r="5916" spans="1:11">
      <c r="A5916" s="3" t="s">
        <v>5892</v>
      </c>
      <c r="B5916">
        <v>7</v>
      </c>
      <c r="K5916">
        <v>12</v>
      </c>
    </row>
    <row r="5917" spans="1:11">
      <c r="A5917" s="3" t="s">
        <v>5893</v>
      </c>
      <c r="B5917">
        <v>7</v>
      </c>
      <c r="K5917">
        <v>12</v>
      </c>
    </row>
    <row r="5918" spans="1:11">
      <c r="A5918" s="3" t="s">
        <v>5894</v>
      </c>
      <c r="B5918">
        <v>7</v>
      </c>
      <c r="K5918">
        <v>12</v>
      </c>
    </row>
    <row r="5919" spans="1:11">
      <c r="A5919" s="3" t="s">
        <v>5895</v>
      </c>
      <c r="B5919">
        <v>7</v>
      </c>
      <c r="K5919">
        <v>12</v>
      </c>
    </row>
    <row r="5920" spans="1:11">
      <c r="A5920" s="3" t="s">
        <v>5896</v>
      </c>
      <c r="B5920">
        <v>7</v>
      </c>
      <c r="K5920">
        <v>12</v>
      </c>
    </row>
    <row r="5921" spans="1:11">
      <c r="A5921" s="3" t="s">
        <v>5897</v>
      </c>
      <c r="B5921">
        <v>7</v>
      </c>
      <c r="K5921">
        <v>12</v>
      </c>
    </row>
    <row r="5922" spans="1:11">
      <c r="A5922" s="3" t="s">
        <v>5898</v>
      </c>
      <c r="B5922">
        <v>7</v>
      </c>
      <c r="K5922">
        <v>12</v>
      </c>
    </row>
    <row r="5923" spans="1:11">
      <c r="A5923" s="3" t="s">
        <v>5899</v>
      </c>
      <c r="B5923">
        <v>7</v>
      </c>
      <c r="K5923">
        <v>12</v>
      </c>
    </row>
    <row r="5924" spans="1:11">
      <c r="A5924" s="3" t="s">
        <v>5900</v>
      </c>
      <c r="B5924">
        <v>7</v>
      </c>
      <c r="K5924">
        <v>12</v>
      </c>
    </row>
    <row r="5925" spans="1:11">
      <c r="A5925" s="3" t="s">
        <v>5901</v>
      </c>
      <c r="B5925">
        <v>7</v>
      </c>
      <c r="K5925">
        <v>12</v>
      </c>
    </row>
    <row r="5926" spans="1:11">
      <c r="A5926" s="3" t="s">
        <v>5902</v>
      </c>
      <c r="B5926">
        <v>7</v>
      </c>
      <c r="K5926">
        <v>12</v>
      </c>
    </row>
    <row r="5927" spans="1:11">
      <c r="A5927" s="3" t="s">
        <v>5903</v>
      </c>
      <c r="B5927">
        <v>7</v>
      </c>
      <c r="K5927">
        <v>12</v>
      </c>
    </row>
    <row r="5928" spans="1:11">
      <c r="A5928" s="3" t="s">
        <v>5904</v>
      </c>
      <c r="B5928">
        <v>7</v>
      </c>
      <c r="K5928">
        <v>12</v>
      </c>
    </row>
    <row r="5929" spans="1:11">
      <c r="A5929" s="3" t="s">
        <v>5905</v>
      </c>
      <c r="B5929">
        <v>7</v>
      </c>
      <c r="K5929">
        <v>12</v>
      </c>
    </row>
    <row r="5930" spans="1:11">
      <c r="A5930" s="3" t="s">
        <v>5906</v>
      </c>
      <c r="B5930">
        <v>7</v>
      </c>
      <c r="K5930">
        <v>12</v>
      </c>
    </row>
    <row r="5931" spans="1:11">
      <c r="A5931" s="3" t="s">
        <v>5907</v>
      </c>
      <c r="B5931">
        <v>7</v>
      </c>
      <c r="K5931">
        <v>12</v>
      </c>
    </row>
    <row r="5932" spans="1:11">
      <c r="A5932" s="3" t="s">
        <v>5908</v>
      </c>
      <c r="B5932">
        <v>7</v>
      </c>
      <c r="K5932">
        <v>12</v>
      </c>
    </row>
    <row r="5933" spans="1:11">
      <c r="A5933" s="3" t="s">
        <v>5909</v>
      </c>
      <c r="B5933">
        <v>7</v>
      </c>
      <c r="K5933">
        <v>12</v>
      </c>
    </row>
    <row r="5934" spans="1:11">
      <c r="A5934" s="3" t="s">
        <v>5910</v>
      </c>
      <c r="B5934">
        <v>7</v>
      </c>
      <c r="K5934">
        <v>12</v>
      </c>
    </row>
    <row r="5935" spans="1:11">
      <c r="A5935" s="3" t="s">
        <v>5911</v>
      </c>
      <c r="B5935">
        <v>7</v>
      </c>
      <c r="K5935">
        <v>12</v>
      </c>
    </row>
    <row r="5936" spans="1:11">
      <c r="A5936" s="3" t="s">
        <v>5912</v>
      </c>
      <c r="B5936">
        <v>7</v>
      </c>
      <c r="K5936">
        <v>12</v>
      </c>
    </row>
    <row r="5937" spans="1:13">
      <c r="A5937" s="3" t="s">
        <v>5913</v>
      </c>
      <c r="B5937">
        <v>7</v>
      </c>
      <c r="K5937">
        <v>12</v>
      </c>
    </row>
    <row r="5938" spans="1:13">
      <c r="A5938" s="3" t="s">
        <v>5914</v>
      </c>
      <c r="B5938">
        <v>7</v>
      </c>
      <c r="K5938">
        <v>12</v>
      </c>
    </row>
    <row r="5939" spans="1:13">
      <c r="A5939" s="3" t="s">
        <v>5915</v>
      </c>
      <c r="B5939">
        <v>7</v>
      </c>
      <c r="K5939">
        <v>12</v>
      </c>
    </row>
    <row r="5940" spans="1:13">
      <c r="A5940" s="3" t="s">
        <v>5916</v>
      </c>
      <c r="B5940">
        <v>7</v>
      </c>
      <c r="K5940">
        <v>12</v>
      </c>
    </row>
    <row r="5941" spans="1:13">
      <c r="A5941" s="3" t="s">
        <v>5917</v>
      </c>
      <c r="B5941">
        <v>7</v>
      </c>
      <c r="K5941">
        <v>12</v>
      </c>
    </row>
    <row r="5942" spans="1:13">
      <c r="A5942" s="3" t="s">
        <v>5918</v>
      </c>
      <c r="B5942">
        <v>7</v>
      </c>
      <c r="K5942">
        <v>12</v>
      </c>
    </row>
    <row r="5943" spans="1:13">
      <c r="A5943" s="3" t="s">
        <v>5919</v>
      </c>
      <c r="B5943">
        <v>7</v>
      </c>
      <c r="K5943">
        <v>12</v>
      </c>
    </row>
    <row r="5944" spans="1:13">
      <c r="A5944" s="3" t="s">
        <v>5920</v>
      </c>
      <c r="B5944">
        <v>7</v>
      </c>
      <c r="K5944">
        <v>12</v>
      </c>
    </row>
    <row r="5945" spans="1:13">
      <c r="A5945" s="3" t="s">
        <v>5921</v>
      </c>
      <c r="B5945">
        <v>7</v>
      </c>
      <c r="K5945">
        <v>12</v>
      </c>
    </row>
    <row r="5946" spans="1:13">
      <c r="A5946" s="3" t="s">
        <v>5922</v>
      </c>
      <c r="B5946">
        <v>7</v>
      </c>
      <c r="K5946">
        <v>12</v>
      </c>
    </row>
    <row r="5947" spans="1:13">
      <c r="A5947" s="3" t="s">
        <v>5923</v>
      </c>
      <c r="B5947">
        <v>7</v>
      </c>
      <c r="M5947">
        <v>11</v>
      </c>
    </row>
    <row r="5948" spans="1:13">
      <c r="A5948" s="3" t="s">
        <v>5924</v>
      </c>
      <c r="B5948">
        <v>7</v>
      </c>
      <c r="M5948">
        <v>11</v>
      </c>
    </row>
    <row r="5949" spans="1:13">
      <c r="A5949" s="3" t="s">
        <v>5925</v>
      </c>
      <c r="B5949">
        <v>7</v>
      </c>
      <c r="M5949">
        <v>11</v>
      </c>
    </row>
    <row r="5950" spans="1:13">
      <c r="A5950" s="3" t="s">
        <v>5926</v>
      </c>
      <c r="B5950">
        <v>7</v>
      </c>
      <c r="M5950">
        <v>11</v>
      </c>
    </row>
    <row r="5951" spans="1:13">
      <c r="A5951" s="3" t="s">
        <v>5927</v>
      </c>
      <c r="B5951">
        <v>7</v>
      </c>
      <c r="M5951">
        <v>11</v>
      </c>
    </row>
    <row r="5952" spans="1:13">
      <c r="A5952" s="3" t="s">
        <v>5928</v>
      </c>
      <c r="B5952">
        <v>7</v>
      </c>
      <c r="M5952">
        <v>11</v>
      </c>
    </row>
    <row r="5953" spans="1:49">
      <c r="A5953" s="3" t="s">
        <v>5929</v>
      </c>
      <c r="B5953">
        <v>7</v>
      </c>
      <c r="M5953">
        <v>11</v>
      </c>
    </row>
    <row r="5954" spans="1:49">
      <c r="A5954" s="3" t="s">
        <v>5930</v>
      </c>
      <c r="B5954">
        <v>7</v>
      </c>
      <c r="M5954">
        <v>11</v>
      </c>
    </row>
    <row r="5955" spans="1:49">
      <c r="A5955" s="3" t="s">
        <v>5931</v>
      </c>
      <c r="B5955">
        <v>7</v>
      </c>
      <c r="M5955">
        <v>11</v>
      </c>
    </row>
    <row r="5956" spans="1:49">
      <c r="A5956" s="3" t="s">
        <v>5932</v>
      </c>
      <c r="B5956">
        <v>7</v>
      </c>
      <c r="M5956">
        <v>11</v>
      </c>
    </row>
    <row r="5957" spans="1:49">
      <c r="A5957" s="3" t="s">
        <v>5933</v>
      </c>
      <c r="B5957">
        <v>7</v>
      </c>
      <c r="M5957">
        <v>11</v>
      </c>
    </row>
    <row r="5958" spans="1:49">
      <c r="A5958" s="3" t="s">
        <v>5934</v>
      </c>
      <c r="B5958">
        <v>7</v>
      </c>
      <c r="M5958">
        <v>11</v>
      </c>
    </row>
    <row r="5959" spans="1:49">
      <c r="A5959" s="3" t="s">
        <v>5935</v>
      </c>
      <c r="B5959">
        <v>7</v>
      </c>
      <c r="M5959">
        <v>11</v>
      </c>
    </row>
    <row r="5960" spans="1:49">
      <c r="A5960" s="3" t="s">
        <v>5936</v>
      </c>
      <c r="B5960">
        <v>7</v>
      </c>
      <c r="M5960">
        <v>11</v>
      </c>
    </row>
    <row r="5961" spans="1:49">
      <c r="A5961" s="3" t="s">
        <v>5937</v>
      </c>
      <c r="B5961">
        <v>7</v>
      </c>
      <c r="M5961">
        <v>11</v>
      </c>
    </row>
    <row r="5962" spans="1:49">
      <c r="A5962" s="3" t="s">
        <v>5938</v>
      </c>
      <c r="B5962">
        <v>7</v>
      </c>
      <c r="M5962">
        <v>11</v>
      </c>
    </row>
    <row r="5963" spans="1:49">
      <c r="A5963" s="3" t="s">
        <v>5939</v>
      </c>
      <c r="B5963">
        <v>7</v>
      </c>
      <c r="M5963">
        <v>11</v>
      </c>
    </row>
    <row r="5964" spans="1:49">
      <c r="A5964" s="3" t="s">
        <v>5940</v>
      </c>
      <c r="B5964">
        <v>7</v>
      </c>
      <c r="M5964">
        <v>11</v>
      </c>
    </row>
    <row r="5965" spans="1:49">
      <c r="A5965" s="3" t="s">
        <v>5941</v>
      </c>
      <c r="B5965">
        <v>7</v>
      </c>
      <c r="M5965">
        <v>11</v>
      </c>
    </row>
    <row r="5966" spans="1:49">
      <c r="A5966" s="3" t="s">
        <v>5942</v>
      </c>
      <c r="B5966">
        <v>7</v>
      </c>
      <c r="M5966">
        <v>11</v>
      </c>
    </row>
    <row r="5967" spans="1:49">
      <c r="A5967" s="3" t="s">
        <v>5943</v>
      </c>
      <c r="B5967">
        <v>7</v>
      </c>
      <c r="C5967">
        <v>6</v>
      </c>
      <c r="AW5967">
        <v>53</v>
      </c>
    </row>
    <row r="5968" spans="1:49">
      <c r="A5968" s="3" t="s">
        <v>5944</v>
      </c>
      <c r="B5968">
        <v>7</v>
      </c>
      <c r="C5968">
        <v>6</v>
      </c>
      <c r="AW5968">
        <v>53</v>
      </c>
    </row>
    <row r="5969" spans="1:49">
      <c r="A5969" s="3" t="s">
        <v>5945</v>
      </c>
      <c r="B5969">
        <v>7</v>
      </c>
      <c r="C5969">
        <v>6</v>
      </c>
      <c r="AW5969">
        <v>53</v>
      </c>
    </row>
    <row r="5970" spans="1:49">
      <c r="A5970" s="3" t="s">
        <v>5946</v>
      </c>
      <c r="B5970">
        <v>7</v>
      </c>
      <c r="C5970">
        <v>6</v>
      </c>
      <c r="AW5970">
        <v>53</v>
      </c>
    </row>
    <row r="5971" spans="1:49">
      <c r="A5971" s="3" t="s">
        <v>5947</v>
      </c>
      <c r="B5971">
        <v>7</v>
      </c>
      <c r="C5971">
        <v>6</v>
      </c>
      <c r="AW5971">
        <v>53</v>
      </c>
    </row>
    <row r="5972" spans="1:49">
      <c r="A5972" s="3" t="s">
        <v>5948</v>
      </c>
      <c r="B5972">
        <v>7</v>
      </c>
      <c r="C5972">
        <v>6</v>
      </c>
      <c r="AW5972">
        <v>53</v>
      </c>
    </row>
    <row r="5973" spans="1:49">
      <c r="A5973" s="3" t="s">
        <v>5949</v>
      </c>
      <c r="B5973">
        <v>7</v>
      </c>
      <c r="C5973">
        <v>6</v>
      </c>
      <c r="AW5973">
        <v>53</v>
      </c>
    </row>
    <row r="5974" spans="1:49">
      <c r="A5974" s="3" t="s">
        <v>5950</v>
      </c>
      <c r="B5974">
        <v>7</v>
      </c>
      <c r="C5974">
        <v>6</v>
      </c>
      <c r="AW5974">
        <v>53</v>
      </c>
    </row>
    <row r="5975" spans="1:49">
      <c r="A5975" s="3" t="s">
        <v>5951</v>
      </c>
      <c r="B5975">
        <v>7</v>
      </c>
      <c r="C5975">
        <v>6</v>
      </c>
      <c r="AW5975">
        <v>53</v>
      </c>
    </row>
    <row r="5976" spans="1:49">
      <c r="A5976" s="3" t="s">
        <v>5952</v>
      </c>
      <c r="B5976">
        <v>7</v>
      </c>
      <c r="C5976">
        <v>6</v>
      </c>
      <c r="AW5976">
        <v>53</v>
      </c>
    </row>
    <row r="5977" spans="1:49">
      <c r="A5977" s="3" t="s">
        <v>5953</v>
      </c>
      <c r="B5977">
        <v>7</v>
      </c>
      <c r="C5977">
        <v>6</v>
      </c>
      <c r="J5977">
        <v>86</v>
      </c>
    </row>
    <row r="5978" spans="1:49">
      <c r="A5978" s="3" t="s">
        <v>5954</v>
      </c>
      <c r="B5978">
        <v>7</v>
      </c>
      <c r="C5978">
        <v>6</v>
      </c>
      <c r="J5978">
        <v>86</v>
      </c>
    </row>
    <row r="5979" spans="1:49">
      <c r="A5979" s="3" t="s">
        <v>5955</v>
      </c>
      <c r="B5979">
        <v>7</v>
      </c>
      <c r="C5979">
        <v>6</v>
      </c>
      <c r="J5979">
        <v>86</v>
      </c>
    </row>
    <row r="5980" spans="1:49">
      <c r="A5980" s="3" t="s">
        <v>5956</v>
      </c>
      <c r="B5980">
        <v>7</v>
      </c>
      <c r="C5980">
        <v>6</v>
      </c>
      <c r="AU5980">
        <v>8</v>
      </c>
    </row>
    <row r="5981" spans="1:49">
      <c r="A5981" s="3" t="s">
        <v>5957</v>
      </c>
      <c r="B5981">
        <v>7</v>
      </c>
      <c r="C5981">
        <v>6</v>
      </c>
      <c r="AU5981">
        <v>8</v>
      </c>
    </row>
    <row r="5982" spans="1:49">
      <c r="A5982" s="3" t="s">
        <v>5958</v>
      </c>
      <c r="B5982">
        <v>7</v>
      </c>
      <c r="C5982">
        <v>6</v>
      </c>
      <c r="AU5982">
        <v>8</v>
      </c>
    </row>
    <row r="5983" spans="1:49">
      <c r="A5983" s="3" t="s">
        <v>5959</v>
      </c>
      <c r="B5983">
        <v>7</v>
      </c>
      <c r="C5983">
        <v>6</v>
      </c>
      <c r="AU5983">
        <v>8</v>
      </c>
    </row>
    <row r="5984" spans="1:49">
      <c r="A5984" s="3" t="s">
        <v>5960</v>
      </c>
      <c r="B5984">
        <v>7</v>
      </c>
      <c r="C5984">
        <v>6</v>
      </c>
      <c r="AU5984">
        <v>8</v>
      </c>
    </row>
    <row r="5985" spans="1:47">
      <c r="A5985" s="3" t="s">
        <v>5961</v>
      </c>
      <c r="B5985">
        <v>7</v>
      </c>
      <c r="C5985">
        <v>6</v>
      </c>
      <c r="AU5985">
        <v>8</v>
      </c>
    </row>
    <row r="5986" spans="1:47">
      <c r="A5986" s="3" t="s">
        <v>5962</v>
      </c>
      <c r="B5986">
        <v>7</v>
      </c>
      <c r="C5986">
        <v>6</v>
      </c>
      <c r="AU5986">
        <v>8</v>
      </c>
    </row>
    <row r="5987" spans="1:47">
      <c r="A5987" s="3" t="s">
        <v>5963</v>
      </c>
      <c r="B5987">
        <v>7</v>
      </c>
      <c r="C5987">
        <v>6</v>
      </c>
      <c r="AU5987">
        <v>8</v>
      </c>
    </row>
    <row r="5988" spans="1:47">
      <c r="A5988" s="3" t="s">
        <v>5964</v>
      </c>
      <c r="B5988">
        <v>7</v>
      </c>
      <c r="C5988">
        <v>6</v>
      </c>
      <c r="AU5988">
        <v>8</v>
      </c>
    </row>
    <row r="5989" spans="1:47">
      <c r="A5989" s="3" t="s">
        <v>5965</v>
      </c>
      <c r="B5989">
        <v>7</v>
      </c>
      <c r="C5989">
        <v>6</v>
      </c>
      <c r="J5989">
        <v>87</v>
      </c>
    </row>
    <row r="5990" spans="1:47">
      <c r="A5990" s="3" t="s">
        <v>5966</v>
      </c>
      <c r="C5990">
        <v>6</v>
      </c>
      <c r="J5990">
        <v>87</v>
      </c>
    </row>
    <row r="5991" spans="1:47">
      <c r="A5991" s="3" t="s">
        <v>5967</v>
      </c>
      <c r="C5991">
        <v>6</v>
      </c>
      <c r="J5991">
        <v>87</v>
      </c>
    </row>
    <row r="5992" spans="1:47">
      <c r="A5992" s="3" t="s">
        <v>5968</v>
      </c>
      <c r="C5992">
        <v>6</v>
      </c>
      <c r="J5992">
        <v>87</v>
      </c>
    </row>
    <row r="5993" spans="1:47">
      <c r="A5993" s="3" t="s">
        <v>5969</v>
      </c>
      <c r="C5993">
        <v>6</v>
      </c>
      <c r="T5993">
        <v>3</v>
      </c>
    </row>
    <row r="5994" spans="1:47">
      <c r="A5994" s="3" t="s">
        <v>5970</v>
      </c>
      <c r="C5994">
        <v>6</v>
      </c>
      <c r="T5994">
        <v>3</v>
      </c>
    </row>
    <row r="5995" spans="1:47">
      <c r="A5995" s="3" t="s">
        <v>5971</v>
      </c>
      <c r="C5995">
        <v>6</v>
      </c>
      <c r="T5995">
        <v>3</v>
      </c>
    </row>
    <row r="5996" spans="1:47">
      <c r="A5996" s="3" t="s">
        <v>5972</v>
      </c>
      <c r="C5996">
        <v>6</v>
      </c>
      <c r="T5996">
        <v>3</v>
      </c>
    </row>
    <row r="5997" spans="1:47">
      <c r="A5997" s="3" t="s">
        <v>5973</v>
      </c>
      <c r="C5997">
        <v>6</v>
      </c>
      <c r="T5997">
        <v>3</v>
      </c>
    </row>
    <row r="5998" spans="1:47">
      <c r="A5998" s="3" t="s">
        <v>5974</v>
      </c>
      <c r="C5998">
        <v>6</v>
      </c>
      <c r="T5998">
        <v>3</v>
      </c>
    </row>
    <row r="5999" spans="1:47">
      <c r="A5999" s="3" t="s">
        <v>5975</v>
      </c>
      <c r="C5999">
        <v>6</v>
      </c>
      <c r="T5999">
        <v>3</v>
      </c>
    </row>
    <row r="6000" spans="1:47">
      <c r="A6000" s="3" t="s">
        <v>5976</v>
      </c>
      <c r="C6000">
        <v>6</v>
      </c>
      <c r="T6000">
        <v>3</v>
      </c>
    </row>
    <row r="6001" spans="1:47">
      <c r="A6001" s="3" t="s">
        <v>5977</v>
      </c>
      <c r="C6001">
        <v>6</v>
      </c>
      <c r="T6001">
        <v>3</v>
      </c>
    </row>
    <row r="6002" spans="1:47">
      <c r="A6002" s="3" t="s">
        <v>5978</v>
      </c>
      <c r="C6002">
        <v>6</v>
      </c>
      <c r="T6002">
        <v>3</v>
      </c>
    </row>
    <row r="6003" spans="1:47">
      <c r="A6003" s="3" t="s">
        <v>5979</v>
      </c>
      <c r="C6003">
        <v>6</v>
      </c>
      <c r="T6003">
        <v>3</v>
      </c>
    </row>
    <row r="6004" spans="1:47">
      <c r="A6004" s="3" t="s">
        <v>5980</v>
      </c>
      <c r="C6004">
        <v>6</v>
      </c>
      <c r="T6004">
        <v>3</v>
      </c>
    </row>
    <row r="6005" spans="1:47">
      <c r="A6005" s="3" t="s">
        <v>5981</v>
      </c>
      <c r="C6005">
        <v>6</v>
      </c>
      <c r="AU6005">
        <v>9</v>
      </c>
    </row>
    <row r="6006" spans="1:47">
      <c r="A6006" s="3" t="s">
        <v>5982</v>
      </c>
      <c r="C6006">
        <v>6</v>
      </c>
      <c r="AU6006">
        <v>9</v>
      </c>
    </row>
    <row r="6007" spans="1:47">
      <c r="A6007" s="3" t="s">
        <v>5983</v>
      </c>
      <c r="C6007">
        <v>6</v>
      </c>
      <c r="AU6007">
        <v>9</v>
      </c>
    </row>
    <row r="6008" spans="1:47">
      <c r="A6008" s="3" t="s">
        <v>5984</v>
      </c>
      <c r="C6008">
        <v>6</v>
      </c>
      <c r="AU6008">
        <v>9</v>
      </c>
    </row>
    <row r="6009" spans="1:47">
      <c r="A6009" s="3" t="s">
        <v>5985</v>
      </c>
      <c r="C6009">
        <v>6</v>
      </c>
      <c r="AU6009">
        <v>9</v>
      </c>
    </row>
    <row r="6010" spans="1:47">
      <c r="A6010" s="3" t="s">
        <v>5986</v>
      </c>
      <c r="C6010">
        <v>6</v>
      </c>
      <c r="AU6010">
        <v>9</v>
      </c>
    </row>
    <row r="6011" spans="1:47">
      <c r="A6011" s="3" t="s">
        <v>5987</v>
      </c>
      <c r="C6011">
        <v>6</v>
      </c>
      <c r="AU6011">
        <v>9</v>
      </c>
    </row>
    <row r="6012" spans="1:47">
      <c r="A6012" s="3" t="s">
        <v>5988</v>
      </c>
      <c r="C6012">
        <v>6</v>
      </c>
      <c r="AU6012">
        <v>9</v>
      </c>
    </row>
    <row r="6013" spans="1:47">
      <c r="A6013" s="3" t="s">
        <v>5989</v>
      </c>
      <c r="C6013">
        <v>6</v>
      </c>
      <c r="AU6013">
        <v>9</v>
      </c>
    </row>
    <row r="6014" spans="1:47">
      <c r="A6014" s="3" t="s">
        <v>5990</v>
      </c>
      <c r="C6014">
        <v>6</v>
      </c>
      <c r="J6014">
        <v>88</v>
      </c>
    </row>
    <row r="6015" spans="1:47">
      <c r="A6015" s="3" t="s">
        <v>5991</v>
      </c>
      <c r="C6015">
        <v>6</v>
      </c>
      <c r="J6015">
        <v>88</v>
      </c>
    </row>
    <row r="6016" spans="1:47">
      <c r="A6016" s="3" t="s">
        <v>5992</v>
      </c>
      <c r="C6016">
        <v>6</v>
      </c>
      <c r="J6016">
        <v>88</v>
      </c>
    </row>
    <row r="6017" spans="1:18">
      <c r="A6017" s="3" t="s">
        <v>5993</v>
      </c>
      <c r="C6017">
        <v>6</v>
      </c>
      <c r="J6017">
        <v>88</v>
      </c>
    </row>
    <row r="6018" spans="1:18">
      <c r="A6018" s="3" t="s">
        <v>5994</v>
      </c>
      <c r="C6018">
        <v>6</v>
      </c>
      <c r="J6018">
        <v>88</v>
      </c>
    </row>
    <row r="6019" spans="1:18">
      <c r="A6019" s="3" t="s">
        <v>5995</v>
      </c>
      <c r="C6019">
        <v>6</v>
      </c>
      <c r="J6019">
        <v>88</v>
      </c>
    </row>
    <row r="6020" spans="1:18">
      <c r="A6020" s="3" t="s">
        <v>5996</v>
      </c>
      <c r="C6020">
        <v>6</v>
      </c>
      <c r="R6020">
        <v>1</v>
      </c>
    </row>
    <row r="6021" spans="1:18">
      <c r="A6021" s="3" t="s">
        <v>5997</v>
      </c>
      <c r="C6021">
        <v>6</v>
      </c>
      <c r="R6021">
        <v>1</v>
      </c>
    </row>
    <row r="6022" spans="1:18">
      <c r="A6022" s="3" t="s">
        <v>5998</v>
      </c>
      <c r="C6022">
        <v>6</v>
      </c>
      <c r="R6022">
        <v>1</v>
      </c>
    </row>
    <row r="6023" spans="1:18">
      <c r="A6023" s="3" t="s">
        <v>5999</v>
      </c>
      <c r="C6023">
        <v>6</v>
      </c>
      <c r="R6023">
        <v>1</v>
      </c>
    </row>
    <row r="6024" spans="1:18">
      <c r="A6024" s="3" t="s">
        <v>6000</v>
      </c>
      <c r="C6024">
        <v>6</v>
      </c>
      <c r="R6024">
        <v>1</v>
      </c>
    </row>
    <row r="6025" spans="1:18">
      <c r="A6025" s="3" t="s">
        <v>6001</v>
      </c>
      <c r="C6025">
        <v>6</v>
      </c>
      <c r="R6025">
        <v>1</v>
      </c>
    </row>
    <row r="6026" spans="1:18">
      <c r="A6026" s="3" t="s">
        <v>6002</v>
      </c>
      <c r="C6026">
        <v>6</v>
      </c>
      <c r="R6026">
        <v>1</v>
      </c>
    </row>
    <row r="6027" spans="1:18">
      <c r="A6027" s="3" t="s">
        <v>6003</v>
      </c>
      <c r="C6027">
        <v>6</v>
      </c>
      <c r="R6027">
        <v>1</v>
      </c>
    </row>
    <row r="6028" spans="1:18">
      <c r="A6028" s="3" t="s">
        <v>6004</v>
      </c>
      <c r="C6028">
        <v>6</v>
      </c>
      <c r="R6028">
        <v>1</v>
      </c>
    </row>
    <row r="6029" spans="1:18">
      <c r="A6029" s="3" t="s">
        <v>6005</v>
      </c>
      <c r="C6029">
        <v>6</v>
      </c>
      <c r="R6029">
        <v>1</v>
      </c>
    </row>
    <row r="6030" spans="1:18">
      <c r="A6030" s="3" t="s">
        <v>6006</v>
      </c>
      <c r="C6030">
        <v>6</v>
      </c>
      <c r="R6030">
        <v>1</v>
      </c>
    </row>
    <row r="6031" spans="1:18">
      <c r="A6031" s="3" t="s">
        <v>6007</v>
      </c>
      <c r="C6031">
        <v>6</v>
      </c>
      <c r="R6031">
        <v>1</v>
      </c>
    </row>
    <row r="6032" spans="1:18">
      <c r="A6032" s="3" t="s">
        <v>6008</v>
      </c>
      <c r="C6032">
        <v>6</v>
      </c>
      <c r="R6032">
        <v>1</v>
      </c>
    </row>
    <row r="6033" spans="1:18">
      <c r="A6033" s="3" t="s">
        <v>6009</v>
      </c>
      <c r="C6033">
        <v>6</v>
      </c>
      <c r="R6033">
        <v>1</v>
      </c>
    </row>
    <row r="6034" spans="1:18">
      <c r="A6034" s="3" t="s">
        <v>6010</v>
      </c>
      <c r="C6034">
        <v>6</v>
      </c>
      <c r="R6034">
        <v>1</v>
      </c>
    </row>
    <row r="6035" spans="1:18">
      <c r="A6035" s="3" t="s">
        <v>6011</v>
      </c>
      <c r="C6035">
        <v>6</v>
      </c>
      <c r="R6035">
        <v>1</v>
      </c>
    </row>
    <row r="6036" spans="1:18">
      <c r="A6036" s="3" t="s">
        <v>6012</v>
      </c>
      <c r="C6036">
        <v>6</v>
      </c>
      <c r="R6036">
        <v>1</v>
      </c>
    </row>
    <row r="6037" spans="1:18">
      <c r="A6037" s="3" t="s">
        <v>6013</v>
      </c>
      <c r="C6037">
        <v>6</v>
      </c>
      <c r="R6037">
        <v>1</v>
      </c>
    </row>
    <row r="6038" spans="1:18">
      <c r="A6038" s="3" t="s">
        <v>6014</v>
      </c>
      <c r="C6038">
        <v>6</v>
      </c>
      <c r="R6038">
        <v>1</v>
      </c>
    </row>
    <row r="6039" spans="1:18">
      <c r="A6039" s="3" t="s">
        <v>6015</v>
      </c>
      <c r="C6039">
        <v>6</v>
      </c>
      <c r="R6039">
        <v>1</v>
      </c>
    </row>
    <row r="6040" spans="1:18">
      <c r="A6040" s="3" t="s">
        <v>6016</v>
      </c>
      <c r="C6040">
        <v>6</v>
      </c>
      <c r="R6040">
        <v>1</v>
      </c>
    </row>
    <row r="6041" spans="1:18">
      <c r="A6041" s="3" t="s">
        <v>6017</v>
      </c>
      <c r="C6041">
        <v>6</v>
      </c>
      <c r="R6041">
        <v>1</v>
      </c>
    </row>
    <row r="6042" spans="1:18">
      <c r="A6042" s="3" t="s">
        <v>6018</v>
      </c>
      <c r="C6042">
        <v>6</v>
      </c>
      <c r="R6042">
        <v>1</v>
      </c>
    </row>
    <row r="6043" spans="1:18">
      <c r="A6043" s="3" t="s">
        <v>6019</v>
      </c>
      <c r="C6043">
        <v>6</v>
      </c>
      <c r="R6043">
        <v>1</v>
      </c>
    </row>
    <row r="6044" spans="1:18">
      <c r="A6044" s="3" t="s">
        <v>6020</v>
      </c>
      <c r="C6044">
        <v>6</v>
      </c>
      <c r="R6044">
        <v>1</v>
      </c>
    </row>
    <row r="6045" spans="1:18">
      <c r="A6045" s="3" t="s">
        <v>6021</v>
      </c>
      <c r="C6045">
        <v>6</v>
      </c>
      <c r="R6045">
        <v>1</v>
      </c>
    </row>
    <row r="6046" spans="1:18">
      <c r="A6046" s="3" t="s">
        <v>6022</v>
      </c>
      <c r="C6046">
        <v>6</v>
      </c>
      <c r="R6046">
        <v>1</v>
      </c>
    </row>
    <row r="6047" spans="1:18">
      <c r="A6047" s="3" t="s">
        <v>6023</v>
      </c>
      <c r="C6047">
        <v>6</v>
      </c>
      <c r="R6047">
        <v>1</v>
      </c>
    </row>
    <row r="6048" spans="1:18">
      <c r="A6048" s="3" t="s">
        <v>6024</v>
      </c>
      <c r="C6048">
        <v>6</v>
      </c>
      <c r="R6048">
        <v>1</v>
      </c>
    </row>
    <row r="6049" spans="1:19">
      <c r="A6049" s="3" t="s">
        <v>6025</v>
      </c>
      <c r="C6049">
        <v>6</v>
      </c>
      <c r="R6049">
        <v>1</v>
      </c>
    </row>
    <row r="6050" spans="1:19">
      <c r="A6050" s="3" t="s">
        <v>6026</v>
      </c>
      <c r="C6050">
        <v>6</v>
      </c>
      <c r="R6050">
        <v>1</v>
      </c>
    </row>
    <row r="6051" spans="1:19">
      <c r="A6051" s="3" t="s">
        <v>6027</v>
      </c>
      <c r="C6051">
        <v>6</v>
      </c>
      <c r="R6051">
        <v>1</v>
      </c>
    </row>
    <row r="6052" spans="1:19">
      <c r="A6052" s="3" t="s">
        <v>6028</v>
      </c>
      <c r="C6052">
        <v>6</v>
      </c>
      <c r="R6052">
        <v>1</v>
      </c>
    </row>
    <row r="6053" spans="1:19">
      <c r="A6053" s="3" t="s">
        <v>6029</v>
      </c>
      <c r="C6053">
        <v>6</v>
      </c>
      <c r="R6053">
        <v>1</v>
      </c>
    </row>
    <row r="6054" spans="1:19">
      <c r="A6054" s="3" t="s">
        <v>6030</v>
      </c>
      <c r="C6054">
        <v>6</v>
      </c>
      <c r="R6054">
        <v>1</v>
      </c>
    </row>
    <row r="6055" spans="1:19">
      <c r="A6055" s="3" t="s">
        <v>6031</v>
      </c>
      <c r="C6055">
        <v>6</v>
      </c>
      <c r="S6055">
        <v>1</v>
      </c>
    </row>
    <row r="6056" spans="1:19">
      <c r="A6056" s="3" t="s">
        <v>6032</v>
      </c>
      <c r="C6056">
        <v>6</v>
      </c>
      <c r="S6056">
        <v>1</v>
      </c>
    </row>
    <row r="6057" spans="1:19">
      <c r="A6057" s="3" t="s">
        <v>6033</v>
      </c>
      <c r="C6057">
        <v>6</v>
      </c>
      <c r="S6057">
        <v>1</v>
      </c>
    </row>
    <row r="6058" spans="1:19">
      <c r="A6058" s="3" t="s">
        <v>6034</v>
      </c>
      <c r="C6058">
        <v>6</v>
      </c>
      <c r="S6058">
        <v>1</v>
      </c>
    </row>
    <row r="6059" spans="1:19">
      <c r="A6059" s="3" t="s">
        <v>6035</v>
      </c>
      <c r="C6059">
        <v>6</v>
      </c>
      <c r="S6059">
        <v>1</v>
      </c>
    </row>
    <row r="6060" spans="1:19">
      <c r="A6060" s="3" t="s">
        <v>6036</v>
      </c>
      <c r="C6060">
        <v>6</v>
      </c>
      <c r="S6060">
        <v>1</v>
      </c>
    </row>
    <row r="6061" spans="1:19">
      <c r="A6061" s="3" t="s">
        <v>6037</v>
      </c>
      <c r="C6061">
        <v>6</v>
      </c>
      <c r="S6061">
        <v>1</v>
      </c>
    </row>
    <row r="6062" spans="1:19">
      <c r="A6062" s="3" t="s">
        <v>6038</v>
      </c>
      <c r="C6062">
        <v>6</v>
      </c>
      <c r="S6062">
        <v>1</v>
      </c>
    </row>
    <row r="6063" spans="1:19">
      <c r="A6063" s="3" t="s">
        <v>6039</v>
      </c>
      <c r="C6063">
        <v>6</v>
      </c>
      <c r="S6063">
        <v>1</v>
      </c>
    </row>
    <row r="6064" spans="1:19">
      <c r="A6064" s="3" t="s">
        <v>6040</v>
      </c>
      <c r="C6064">
        <v>6</v>
      </c>
      <c r="S6064">
        <v>1</v>
      </c>
    </row>
    <row r="6065" spans="1:19">
      <c r="A6065" s="3" t="s">
        <v>6041</v>
      </c>
      <c r="C6065">
        <v>6</v>
      </c>
      <c r="S6065">
        <v>1</v>
      </c>
    </row>
    <row r="6066" spans="1:19">
      <c r="A6066" s="3" t="s">
        <v>6042</v>
      </c>
      <c r="C6066">
        <v>6</v>
      </c>
      <c r="S6066">
        <v>1</v>
      </c>
    </row>
    <row r="6067" spans="1:19">
      <c r="A6067" s="3" t="s">
        <v>6043</v>
      </c>
      <c r="C6067">
        <v>6</v>
      </c>
      <c r="S6067">
        <v>1</v>
      </c>
    </row>
    <row r="6068" spans="1:19">
      <c r="A6068" s="3" t="s">
        <v>6044</v>
      </c>
      <c r="C6068">
        <v>6</v>
      </c>
      <c r="S6068">
        <v>1</v>
      </c>
    </row>
    <row r="6069" spans="1:19">
      <c r="A6069" s="3" t="s">
        <v>6045</v>
      </c>
      <c r="C6069">
        <v>6</v>
      </c>
      <c r="S6069">
        <v>1</v>
      </c>
    </row>
    <row r="6070" spans="1:19">
      <c r="A6070" s="3" t="s">
        <v>6046</v>
      </c>
      <c r="C6070">
        <v>6</v>
      </c>
      <c r="S6070">
        <v>1</v>
      </c>
    </row>
    <row r="6071" spans="1:19">
      <c r="A6071" s="3" t="s">
        <v>6047</v>
      </c>
      <c r="C6071">
        <v>6</v>
      </c>
      <c r="S6071">
        <v>1</v>
      </c>
    </row>
    <row r="6072" spans="1:19">
      <c r="A6072" s="3" t="s">
        <v>6048</v>
      </c>
      <c r="C6072">
        <v>6</v>
      </c>
      <c r="S6072">
        <v>1</v>
      </c>
    </row>
    <row r="6073" spans="1:19">
      <c r="A6073" s="3" t="s">
        <v>6049</v>
      </c>
      <c r="C6073">
        <v>6</v>
      </c>
      <c r="S6073">
        <v>1</v>
      </c>
    </row>
    <row r="6074" spans="1:19">
      <c r="A6074" s="3" t="s">
        <v>6050</v>
      </c>
      <c r="C6074">
        <v>6</v>
      </c>
      <c r="S6074">
        <v>1</v>
      </c>
    </row>
    <row r="6075" spans="1:19">
      <c r="A6075" s="3" t="s">
        <v>6051</v>
      </c>
      <c r="C6075">
        <v>6</v>
      </c>
      <c r="S6075">
        <v>1</v>
      </c>
    </row>
    <row r="6076" spans="1:19">
      <c r="A6076" s="3" t="s">
        <v>6052</v>
      </c>
      <c r="C6076">
        <v>6</v>
      </c>
      <c r="S6076">
        <v>1</v>
      </c>
    </row>
    <row r="6077" spans="1:19">
      <c r="A6077" s="3" t="s">
        <v>6053</v>
      </c>
      <c r="C6077">
        <v>6</v>
      </c>
      <c r="S6077">
        <v>1</v>
      </c>
    </row>
    <row r="6078" spans="1:19">
      <c r="A6078" s="3" t="s">
        <v>6054</v>
      </c>
      <c r="C6078">
        <v>6</v>
      </c>
      <c r="S6078">
        <v>1</v>
      </c>
    </row>
    <row r="6079" spans="1:19">
      <c r="A6079" s="3" t="s">
        <v>6055</v>
      </c>
      <c r="C6079">
        <v>6</v>
      </c>
      <c r="S6079">
        <v>1</v>
      </c>
    </row>
    <row r="6080" spans="1:19">
      <c r="A6080" s="3" t="s">
        <v>6056</v>
      </c>
      <c r="C6080">
        <v>6</v>
      </c>
      <c r="S6080">
        <v>1</v>
      </c>
    </row>
    <row r="6081" spans="1:19">
      <c r="A6081" s="3" t="s">
        <v>6057</v>
      </c>
      <c r="C6081">
        <v>6</v>
      </c>
      <c r="S6081">
        <v>1</v>
      </c>
    </row>
    <row r="6082" spans="1:19">
      <c r="A6082" s="3" t="s">
        <v>6058</v>
      </c>
      <c r="C6082">
        <v>6</v>
      </c>
      <c r="S6082">
        <v>1</v>
      </c>
    </row>
    <row r="6083" spans="1:19">
      <c r="A6083" s="3" t="s">
        <v>6059</v>
      </c>
      <c r="C6083">
        <v>6</v>
      </c>
      <c r="S6083">
        <v>1</v>
      </c>
    </row>
    <row r="6084" spans="1:19">
      <c r="A6084" s="3" t="s">
        <v>6060</v>
      </c>
      <c r="C6084">
        <v>6</v>
      </c>
      <c r="S6084">
        <v>1</v>
      </c>
    </row>
    <row r="6085" spans="1:19">
      <c r="A6085" s="3" t="s">
        <v>6061</v>
      </c>
      <c r="C6085">
        <v>6</v>
      </c>
      <c r="S6085">
        <v>1</v>
      </c>
    </row>
    <row r="6086" spans="1:19">
      <c r="A6086" s="3" t="s">
        <v>6062</v>
      </c>
      <c r="C6086">
        <v>6</v>
      </c>
      <c r="S6086">
        <v>1</v>
      </c>
    </row>
    <row r="6087" spans="1:19">
      <c r="A6087" s="3" t="s">
        <v>6063</v>
      </c>
      <c r="C6087">
        <v>6</v>
      </c>
      <c r="S6087">
        <v>1</v>
      </c>
    </row>
    <row r="6088" spans="1:19">
      <c r="A6088" s="3" t="s">
        <v>6064</v>
      </c>
      <c r="C6088">
        <v>6</v>
      </c>
      <c r="S6088">
        <v>1</v>
      </c>
    </row>
    <row r="6089" spans="1:19">
      <c r="A6089" s="3" t="s">
        <v>6065</v>
      </c>
      <c r="C6089">
        <v>6</v>
      </c>
      <c r="S6089">
        <v>1</v>
      </c>
    </row>
    <row r="6090" spans="1:19">
      <c r="A6090" s="3" t="s">
        <v>6066</v>
      </c>
      <c r="C6090">
        <v>6</v>
      </c>
      <c r="S6090">
        <v>1</v>
      </c>
    </row>
    <row r="6091" spans="1:19">
      <c r="A6091" s="3" t="s">
        <v>6067</v>
      </c>
      <c r="C6091">
        <v>6</v>
      </c>
      <c r="S6091">
        <v>1</v>
      </c>
    </row>
    <row r="6092" spans="1:19">
      <c r="A6092" s="3" t="s">
        <v>6068</v>
      </c>
      <c r="C6092">
        <v>6</v>
      </c>
      <c r="S6092">
        <v>1</v>
      </c>
    </row>
    <row r="6093" spans="1:19">
      <c r="A6093" s="3" t="s">
        <v>6069</v>
      </c>
      <c r="C6093">
        <v>6</v>
      </c>
      <c r="S6093">
        <v>1</v>
      </c>
    </row>
    <row r="6094" spans="1:19">
      <c r="A6094" s="3" t="s">
        <v>6070</v>
      </c>
      <c r="C6094">
        <v>6</v>
      </c>
      <c r="S6094">
        <v>1</v>
      </c>
    </row>
    <row r="6095" spans="1:19">
      <c r="A6095" s="3" t="s">
        <v>6071</v>
      </c>
      <c r="C6095">
        <v>6</v>
      </c>
      <c r="S6095">
        <v>1</v>
      </c>
    </row>
    <row r="6096" spans="1:19">
      <c r="A6096" s="3" t="s">
        <v>6072</v>
      </c>
      <c r="C6096">
        <v>6</v>
      </c>
      <c r="S6096">
        <v>1</v>
      </c>
    </row>
    <row r="6097" spans="1:19">
      <c r="A6097" s="3" t="s">
        <v>6073</v>
      </c>
      <c r="C6097">
        <v>6</v>
      </c>
      <c r="S6097">
        <v>1</v>
      </c>
    </row>
    <row r="6098" spans="1:19">
      <c r="A6098" s="3" t="s">
        <v>6074</v>
      </c>
      <c r="C6098">
        <v>6</v>
      </c>
      <c r="S6098">
        <v>1</v>
      </c>
    </row>
    <row r="6099" spans="1:19">
      <c r="A6099" s="3" t="s">
        <v>6075</v>
      </c>
      <c r="C6099">
        <v>6</v>
      </c>
      <c r="S6099">
        <v>1</v>
      </c>
    </row>
    <row r="6100" spans="1:19">
      <c r="A6100" s="3" t="s">
        <v>6076</v>
      </c>
      <c r="C6100">
        <v>6</v>
      </c>
      <c r="S6100">
        <v>1</v>
      </c>
    </row>
    <row r="6101" spans="1:19">
      <c r="A6101" s="3" t="s">
        <v>6077</v>
      </c>
      <c r="C6101">
        <v>6</v>
      </c>
      <c r="S6101">
        <v>1</v>
      </c>
    </row>
    <row r="6102" spans="1:19">
      <c r="A6102" s="3" t="s">
        <v>6078</v>
      </c>
      <c r="C6102">
        <v>6</v>
      </c>
      <c r="S6102">
        <v>1</v>
      </c>
    </row>
    <row r="6103" spans="1:19">
      <c r="A6103" s="3" t="s">
        <v>6079</v>
      </c>
      <c r="C6103">
        <v>6</v>
      </c>
      <c r="S6103">
        <v>1</v>
      </c>
    </row>
    <row r="6104" spans="1:19">
      <c r="A6104" s="3" t="s">
        <v>6080</v>
      </c>
      <c r="C6104">
        <v>6</v>
      </c>
      <c r="S6104">
        <v>1</v>
      </c>
    </row>
    <row r="6105" spans="1:19">
      <c r="A6105" s="3" t="s">
        <v>6081</v>
      </c>
      <c r="C6105">
        <v>6</v>
      </c>
      <c r="S6105">
        <v>1</v>
      </c>
    </row>
    <row r="6106" spans="1:19">
      <c r="A6106" s="3" t="s">
        <v>6082</v>
      </c>
      <c r="C6106">
        <v>6</v>
      </c>
      <c r="S6106">
        <v>1</v>
      </c>
    </row>
    <row r="6107" spans="1:19">
      <c r="A6107" s="3" t="s">
        <v>6083</v>
      </c>
      <c r="C6107">
        <v>6</v>
      </c>
      <c r="S6107">
        <v>1</v>
      </c>
    </row>
    <row r="6108" spans="1:19">
      <c r="A6108" s="3" t="s">
        <v>6084</v>
      </c>
      <c r="C6108">
        <v>6</v>
      </c>
      <c r="S6108">
        <v>1</v>
      </c>
    </row>
    <row r="6109" spans="1:19">
      <c r="A6109" s="3" t="s">
        <v>6085</v>
      </c>
      <c r="C6109">
        <v>6</v>
      </c>
      <c r="S6109">
        <v>1</v>
      </c>
    </row>
    <row r="6110" spans="1:19">
      <c r="A6110" s="3" t="s">
        <v>6086</v>
      </c>
      <c r="C6110">
        <v>6</v>
      </c>
      <c r="J6110">
        <v>89</v>
      </c>
    </row>
    <row r="6111" spans="1:19">
      <c r="A6111" s="3" t="s">
        <v>6087</v>
      </c>
      <c r="C6111">
        <v>6</v>
      </c>
      <c r="J6111">
        <v>89</v>
      </c>
    </row>
    <row r="6112" spans="1:19">
      <c r="A6112" s="3" t="s">
        <v>6088</v>
      </c>
      <c r="C6112">
        <v>6</v>
      </c>
      <c r="J6112">
        <v>89</v>
      </c>
    </row>
    <row r="6113" spans="1:10">
      <c r="A6113" s="3" t="s">
        <v>6089</v>
      </c>
      <c r="C6113">
        <v>6</v>
      </c>
      <c r="J6113">
        <v>89</v>
      </c>
    </row>
    <row r="6114" spans="1:10">
      <c r="A6114" s="3" t="s">
        <v>6090</v>
      </c>
      <c r="C6114">
        <v>6</v>
      </c>
      <c r="J6114">
        <v>89</v>
      </c>
    </row>
    <row r="6115" spans="1:10">
      <c r="A6115" s="3" t="s">
        <v>6091</v>
      </c>
      <c r="C6115">
        <v>6</v>
      </c>
      <c r="J6115">
        <v>89</v>
      </c>
    </row>
    <row r="6116" spans="1:10">
      <c r="A6116" s="3" t="s">
        <v>6092</v>
      </c>
      <c r="C6116">
        <v>6</v>
      </c>
      <c r="J6116">
        <v>89</v>
      </c>
    </row>
    <row r="6117" spans="1:10">
      <c r="A6117" s="3" t="s">
        <v>6093</v>
      </c>
      <c r="C6117">
        <v>6</v>
      </c>
      <c r="J6117">
        <v>89</v>
      </c>
    </row>
    <row r="6118" spans="1:10">
      <c r="A6118" s="3" t="s">
        <v>6094</v>
      </c>
      <c r="C6118">
        <v>6</v>
      </c>
      <c r="J6118">
        <v>89</v>
      </c>
    </row>
    <row r="6119" spans="1:10">
      <c r="A6119" s="3" t="s">
        <v>6095</v>
      </c>
      <c r="C6119">
        <v>6</v>
      </c>
      <c r="J6119">
        <v>89</v>
      </c>
    </row>
    <row r="6120" spans="1:10">
      <c r="A6120" s="3" t="s">
        <v>6096</v>
      </c>
      <c r="C6120">
        <v>6</v>
      </c>
      <c r="J6120">
        <v>89</v>
      </c>
    </row>
    <row r="6121" spans="1:10">
      <c r="A6121" s="3" t="s">
        <v>6097</v>
      </c>
      <c r="C6121">
        <v>6</v>
      </c>
      <c r="J6121">
        <v>89</v>
      </c>
    </row>
    <row r="6122" spans="1:10">
      <c r="A6122" s="3" t="s">
        <v>6098</v>
      </c>
      <c r="C6122">
        <v>6</v>
      </c>
      <c r="J6122">
        <v>89</v>
      </c>
    </row>
    <row r="6123" spans="1:10">
      <c r="A6123" s="3" t="s">
        <v>6099</v>
      </c>
      <c r="C6123">
        <v>6</v>
      </c>
      <c r="J6123">
        <v>89</v>
      </c>
    </row>
    <row r="6124" spans="1:10">
      <c r="A6124" s="3" t="s">
        <v>6100</v>
      </c>
      <c r="C6124">
        <v>6</v>
      </c>
      <c r="J6124">
        <v>89</v>
      </c>
    </row>
    <row r="6125" spans="1:10">
      <c r="A6125" s="3" t="s">
        <v>6101</v>
      </c>
      <c r="C6125">
        <v>6</v>
      </c>
      <c r="J6125">
        <v>89</v>
      </c>
    </row>
    <row r="6126" spans="1:10">
      <c r="A6126" s="3" t="s">
        <v>6102</v>
      </c>
      <c r="C6126">
        <v>6</v>
      </c>
      <c r="J6126">
        <v>89</v>
      </c>
    </row>
    <row r="6127" spans="1:10">
      <c r="A6127" s="3" t="s">
        <v>6103</v>
      </c>
      <c r="C6127">
        <v>6</v>
      </c>
      <c r="J6127">
        <v>89</v>
      </c>
    </row>
    <row r="6128" spans="1:10">
      <c r="A6128" s="3" t="s">
        <v>6104</v>
      </c>
      <c r="C6128">
        <v>6</v>
      </c>
      <c r="J6128">
        <v>89</v>
      </c>
    </row>
    <row r="6129" spans="1:10">
      <c r="A6129" s="3" t="s">
        <v>6105</v>
      </c>
      <c r="C6129">
        <v>6</v>
      </c>
      <c r="J6129">
        <v>89</v>
      </c>
    </row>
    <row r="6130" spans="1:10">
      <c r="A6130" s="3" t="s">
        <v>6106</v>
      </c>
      <c r="C6130">
        <v>6</v>
      </c>
      <c r="J6130">
        <v>89</v>
      </c>
    </row>
    <row r="6131" spans="1:10">
      <c r="A6131" s="3" t="s">
        <v>6107</v>
      </c>
      <c r="C6131">
        <v>6</v>
      </c>
      <c r="J6131">
        <v>89</v>
      </c>
    </row>
    <row r="6132" spans="1:10">
      <c r="A6132" s="3" t="s">
        <v>6108</v>
      </c>
      <c r="C6132">
        <v>6</v>
      </c>
      <c r="J6132">
        <v>89</v>
      </c>
    </row>
    <row r="6133" spans="1:10">
      <c r="A6133" s="3" t="s">
        <v>6109</v>
      </c>
      <c r="C6133">
        <v>6</v>
      </c>
      <c r="J6133">
        <v>89</v>
      </c>
    </row>
    <row r="6134" spans="1:10">
      <c r="A6134" s="3" t="s">
        <v>6110</v>
      </c>
      <c r="C6134">
        <v>6</v>
      </c>
      <c r="J6134">
        <v>89</v>
      </c>
    </row>
    <row r="6135" spans="1:10">
      <c r="A6135" s="3" t="s">
        <v>6111</v>
      </c>
      <c r="C6135">
        <v>6</v>
      </c>
      <c r="J6135">
        <v>89</v>
      </c>
    </row>
    <row r="6136" spans="1:10">
      <c r="A6136" s="3" t="s">
        <v>6112</v>
      </c>
      <c r="C6136">
        <v>6</v>
      </c>
      <c r="J6136">
        <v>89</v>
      </c>
    </row>
    <row r="6137" spans="1:10">
      <c r="A6137" s="3" t="s">
        <v>6113</v>
      </c>
      <c r="C6137">
        <v>6</v>
      </c>
      <c r="J6137">
        <v>89</v>
      </c>
    </row>
    <row r="6138" spans="1:10">
      <c r="A6138" s="3" t="s">
        <v>6114</v>
      </c>
      <c r="C6138">
        <v>6</v>
      </c>
      <c r="J6138">
        <v>89</v>
      </c>
    </row>
    <row r="6139" spans="1:10">
      <c r="A6139" s="3" t="s">
        <v>6115</v>
      </c>
      <c r="C6139">
        <v>6</v>
      </c>
      <c r="J6139">
        <v>89</v>
      </c>
    </row>
    <row r="6140" spans="1:10">
      <c r="A6140" s="3" t="s">
        <v>6116</v>
      </c>
      <c r="C6140">
        <v>6</v>
      </c>
      <c r="J6140">
        <v>89</v>
      </c>
    </row>
    <row r="6141" spans="1:10">
      <c r="A6141" s="3" t="s">
        <v>6117</v>
      </c>
      <c r="C6141">
        <v>6</v>
      </c>
      <c r="J6141">
        <v>89</v>
      </c>
    </row>
    <row r="6142" spans="1:10">
      <c r="A6142" s="3" t="s">
        <v>6118</v>
      </c>
      <c r="C6142">
        <v>6</v>
      </c>
      <c r="J6142">
        <v>89</v>
      </c>
    </row>
    <row r="6143" spans="1:10">
      <c r="A6143" s="3" t="s">
        <v>6119</v>
      </c>
      <c r="C6143">
        <v>6</v>
      </c>
      <c r="J6143">
        <v>89</v>
      </c>
    </row>
    <row r="6144" spans="1:10">
      <c r="A6144" s="3" t="s">
        <v>6120</v>
      </c>
      <c r="C6144">
        <v>6</v>
      </c>
      <c r="J6144">
        <v>89</v>
      </c>
    </row>
    <row r="6145" spans="1:24">
      <c r="A6145" s="3" t="s">
        <v>6121</v>
      </c>
      <c r="C6145">
        <v>6</v>
      </c>
      <c r="J6145">
        <v>89</v>
      </c>
    </row>
    <row r="6146" spans="1:24">
      <c r="A6146" s="3" t="s">
        <v>6122</v>
      </c>
      <c r="C6146">
        <v>6</v>
      </c>
      <c r="X6146">
        <v>3</v>
      </c>
    </row>
    <row r="6147" spans="1:24">
      <c r="A6147" s="3" t="s">
        <v>6123</v>
      </c>
      <c r="C6147">
        <v>6</v>
      </c>
      <c r="X6147">
        <v>3</v>
      </c>
    </row>
    <row r="6148" spans="1:24">
      <c r="A6148" s="3" t="s">
        <v>6124</v>
      </c>
      <c r="C6148">
        <v>6</v>
      </c>
      <c r="X6148">
        <v>3</v>
      </c>
    </row>
    <row r="6149" spans="1:24">
      <c r="A6149" s="3" t="s">
        <v>6125</v>
      </c>
      <c r="C6149">
        <v>6</v>
      </c>
      <c r="X6149">
        <v>3</v>
      </c>
    </row>
    <row r="6150" spans="1:24">
      <c r="A6150" s="3" t="s">
        <v>6126</v>
      </c>
      <c r="C6150">
        <v>6</v>
      </c>
      <c r="X6150">
        <v>3</v>
      </c>
    </row>
    <row r="6151" spans="1:24">
      <c r="A6151" s="3" t="s">
        <v>6127</v>
      </c>
      <c r="C6151">
        <v>6</v>
      </c>
      <c r="X6151">
        <v>3</v>
      </c>
    </row>
    <row r="6152" spans="1:24">
      <c r="A6152" s="3" t="s">
        <v>6128</v>
      </c>
      <c r="C6152">
        <v>6</v>
      </c>
      <c r="X6152">
        <v>3</v>
      </c>
    </row>
    <row r="6153" spans="1:24">
      <c r="A6153" s="3" t="s">
        <v>6129</v>
      </c>
      <c r="C6153">
        <v>6</v>
      </c>
      <c r="X6153">
        <v>3</v>
      </c>
    </row>
    <row r="6154" spans="1:24">
      <c r="A6154" s="3" t="s">
        <v>6130</v>
      </c>
      <c r="C6154">
        <v>6</v>
      </c>
      <c r="X6154">
        <v>3</v>
      </c>
    </row>
    <row r="6155" spans="1:24">
      <c r="A6155" s="3" t="s">
        <v>6131</v>
      </c>
      <c r="C6155">
        <v>6</v>
      </c>
      <c r="X6155">
        <v>3</v>
      </c>
    </row>
    <row r="6156" spans="1:24">
      <c r="A6156" s="3" t="s">
        <v>6132</v>
      </c>
      <c r="C6156">
        <v>6</v>
      </c>
      <c r="X6156">
        <v>3</v>
      </c>
    </row>
    <row r="6157" spans="1:24">
      <c r="A6157" s="3" t="s">
        <v>6133</v>
      </c>
      <c r="C6157">
        <v>6</v>
      </c>
      <c r="X6157">
        <v>3</v>
      </c>
    </row>
    <row r="6158" spans="1:24">
      <c r="A6158" s="3" t="s">
        <v>6134</v>
      </c>
      <c r="C6158">
        <v>6</v>
      </c>
      <c r="X6158">
        <v>3</v>
      </c>
    </row>
    <row r="6159" spans="1:24">
      <c r="A6159" s="3" t="s">
        <v>6135</v>
      </c>
      <c r="C6159">
        <v>6</v>
      </c>
      <c r="X6159">
        <v>3</v>
      </c>
    </row>
    <row r="6160" spans="1:24">
      <c r="A6160" s="3" t="s">
        <v>6136</v>
      </c>
      <c r="C6160">
        <v>6</v>
      </c>
      <c r="X6160">
        <v>3</v>
      </c>
    </row>
    <row r="6161" spans="1:24">
      <c r="A6161" s="3" t="s">
        <v>6137</v>
      </c>
      <c r="C6161">
        <v>6</v>
      </c>
      <c r="X6161">
        <v>3</v>
      </c>
    </row>
    <row r="6162" spans="1:24">
      <c r="A6162" s="3" t="s">
        <v>6138</v>
      </c>
      <c r="C6162">
        <v>6</v>
      </c>
      <c r="X6162">
        <v>3</v>
      </c>
    </row>
    <row r="6163" spans="1:24">
      <c r="A6163" s="3" t="s">
        <v>6139</v>
      </c>
      <c r="C6163">
        <v>6</v>
      </c>
      <c r="X6163">
        <v>3</v>
      </c>
    </row>
    <row r="6164" spans="1:24">
      <c r="A6164" s="3" t="s">
        <v>6140</v>
      </c>
      <c r="C6164">
        <v>6</v>
      </c>
      <c r="X6164">
        <v>3</v>
      </c>
    </row>
    <row r="6165" spans="1:24">
      <c r="A6165" s="3" t="s">
        <v>6141</v>
      </c>
      <c r="C6165">
        <v>6</v>
      </c>
      <c r="X6165">
        <v>3</v>
      </c>
    </row>
    <row r="6166" spans="1:24">
      <c r="A6166" s="3" t="s">
        <v>6142</v>
      </c>
      <c r="C6166">
        <v>6</v>
      </c>
      <c r="X6166">
        <v>3</v>
      </c>
    </row>
    <row r="6167" spans="1:24">
      <c r="A6167" s="3" t="s">
        <v>6143</v>
      </c>
      <c r="C6167">
        <v>6</v>
      </c>
      <c r="X6167">
        <v>3</v>
      </c>
    </row>
    <row r="6168" spans="1:24">
      <c r="A6168" s="3" t="s">
        <v>6144</v>
      </c>
      <c r="C6168">
        <v>6</v>
      </c>
      <c r="X6168">
        <v>3</v>
      </c>
    </row>
    <row r="6169" spans="1:24">
      <c r="A6169" s="3" t="s">
        <v>6145</v>
      </c>
      <c r="C6169">
        <v>6</v>
      </c>
      <c r="X6169">
        <v>3</v>
      </c>
    </row>
    <row r="6170" spans="1:24">
      <c r="A6170" s="3" t="s">
        <v>6146</v>
      </c>
      <c r="C6170">
        <v>6</v>
      </c>
      <c r="J6170">
        <v>90</v>
      </c>
    </row>
    <row r="6171" spans="1:24">
      <c r="A6171" s="3" t="s">
        <v>6147</v>
      </c>
      <c r="C6171">
        <v>6</v>
      </c>
      <c r="J6171">
        <v>90</v>
      </c>
    </row>
    <row r="6172" spans="1:24">
      <c r="A6172" s="3" t="s">
        <v>6148</v>
      </c>
      <c r="C6172">
        <v>6</v>
      </c>
      <c r="J6172">
        <v>90</v>
      </c>
    </row>
    <row r="6173" spans="1:24">
      <c r="A6173" s="3" t="s">
        <v>6149</v>
      </c>
      <c r="C6173">
        <v>6</v>
      </c>
      <c r="J6173">
        <v>90</v>
      </c>
    </row>
    <row r="6174" spans="1:24">
      <c r="A6174" s="3" t="s">
        <v>6150</v>
      </c>
      <c r="C6174">
        <v>6</v>
      </c>
      <c r="J6174">
        <v>90</v>
      </c>
    </row>
    <row r="6175" spans="1:24">
      <c r="A6175" s="3" t="s">
        <v>6151</v>
      </c>
      <c r="C6175">
        <v>6</v>
      </c>
      <c r="J6175">
        <v>90</v>
      </c>
    </row>
    <row r="6176" spans="1:24">
      <c r="A6176" s="3" t="s">
        <v>6152</v>
      </c>
      <c r="C6176">
        <v>6</v>
      </c>
      <c r="J6176">
        <v>90</v>
      </c>
    </row>
    <row r="6177" spans="1:11">
      <c r="A6177" s="3" t="s">
        <v>6153</v>
      </c>
      <c r="C6177">
        <v>6</v>
      </c>
      <c r="J6177">
        <v>90</v>
      </c>
    </row>
    <row r="6178" spans="1:11">
      <c r="A6178" s="3" t="s">
        <v>6154</v>
      </c>
      <c r="C6178">
        <v>6</v>
      </c>
      <c r="J6178">
        <v>90</v>
      </c>
    </row>
    <row r="6179" spans="1:11">
      <c r="A6179" s="3" t="s">
        <v>6155</v>
      </c>
      <c r="C6179">
        <v>6</v>
      </c>
      <c r="J6179">
        <v>90</v>
      </c>
    </row>
    <row r="6180" spans="1:11">
      <c r="A6180" s="3" t="s">
        <v>6156</v>
      </c>
      <c r="C6180">
        <v>6</v>
      </c>
      <c r="J6180">
        <v>90</v>
      </c>
    </row>
    <row r="6181" spans="1:11">
      <c r="A6181" s="3" t="s">
        <v>6157</v>
      </c>
      <c r="C6181">
        <v>6</v>
      </c>
      <c r="K6181">
        <v>13</v>
      </c>
    </row>
    <row r="6182" spans="1:11">
      <c r="A6182" s="3" t="s">
        <v>6158</v>
      </c>
      <c r="C6182">
        <v>6</v>
      </c>
      <c r="K6182">
        <v>13</v>
      </c>
    </row>
    <row r="6183" spans="1:11">
      <c r="A6183" s="3" t="s">
        <v>6159</v>
      </c>
      <c r="C6183">
        <v>6</v>
      </c>
      <c r="K6183">
        <v>13</v>
      </c>
    </row>
    <row r="6184" spans="1:11">
      <c r="A6184" s="3" t="s">
        <v>6160</v>
      </c>
      <c r="C6184">
        <v>6</v>
      </c>
      <c r="K6184">
        <v>13</v>
      </c>
    </row>
    <row r="6185" spans="1:11">
      <c r="A6185" s="3" t="s">
        <v>6161</v>
      </c>
      <c r="C6185">
        <v>6</v>
      </c>
      <c r="K6185">
        <v>13</v>
      </c>
    </row>
    <row r="6186" spans="1:11">
      <c r="A6186" s="3" t="s">
        <v>6162</v>
      </c>
      <c r="C6186">
        <v>6</v>
      </c>
      <c r="K6186">
        <v>13</v>
      </c>
    </row>
    <row r="6187" spans="1:11">
      <c r="A6187" s="3" t="s">
        <v>6163</v>
      </c>
      <c r="C6187">
        <v>6</v>
      </c>
      <c r="K6187">
        <v>13</v>
      </c>
    </row>
    <row r="6188" spans="1:11">
      <c r="A6188" s="3" t="s">
        <v>6164</v>
      </c>
      <c r="C6188">
        <v>6</v>
      </c>
      <c r="K6188">
        <v>13</v>
      </c>
    </row>
    <row r="6189" spans="1:11">
      <c r="A6189" s="3" t="s">
        <v>6165</v>
      </c>
      <c r="C6189">
        <v>6</v>
      </c>
      <c r="K6189">
        <v>13</v>
      </c>
    </row>
    <row r="6190" spans="1:11">
      <c r="A6190" s="3" t="s">
        <v>6166</v>
      </c>
      <c r="C6190">
        <v>6</v>
      </c>
      <c r="K6190">
        <v>13</v>
      </c>
    </row>
    <row r="6191" spans="1:11">
      <c r="A6191" s="3" t="s">
        <v>6167</v>
      </c>
      <c r="C6191">
        <v>6</v>
      </c>
      <c r="K6191">
        <v>13</v>
      </c>
    </row>
    <row r="6192" spans="1:11">
      <c r="A6192" s="3" t="s">
        <v>6168</v>
      </c>
      <c r="C6192">
        <v>6</v>
      </c>
      <c r="K6192">
        <v>13</v>
      </c>
    </row>
    <row r="6193" spans="1:13">
      <c r="A6193" s="3" t="s">
        <v>6169</v>
      </c>
      <c r="C6193">
        <v>6</v>
      </c>
      <c r="M6193">
        <v>12</v>
      </c>
    </row>
    <row r="6194" spans="1:13">
      <c r="A6194" s="3" t="s">
        <v>6170</v>
      </c>
      <c r="C6194">
        <v>6</v>
      </c>
      <c r="M6194">
        <v>12</v>
      </c>
    </row>
    <row r="6195" spans="1:13">
      <c r="A6195" s="3" t="s">
        <v>6171</v>
      </c>
      <c r="C6195">
        <v>6</v>
      </c>
      <c r="M6195">
        <v>12</v>
      </c>
    </row>
    <row r="6196" spans="1:13">
      <c r="A6196" s="3" t="s">
        <v>6172</v>
      </c>
      <c r="C6196">
        <v>6</v>
      </c>
      <c r="L6196">
        <v>12</v>
      </c>
    </row>
    <row r="6197" spans="1:13">
      <c r="A6197" s="3" t="s">
        <v>6173</v>
      </c>
      <c r="C6197">
        <v>6</v>
      </c>
      <c r="L6197">
        <v>12</v>
      </c>
    </row>
    <row r="6198" spans="1:13">
      <c r="A6198" s="3" t="s">
        <v>6174</v>
      </c>
      <c r="C6198">
        <v>6</v>
      </c>
      <c r="L6198">
        <v>12</v>
      </c>
    </row>
    <row r="6199" spans="1:13">
      <c r="A6199" s="3" t="s">
        <v>6175</v>
      </c>
      <c r="C6199">
        <v>6</v>
      </c>
      <c r="L6199">
        <v>12</v>
      </c>
    </row>
    <row r="6200" spans="1:13">
      <c r="A6200" s="3" t="s">
        <v>6176</v>
      </c>
      <c r="C6200">
        <v>6</v>
      </c>
      <c r="L6200">
        <v>12</v>
      </c>
    </row>
    <row r="6201" spans="1:13">
      <c r="A6201" s="3" t="s">
        <v>6177</v>
      </c>
      <c r="C6201">
        <v>6</v>
      </c>
      <c r="L6201">
        <v>12</v>
      </c>
    </row>
    <row r="6202" spans="1:13">
      <c r="A6202" s="3" t="s">
        <v>6178</v>
      </c>
      <c r="C6202">
        <v>6</v>
      </c>
      <c r="L6202">
        <v>12</v>
      </c>
    </row>
    <row r="6203" spans="1:13">
      <c r="A6203" s="3" t="s">
        <v>6179</v>
      </c>
      <c r="C6203">
        <v>6</v>
      </c>
      <c r="L6203">
        <v>12</v>
      </c>
    </row>
    <row r="6204" spans="1:13">
      <c r="A6204" s="3" t="s">
        <v>6180</v>
      </c>
      <c r="C6204">
        <v>6</v>
      </c>
      <c r="L6204">
        <v>12</v>
      </c>
    </row>
    <row r="6205" spans="1:13">
      <c r="A6205" s="3" t="s">
        <v>6181</v>
      </c>
      <c r="C6205">
        <v>6</v>
      </c>
      <c r="L6205">
        <v>12</v>
      </c>
    </row>
    <row r="6206" spans="1:13">
      <c r="A6206" s="3" t="s">
        <v>6182</v>
      </c>
      <c r="C6206">
        <v>6</v>
      </c>
      <c r="L6206">
        <v>12</v>
      </c>
    </row>
    <row r="6207" spans="1:13">
      <c r="A6207" s="3" t="s">
        <v>6183</v>
      </c>
      <c r="C6207">
        <v>6</v>
      </c>
      <c r="L6207">
        <v>12</v>
      </c>
    </row>
    <row r="6208" spans="1:13">
      <c r="A6208" s="3" t="s">
        <v>6184</v>
      </c>
      <c r="C6208">
        <v>6</v>
      </c>
      <c r="L6208">
        <v>12</v>
      </c>
    </row>
    <row r="6209" spans="1:12">
      <c r="A6209" s="3" t="s">
        <v>6185</v>
      </c>
      <c r="C6209">
        <v>6</v>
      </c>
      <c r="L6209">
        <v>12</v>
      </c>
    </row>
    <row r="6210" spans="1:12">
      <c r="A6210" s="3" t="s">
        <v>6186</v>
      </c>
      <c r="C6210">
        <v>6</v>
      </c>
      <c r="L6210">
        <v>12</v>
      </c>
    </row>
    <row r="6211" spans="1:12">
      <c r="A6211" s="3" t="s">
        <v>6187</v>
      </c>
      <c r="C6211">
        <v>6</v>
      </c>
      <c r="L6211">
        <v>12</v>
      </c>
    </row>
    <row r="6212" spans="1:12">
      <c r="A6212" s="3" t="s">
        <v>6188</v>
      </c>
      <c r="C6212">
        <v>6</v>
      </c>
      <c r="L6212">
        <v>12</v>
      </c>
    </row>
    <row r="6213" spans="1:12">
      <c r="A6213" s="3" t="s">
        <v>6189</v>
      </c>
      <c r="C6213">
        <v>6</v>
      </c>
      <c r="L6213">
        <v>12</v>
      </c>
    </row>
    <row r="6214" spans="1:12">
      <c r="A6214" s="3" t="s">
        <v>6190</v>
      </c>
      <c r="C6214">
        <v>6</v>
      </c>
      <c r="L6214">
        <v>12</v>
      </c>
    </row>
    <row r="6215" spans="1:12">
      <c r="A6215" s="3" t="s">
        <v>6191</v>
      </c>
      <c r="C6215">
        <v>6</v>
      </c>
      <c r="L6215">
        <v>12</v>
      </c>
    </row>
    <row r="6216" spans="1:12">
      <c r="A6216" s="3" t="s">
        <v>6192</v>
      </c>
      <c r="C6216">
        <v>6</v>
      </c>
      <c r="L6216">
        <v>12</v>
      </c>
    </row>
    <row r="6217" spans="1:12">
      <c r="A6217" s="3" t="s">
        <v>6193</v>
      </c>
      <c r="C6217">
        <v>6</v>
      </c>
      <c r="L6217">
        <v>12</v>
      </c>
    </row>
    <row r="6218" spans="1:12">
      <c r="A6218" s="3" t="s">
        <v>6194</v>
      </c>
      <c r="C6218">
        <v>6</v>
      </c>
      <c r="L6218">
        <v>12</v>
      </c>
    </row>
    <row r="6219" spans="1:12">
      <c r="A6219" s="3" t="s">
        <v>6195</v>
      </c>
      <c r="C6219">
        <v>6</v>
      </c>
      <c r="L6219">
        <v>12</v>
      </c>
    </row>
    <row r="6220" spans="1:12">
      <c r="A6220" s="3" t="s">
        <v>6196</v>
      </c>
      <c r="C6220">
        <v>6</v>
      </c>
      <c r="L6220">
        <v>12</v>
      </c>
    </row>
    <row r="6221" spans="1:12">
      <c r="A6221" s="3" t="s">
        <v>6197</v>
      </c>
      <c r="C6221">
        <v>6</v>
      </c>
      <c r="L6221">
        <v>12</v>
      </c>
    </row>
    <row r="6222" spans="1:12">
      <c r="A6222" s="3" t="s">
        <v>6198</v>
      </c>
      <c r="C6222">
        <v>6</v>
      </c>
      <c r="L6222">
        <v>12</v>
      </c>
    </row>
    <row r="6223" spans="1:12">
      <c r="A6223" s="3" t="s">
        <v>6199</v>
      </c>
      <c r="C6223">
        <v>6</v>
      </c>
      <c r="L6223">
        <v>12</v>
      </c>
    </row>
    <row r="6224" spans="1:12">
      <c r="A6224" s="3" t="s">
        <v>6200</v>
      </c>
      <c r="C6224">
        <v>6</v>
      </c>
      <c r="L6224">
        <v>12</v>
      </c>
    </row>
    <row r="6225" spans="1:46">
      <c r="A6225" s="3" t="s">
        <v>6201</v>
      </c>
      <c r="C6225">
        <v>6</v>
      </c>
      <c r="L6225">
        <v>12</v>
      </c>
    </row>
    <row r="6226" spans="1:46">
      <c r="A6226" s="3" t="s">
        <v>6202</v>
      </c>
      <c r="C6226">
        <v>6</v>
      </c>
      <c r="L6226">
        <v>12</v>
      </c>
    </row>
    <row r="6227" spans="1:46">
      <c r="A6227" s="3" t="s">
        <v>6203</v>
      </c>
      <c r="C6227">
        <v>6</v>
      </c>
      <c r="L6227">
        <v>12</v>
      </c>
    </row>
    <row r="6228" spans="1:46">
      <c r="A6228" s="3" t="s">
        <v>6204</v>
      </c>
      <c r="C6228">
        <v>6</v>
      </c>
      <c r="J6228">
        <v>91</v>
      </c>
    </row>
    <row r="6229" spans="1:46">
      <c r="A6229" s="3" t="s">
        <v>6205</v>
      </c>
      <c r="C6229">
        <v>6</v>
      </c>
      <c r="J6229">
        <v>91</v>
      </c>
    </row>
    <row r="6230" spans="1:46">
      <c r="A6230" s="3" t="s">
        <v>6206</v>
      </c>
      <c r="C6230">
        <v>6</v>
      </c>
      <c r="J6230">
        <v>91</v>
      </c>
    </row>
    <row r="6231" spans="1:46">
      <c r="A6231" s="3" t="s">
        <v>6207</v>
      </c>
      <c r="C6231">
        <v>6</v>
      </c>
      <c r="J6231">
        <v>91</v>
      </c>
    </row>
    <row r="6232" spans="1:46">
      <c r="A6232" s="3" t="s">
        <v>6208</v>
      </c>
      <c r="C6232">
        <v>6</v>
      </c>
      <c r="AT6232">
        <v>12</v>
      </c>
    </row>
    <row r="6233" spans="1:46">
      <c r="A6233" s="3" t="s">
        <v>6209</v>
      </c>
      <c r="C6233">
        <v>6</v>
      </c>
      <c r="AT6233">
        <v>12</v>
      </c>
    </row>
    <row r="6234" spans="1:46">
      <c r="A6234" s="3" t="s">
        <v>6210</v>
      </c>
      <c r="C6234">
        <v>6</v>
      </c>
      <c r="AT6234">
        <v>12</v>
      </c>
    </row>
    <row r="6235" spans="1:46">
      <c r="A6235" s="3" t="s">
        <v>6211</v>
      </c>
      <c r="C6235">
        <v>6</v>
      </c>
      <c r="AT6235">
        <v>12</v>
      </c>
    </row>
    <row r="6236" spans="1:46">
      <c r="A6236" s="3" t="s">
        <v>6212</v>
      </c>
      <c r="C6236">
        <v>6</v>
      </c>
      <c r="AT6236">
        <v>12</v>
      </c>
    </row>
    <row r="6237" spans="1:46">
      <c r="A6237" s="3" t="s">
        <v>6213</v>
      </c>
      <c r="C6237">
        <v>6</v>
      </c>
      <c r="AT6237">
        <v>12</v>
      </c>
    </row>
    <row r="6238" spans="1:46">
      <c r="A6238" s="3" t="s">
        <v>6214</v>
      </c>
      <c r="C6238">
        <v>6</v>
      </c>
      <c r="AT6238">
        <v>12</v>
      </c>
    </row>
    <row r="6239" spans="1:46">
      <c r="A6239" s="3" t="s">
        <v>6215</v>
      </c>
      <c r="C6239">
        <v>6</v>
      </c>
      <c r="AT6239">
        <v>12</v>
      </c>
    </row>
    <row r="6240" spans="1:46">
      <c r="A6240" s="3" t="s">
        <v>6216</v>
      </c>
      <c r="C6240">
        <v>6</v>
      </c>
      <c r="AT6240">
        <v>12</v>
      </c>
    </row>
    <row r="6241" spans="1:46">
      <c r="A6241" s="3" t="s">
        <v>6217</v>
      </c>
      <c r="C6241">
        <v>6</v>
      </c>
      <c r="AT6241">
        <v>12</v>
      </c>
    </row>
    <row r="6242" spans="1:46">
      <c r="A6242" s="3" t="s">
        <v>6218</v>
      </c>
      <c r="C6242">
        <v>6</v>
      </c>
      <c r="AT6242">
        <v>12</v>
      </c>
    </row>
    <row r="6243" spans="1:46">
      <c r="A6243" s="3" t="s">
        <v>6219</v>
      </c>
      <c r="C6243">
        <v>6</v>
      </c>
      <c r="AT6243">
        <v>12</v>
      </c>
    </row>
    <row r="6244" spans="1:46">
      <c r="A6244" s="3" t="s">
        <v>6220</v>
      </c>
      <c r="C6244">
        <v>6</v>
      </c>
      <c r="AT6244">
        <v>12</v>
      </c>
    </row>
    <row r="6245" spans="1:46">
      <c r="A6245" s="3" t="s">
        <v>6221</v>
      </c>
      <c r="C6245">
        <v>6</v>
      </c>
      <c r="AT6245">
        <v>12</v>
      </c>
    </row>
    <row r="6246" spans="1:46">
      <c r="A6246" s="3" t="s">
        <v>6222</v>
      </c>
      <c r="C6246">
        <v>6</v>
      </c>
      <c r="AT6246">
        <v>12</v>
      </c>
    </row>
    <row r="6247" spans="1:46">
      <c r="A6247" s="3" t="s">
        <v>6223</v>
      </c>
      <c r="C6247">
        <v>6</v>
      </c>
      <c r="AT6247">
        <v>12</v>
      </c>
    </row>
    <row r="6248" spans="1:46">
      <c r="A6248" s="3" t="s">
        <v>6224</v>
      </c>
      <c r="C6248">
        <v>6</v>
      </c>
      <c r="AT6248">
        <v>12</v>
      </c>
    </row>
    <row r="6249" spans="1:46">
      <c r="A6249" s="3" t="s">
        <v>6225</v>
      </c>
      <c r="C6249">
        <v>6</v>
      </c>
      <c r="AT6249">
        <v>12</v>
      </c>
    </row>
    <row r="6250" spans="1:46">
      <c r="A6250" s="3" t="s">
        <v>6226</v>
      </c>
      <c r="C6250">
        <v>6</v>
      </c>
      <c r="AT6250">
        <v>12</v>
      </c>
    </row>
    <row r="6251" spans="1:46">
      <c r="A6251" s="3" t="s">
        <v>6227</v>
      </c>
      <c r="C6251">
        <v>6</v>
      </c>
      <c r="AT6251">
        <v>12</v>
      </c>
    </row>
    <row r="6252" spans="1:46">
      <c r="A6252" s="3" t="s">
        <v>6228</v>
      </c>
      <c r="C6252">
        <v>6</v>
      </c>
      <c r="AT6252">
        <v>12</v>
      </c>
    </row>
    <row r="6253" spans="1:46">
      <c r="A6253" s="3" t="s">
        <v>6229</v>
      </c>
      <c r="C6253">
        <v>6</v>
      </c>
      <c r="AT6253">
        <v>12</v>
      </c>
    </row>
    <row r="6254" spans="1:46">
      <c r="A6254" s="3" t="s">
        <v>6230</v>
      </c>
      <c r="C6254">
        <v>6</v>
      </c>
      <c r="AT6254">
        <v>12</v>
      </c>
    </row>
    <row r="6255" spans="1:46">
      <c r="A6255" s="3" t="s">
        <v>6231</v>
      </c>
      <c r="C6255">
        <v>6</v>
      </c>
      <c r="AT6255">
        <v>12</v>
      </c>
    </row>
    <row r="6256" spans="1:46">
      <c r="A6256" s="3" t="s">
        <v>6232</v>
      </c>
      <c r="C6256">
        <v>6</v>
      </c>
      <c r="AT6256">
        <v>12</v>
      </c>
    </row>
    <row r="6257" spans="1:46">
      <c r="A6257" s="3" t="s">
        <v>6233</v>
      </c>
      <c r="C6257">
        <v>6</v>
      </c>
      <c r="AT6257">
        <v>12</v>
      </c>
    </row>
    <row r="6258" spans="1:46">
      <c r="A6258" s="3" t="s">
        <v>6234</v>
      </c>
      <c r="C6258">
        <v>6</v>
      </c>
      <c r="AT6258">
        <v>12</v>
      </c>
    </row>
    <row r="6259" spans="1:46">
      <c r="A6259" s="3" t="s">
        <v>6235</v>
      </c>
      <c r="C6259">
        <v>6</v>
      </c>
      <c r="AT6259">
        <v>12</v>
      </c>
    </row>
    <row r="6260" spans="1:46">
      <c r="A6260" s="3" t="s">
        <v>6236</v>
      </c>
      <c r="C6260">
        <v>6</v>
      </c>
      <c r="AT6260">
        <v>12</v>
      </c>
    </row>
    <row r="6261" spans="1:46">
      <c r="A6261" s="3" t="s">
        <v>6237</v>
      </c>
      <c r="C6261">
        <v>6</v>
      </c>
      <c r="AT6261">
        <v>12</v>
      </c>
    </row>
    <row r="6262" spans="1:46">
      <c r="A6262" s="3" t="s">
        <v>6238</v>
      </c>
      <c r="C6262">
        <v>6</v>
      </c>
      <c r="AT6262">
        <v>12</v>
      </c>
    </row>
    <row r="6263" spans="1:46">
      <c r="A6263" s="3" t="s">
        <v>6239</v>
      </c>
      <c r="C6263">
        <v>6</v>
      </c>
      <c r="AT6263">
        <v>12</v>
      </c>
    </row>
    <row r="6264" spans="1:46">
      <c r="A6264" s="3" t="s">
        <v>6240</v>
      </c>
      <c r="C6264">
        <v>6</v>
      </c>
      <c r="AT6264">
        <v>12</v>
      </c>
    </row>
    <row r="6265" spans="1:46">
      <c r="A6265" s="3" t="s">
        <v>6241</v>
      </c>
      <c r="C6265">
        <v>6</v>
      </c>
      <c r="AT6265">
        <v>12</v>
      </c>
    </row>
    <row r="6266" spans="1:46">
      <c r="A6266" s="3" t="s">
        <v>6242</v>
      </c>
      <c r="C6266">
        <v>6</v>
      </c>
      <c r="AT6266">
        <v>12</v>
      </c>
    </row>
    <row r="6267" spans="1:46">
      <c r="A6267" s="3" t="s">
        <v>6243</v>
      </c>
      <c r="C6267">
        <v>6</v>
      </c>
      <c r="AT6267">
        <v>12</v>
      </c>
    </row>
    <row r="6268" spans="1:46">
      <c r="A6268" s="3" t="s">
        <v>6244</v>
      </c>
      <c r="C6268">
        <v>6</v>
      </c>
      <c r="AT6268">
        <v>12</v>
      </c>
    </row>
    <row r="6269" spans="1:46">
      <c r="A6269" s="3" t="s">
        <v>6245</v>
      </c>
      <c r="C6269">
        <v>6</v>
      </c>
      <c r="AT6269">
        <v>12</v>
      </c>
    </row>
    <row r="6270" spans="1:46">
      <c r="A6270" s="3" t="s">
        <v>6246</v>
      </c>
      <c r="C6270">
        <v>6</v>
      </c>
      <c r="AT6270">
        <v>12</v>
      </c>
    </row>
    <row r="6271" spans="1:46">
      <c r="A6271" s="3" t="s">
        <v>6247</v>
      </c>
      <c r="C6271">
        <v>6</v>
      </c>
      <c r="AT6271">
        <v>12</v>
      </c>
    </row>
    <row r="6272" spans="1:46">
      <c r="A6272" s="3" t="s">
        <v>6248</v>
      </c>
      <c r="C6272">
        <v>6</v>
      </c>
      <c r="AT6272">
        <v>12</v>
      </c>
    </row>
    <row r="6273" spans="1:46">
      <c r="A6273" s="3" t="s">
        <v>6249</v>
      </c>
      <c r="C6273">
        <v>6</v>
      </c>
      <c r="AT6273">
        <v>12</v>
      </c>
    </row>
    <row r="6274" spans="1:46">
      <c r="A6274" s="3" t="s">
        <v>6250</v>
      </c>
      <c r="C6274">
        <v>6</v>
      </c>
      <c r="AT6274">
        <v>12</v>
      </c>
    </row>
    <row r="6275" spans="1:46">
      <c r="A6275" s="3" t="s">
        <v>6251</v>
      </c>
      <c r="C6275">
        <v>6</v>
      </c>
      <c r="AT6275">
        <v>12</v>
      </c>
    </row>
    <row r="6276" spans="1:46">
      <c r="A6276" s="3" t="s">
        <v>6252</v>
      </c>
      <c r="C6276">
        <v>6</v>
      </c>
      <c r="AT6276">
        <v>12</v>
      </c>
    </row>
    <row r="6277" spans="1:46">
      <c r="A6277" s="3" t="s">
        <v>6253</v>
      </c>
      <c r="C6277">
        <v>6</v>
      </c>
      <c r="D6277">
        <v>7</v>
      </c>
      <c r="J6277">
        <v>92</v>
      </c>
    </row>
    <row r="6278" spans="1:46">
      <c r="A6278" s="3" t="s">
        <v>6254</v>
      </c>
      <c r="C6278">
        <v>6</v>
      </c>
      <c r="D6278">
        <v>7</v>
      </c>
      <c r="J6278">
        <v>92</v>
      </c>
    </row>
    <row r="6279" spans="1:46">
      <c r="A6279" s="3" t="s">
        <v>6255</v>
      </c>
      <c r="C6279">
        <v>6</v>
      </c>
      <c r="D6279">
        <v>7</v>
      </c>
      <c r="J6279">
        <v>92</v>
      </c>
    </row>
    <row r="6280" spans="1:46">
      <c r="A6280" s="3" t="s">
        <v>6256</v>
      </c>
      <c r="C6280">
        <v>6</v>
      </c>
      <c r="D6280">
        <v>7</v>
      </c>
      <c r="J6280">
        <v>92</v>
      </c>
    </row>
    <row r="6281" spans="1:46">
      <c r="A6281" s="3" t="s">
        <v>6257</v>
      </c>
      <c r="C6281">
        <v>6</v>
      </c>
      <c r="D6281">
        <v>7</v>
      </c>
      <c r="J6281">
        <v>92</v>
      </c>
    </row>
    <row r="6282" spans="1:46">
      <c r="A6282" s="3" t="s">
        <v>6258</v>
      </c>
      <c r="C6282">
        <v>6</v>
      </c>
      <c r="D6282">
        <v>7</v>
      </c>
      <c r="J6282">
        <v>92</v>
      </c>
    </row>
    <row r="6283" spans="1:46">
      <c r="A6283" s="3" t="s">
        <v>6259</v>
      </c>
      <c r="C6283">
        <v>6</v>
      </c>
      <c r="D6283">
        <v>7</v>
      </c>
      <c r="J6283">
        <v>92</v>
      </c>
    </row>
    <row r="6284" spans="1:46">
      <c r="A6284" s="3" t="s">
        <v>6260</v>
      </c>
      <c r="C6284">
        <v>6</v>
      </c>
      <c r="D6284">
        <v>7</v>
      </c>
      <c r="J6284">
        <v>92</v>
      </c>
    </row>
    <row r="6285" spans="1:46">
      <c r="A6285" s="3" t="s">
        <v>6261</v>
      </c>
      <c r="C6285">
        <v>6</v>
      </c>
      <c r="D6285">
        <v>7</v>
      </c>
      <c r="J6285">
        <v>92</v>
      </c>
    </row>
    <row r="6286" spans="1:46">
      <c r="A6286" s="3" t="s">
        <v>6262</v>
      </c>
      <c r="D6286">
        <v>7</v>
      </c>
      <c r="J6286">
        <v>92</v>
      </c>
    </row>
    <row r="6287" spans="1:46">
      <c r="A6287" s="3" t="s">
        <v>6263</v>
      </c>
      <c r="D6287">
        <v>7</v>
      </c>
      <c r="J6287">
        <v>92</v>
      </c>
    </row>
    <row r="6288" spans="1:46">
      <c r="A6288" s="3" t="s">
        <v>6264</v>
      </c>
      <c r="D6288">
        <v>7</v>
      </c>
      <c r="J6288">
        <v>92</v>
      </c>
    </row>
    <row r="6289" spans="1:10">
      <c r="A6289" s="3" t="s">
        <v>6265</v>
      </c>
      <c r="D6289">
        <v>7</v>
      </c>
      <c r="J6289">
        <v>92</v>
      </c>
    </row>
    <row r="6290" spans="1:10">
      <c r="A6290" s="3" t="s">
        <v>6266</v>
      </c>
      <c r="D6290">
        <v>7</v>
      </c>
      <c r="J6290">
        <v>92</v>
      </c>
    </row>
    <row r="6291" spans="1:10">
      <c r="A6291" s="3" t="s">
        <v>6267</v>
      </c>
      <c r="D6291">
        <v>7</v>
      </c>
      <c r="J6291">
        <v>92</v>
      </c>
    </row>
    <row r="6292" spans="1:10">
      <c r="A6292" s="3" t="s">
        <v>6268</v>
      </c>
      <c r="D6292">
        <v>7</v>
      </c>
      <c r="J6292">
        <v>92</v>
      </c>
    </row>
    <row r="6293" spans="1:10">
      <c r="A6293" s="3" t="s">
        <v>6269</v>
      </c>
      <c r="D6293">
        <v>7</v>
      </c>
      <c r="J6293">
        <v>92</v>
      </c>
    </row>
    <row r="6294" spans="1:10">
      <c r="A6294" s="3" t="s">
        <v>6270</v>
      </c>
      <c r="D6294">
        <v>7</v>
      </c>
      <c r="J6294">
        <v>92</v>
      </c>
    </row>
    <row r="6295" spans="1:10">
      <c r="A6295" s="3" t="s">
        <v>6271</v>
      </c>
      <c r="D6295">
        <v>7</v>
      </c>
      <c r="J6295">
        <v>92</v>
      </c>
    </row>
    <row r="6296" spans="1:10">
      <c r="A6296" s="3" t="s">
        <v>6272</v>
      </c>
      <c r="D6296">
        <v>7</v>
      </c>
      <c r="J6296">
        <v>92</v>
      </c>
    </row>
    <row r="6297" spans="1:10">
      <c r="A6297" s="3" t="s">
        <v>6273</v>
      </c>
      <c r="D6297">
        <v>7</v>
      </c>
      <c r="J6297">
        <v>92</v>
      </c>
    </row>
    <row r="6298" spans="1:10">
      <c r="A6298" s="3" t="s">
        <v>6274</v>
      </c>
      <c r="D6298">
        <v>7</v>
      </c>
      <c r="J6298">
        <v>92</v>
      </c>
    </row>
    <row r="6299" spans="1:10">
      <c r="A6299" s="3" t="s">
        <v>6275</v>
      </c>
      <c r="D6299">
        <v>7</v>
      </c>
      <c r="J6299">
        <v>92</v>
      </c>
    </row>
    <row r="6300" spans="1:10">
      <c r="A6300" s="3" t="s">
        <v>6276</v>
      </c>
      <c r="D6300">
        <v>7</v>
      </c>
      <c r="J6300">
        <v>92</v>
      </c>
    </row>
    <row r="6301" spans="1:10">
      <c r="A6301" s="3" t="s">
        <v>6277</v>
      </c>
      <c r="D6301">
        <v>7</v>
      </c>
      <c r="J6301">
        <v>92</v>
      </c>
    </row>
    <row r="6302" spans="1:10">
      <c r="A6302" s="3" t="s">
        <v>6278</v>
      </c>
      <c r="D6302">
        <v>7</v>
      </c>
      <c r="J6302">
        <v>92</v>
      </c>
    </row>
    <row r="6303" spans="1:10">
      <c r="A6303" s="3" t="s">
        <v>6279</v>
      </c>
      <c r="D6303">
        <v>7</v>
      </c>
      <c r="J6303">
        <v>92</v>
      </c>
    </row>
    <row r="6304" spans="1:10">
      <c r="A6304" s="3" t="s">
        <v>6280</v>
      </c>
      <c r="D6304">
        <v>7</v>
      </c>
      <c r="J6304">
        <v>92</v>
      </c>
    </row>
    <row r="6305" spans="1:10">
      <c r="A6305" s="3" t="s">
        <v>6281</v>
      </c>
      <c r="D6305">
        <v>7</v>
      </c>
      <c r="J6305">
        <v>92</v>
      </c>
    </row>
    <row r="6306" spans="1:10">
      <c r="A6306" s="3" t="s">
        <v>6282</v>
      </c>
      <c r="D6306">
        <v>7</v>
      </c>
      <c r="J6306">
        <v>92</v>
      </c>
    </row>
    <row r="6307" spans="1:10">
      <c r="A6307" s="3" t="s">
        <v>6283</v>
      </c>
      <c r="D6307">
        <v>7</v>
      </c>
      <c r="J6307">
        <v>92</v>
      </c>
    </row>
    <row r="6308" spans="1:10">
      <c r="A6308" s="3" t="s">
        <v>6284</v>
      </c>
      <c r="D6308">
        <v>7</v>
      </c>
      <c r="J6308">
        <v>92</v>
      </c>
    </row>
    <row r="6309" spans="1:10">
      <c r="A6309" s="3" t="s">
        <v>6285</v>
      </c>
      <c r="D6309">
        <v>7</v>
      </c>
      <c r="J6309">
        <v>92</v>
      </c>
    </row>
    <row r="6310" spans="1:10">
      <c r="A6310" s="3" t="s">
        <v>6286</v>
      </c>
      <c r="D6310">
        <v>7</v>
      </c>
      <c r="J6310">
        <v>92</v>
      </c>
    </row>
    <row r="6311" spans="1:10">
      <c r="A6311" s="3" t="s">
        <v>6287</v>
      </c>
      <c r="D6311">
        <v>7</v>
      </c>
      <c r="J6311">
        <v>92</v>
      </c>
    </row>
    <row r="6312" spans="1:10">
      <c r="A6312" s="3" t="s">
        <v>6288</v>
      </c>
      <c r="D6312">
        <v>7</v>
      </c>
      <c r="J6312">
        <v>92</v>
      </c>
    </row>
    <row r="6313" spans="1:10">
      <c r="A6313" s="3" t="s">
        <v>6289</v>
      </c>
      <c r="D6313">
        <v>7</v>
      </c>
      <c r="J6313">
        <v>92</v>
      </c>
    </row>
    <row r="6314" spans="1:10">
      <c r="A6314" s="3" t="s">
        <v>6290</v>
      </c>
      <c r="D6314">
        <v>7</v>
      </c>
      <c r="J6314">
        <v>92</v>
      </c>
    </row>
    <row r="6315" spans="1:10">
      <c r="A6315" s="3" t="s">
        <v>6291</v>
      </c>
      <c r="D6315">
        <v>7</v>
      </c>
      <c r="J6315">
        <v>92</v>
      </c>
    </row>
    <row r="6316" spans="1:10">
      <c r="A6316" s="3" t="s">
        <v>6292</v>
      </c>
      <c r="D6316">
        <v>7</v>
      </c>
      <c r="J6316">
        <v>92</v>
      </c>
    </row>
    <row r="6317" spans="1:10">
      <c r="A6317" s="3" t="s">
        <v>6293</v>
      </c>
      <c r="D6317">
        <v>7</v>
      </c>
      <c r="J6317">
        <v>92</v>
      </c>
    </row>
    <row r="6318" spans="1:10">
      <c r="A6318" s="3" t="s">
        <v>6294</v>
      </c>
      <c r="D6318">
        <v>7</v>
      </c>
      <c r="J6318">
        <v>92</v>
      </c>
    </row>
    <row r="6319" spans="1:10">
      <c r="A6319" s="3" t="s">
        <v>6295</v>
      </c>
      <c r="D6319">
        <v>7</v>
      </c>
      <c r="J6319">
        <v>92</v>
      </c>
    </row>
    <row r="6320" spans="1:10">
      <c r="A6320" s="3" t="s">
        <v>6296</v>
      </c>
      <c r="D6320">
        <v>7</v>
      </c>
      <c r="J6320">
        <v>92</v>
      </c>
    </row>
    <row r="6321" spans="1:32">
      <c r="A6321" s="3" t="s">
        <v>6297</v>
      </c>
      <c r="D6321">
        <v>7</v>
      </c>
      <c r="J6321">
        <v>92</v>
      </c>
    </row>
    <row r="6322" spans="1:32">
      <c r="A6322" s="3" t="s">
        <v>6298</v>
      </c>
      <c r="D6322">
        <v>7</v>
      </c>
      <c r="J6322">
        <v>92</v>
      </c>
    </row>
    <row r="6323" spans="1:32">
      <c r="A6323" s="3" t="s">
        <v>6299</v>
      </c>
      <c r="D6323">
        <v>7</v>
      </c>
      <c r="AF6323">
        <v>2</v>
      </c>
    </row>
    <row r="6324" spans="1:32">
      <c r="A6324" s="3" t="s">
        <v>6300</v>
      </c>
      <c r="D6324">
        <v>7</v>
      </c>
      <c r="AF6324">
        <v>2</v>
      </c>
    </row>
    <row r="6325" spans="1:32">
      <c r="A6325" s="3" t="s">
        <v>6301</v>
      </c>
      <c r="D6325">
        <v>7</v>
      </c>
      <c r="AF6325">
        <v>2</v>
      </c>
    </row>
    <row r="6326" spans="1:32">
      <c r="A6326" s="3" t="s">
        <v>6302</v>
      </c>
      <c r="D6326">
        <v>7</v>
      </c>
      <c r="AF6326">
        <v>2</v>
      </c>
    </row>
    <row r="6327" spans="1:32">
      <c r="A6327" s="3" t="s">
        <v>6303</v>
      </c>
      <c r="D6327">
        <v>7</v>
      </c>
      <c r="AF6327">
        <v>2</v>
      </c>
    </row>
    <row r="6328" spans="1:32">
      <c r="A6328" s="3" t="s">
        <v>6304</v>
      </c>
      <c r="D6328">
        <v>7</v>
      </c>
      <c r="AF6328">
        <v>2</v>
      </c>
    </row>
    <row r="6329" spans="1:32">
      <c r="A6329" s="3" t="s">
        <v>6305</v>
      </c>
      <c r="D6329">
        <v>7</v>
      </c>
      <c r="AF6329">
        <v>2</v>
      </c>
    </row>
    <row r="6330" spans="1:32">
      <c r="A6330" s="3" t="s">
        <v>6306</v>
      </c>
      <c r="D6330">
        <v>7</v>
      </c>
      <c r="AF6330">
        <v>2</v>
      </c>
    </row>
    <row r="6331" spans="1:32">
      <c r="A6331" s="3" t="s">
        <v>6307</v>
      </c>
      <c r="D6331">
        <v>7</v>
      </c>
      <c r="AF6331">
        <v>2</v>
      </c>
    </row>
    <row r="6332" spans="1:32">
      <c r="A6332" s="3" t="s">
        <v>6308</v>
      </c>
      <c r="D6332">
        <v>7</v>
      </c>
      <c r="AF6332">
        <v>2</v>
      </c>
    </row>
    <row r="6333" spans="1:32">
      <c r="A6333" s="3" t="s">
        <v>6309</v>
      </c>
      <c r="D6333">
        <v>7</v>
      </c>
      <c r="AF6333">
        <v>2</v>
      </c>
    </row>
    <row r="6334" spans="1:32">
      <c r="A6334" s="3" t="s">
        <v>6310</v>
      </c>
      <c r="D6334">
        <v>7</v>
      </c>
      <c r="AF6334">
        <v>2</v>
      </c>
    </row>
    <row r="6335" spans="1:32">
      <c r="A6335" s="3" t="s">
        <v>6311</v>
      </c>
      <c r="D6335">
        <v>7</v>
      </c>
      <c r="AF6335">
        <v>2</v>
      </c>
    </row>
    <row r="6336" spans="1:32">
      <c r="A6336" s="3" t="s">
        <v>6312</v>
      </c>
      <c r="D6336">
        <v>7</v>
      </c>
      <c r="AF6336">
        <v>2</v>
      </c>
    </row>
    <row r="6337" spans="1:33">
      <c r="A6337" s="3" t="s">
        <v>6313</v>
      </c>
      <c r="D6337">
        <v>7</v>
      </c>
      <c r="AF6337">
        <v>2</v>
      </c>
    </row>
    <row r="6338" spans="1:33">
      <c r="A6338" s="3" t="s">
        <v>6314</v>
      </c>
      <c r="D6338">
        <v>7</v>
      </c>
      <c r="AF6338">
        <v>2</v>
      </c>
    </row>
    <row r="6339" spans="1:33">
      <c r="A6339" s="3" t="s">
        <v>6315</v>
      </c>
      <c r="D6339">
        <v>7</v>
      </c>
      <c r="AF6339">
        <v>2</v>
      </c>
    </row>
    <row r="6340" spans="1:33">
      <c r="A6340" s="3" t="s">
        <v>6316</v>
      </c>
      <c r="D6340">
        <v>7</v>
      </c>
      <c r="AF6340">
        <v>2</v>
      </c>
    </row>
    <row r="6341" spans="1:33">
      <c r="A6341" s="3" t="s">
        <v>6317</v>
      </c>
      <c r="D6341">
        <v>7</v>
      </c>
      <c r="AF6341">
        <v>2</v>
      </c>
    </row>
    <row r="6342" spans="1:33">
      <c r="A6342" s="3" t="s">
        <v>6318</v>
      </c>
      <c r="D6342">
        <v>7</v>
      </c>
      <c r="AF6342">
        <v>2</v>
      </c>
    </row>
    <row r="6343" spans="1:33">
      <c r="A6343" s="3" t="s">
        <v>6319</v>
      </c>
      <c r="D6343">
        <v>7</v>
      </c>
      <c r="AF6343">
        <v>2</v>
      </c>
    </row>
    <row r="6344" spans="1:33">
      <c r="A6344" s="3" t="s">
        <v>6320</v>
      </c>
      <c r="D6344">
        <v>7</v>
      </c>
      <c r="AF6344">
        <v>2</v>
      </c>
    </row>
    <row r="6345" spans="1:33">
      <c r="A6345" s="3" t="s">
        <v>6321</v>
      </c>
      <c r="D6345">
        <v>7</v>
      </c>
      <c r="AF6345">
        <v>2</v>
      </c>
    </row>
    <row r="6346" spans="1:33">
      <c r="A6346" s="3" t="s">
        <v>6322</v>
      </c>
      <c r="D6346">
        <v>7</v>
      </c>
      <c r="AF6346">
        <v>2</v>
      </c>
    </row>
    <row r="6347" spans="1:33">
      <c r="A6347" s="3" t="s">
        <v>6323</v>
      </c>
      <c r="D6347">
        <v>7</v>
      </c>
      <c r="AF6347">
        <v>2</v>
      </c>
    </row>
    <row r="6348" spans="1:33">
      <c r="A6348" s="3" t="s">
        <v>6324</v>
      </c>
      <c r="D6348">
        <v>7</v>
      </c>
      <c r="AG6348">
        <v>1</v>
      </c>
    </row>
    <row r="6349" spans="1:33">
      <c r="A6349" s="3" t="s">
        <v>6325</v>
      </c>
      <c r="D6349">
        <v>7</v>
      </c>
      <c r="AG6349">
        <v>1</v>
      </c>
    </row>
    <row r="6350" spans="1:33">
      <c r="A6350" s="3" t="s">
        <v>6326</v>
      </c>
      <c r="D6350">
        <v>7</v>
      </c>
      <c r="AG6350">
        <v>1</v>
      </c>
    </row>
    <row r="6351" spans="1:33">
      <c r="A6351" s="3" t="s">
        <v>6327</v>
      </c>
      <c r="D6351">
        <v>7</v>
      </c>
      <c r="AG6351">
        <v>1</v>
      </c>
    </row>
    <row r="6352" spans="1:33">
      <c r="A6352" s="3" t="s">
        <v>6328</v>
      </c>
      <c r="D6352">
        <v>7</v>
      </c>
      <c r="AG6352">
        <v>1</v>
      </c>
    </row>
    <row r="6353" spans="1:33">
      <c r="A6353" s="3" t="s">
        <v>6329</v>
      </c>
      <c r="D6353">
        <v>7</v>
      </c>
      <c r="AG6353">
        <v>1</v>
      </c>
    </row>
    <row r="6354" spans="1:33">
      <c r="A6354" s="3" t="s">
        <v>6330</v>
      </c>
      <c r="D6354">
        <v>7</v>
      </c>
      <c r="AG6354">
        <v>1</v>
      </c>
    </row>
    <row r="6355" spans="1:33">
      <c r="A6355" s="3" t="s">
        <v>6331</v>
      </c>
      <c r="D6355">
        <v>7</v>
      </c>
      <c r="AG6355">
        <v>1</v>
      </c>
    </row>
    <row r="6356" spans="1:33">
      <c r="A6356" s="3" t="s">
        <v>6332</v>
      </c>
      <c r="D6356">
        <v>7</v>
      </c>
      <c r="AG6356">
        <v>1</v>
      </c>
    </row>
    <row r="6357" spans="1:33">
      <c r="A6357" s="3" t="s">
        <v>6333</v>
      </c>
      <c r="D6357">
        <v>7</v>
      </c>
      <c r="AG6357">
        <v>1</v>
      </c>
    </row>
    <row r="6358" spans="1:33">
      <c r="A6358" s="3" t="s">
        <v>6334</v>
      </c>
      <c r="D6358">
        <v>7</v>
      </c>
      <c r="AG6358">
        <v>1</v>
      </c>
    </row>
    <row r="6359" spans="1:33">
      <c r="A6359" s="3" t="s">
        <v>6335</v>
      </c>
      <c r="D6359">
        <v>7</v>
      </c>
      <c r="AG6359">
        <v>1</v>
      </c>
    </row>
    <row r="6360" spans="1:33">
      <c r="A6360" s="3" t="s">
        <v>6336</v>
      </c>
      <c r="D6360">
        <v>7</v>
      </c>
      <c r="AG6360">
        <v>1</v>
      </c>
    </row>
    <row r="6361" spans="1:33">
      <c r="A6361" s="3" t="s">
        <v>6337</v>
      </c>
      <c r="D6361">
        <v>7</v>
      </c>
      <c r="AG6361">
        <v>1</v>
      </c>
    </row>
    <row r="6362" spans="1:33">
      <c r="A6362" s="3" t="s">
        <v>6338</v>
      </c>
      <c r="D6362">
        <v>7</v>
      </c>
      <c r="AG6362">
        <v>1</v>
      </c>
    </row>
    <row r="6363" spans="1:33">
      <c r="A6363" s="3" t="s">
        <v>6339</v>
      </c>
      <c r="D6363">
        <v>7</v>
      </c>
      <c r="AG6363">
        <v>1</v>
      </c>
    </row>
    <row r="6364" spans="1:33">
      <c r="A6364" s="3" t="s">
        <v>6340</v>
      </c>
      <c r="D6364">
        <v>7</v>
      </c>
      <c r="AG6364">
        <v>1</v>
      </c>
    </row>
    <row r="6365" spans="1:33">
      <c r="A6365" s="3" t="s">
        <v>6341</v>
      </c>
      <c r="D6365">
        <v>7</v>
      </c>
      <c r="AG6365">
        <v>1</v>
      </c>
    </row>
    <row r="6366" spans="1:33">
      <c r="A6366" s="3" t="s">
        <v>6342</v>
      </c>
      <c r="D6366">
        <v>7</v>
      </c>
      <c r="AG6366">
        <v>1</v>
      </c>
    </row>
    <row r="6367" spans="1:33">
      <c r="A6367" s="3" t="s">
        <v>6343</v>
      </c>
      <c r="D6367">
        <v>7</v>
      </c>
      <c r="AG6367">
        <v>1</v>
      </c>
    </row>
    <row r="6368" spans="1:33">
      <c r="A6368" s="3" t="s">
        <v>6344</v>
      </c>
      <c r="D6368">
        <v>7</v>
      </c>
      <c r="AG6368">
        <v>1</v>
      </c>
    </row>
    <row r="6369" spans="1:33">
      <c r="A6369" s="3" t="s">
        <v>6345</v>
      </c>
      <c r="D6369">
        <v>7</v>
      </c>
      <c r="AG6369">
        <v>1</v>
      </c>
    </row>
    <row r="6370" spans="1:33">
      <c r="A6370" s="3" t="s">
        <v>6346</v>
      </c>
      <c r="D6370">
        <v>7</v>
      </c>
      <c r="AG6370">
        <v>1</v>
      </c>
    </row>
    <row r="6371" spans="1:33">
      <c r="A6371" s="3" t="s">
        <v>6347</v>
      </c>
      <c r="D6371">
        <v>7</v>
      </c>
      <c r="AG6371">
        <v>1</v>
      </c>
    </row>
    <row r="6372" spans="1:33">
      <c r="A6372" s="3" t="s">
        <v>6348</v>
      </c>
      <c r="D6372">
        <v>7</v>
      </c>
      <c r="AG6372">
        <v>1</v>
      </c>
    </row>
    <row r="6373" spans="1:33">
      <c r="A6373" s="3" t="s">
        <v>6349</v>
      </c>
      <c r="D6373">
        <v>7</v>
      </c>
      <c r="AG6373">
        <v>1</v>
      </c>
    </row>
    <row r="6374" spans="1:33">
      <c r="A6374" s="3" t="s">
        <v>6350</v>
      </c>
      <c r="D6374">
        <v>7</v>
      </c>
      <c r="AG6374">
        <v>1</v>
      </c>
    </row>
    <row r="6375" spans="1:33">
      <c r="A6375" s="3" t="s">
        <v>6351</v>
      </c>
      <c r="D6375">
        <v>7</v>
      </c>
      <c r="AG6375">
        <v>1</v>
      </c>
    </row>
    <row r="6376" spans="1:33">
      <c r="A6376" s="3" t="s">
        <v>6352</v>
      </c>
      <c r="D6376">
        <v>7</v>
      </c>
      <c r="AG6376">
        <v>1</v>
      </c>
    </row>
    <row r="6377" spans="1:33">
      <c r="A6377" s="3" t="s">
        <v>6353</v>
      </c>
      <c r="D6377">
        <v>7</v>
      </c>
      <c r="AG6377">
        <v>1</v>
      </c>
    </row>
    <row r="6378" spans="1:33">
      <c r="A6378" s="3" t="s">
        <v>6354</v>
      </c>
      <c r="D6378">
        <v>7</v>
      </c>
      <c r="AG6378">
        <v>1</v>
      </c>
    </row>
    <row r="6379" spans="1:33">
      <c r="A6379" s="3" t="s">
        <v>6355</v>
      </c>
      <c r="D6379">
        <v>7</v>
      </c>
      <c r="AG6379">
        <v>1</v>
      </c>
    </row>
    <row r="6380" spans="1:33">
      <c r="A6380" s="3" t="s">
        <v>6356</v>
      </c>
      <c r="D6380">
        <v>7</v>
      </c>
      <c r="AG6380">
        <v>1</v>
      </c>
    </row>
    <row r="6381" spans="1:33">
      <c r="A6381" s="3" t="s">
        <v>6357</v>
      </c>
      <c r="D6381">
        <v>7</v>
      </c>
      <c r="AG6381">
        <v>1</v>
      </c>
    </row>
    <row r="6382" spans="1:33">
      <c r="A6382" s="3" t="s">
        <v>6358</v>
      </c>
      <c r="D6382">
        <v>7</v>
      </c>
      <c r="AG6382">
        <v>1</v>
      </c>
    </row>
    <row r="6383" spans="1:33">
      <c r="A6383" s="3" t="s">
        <v>6359</v>
      </c>
      <c r="D6383">
        <v>7</v>
      </c>
      <c r="AG6383">
        <v>1</v>
      </c>
    </row>
    <row r="6384" spans="1:33">
      <c r="A6384" s="3" t="s">
        <v>6360</v>
      </c>
      <c r="D6384">
        <v>7</v>
      </c>
      <c r="AG6384">
        <v>1</v>
      </c>
    </row>
    <row r="6385" spans="1:33">
      <c r="A6385" s="3" t="s">
        <v>6361</v>
      </c>
      <c r="D6385">
        <v>7</v>
      </c>
      <c r="AG6385">
        <v>1</v>
      </c>
    </row>
    <row r="6386" spans="1:33">
      <c r="A6386" s="3" t="s">
        <v>6362</v>
      </c>
      <c r="D6386">
        <v>7</v>
      </c>
      <c r="AG6386">
        <v>1</v>
      </c>
    </row>
    <row r="6387" spans="1:33">
      <c r="A6387" s="3" t="s">
        <v>6363</v>
      </c>
      <c r="D6387">
        <v>7</v>
      </c>
      <c r="AG6387">
        <v>1</v>
      </c>
    </row>
    <row r="6388" spans="1:33">
      <c r="A6388" s="3" t="s">
        <v>6364</v>
      </c>
      <c r="D6388">
        <v>7</v>
      </c>
      <c r="AG6388">
        <v>1</v>
      </c>
    </row>
    <row r="6389" spans="1:33">
      <c r="A6389" s="3" t="s">
        <v>6365</v>
      </c>
      <c r="D6389">
        <v>7</v>
      </c>
      <c r="AG6389">
        <v>1</v>
      </c>
    </row>
    <row r="6390" spans="1:33">
      <c r="A6390" s="3" t="s">
        <v>6366</v>
      </c>
      <c r="D6390">
        <v>7</v>
      </c>
      <c r="AG6390">
        <v>1</v>
      </c>
    </row>
    <row r="6391" spans="1:33">
      <c r="A6391" s="3" t="s">
        <v>6367</v>
      </c>
      <c r="D6391">
        <v>7</v>
      </c>
      <c r="AG6391">
        <v>1</v>
      </c>
    </row>
    <row r="6392" spans="1:33">
      <c r="A6392" s="3" t="s">
        <v>6368</v>
      </c>
      <c r="D6392">
        <v>7</v>
      </c>
      <c r="AG6392">
        <v>1</v>
      </c>
    </row>
    <row r="6393" spans="1:33">
      <c r="A6393" s="3" t="s">
        <v>6369</v>
      </c>
      <c r="D6393">
        <v>7</v>
      </c>
      <c r="AG6393">
        <v>1</v>
      </c>
    </row>
    <row r="6394" spans="1:33">
      <c r="A6394" s="3" t="s">
        <v>6370</v>
      </c>
      <c r="D6394">
        <v>7</v>
      </c>
      <c r="AG6394">
        <v>1</v>
      </c>
    </row>
    <row r="6395" spans="1:33">
      <c r="A6395" s="3" t="s">
        <v>6371</v>
      </c>
      <c r="D6395">
        <v>7</v>
      </c>
      <c r="AG6395">
        <v>1</v>
      </c>
    </row>
    <row r="6396" spans="1:33">
      <c r="A6396" s="3" t="s">
        <v>6372</v>
      </c>
      <c r="D6396">
        <v>7</v>
      </c>
      <c r="AG6396">
        <v>1</v>
      </c>
    </row>
    <row r="6397" spans="1:33">
      <c r="A6397" s="3" t="s">
        <v>6373</v>
      </c>
      <c r="D6397">
        <v>7</v>
      </c>
      <c r="AG6397">
        <v>1</v>
      </c>
    </row>
    <row r="6398" spans="1:33">
      <c r="A6398" s="3" t="s">
        <v>6374</v>
      </c>
      <c r="D6398">
        <v>7</v>
      </c>
      <c r="AG6398">
        <v>1</v>
      </c>
    </row>
    <row r="6399" spans="1:33">
      <c r="A6399" s="3" t="s">
        <v>6375</v>
      </c>
      <c r="D6399">
        <v>7</v>
      </c>
      <c r="AG6399">
        <v>1</v>
      </c>
    </row>
    <row r="6400" spans="1:33">
      <c r="A6400" s="3" t="s">
        <v>6376</v>
      </c>
      <c r="D6400">
        <v>7</v>
      </c>
      <c r="AG6400">
        <v>1</v>
      </c>
    </row>
    <row r="6401" spans="1:33">
      <c r="A6401" s="3" t="s">
        <v>6377</v>
      </c>
      <c r="D6401">
        <v>7</v>
      </c>
      <c r="AG6401">
        <v>1</v>
      </c>
    </row>
    <row r="6402" spans="1:33">
      <c r="A6402" s="3" t="s">
        <v>6378</v>
      </c>
      <c r="D6402">
        <v>7</v>
      </c>
      <c r="AF6402">
        <v>3</v>
      </c>
    </row>
    <row r="6403" spans="1:33">
      <c r="A6403" s="3" t="s">
        <v>6379</v>
      </c>
      <c r="D6403">
        <v>7</v>
      </c>
      <c r="AF6403">
        <v>3</v>
      </c>
    </row>
    <row r="6404" spans="1:33">
      <c r="A6404" s="3" t="s">
        <v>6380</v>
      </c>
      <c r="D6404">
        <v>7</v>
      </c>
      <c r="AF6404">
        <v>3</v>
      </c>
    </row>
    <row r="6405" spans="1:33">
      <c r="A6405" s="3" t="s">
        <v>6381</v>
      </c>
      <c r="D6405">
        <v>7</v>
      </c>
      <c r="AF6405">
        <v>3</v>
      </c>
    </row>
    <row r="6406" spans="1:33">
      <c r="A6406" s="3" t="s">
        <v>6382</v>
      </c>
      <c r="D6406">
        <v>7</v>
      </c>
      <c r="AF6406">
        <v>3</v>
      </c>
    </row>
    <row r="6407" spans="1:33">
      <c r="A6407" s="3" t="s">
        <v>6383</v>
      </c>
      <c r="D6407">
        <v>7</v>
      </c>
      <c r="AF6407">
        <v>3</v>
      </c>
    </row>
    <row r="6408" spans="1:33">
      <c r="A6408" s="3" t="s">
        <v>6384</v>
      </c>
      <c r="D6408">
        <v>7</v>
      </c>
      <c r="AF6408">
        <v>3</v>
      </c>
    </row>
    <row r="6409" spans="1:33">
      <c r="A6409" s="3" t="s">
        <v>6385</v>
      </c>
      <c r="D6409">
        <v>7</v>
      </c>
      <c r="AF6409">
        <v>3</v>
      </c>
    </row>
    <row r="6410" spans="1:33">
      <c r="A6410" s="3" t="s">
        <v>6386</v>
      </c>
      <c r="D6410">
        <v>7</v>
      </c>
      <c r="AF6410">
        <v>3</v>
      </c>
    </row>
    <row r="6411" spans="1:33">
      <c r="A6411" s="3" t="s">
        <v>6387</v>
      </c>
      <c r="D6411">
        <v>7</v>
      </c>
      <c r="AF6411">
        <v>3</v>
      </c>
    </row>
    <row r="6412" spans="1:33">
      <c r="A6412" s="3" t="s">
        <v>6388</v>
      </c>
      <c r="D6412">
        <v>7</v>
      </c>
      <c r="AF6412">
        <v>3</v>
      </c>
    </row>
    <row r="6413" spans="1:33">
      <c r="A6413" s="3" t="s">
        <v>6389</v>
      </c>
      <c r="D6413">
        <v>7</v>
      </c>
      <c r="AF6413">
        <v>3</v>
      </c>
    </row>
    <row r="6414" spans="1:33">
      <c r="A6414" s="3" t="s">
        <v>6390</v>
      </c>
      <c r="D6414">
        <v>7</v>
      </c>
      <c r="AF6414">
        <v>3</v>
      </c>
    </row>
    <row r="6415" spans="1:33">
      <c r="A6415" s="3" t="s">
        <v>6391</v>
      </c>
      <c r="D6415">
        <v>7</v>
      </c>
      <c r="AF6415">
        <v>3</v>
      </c>
    </row>
    <row r="6416" spans="1:33">
      <c r="A6416" s="3" t="s">
        <v>6392</v>
      </c>
      <c r="D6416">
        <v>7</v>
      </c>
      <c r="AF6416">
        <v>3</v>
      </c>
    </row>
    <row r="6417" spans="1:32">
      <c r="A6417" s="3" t="s">
        <v>6393</v>
      </c>
      <c r="D6417">
        <v>7</v>
      </c>
      <c r="AF6417">
        <v>3</v>
      </c>
    </row>
    <row r="6418" spans="1:32">
      <c r="A6418" s="3" t="s">
        <v>6394</v>
      </c>
      <c r="D6418">
        <v>7</v>
      </c>
      <c r="AF6418">
        <v>3</v>
      </c>
    </row>
    <row r="6419" spans="1:32">
      <c r="A6419" s="3" t="s">
        <v>6395</v>
      </c>
      <c r="D6419">
        <v>7</v>
      </c>
      <c r="AF6419">
        <v>3</v>
      </c>
    </row>
    <row r="6420" spans="1:32">
      <c r="A6420" s="3" t="s">
        <v>6396</v>
      </c>
      <c r="D6420">
        <v>7</v>
      </c>
      <c r="AF6420">
        <v>3</v>
      </c>
    </row>
    <row r="6421" spans="1:32">
      <c r="A6421" s="3" t="s">
        <v>6397</v>
      </c>
      <c r="D6421">
        <v>7</v>
      </c>
      <c r="AF6421">
        <v>3</v>
      </c>
    </row>
    <row r="6422" spans="1:32">
      <c r="A6422" s="3" t="s">
        <v>6398</v>
      </c>
      <c r="D6422">
        <v>7</v>
      </c>
      <c r="AF6422">
        <v>3</v>
      </c>
    </row>
    <row r="6423" spans="1:32">
      <c r="A6423" s="3" t="s">
        <v>6399</v>
      </c>
      <c r="D6423">
        <v>7</v>
      </c>
      <c r="AF6423">
        <v>3</v>
      </c>
    </row>
    <row r="6424" spans="1:32">
      <c r="A6424" s="3" t="s">
        <v>6400</v>
      </c>
      <c r="D6424">
        <v>7</v>
      </c>
      <c r="AF6424">
        <v>3</v>
      </c>
    </row>
    <row r="6425" spans="1:32">
      <c r="A6425" s="3" t="s">
        <v>6401</v>
      </c>
      <c r="D6425">
        <v>7</v>
      </c>
      <c r="AF6425">
        <v>3</v>
      </c>
    </row>
    <row r="6426" spans="1:32">
      <c r="A6426" s="3" t="s">
        <v>6402</v>
      </c>
      <c r="D6426">
        <v>7</v>
      </c>
      <c r="AF6426">
        <v>3</v>
      </c>
    </row>
    <row r="6427" spans="1:32">
      <c r="A6427" s="3" t="s">
        <v>6403</v>
      </c>
      <c r="D6427">
        <v>7</v>
      </c>
      <c r="AF6427">
        <v>3</v>
      </c>
    </row>
    <row r="6428" spans="1:32">
      <c r="A6428" s="3" t="s">
        <v>6404</v>
      </c>
      <c r="D6428">
        <v>7</v>
      </c>
      <c r="AF6428">
        <v>3</v>
      </c>
    </row>
    <row r="6429" spans="1:32">
      <c r="A6429" s="3" t="s">
        <v>6405</v>
      </c>
      <c r="D6429">
        <v>7</v>
      </c>
      <c r="AF6429">
        <v>3</v>
      </c>
    </row>
    <row r="6430" spans="1:32">
      <c r="A6430" s="3" t="s">
        <v>6406</v>
      </c>
      <c r="D6430">
        <v>7</v>
      </c>
      <c r="AF6430">
        <v>3</v>
      </c>
    </row>
    <row r="6431" spans="1:32">
      <c r="A6431" s="3" t="s">
        <v>6407</v>
      </c>
      <c r="D6431">
        <v>7</v>
      </c>
      <c r="AF6431">
        <v>3</v>
      </c>
    </row>
    <row r="6432" spans="1:32">
      <c r="A6432" s="3" t="s">
        <v>6408</v>
      </c>
      <c r="D6432">
        <v>7</v>
      </c>
      <c r="AF6432">
        <v>3</v>
      </c>
    </row>
    <row r="6433" spans="1:32">
      <c r="A6433" s="3" t="s">
        <v>6409</v>
      </c>
      <c r="D6433">
        <v>7</v>
      </c>
      <c r="AF6433">
        <v>3</v>
      </c>
    </row>
    <row r="6434" spans="1:32">
      <c r="A6434" s="3" t="s">
        <v>6410</v>
      </c>
      <c r="D6434">
        <v>7</v>
      </c>
      <c r="AF6434">
        <v>3</v>
      </c>
    </row>
    <row r="6435" spans="1:32">
      <c r="A6435" s="3" t="s">
        <v>6411</v>
      </c>
      <c r="D6435">
        <v>7</v>
      </c>
      <c r="AF6435">
        <v>3</v>
      </c>
    </row>
    <row r="6436" spans="1:32">
      <c r="A6436" s="3" t="s">
        <v>6412</v>
      </c>
      <c r="D6436">
        <v>7</v>
      </c>
      <c r="AF6436">
        <v>3</v>
      </c>
    </row>
    <row r="6437" spans="1:32">
      <c r="A6437" s="3" t="s">
        <v>6413</v>
      </c>
      <c r="D6437">
        <v>7</v>
      </c>
      <c r="AF6437">
        <v>3</v>
      </c>
    </row>
    <row r="6438" spans="1:32">
      <c r="A6438" s="3" t="s">
        <v>6414</v>
      </c>
      <c r="D6438">
        <v>7</v>
      </c>
      <c r="AF6438">
        <v>3</v>
      </c>
    </row>
    <row r="6439" spans="1:32">
      <c r="A6439" s="3" t="s">
        <v>6415</v>
      </c>
      <c r="D6439">
        <v>7</v>
      </c>
      <c r="AF6439">
        <v>3</v>
      </c>
    </row>
    <row r="6440" spans="1:32">
      <c r="A6440" s="3" t="s">
        <v>6416</v>
      </c>
      <c r="D6440">
        <v>7</v>
      </c>
      <c r="AF6440">
        <v>3</v>
      </c>
    </row>
    <row r="6441" spans="1:32">
      <c r="A6441" s="3" t="s">
        <v>6417</v>
      </c>
      <c r="D6441">
        <v>7</v>
      </c>
      <c r="AF6441">
        <v>3</v>
      </c>
    </row>
    <row r="6442" spans="1:32">
      <c r="A6442" s="3" t="s">
        <v>6418</v>
      </c>
      <c r="D6442">
        <v>7</v>
      </c>
      <c r="AF6442">
        <v>3</v>
      </c>
    </row>
    <row r="6443" spans="1:32">
      <c r="A6443" s="3" t="s">
        <v>6419</v>
      </c>
      <c r="D6443">
        <v>7</v>
      </c>
      <c r="AF6443">
        <v>3</v>
      </c>
    </row>
    <row r="6444" spans="1:32">
      <c r="A6444" s="3" t="s">
        <v>6420</v>
      </c>
      <c r="D6444">
        <v>7</v>
      </c>
      <c r="AF6444">
        <v>3</v>
      </c>
    </row>
    <row r="6445" spans="1:32">
      <c r="A6445" s="3" t="s">
        <v>6421</v>
      </c>
      <c r="D6445">
        <v>7</v>
      </c>
      <c r="AF6445">
        <v>3</v>
      </c>
    </row>
    <row r="6446" spans="1:32">
      <c r="A6446" s="3" t="s">
        <v>6422</v>
      </c>
      <c r="D6446">
        <v>7</v>
      </c>
      <c r="AF6446">
        <v>3</v>
      </c>
    </row>
    <row r="6447" spans="1:32">
      <c r="A6447" s="3" t="s">
        <v>6423</v>
      </c>
      <c r="D6447">
        <v>7</v>
      </c>
      <c r="AF6447">
        <v>3</v>
      </c>
    </row>
    <row r="6448" spans="1:32">
      <c r="A6448" s="3" t="s">
        <v>6424</v>
      </c>
      <c r="D6448">
        <v>7</v>
      </c>
      <c r="AF6448">
        <v>3</v>
      </c>
    </row>
    <row r="6449" spans="1:32">
      <c r="A6449" s="3" t="s">
        <v>6425</v>
      </c>
      <c r="D6449">
        <v>7</v>
      </c>
      <c r="AF6449">
        <v>3</v>
      </c>
    </row>
    <row r="6450" spans="1:32">
      <c r="A6450" s="3" t="s">
        <v>6426</v>
      </c>
      <c r="D6450">
        <v>7</v>
      </c>
      <c r="AF6450">
        <v>3</v>
      </c>
    </row>
    <row r="6451" spans="1:32">
      <c r="A6451" s="3" t="s">
        <v>6427</v>
      </c>
      <c r="D6451">
        <v>7</v>
      </c>
      <c r="AF6451">
        <v>3</v>
      </c>
    </row>
    <row r="6452" spans="1:32">
      <c r="A6452" s="3" t="s">
        <v>6428</v>
      </c>
      <c r="D6452">
        <v>7</v>
      </c>
      <c r="AF6452">
        <v>3</v>
      </c>
    </row>
    <row r="6453" spans="1:32">
      <c r="A6453" s="3" t="s">
        <v>6429</v>
      </c>
      <c r="D6453">
        <v>7</v>
      </c>
      <c r="AF6453">
        <v>3</v>
      </c>
    </row>
    <row r="6454" spans="1:32">
      <c r="A6454" s="3" t="s">
        <v>6430</v>
      </c>
      <c r="D6454">
        <v>7</v>
      </c>
      <c r="AF6454">
        <v>3</v>
      </c>
    </row>
    <row r="6455" spans="1:32">
      <c r="A6455" s="3" t="s">
        <v>6431</v>
      </c>
      <c r="D6455">
        <v>7</v>
      </c>
      <c r="AF6455">
        <v>3</v>
      </c>
    </row>
    <row r="6456" spans="1:32">
      <c r="A6456" s="3" t="s">
        <v>6432</v>
      </c>
      <c r="D6456">
        <v>7</v>
      </c>
      <c r="AF6456">
        <v>3</v>
      </c>
    </row>
    <row r="6457" spans="1:32">
      <c r="A6457" s="3" t="s">
        <v>6433</v>
      </c>
      <c r="D6457">
        <v>7</v>
      </c>
      <c r="AF6457">
        <v>3</v>
      </c>
    </row>
    <row r="6458" spans="1:32">
      <c r="A6458" s="3" t="s">
        <v>6434</v>
      </c>
      <c r="D6458">
        <v>7</v>
      </c>
      <c r="AF6458">
        <v>3</v>
      </c>
    </row>
    <row r="6459" spans="1:32">
      <c r="A6459" s="3" t="s">
        <v>6435</v>
      </c>
      <c r="D6459">
        <v>7</v>
      </c>
      <c r="AF6459">
        <v>3</v>
      </c>
    </row>
    <row r="6460" spans="1:32">
      <c r="A6460" s="3" t="s">
        <v>6436</v>
      </c>
      <c r="D6460">
        <v>7</v>
      </c>
      <c r="AF6460">
        <v>3</v>
      </c>
    </row>
    <row r="6461" spans="1:32">
      <c r="A6461" s="3" t="s">
        <v>6437</v>
      </c>
      <c r="D6461">
        <v>7</v>
      </c>
      <c r="AF6461">
        <v>3</v>
      </c>
    </row>
    <row r="6462" spans="1:32">
      <c r="A6462" s="3" t="s">
        <v>6438</v>
      </c>
      <c r="D6462">
        <v>7</v>
      </c>
      <c r="AF6462">
        <v>3</v>
      </c>
    </row>
    <row r="6463" spans="1:32">
      <c r="A6463" s="3" t="s">
        <v>6439</v>
      </c>
      <c r="D6463">
        <v>7</v>
      </c>
      <c r="AF6463">
        <v>3</v>
      </c>
    </row>
    <row r="6464" spans="1:32">
      <c r="A6464" s="3" t="s">
        <v>6440</v>
      </c>
      <c r="D6464">
        <v>7</v>
      </c>
      <c r="AF6464">
        <v>3</v>
      </c>
    </row>
    <row r="6465" spans="1:32">
      <c r="A6465" s="3" t="s">
        <v>6441</v>
      </c>
      <c r="D6465">
        <v>7</v>
      </c>
      <c r="AF6465">
        <v>3</v>
      </c>
    </row>
    <row r="6466" spans="1:32">
      <c r="A6466" s="3" t="s">
        <v>6442</v>
      </c>
      <c r="D6466">
        <v>7</v>
      </c>
      <c r="AF6466">
        <v>3</v>
      </c>
    </row>
    <row r="6467" spans="1:32">
      <c r="A6467" s="3" t="s">
        <v>6443</v>
      </c>
      <c r="D6467">
        <v>7</v>
      </c>
      <c r="AF6467">
        <v>3</v>
      </c>
    </row>
    <row r="6468" spans="1:32">
      <c r="A6468" s="3" t="s">
        <v>6444</v>
      </c>
      <c r="D6468">
        <v>7</v>
      </c>
      <c r="AF6468">
        <v>3</v>
      </c>
    </row>
    <row r="6469" spans="1:32">
      <c r="A6469" s="3" t="s">
        <v>6445</v>
      </c>
      <c r="D6469">
        <v>7</v>
      </c>
      <c r="AF6469">
        <v>3</v>
      </c>
    </row>
    <row r="6470" spans="1:32">
      <c r="A6470" s="3" t="s">
        <v>6446</v>
      </c>
      <c r="D6470">
        <v>7</v>
      </c>
      <c r="AF6470">
        <v>3</v>
      </c>
    </row>
    <row r="6471" spans="1:32">
      <c r="A6471" s="3" t="s">
        <v>6447</v>
      </c>
      <c r="D6471">
        <v>7</v>
      </c>
      <c r="AF6471">
        <v>3</v>
      </c>
    </row>
    <row r="6472" spans="1:32">
      <c r="A6472" s="3" t="s">
        <v>6448</v>
      </c>
      <c r="D6472">
        <v>7</v>
      </c>
      <c r="AF6472">
        <v>3</v>
      </c>
    </row>
    <row r="6473" spans="1:32">
      <c r="A6473" s="3" t="s">
        <v>6449</v>
      </c>
      <c r="D6473">
        <v>7</v>
      </c>
      <c r="AF6473">
        <v>3</v>
      </c>
    </row>
    <row r="6474" spans="1:32">
      <c r="A6474" s="3" t="s">
        <v>6450</v>
      </c>
      <c r="D6474">
        <v>7</v>
      </c>
      <c r="AF6474">
        <v>3</v>
      </c>
    </row>
    <row r="6475" spans="1:32">
      <c r="A6475" s="3" t="s">
        <v>6451</v>
      </c>
      <c r="D6475">
        <v>7</v>
      </c>
      <c r="AF6475">
        <v>3</v>
      </c>
    </row>
    <row r="6476" spans="1:32">
      <c r="A6476" s="3" t="s">
        <v>6452</v>
      </c>
      <c r="D6476">
        <v>7</v>
      </c>
      <c r="AF6476">
        <v>3</v>
      </c>
    </row>
    <row r="6477" spans="1:32">
      <c r="A6477" s="3" t="s">
        <v>6453</v>
      </c>
      <c r="D6477">
        <v>7</v>
      </c>
      <c r="AF6477">
        <v>3</v>
      </c>
    </row>
    <row r="6478" spans="1:32">
      <c r="A6478" s="3" t="s">
        <v>6454</v>
      </c>
      <c r="D6478">
        <v>7</v>
      </c>
      <c r="AF6478">
        <v>3</v>
      </c>
    </row>
    <row r="6479" spans="1:32">
      <c r="A6479" s="3" t="s">
        <v>6455</v>
      </c>
      <c r="D6479">
        <v>7</v>
      </c>
      <c r="AF6479">
        <v>3</v>
      </c>
    </row>
    <row r="6480" spans="1:32">
      <c r="A6480" s="3" t="s">
        <v>6456</v>
      </c>
      <c r="D6480">
        <v>7</v>
      </c>
      <c r="AF6480">
        <v>3</v>
      </c>
    </row>
    <row r="6481" spans="1:32">
      <c r="A6481" s="3" t="s">
        <v>6457</v>
      </c>
      <c r="D6481">
        <v>7</v>
      </c>
      <c r="AF6481">
        <v>3</v>
      </c>
    </row>
    <row r="6482" spans="1:32">
      <c r="A6482" s="3" t="s">
        <v>6458</v>
      </c>
      <c r="D6482">
        <v>7</v>
      </c>
      <c r="AF6482">
        <v>3</v>
      </c>
    </row>
    <row r="6483" spans="1:32">
      <c r="A6483" s="3" t="s">
        <v>6459</v>
      </c>
      <c r="D6483">
        <v>7</v>
      </c>
      <c r="AF6483">
        <v>3</v>
      </c>
    </row>
    <row r="6484" spans="1:32">
      <c r="A6484" s="3" t="s">
        <v>6460</v>
      </c>
      <c r="D6484">
        <v>7</v>
      </c>
      <c r="AF6484">
        <v>3</v>
      </c>
    </row>
    <row r="6485" spans="1:32">
      <c r="A6485" s="3" t="s">
        <v>6461</v>
      </c>
      <c r="D6485">
        <v>7</v>
      </c>
      <c r="AF6485">
        <v>3</v>
      </c>
    </row>
    <row r="6486" spans="1:32">
      <c r="A6486" s="3" t="s">
        <v>6462</v>
      </c>
      <c r="D6486">
        <v>7</v>
      </c>
      <c r="AF6486">
        <v>3</v>
      </c>
    </row>
    <row r="6487" spans="1:32">
      <c r="A6487" s="3" t="s">
        <v>6463</v>
      </c>
      <c r="D6487">
        <v>7</v>
      </c>
      <c r="AF6487">
        <v>3</v>
      </c>
    </row>
    <row r="6488" spans="1:32">
      <c r="A6488" s="3" t="s">
        <v>6464</v>
      </c>
      <c r="D6488">
        <v>7</v>
      </c>
      <c r="AF6488">
        <v>3</v>
      </c>
    </row>
    <row r="6489" spans="1:32">
      <c r="A6489" s="3" t="s">
        <v>6465</v>
      </c>
      <c r="D6489">
        <v>7</v>
      </c>
      <c r="AF6489">
        <v>3</v>
      </c>
    </row>
    <row r="6490" spans="1:32">
      <c r="A6490" s="3" t="s">
        <v>6466</v>
      </c>
      <c r="D6490">
        <v>7</v>
      </c>
      <c r="AF6490">
        <v>3</v>
      </c>
    </row>
    <row r="6491" spans="1:32">
      <c r="A6491" s="3" t="s">
        <v>6467</v>
      </c>
      <c r="D6491">
        <v>7</v>
      </c>
      <c r="AF6491">
        <v>3</v>
      </c>
    </row>
    <row r="6492" spans="1:32">
      <c r="A6492" s="3" t="s">
        <v>6468</v>
      </c>
      <c r="D6492">
        <v>7</v>
      </c>
      <c r="AF6492">
        <v>3</v>
      </c>
    </row>
    <row r="6493" spans="1:32">
      <c r="A6493" s="3" t="s">
        <v>6469</v>
      </c>
      <c r="D6493">
        <v>7</v>
      </c>
      <c r="AF6493">
        <v>3</v>
      </c>
    </row>
    <row r="6494" spans="1:32">
      <c r="A6494" s="3" t="s">
        <v>6470</v>
      </c>
      <c r="D6494">
        <v>7</v>
      </c>
      <c r="AF6494">
        <v>3</v>
      </c>
    </row>
    <row r="6495" spans="1:32">
      <c r="A6495" s="3" t="s">
        <v>6471</v>
      </c>
      <c r="D6495">
        <v>7</v>
      </c>
      <c r="AF6495">
        <v>3</v>
      </c>
    </row>
    <row r="6496" spans="1:32">
      <c r="A6496" s="3" t="s">
        <v>6472</v>
      </c>
      <c r="D6496">
        <v>7</v>
      </c>
      <c r="AF6496">
        <v>3</v>
      </c>
    </row>
    <row r="6497" spans="1:32">
      <c r="A6497" s="3" t="s">
        <v>6473</v>
      </c>
      <c r="D6497">
        <v>7</v>
      </c>
      <c r="AF6497">
        <v>3</v>
      </c>
    </row>
    <row r="6498" spans="1:32">
      <c r="A6498" s="3" t="s">
        <v>6474</v>
      </c>
      <c r="D6498">
        <v>7</v>
      </c>
      <c r="AF6498">
        <v>3</v>
      </c>
    </row>
    <row r="6499" spans="1:32">
      <c r="A6499" s="3" t="s">
        <v>6475</v>
      </c>
      <c r="D6499">
        <v>7</v>
      </c>
      <c r="AF6499">
        <v>3</v>
      </c>
    </row>
    <row r="6500" spans="1:32">
      <c r="A6500" s="3" t="s">
        <v>6476</v>
      </c>
      <c r="D6500">
        <v>7</v>
      </c>
      <c r="AF6500">
        <v>3</v>
      </c>
    </row>
    <row r="6501" spans="1:32">
      <c r="A6501" s="3" t="s">
        <v>6477</v>
      </c>
      <c r="D6501">
        <v>7</v>
      </c>
      <c r="AF6501">
        <v>3</v>
      </c>
    </row>
    <row r="6502" spans="1:32">
      <c r="A6502" s="3" t="s">
        <v>6478</v>
      </c>
      <c r="D6502">
        <v>7</v>
      </c>
      <c r="AF6502">
        <v>3</v>
      </c>
    </row>
    <row r="6503" spans="1:32">
      <c r="A6503" s="3" t="s">
        <v>6479</v>
      </c>
      <c r="D6503">
        <v>7</v>
      </c>
      <c r="AF6503">
        <v>3</v>
      </c>
    </row>
    <row r="6504" spans="1:32">
      <c r="A6504" s="3" t="s">
        <v>6480</v>
      </c>
      <c r="D6504">
        <v>7</v>
      </c>
      <c r="AF6504">
        <v>3</v>
      </c>
    </row>
    <row r="6505" spans="1:32">
      <c r="A6505" s="3" t="s">
        <v>6481</v>
      </c>
      <c r="D6505">
        <v>7</v>
      </c>
      <c r="AF6505">
        <v>3</v>
      </c>
    </row>
    <row r="6506" spans="1:32">
      <c r="A6506" s="3" t="s">
        <v>6482</v>
      </c>
      <c r="D6506">
        <v>7</v>
      </c>
      <c r="AF6506">
        <v>3</v>
      </c>
    </row>
    <row r="6507" spans="1:32">
      <c r="A6507" s="3" t="s">
        <v>6483</v>
      </c>
      <c r="D6507">
        <v>7</v>
      </c>
      <c r="AF6507">
        <v>3</v>
      </c>
    </row>
    <row r="6508" spans="1:32">
      <c r="A6508" s="3" t="s">
        <v>6484</v>
      </c>
      <c r="D6508">
        <v>7</v>
      </c>
      <c r="AF6508">
        <v>3</v>
      </c>
    </row>
    <row r="6509" spans="1:32">
      <c r="A6509" s="3" t="s">
        <v>6485</v>
      </c>
      <c r="D6509">
        <v>7</v>
      </c>
      <c r="AF6509">
        <v>3</v>
      </c>
    </row>
    <row r="6510" spans="1:32">
      <c r="A6510" s="3" t="s">
        <v>6486</v>
      </c>
      <c r="D6510">
        <v>7</v>
      </c>
      <c r="AF6510">
        <v>3</v>
      </c>
    </row>
    <row r="6511" spans="1:32">
      <c r="A6511" s="3" t="s">
        <v>6487</v>
      </c>
      <c r="D6511">
        <v>7</v>
      </c>
      <c r="AF6511">
        <v>3</v>
      </c>
    </row>
    <row r="6512" spans="1:32">
      <c r="A6512" s="3" t="s">
        <v>6488</v>
      </c>
      <c r="D6512">
        <v>7</v>
      </c>
      <c r="AF6512">
        <v>3</v>
      </c>
    </row>
    <row r="6513" spans="1:32">
      <c r="A6513" s="3" t="s">
        <v>6489</v>
      </c>
      <c r="D6513">
        <v>7</v>
      </c>
      <c r="AF6513">
        <v>3</v>
      </c>
    </row>
    <row r="6514" spans="1:32">
      <c r="A6514" s="3" t="s">
        <v>6490</v>
      </c>
      <c r="D6514">
        <v>7</v>
      </c>
      <c r="AF6514">
        <v>3</v>
      </c>
    </row>
    <row r="6515" spans="1:32">
      <c r="A6515" s="3" t="s">
        <v>6491</v>
      </c>
      <c r="D6515">
        <v>7</v>
      </c>
      <c r="AF6515">
        <v>3</v>
      </c>
    </row>
    <row r="6516" spans="1:32">
      <c r="A6516" s="3" t="s">
        <v>6492</v>
      </c>
      <c r="D6516">
        <v>7</v>
      </c>
      <c r="AF6516">
        <v>3</v>
      </c>
    </row>
    <row r="6517" spans="1:32">
      <c r="A6517" s="3" t="s">
        <v>6493</v>
      </c>
      <c r="D6517">
        <v>7</v>
      </c>
      <c r="AF6517">
        <v>3</v>
      </c>
    </row>
    <row r="6518" spans="1:32">
      <c r="A6518" s="3" t="s">
        <v>6494</v>
      </c>
      <c r="D6518">
        <v>7</v>
      </c>
      <c r="AF6518">
        <v>3</v>
      </c>
    </row>
    <row r="6519" spans="1:32">
      <c r="A6519" s="3" t="s">
        <v>6495</v>
      </c>
      <c r="D6519">
        <v>7</v>
      </c>
      <c r="AF6519">
        <v>3</v>
      </c>
    </row>
    <row r="6520" spans="1:32">
      <c r="A6520" s="3" t="s">
        <v>6496</v>
      </c>
      <c r="D6520">
        <v>7</v>
      </c>
      <c r="AF6520">
        <v>3</v>
      </c>
    </row>
    <row r="6521" spans="1:32">
      <c r="A6521" s="3" t="s">
        <v>6497</v>
      </c>
      <c r="D6521">
        <v>7</v>
      </c>
      <c r="AF6521">
        <v>3</v>
      </c>
    </row>
    <row r="6522" spans="1:32">
      <c r="A6522" s="3" t="s">
        <v>6498</v>
      </c>
      <c r="D6522">
        <v>7</v>
      </c>
      <c r="AF6522">
        <v>3</v>
      </c>
    </row>
    <row r="6523" spans="1:32">
      <c r="A6523" s="3" t="s">
        <v>6499</v>
      </c>
      <c r="D6523">
        <v>7</v>
      </c>
      <c r="AF6523">
        <v>3</v>
      </c>
    </row>
    <row r="6524" spans="1:32">
      <c r="A6524" s="3" t="s">
        <v>6500</v>
      </c>
      <c r="D6524">
        <v>7</v>
      </c>
      <c r="AF6524">
        <v>3</v>
      </c>
    </row>
    <row r="6525" spans="1:32">
      <c r="A6525" s="3" t="s">
        <v>6501</v>
      </c>
      <c r="D6525">
        <v>7</v>
      </c>
      <c r="AF6525">
        <v>3</v>
      </c>
    </row>
    <row r="6526" spans="1:32">
      <c r="A6526" s="3" t="s">
        <v>6502</v>
      </c>
      <c r="D6526">
        <v>7</v>
      </c>
      <c r="AF6526">
        <v>3</v>
      </c>
    </row>
    <row r="6527" spans="1:32">
      <c r="A6527" s="3" t="s">
        <v>6503</v>
      </c>
      <c r="D6527">
        <v>7</v>
      </c>
      <c r="AF6527">
        <v>3</v>
      </c>
    </row>
    <row r="6528" spans="1:32">
      <c r="A6528" s="3" t="s">
        <v>6504</v>
      </c>
      <c r="D6528">
        <v>7</v>
      </c>
      <c r="AF6528">
        <v>3</v>
      </c>
    </row>
    <row r="6529" spans="1:10">
      <c r="A6529" s="3" t="s">
        <v>6505</v>
      </c>
      <c r="D6529">
        <v>7</v>
      </c>
      <c r="J6529">
        <v>93</v>
      </c>
    </row>
    <row r="6530" spans="1:10">
      <c r="A6530" s="3" t="s">
        <v>6506</v>
      </c>
      <c r="D6530">
        <v>7</v>
      </c>
      <c r="J6530">
        <v>93</v>
      </c>
    </row>
    <row r="6531" spans="1:10">
      <c r="A6531" s="3" t="s">
        <v>6507</v>
      </c>
      <c r="D6531">
        <v>7</v>
      </c>
      <c r="J6531">
        <v>93</v>
      </c>
    </row>
    <row r="6532" spans="1:10">
      <c r="A6532" s="3" t="s">
        <v>6508</v>
      </c>
      <c r="D6532">
        <v>7</v>
      </c>
      <c r="J6532">
        <v>93</v>
      </c>
    </row>
    <row r="6533" spans="1:10">
      <c r="A6533" s="3" t="s">
        <v>6509</v>
      </c>
      <c r="D6533">
        <v>7</v>
      </c>
      <c r="J6533">
        <v>93</v>
      </c>
    </row>
    <row r="6534" spans="1:10">
      <c r="A6534" s="3" t="s">
        <v>6510</v>
      </c>
      <c r="D6534">
        <v>7</v>
      </c>
      <c r="J6534">
        <v>93</v>
      </c>
    </row>
    <row r="6535" spans="1:10">
      <c r="A6535" s="3" t="s">
        <v>6511</v>
      </c>
      <c r="D6535">
        <v>7</v>
      </c>
      <c r="J6535">
        <v>93</v>
      </c>
    </row>
    <row r="6536" spans="1:10">
      <c r="A6536" s="3" t="s">
        <v>6512</v>
      </c>
      <c r="D6536">
        <v>7</v>
      </c>
      <c r="J6536">
        <v>93</v>
      </c>
    </row>
    <row r="6537" spans="1:10">
      <c r="A6537" s="3" t="s">
        <v>6513</v>
      </c>
      <c r="D6537">
        <v>7</v>
      </c>
      <c r="J6537">
        <v>93</v>
      </c>
    </row>
    <row r="6538" spans="1:10">
      <c r="A6538" s="3" t="s">
        <v>6514</v>
      </c>
      <c r="D6538">
        <v>7</v>
      </c>
      <c r="E6538">
        <v>8</v>
      </c>
      <c r="J6538">
        <v>93</v>
      </c>
    </row>
    <row r="6539" spans="1:10">
      <c r="A6539" s="3" t="s">
        <v>6515</v>
      </c>
      <c r="D6539">
        <v>7</v>
      </c>
      <c r="E6539">
        <v>8</v>
      </c>
      <c r="J6539">
        <v>93</v>
      </c>
    </row>
    <row r="6540" spans="1:10">
      <c r="A6540" s="3" t="s">
        <v>6516</v>
      </c>
      <c r="D6540">
        <v>7</v>
      </c>
      <c r="E6540">
        <v>8</v>
      </c>
      <c r="J6540">
        <v>93</v>
      </c>
    </row>
    <row r="6541" spans="1:10">
      <c r="A6541" s="3" t="s">
        <v>6517</v>
      </c>
      <c r="D6541">
        <v>7</v>
      </c>
      <c r="E6541">
        <v>8</v>
      </c>
      <c r="J6541">
        <v>93</v>
      </c>
    </row>
    <row r="6542" spans="1:10">
      <c r="A6542" s="3" t="s">
        <v>6518</v>
      </c>
      <c r="D6542">
        <v>7</v>
      </c>
      <c r="E6542">
        <v>8</v>
      </c>
      <c r="J6542">
        <v>93</v>
      </c>
    </row>
    <row r="6543" spans="1:10">
      <c r="A6543" s="3" t="s">
        <v>6519</v>
      </c>
      <c r="D6543">
        <v>7</v>
      </c>
      <c r="E6543">
        <v>8</v>
      </c>
      <c r="J6543">
        <v>93</v>
      </c>
    </row>
    <row r="6544" spans="1:10">
      <c r="A6544" s="3" t="s">
        <v>6520</v>
      </c>
      <c r="D6544">
        <v>7</v>
      </c>
      <c r="E6544">
        <v>8</v>
      </c>
      <c r="J6544">
        <v>93</v>
      </c>
    </row>
    <row r="6545" spans="1:46">
      <c r="A6545" s="3" t="s">
        <v>6521</v>
      </c>
      <c r="D6545">
        <v>7</v>
      </c>
      <c r="E6545">
        <v>8</v>
      </c>
      <c r="J6545">
        <v>93</v>
      </c>
    </row>
    <row r="6546" spans="1:46">
      <c r="A6546" s="3" t="s">
        <v>6522</v>
      </c>
      <c r="D6546">
        <v>7</v>
      </c>
      <c r="E6546">
        <v>8</v>
      </c>
      <c r="J6546">
        <v>93</v>
      </c>
    </row>
    <row r="6547" spans="1:46">
      <c r="A6547" s="3" t="s">
        <v>6523</v>
      </c>
      <c r="D6547">
        <v>7</v>
      </c>
      <c r="E6547">
        <v>8</v>
      </c>
      <c r="AT6547">
        <v>13</v>
      </c>
    </row>
    <row r="6548" spans="1:46">
      <c r="A6548" s="3" t="s">
        <v>6524</v>
      </c>
      <c r="D6548">
        <v>7</v>
      </c>
      <c r="E6548">
        <v>8</v>
      </c>
      <c r="AT6548">
        <v>13</v>
      </c>
    </row>
    <row r="6549" spans="1:46">
      <c r="A6549" s="3" t="s">
        <v>6525</v>
      </c>
      <c r="D6549">
        <v>7</v>
      </c>
      <c r="E6549">
        <v>8</v>
      </c>
      <c r="AT6549">
        <v>13</v>
      </c>
    </row>
    <row r="6550" spans="1:46">
      <c r="A6550" s="3" t="s">
        <v>6526</v>
      </c>
      <c r="D6550">
        <v>7</v>
      </c>
      <c r="E6550">
        <v>8</v>
      </c>
      <c r="AT6550">
        <v>13</v>
      </c>
    </row>
    <row r="6551" spans="1:46">
      <c r="A6551" s="3" t="s">
        <v>6527</v>
      </c>
      <c r="D6551">
        <v>7</v>
      </c>
      <c r="E6551">
        <v>8</v>
      </c>
      <c r="AT6551">
        <v>13</v>
      </c>
    </row>
    <row r="6552" spans="1:46">
      <c r="A6552" s="3" t="s">
        <v>6528</v>
      </c>
      <c r="D6552">
        <v>7</v>
      </c>
      <c r="E6552">
        <v>8</v>
      </c>
      <c r="AT6552">
        <v>13</v>
      </c>
    </row>
    <row r="6553" spans="1:46">
      <c r="A6553" s="3" t="s">
        <v>6529</v>
      </c>
      <c r="D6553">
        <v>7</v>
      </c>
      <c r="E6553">
        <v>8</v>
      </c>
      <c r="AT6553">
        <v>13</v>
      </c>
    </row>
    <row r="6554" spans="1:46">
      <c r="A6554" s="3" t="s">
        <v>6530</v>
      </c>
      <c r="D6554">
        <v>7</v>
      </c>
      <c r="E6554">
        <v>8</v>
      </c>
      <c r="AT6554">
        <v>13</v>
      </c>
    </row>
    <row r="6555" spans="1:46">
      <c r="A6555" s="3" t="s">
        <v>6531</v>
      </c>
      <c r="D6555">
        <v>7</v>
      </c>
      <c r="E6555">
        <v>8</v>
      </c>
      <c r="AT6555">
        <v>13</v>
      </c>
    </row>
    <row r="6556" spans="1:46">
      <c r="A6556" s="3" t="s">
        <v>6532</v>
      </c>
      <c r="D6556">
        <v>7</v>
      </c>
      <c r="E6556">
        <v>8</v>
      </c>
      <c r="AT6556">
        <v>13</v>
      </c>
    </row>
    <row r="6557" spans="1:46">
      <c r="A6557" s="3" t="s">
        <v>6533</v>
      </c>
      <c r="D6557">
        <v>7</v>
      </c>
      <c r="E6557">
        <v>8</v>
      </c>
      <c r="AT6557">
        <v>13</v>
      </c>
    </row>
    <row r="6558" spans="1:46">
      <c r="A6558" s="3" t="s">
        <v>6534</v>
      </c>
      <c r="D6558">
        <v>7</v>
      </c>
      <c r="E6558">
        <v>8</v>
      </c>
      <c r="AT6558">
        <v>13</v>
      </c>
    </row>
    <row r="6559" spans="1:46">
      <c r="A6559" s="3" t="s">
        <v>6535</v>
      </c>
      <c r="D6559">
        <v>7</v>
      </c>
      <c r="E6559">
        <v>8</v>
      </c>
      <c r="AT6559">
        <v>13</v>
      </c>
    </row>
    <row r="6560" spans="1:46">
      <c r="A6560" s="3" t="s">
        <v>6536</v>
      </c>
      <c r="D6560">
        <v>7</v>
      </c>
      <c r="E6560">
        <v>8</v>
      </c>
      <c r="AT6560">
        <v>13</v>
      </c>
    </row>
    <row r="6561" spans="1:46">
      <c r="A6561" s="3" t="s">
        <v>6537</v>
      </c>
      <c r="D6561">
        <v>7</v>
      </c>
      <c r="E6561">
        <v>8</v>
      </c>
      <c r="AT6561">
        <v>13</v>
      </c>
    </row>
    <row r="6562" spans="1:46">
      <c r="A6562" s="3" t="s">
        <v>6538</v>
      </c>
      <c r="D6562">
        <v>7</v>
      </c>
      <c r="E6562">
        <v>8</v>
      </c>
      <c r="AT6562">
        <v>13</v>
      </c>
    </row>
    <row r="6563" spans="1:46">
      <c r="A6563" s="3" t="s">
        <v>6539</v>
      </c>
      <c r="D6563">
        <v>7</v>
      </c>
      <c r="E6563">
        <v>8</v>
      </c>
      <c r="AT6563">
        <v>13</v>
      </c>
    </row>
    <row r="6564" spans="1:46">
      <c r="A6564" s="3" t="s">
        <v>6540</v>
      </c>
      <c r="D6564">
        <v>7</v>
      </c>
      <c r="E6564">
        <v>8</v>
      </c>
      <c r="AT6564">
        <v>13</v>
      </c>
    </row>
    <row r="6565" spans="1:46">
      <c r="A6565" s="3" t="s">
        <v>6541</v>
      </c>
      <c r="D6565">
        <v>7</v>
      </c>
      <c r="E6565">
        <v>8</v>
      </c>
      <c r="AT6565">
        <v>13</v>
      </c>
    </row>
    <row r="6566" spans="1:46">
      <c r="A6566" s="3" t="s">
        <v>6542</v>
      </c>
      <c r="D6566">
        <v>7</v>
      </c>
      <c r="E6566">
        <v>8</v>
      </c>
      <c r="AT6566">
        <v>13</v>
      </c>
    </row>
    <row r="6567" spans="1:46">
      <c r="A6567" s="3" t="s">
        <v>6543</v>
      </c>
      <c r="D6567">
        <v>7</v>
      </c>
      <c r="E6567">
        <v>8</v>
      </c>
      <c r="AT6567">
        <v>13</v>
      </c>
    </row>
    <row r="6568" spans="1:46">
      <c r="A6568" s="3" t="s">
        <v>6544</v>
      </c>
      <c r="D6568">
        <v>7</v>
      </c>
      <c r="E6568">
        <v>8</v>
      </c>
      <c r="AT6568">
        <v>13</v>
      </c>
    </row>
    <row r="6569" spans="1:46">
      <c r="A6569" s="3" t="s">
        <v>6545</v>
      </c>
      <c r="D6569">
        <v>7</v>
      </c>
      <c r="E6569">
        <v>8</v>
      </c>
      <c r="AT6569">
        <v>13</v>
      </c>
    </row>
    <row r="6570" spans="1:46">
      <c r="A6570" s="3" t="s">
        <v>6546</v>
      </c>
      <c r="D6570">
        <v>7</v>
      </c>
      <c r="E6570">
        <v>8</v>
      </c>
      <c r="AT6570">
        <v>13</v>
      </c>
    </row>
    <row r="6571" spans="1:46">
      <c r="A6571" s="3" t="s">
        <v>6547</v>
      </c>
      <c r="D6571">
        <v>7</v>
      </c>
      <c r="E6571">
        <v>8</v>
      </c>
      <c r="AT6571">
        <v>13</v>
      </c>
    </row>
    <row r="6572" spans="1:46">
      <c r="A6572" s="3" t="s">
        <v>6548</v>
      </c>
      <c r="D6572">
        <v>7</v>
      </c>
      <c r="E6572">
        <v>8</v>
      </c>
      <c r="AT6572">
        <v>13</v>
      </c>
    </row>
    <row r="6573" spans="1:46">
      <c r="A6573" s="3" t="s">
        <v>6549</v>
      </c>
      <c r="D6573">
        <v>7</v>
      </c>
      <c r="E6573">
        <v>8</v>
      </c>
      <c r="J6573">
        <v>94</v>
      </c>
    </row>
    <row r="6574" spans="1:46">
      <c r="A6574" s="3" t="s">
        <v>6550</v>
      </c>
      <c r="D6574">
        <v>7</v>
      </c>
      <c r="E6574">
        <v>8</v>
      </c>
      <c r="J6574">
        <v>94</v>
      </c>
    </row>
    <row r="6575" spans="1:46">
      <c r="A6575" s="3" t="s">
        <v>6551</v>
      </c>
      <c r="D6575">
        <v>7</v>
      </c>
      <c r="E6575">
        <v>8</v>
      </c>
      <c r="J6575">
        <v>94</v>
      </c>
    </row>
    <row r="6576" spans="1:46">
      <c r="A6576" s="3" t="s">
        <v>6552</v>
      </c>
      <c r="D6576">
        <v>7</v>
      </c>
      <c r="E6576">
        <v>8</v>
      </c>
      <c r="J6576">
        <v>94</v>
      </c>
    </row>
    <row r="6577" spans="1:36">
      <c r="A6577" s="3" t="s">
        <v>6553</v>
      </c>
      <c r="D6577">
        <v>7</v>
      </c>
      <c r="E6577">
        <v>8</v>
      </c>
      <c r="J6577">
        <v>94</v>
      </c>
    </row>
    <row r="6578" spans="1:36">
      <c r="A6578" s="3" t="s">
        <v>6554</v>
      </c>
      <c r="D6578">
        <v>7</v>
      </c>
      <c r="E6578">
        <v>8</v>
      </c>
      <c r="J6578">
        <v>94</v>
      </c>
    </row>
    <row r="6579" spans="1:36">
      <c r="A6579" s="3" t="s">
        <v>6555</v>
      </c>
      <c r="D6579">
        <v>7</v>
      </c>
      <c r="E6579">
        <v>8</v>
      </c>
      <c r="J6579">
        <v>94</v>
      </c>
    </row>
    <row r="6580" spans="1:36">
      <c r="A6580" s="3" t="s">
        <v>6556</v>
      </c>
      <c r="D6580">
        <v>7</v>
      </c>
      <c r="E6580">
        <v>8</v>
      </c>
      <c r="J6580">
        <v>94</v>
      </c>
    </row>
    <row r="6581" spans="1:36">
      <c r="A6581" s="3" t="s">
        <v>6557</v>
      </c>
      <c r="D6581">
        <v>7</v>
      </c>
      <c r="E6581">
        <v>8</v>
      </c>
      <c r="J6581">
        <v>94</v>
      </c>
    </row>
    <row r="6582" spans="1:36">
      <c r="A6582" s="3" t="s">
        <v>6558</v>
      </c>
      <c r="E6582">
        <v>8</v>
      </c>
      <c r="J6582">
        <v>94</v>
      </c>
    </row>
    <row r="6583" spans="1:36">
      <c r="A6583" s="3" t="s">
        <v>6559</v>
      </c>
      <c r="E6583">
        <v>8</v>
      </c>
      <c r="J6583">
        <v>94</v>
      </c>
    </row>
    <row r="6584" spans="1:36">
      <c r="A6584" s="3" t="s">
        <v>6560</v>
      </c>
      <c r="E6584">
        <v>8</v>
      </c>
      <c r="AJ6584">
        <v>4</v>
      </c>
    </row>
    <row r="6585" spans="1:36">
      <c r="A6585" s="3" t="s">
        <v>6561</v>
      </c>
      <c r="E6585">
        <v>8</v>
      </c>
      <c r="AJ6585">
        <v>4</v>
      </c>
    </row>
    <row r="6586" spans="1:36">
      <c r="A6586" s="3" t="s">
        <v>6562</v>
      </c>
      <c r="E6586">
        <v>8</v>
      </c>
      <c r="AJ6586">
        <v>4</v>
      </c>
    </row>
    <row r="6587" spans="1:36">
      <c r="A6587" s="3" t="s">
        <v>6563</v>
      </c>
      <c r="E6587">
        <v>8</v>
      </c>
      <c r="AJ6587">
        <v>4</v>
      </c>
    </row>
    <row r="6588" spans="1:36">
      <c r="A6588" s="3" t="s">
        <v>6564</v>
      </c>
      <c r="E6588">
        <v>8</v>
      </c>
      <c r="AJ6588">
        <v>4</v>
      </c>
    </row>
    <row r="6589" spans="1:36">
      <c r="A6589" s="3" t="s">
        <v>6565</v>
      </c>
      <c r="E6589">
        <v>8</v>
      </c>
      <c r="AJ6589">
        <v>4</v>
      </c>
    </row>
    <row r="6590" spans="1:36">
      <c r="A6590" s="3" t="s">
        <v>6566</v>
      </c>
      <c r="E6590">
        <v>8</v>
      </c>
      <c r="AJ6590">
        <v>4</v>
      </c>
    </row>
    <row r="6591" spans="1:36">
      <c r="A6591" s="3" t="s">
        <v>6567</v>
      </c>
      <c r="E6591">
        <v>8</v>
      </c>
      <c r="AJ6591">
        <v>4</v>
      </c>
    </row>
    <row r="6592" spans="1:36">
      <c r="A6592" s="3" t="s">
        <v>6568</v>
      </c>
      <c r="E6592">
        <v>8</v>
      </c>
      <c r="AJ6592">
        <v>4</v>
      </c>
    </row>
    <row r="6593" spans="1:36">
      <c r="A6593" s="3" t="s">
        <v>6569</v>
      </c>
      <c r="E6593">
        <v>8</v>
      </c>
      <c r="AJ6593">
        <v>4</v>
      </c>
    </row>
    <row r="6594" spans="1:36">
      <c r="A6594" s="3" t="s">
        <v>6570</v>
      </c>
      <c r="E6594">
        <v>8</v>
      </c>
      <c r="AJ6594">
        <v>4</v>
      </c>
    </row>
    <row r="6595" spans="1:36">
      <c r="A6595" s="3" t="s">
        <v>6571</v>
      </c>
      <c r="E6595">
        <v>8</v>
      </c>
      <c r="AJ6595">
        <v>4</v>
      </c>
    </row>
    <row r="6596" spans="1:36">
      <c r="A6596" s="3" t="s">
        <v>6572</v>
      </c>
      <c r="E6596">
        <v>8</v>
      </c>
      <c r="AJ6596">
        <v>4</v>
      </c>
    </row>
    <row r="6597" spans="1:36">
      <c r="A6597" s="3" t="s">
        <v>6573</v>
      </c>
      <c r="E6597">
        <v>8</v>
      </c>
      <c r="AJ6597">
        <v>4</v>
      </c>
    </row>
    <row r="6598" spans="1:36">
      <c r="A6598" s="3" t="s">
        <v>6574</v>
      </c>
      <c r="E6598">
        <v>8</v>
      </c>
      <c r="AJ6598">
        <v>4</v>
      </c>
    </row>
    <row r="6599" spans="1:36">
      <c r="A6599" s="3" t="s">
        <v>6575</v>
      </c>
      <c r="E6599">
        <v>8</v>
      </c>
      <c r="AJ6599">
        <v>4</v>
      </c>
    </row>
    <row r="6600" spans="1:36">
      <c r="A6600" s="3" t="s">
        <v>6576</v>
      </c>
      <c r="E6600">
        <v>8</v>
      </c>
      <c r="AJ6600">
        <v>4</v>
      </c>
    </row>
    <row r="6601" spans="1:36">
      <c r="A6601" s="3" t="s">
        <v>6577</v>
      </c>
      <c r="E6601">
        <v>8</v>
      </c>
      <c r="AJ6601">
        <v>4</v>
      </c>
    </row>
    <row r="6602" spans="1:36">
      <c r="A6602" s="3" t="s">
        <v>6578</v>
      </c>
      <c r="E6602">
        <v>8</v>
      </c>
      <c r="AJ6602">
        <v>4</v>
      </c>
    </row>
    <row r="6603" spans="1:36">
      <c r="A6603" s="3" t="s">
        <v>6579</v>
      </c>
      <c r="E6603">
        <v>8</v>
      </c>
      <c r="AJ6603">
        <v>4</v>
      </c>
    </row>
    <row r="6604" spans="1:36">
      <c r="A6604" s="3" t="s">
        <v>6580</v>
      </c>
      <c r="E6604">
        <v>8</v>
      </c>
      <c r="AJ6604">
        <v>4</v>
      </c>
    </row>
    <row r="6605" spans="1:36">
      <c r="A6605" s="3" t="s">
        <v>6581</v>
      </c>
      <c r="E6605">
        <v>8</v>
      </c>
      <c r="AJ6605">
        <v>4</v>
      </c>
    </row>
    <row r="6606" spans="1:36">
      <c r="A6606" s="3" t="s">
        <v>6582</v>
      </c>
      <c r="E6606">
        <v>8</v>
      </c>
      <c r="AJ6606">
        <v>4</v>
      </c>
    </row>
    <row r="6607" spans="1:36">
      <c r="A6607" s="3" t="s">
        <v>6583</v>
      </c>
      <c r="E6607">
        <v>8</v>
      </c>
      <c r="AJ6607">
        <v>4</v>
      </c>
    </row>
    <row r="6608" spans="1:36">
      <c r="A6608" s="3" t="s">
        <v>6584</v>
      </c>
      <c r="E6608">
        <v>8</v>
      </c>
      <c r="AJ6608">
        <v>4</v>
      </c>
    </row>
    <row r="6609" spans="1:36">
      <c r="A6609" s="3" t="s">
        <v>6585</v>
      </c>
      <c r="E6609">
        <v>8</v>
      </c>
      <c r="AJ6609">
        <v>4</v>
      </c>
    </row>
    <row r="6610" spans="1:36">
      <c r="A6610" s="3" t="s">
        <v>6586</v>
      </c>
      <c r="E6610">
        <v>8</v>
      </c>
      <c r="AJ6610">
        <v>4</v>
      </c>
    </row>
    <row r="6611" spans="1:36">
      <c r="A6611" s="3" t="s">
        <v>6587</v>
      </c>
      <c r="E6611">
        <v>8</v>
      </c>
      <c r="AJ6611">
        <v>4</v>
      </c>
    </row>
    <row r="6612" spans="1:36">
      <c r="A6612" s="3" t="s">
        <v>6588</v>
      </c>
      <c r="E6612">
        <v>8</v>
      </c>
      <c r="AJ6612">
        <v>4</v>
      </c>
    </row>
    <row r="6613" spans="1:36">
      <c r="A6613" s="3" t="s">
        <v>6589</v>
      </c>
      <c r="E6613">
        <v>8</v>
      </c>
      <c r="AJ6613">
        <v>4</v>
      </c>
    </row>
    <row r="6614" spans="1:36">
      <c r="A6614" s="3" t="s">
        <v>6590</v>
      </c>
      <c r="E6614">
        <v>8</v>
      </c>
      <c r="AJ6614">
        <v>4</v>
      </c>
    </row>
    <row r="6615" spans="1:36">
      <c r="A6615" s="3" t="s">
        <v>6591</v>
      </c>
      <c r="E6615">
        <v>8</v>
      </c>
      <c r="AJ6615">
        <v>4</v>
      </c>
    </row>
    <row r="6616" spans="1:36">
      <c r="A6616" s="3" t="s">
        <v>6592</v>
      </c>
      <c r="E6616">
        <v>8</v>
      </c>
      <c r="AJ6616">
        <v>4</v>
      </c>
    </row>
    <row r="6617" spans="1:36">
      <c r="A6617" s="3" t="s">
        <v>6593</v>
      </c>
      <c r="E6617">
        <v>8</v>
      </c>
      <c r="AJ6617">
        <v>4</v>
      </c>
    </row>
    <row r="6618" spans="1:36">
      <c r="A6618" s="3" t="s">
        <v>6594</v>
      </c>
      <c r="E6618">
        <v>8</v>
      </c>
      <c r="AJ6618">
        <v>4</v>
      </c>
    </row>
    <row r="6619" spans="1:36">
      <c r="A6619" s="3" t="s">
        <v>6595</v>
      </c>
      <c r="E6619">
        <v>8</v>
      </c>
      <c r="AJ6619">
        <v>4</v>
      </c>
    </row>
    <row r="6620" spans="1:36">
      <c r="A6620" s="3" t="s">
        <v>6596</v>
      </c>
      <c r="E6620">
        <v>8</v>
      </c>
      <c r="AJ6620">
        <v>4</v>
      </c>
    </row>
    <row r="6621" spans="1:36">
      <c r="A6621" s="3" t="s">
        <v>6597</v>
      </c>
      <c r="E6621">
        <v>8</v>
      </c>
      <c r="AJ6621">
        <v>4</v>
      </c>
    </row>
    <row r="6622" spans="1:36">
      <c r="A6622" s="3" t="s">
        <v>6598</v>
      </c>
      <c r="E6622">
        <v>8</v>
      </c>
      <c r="AJ6622">
        <v>4</v>
      </c>
    </row>
    <row r="6623" spans="1:36">
      <c r="A6623" s="3" t="s">
        <v>6599</v>
      </c>
      <c r="E6623">
        <v>8</v>
      </c>
      <c r="AJ6623">
        <v>4</v>
      </c>
    </row>
    <row r="6624" spans="1:36">
      <c r="A6624" s="3" t="s">
        <v>6600</v>
      </c>
      <c r="E6624">
        <v>8</v>
      </c>
      <c r="AJ6624">
        <v>4</v>
      </c>
    </row>
    <row r="6625" spans="1:36">
      <c r="A6625" s="3" t="s">
        <v>6601</v>
      </c>
      <c r="E6625">
        <v>8</v>
      </c>
      <c r="AJ6625">
        <v>4</v>
      </c>
    </row>
    <row r="6626" spans="1:36">
      <c r="A6626" s="3" t="s">
        <v>6602</v>
      </c>
      <c r="E6626">
        <v>8</v>
      </c>
      <c r="AJ6626">
        <v>4</v>
      </c>
    </row>
    <row r="6627" spans="1:36">
      <c r="A6627" s="3" t="s">
        <v>6603</v>
      </c>
      <c r="E6627">
        <v>8</v>
      </c>
      <c r="AJ6627">
        <v>4</v>
      </c>
    </row>
    <row r="6628" spans="1:36">
      <c r="A6628" s="3" t="s">
        <v>6604</v>
      </c>
      <c r="E6628">
        <v>8</v>
      </c>
      <c r="AJ6628">
        <v>4</v>
      </c>
    </row>
    <row r="6629" spans="1:36">
      <c r="A6629" s="3" t="s">
        <v>6605</v>
      </c>
      <c r="E6629">
        <v>8</v>
      </c>
      <c r="AJ6629">
        <v>4</v>
      </c>
    </row>
    <row r="6630" spans="1:36">
      <c r="A6630" s="3" t="s">
        <v>6606</v>
      </c>
      <c r="E6630">
        <v>8</v>
      </c>
      <c r="AJ6630">
        <v>4</v>
      </c>
    </row>
    <row r="6631" spans="1:36">
      <c r="A6631" s="3" t="s">
        <v>6607</v>
      </c>
      <c r="E6631">
        <v>8</v>
      </c>
      <c r="AJ6631">
        <v>4</v>
      </c>
    </row>
    <row r="6632" spans="1:36">
      <c r="A6632" s="3" t="s">
        <v>6608</v>
      </c>
      <c r="E6632">
        <v>8</v>
      </c>
      <c r="AJ6632">
        <v>4</v>
      </c>
    </row>
    <row r="6633" spans="1:36">
      <c r="A6633" s="3" t="s">
        <v>6609</v>
      </c>
      <c r="E6633">
        <v>8</v>
      </c>
      <c r="AJ6633">
        <v>4</v>
      </c>
    </row>
    <row r="6634" spans="1:36">
      <c r="A6634" s="3" t="s">
        <v>6610</v>
      </c>
      <c r="E6634">
        <v>8</v>
      </c>
      <c r="AJ6634">
        <v>4</v>
      </c>
    </row>
    <row r="6635" spans="1:36">
      <c r="A6635" s="3" t="s">
        <v>6611</v>
      </c>
      <c r="E6635">
        <v>8</v>
      </c>
      <c r="AJ6635">
        <v>4</v>
      </c>
    </row>
    <row r="6636" spans="1:36">
      <c r="A6636" s="3" t="s">
        <v>6612</v>
      </c>
      <c r="E6636">
        <v>8</v>
      </c>
      <c r="AJ6636">
        <v>4</v>
      </c>
    </row>
    <row r="6637" spans="1:36">
      <c r="A6637" s="3" t="s">
        <v>6613</v>
      </c>
      <c r="E6637">
        <v>8</v>
      </c>
      <c r="AJ6637">
        <v>4</v>
      </c>
    </row>
    <row r="6638" spans="1:36">
      <c r="A6638" s="3" t="s">
        <v>6614</v>
      </c>
      <c r="E6638">
        <v>8</v>
      </c>
      <c r="AJ6638">
        <v>4</v>
      </c>
    </row>
    <row r="6639" spans="1:36">
      <c r="A6639" s="3" t="s">
        <v>6615</v>
      </c>
      <c r="E6639">
        <v>8</v>
      </c>
      <c r="AJ6639">
        <v>4</v>
      </c>
    </row>
    <row r="6640" spans="1:36">
      <c r="A6640" s="3" t="s">
        <v>6616</v>
      </c>
      <c r="E6640">
        <v>8</v>
      </c>
      <c r="AJ6640">
        <v>4</v>
      </c>
    </row>
    <row r="6641" spans="1:49">
      <c r="A6641" s="3" t="s">
        <v>6617</v>
      </c>
      <c r="E6641">
        <v>8</v>
      </c>
      <c r="AJ6641">
        <v>4</v>
      </c>
    </row>
    <row r="6642" spans="1:49">
      <c r="A6642" s="3" t="s">
        <v>6618</v>
      </c>
      <c r="E6642">
        <v>8</v>
      </c>
      <c r="AJ6642">
        <v>4</v>
      </c>
    </row>
    <row r="6643" spans="1:49">
      <c r="A6643" s="3" t="s">
        <v>6619</v>
      </c>
      <c r="E6643">
        <v>8</v>
      </c>
      <c r="AJ6643">
        <v>4</v>
      </c>
    </row>
    <row r="6644" spans="1:49">
      <c r="A6644" s="3" t="s">
        <v>6620</v>
      </c>
      <c r="E6644">
        <v>8</v>
      </c>
      <c r="AJ6644">
        <v>4</v>
      </c>
    </row>
    <row r="6645" spans="1:49">
      <c r="A6645" s="3" t="s">
        <v>6621</v>
      </c>
      <c r="E6645">
        <v>8</v>
      </c>
      <c r="AJ6645">
        <v>4</v>
      </c>
    </row>
    <row r="6646" spans="1:49">
      <c r="A6646" s="3" t="s">
        <v>6622</v>
      </c>
      <c r="E6646">
        <v>8</v>
      </c>
      <c r="AJ6646">
        <v>4</v>
      </c>
    </row>
    <row r="6647" spans="1:49">
      <c r="A6647" s="3" t="s">
        <v>6623</v>
      </c>
      <c r="E6647">
        <v>8</v>
      </c>
      <c r="AJ6647">
        <v>4</v>
      </c>
    </row>
    <row r="6648" spans="1:49">
      <c r="A6648" s="3" t="s">
        <v>6624</v>
      </c>
      <c r="E6648">
        <v>8</v>
      </c>
      <c r="AJ6648">
        <v>4</v>
      </c>
    </row>
    <row r="6649" spans="1:49">
      <c r="A6649" s="3" t="s">
        <v>6625</v>
      </c>
      <c r="E6649">
        <v>8</v>
      </c>
      <c r="AJ6649">
        <v>4</v>
      </c>
    </row>
    <row r="6650" spans="1:49">
      <c r="A6650" s="3" t="s">
        <v>6626</v>
      </c>
      <c r="E6650">
        <v>8</v>
      </c>
      <c r="AJ6650">
        <v>4</v>
      </c>
    </row>
    <row r="6651" spans="1:49">
      <c r="A6651" s="3" t="s">
        <v>6627</v>
      </c>
      <c r="E6651">
        <v>8</v>
      </c>
      <c r="AJ6651">
        <v>4</v>
      </c>
    </row>
    <row r="6652" spans="1:49">
      <c r="A6652" s="3" t="s">
        <v>6628</v>
      </c>
      <c r="E6652">
        <v>8</v>
      </c>
      <c r="AJ6652">
        <v>4</v>
      </c>
    </row>
    <row r="6653" spans="1:49">
      <c r="A6653" s="3" t="s">
        <v>6629</v>
      </c>
      <c r="E6653">
        <v>8</v>
      </c>
      <c r="AJ6653">
        <v>4</v>
      </c>
    </row>
    <row r="6654" spans="1:49">
      <c r="A6654" s="3" t="s">
        <v>6630</v>
      </c>
      <c r="E6654">
        <v>8</v>
      </c>
      <c r="AJ6654">
        <v>4</v>
      </c>
    </row>
    <row r="6655" spans="1:49">
      <c r="A6655" s="3" t="s">
        <v>6631</v>
      </c>
      <c r="E6655">
        <v>8</v>
      </c>
      <c r="AW6655">
        <v>54</v>
      </c>
    </row>
    <row r="6656" spans="1:49">
      <c r="A6656" s="3" t="s">
        <v>6632</v>
      </c>
      <c r="E6656">
        <v>8</v>
      </c>
      <c r="J6656">
        <v>95</v>
      </c>
    </row>
    <row r="6657" spans="1:10">
      <c r="A6657" s="3" t="s">
        <v>6633</v>
      </c>
      <c r="E6657">
        <v>8</v>
      </c>
      <c r="J6657">
        <v>95</v>
      </c>
    </row>
    <row r="6658" spans="1:10">
      <c r="A6658" s="3" t="s">
        <v>6634</v>
      </c>
      <c r="E6658">
        <v>8</v>
      </c>
      <c r="J6658">
        <v>95</v>
      </c>
    </row>
    <row r="6659" spans="1:10">
      <c r="A6659" s="3" t="s">
        <v>6635</v>
      </c>
      <c r="E6659">
        <v>8</v>
      </c>
      <c r="J6659">
        <v>95</v>
      </c>
    </row>
    <row r="6660" spans="1:10">
      <c r="A6660" s="3" t="s">
        <v>6636</v>
      </c>
      <c r="E6660">
        <v>8</v>
      </c>
      <c r="J6660">
        <v>95</v>
      </c>
    </row>
    <row r="6661" spans="1:10">
      <c r="A6661" s="3" t="s">
        <v>6637</v>
      </c>
      <c r="E6661">
        <v>8</v>
      </c>
      <c r="J6661">
        <v>95</v>
      </c>
    </row>
    <row r="6662" spans="1:10">
      <c r="A6662" s="3" t="s">
        <v>6638</v>
      </c>
      <c r="E6662">
        <v>8</v>
      </c>
      <c r="J6662">
        <v>95</v>
      </c>
    </row>
    <row r="6663" spans="1:10">
      <c r="A6663" s="3" t="s">
        <v>6639</v>
      </c>
      <c r="E6663">
        <v>8</v>
      </c>
      <c r="J6663">
        <v>95</v>
      </c>
    </row>
    <row r="6664" spans="1:10">
      <c r="A6664" s="3" t="s">
        <v>6640</v>
      </c>
      <c r="E6664">
        <v>8</v>
      </c>
      <c r="J6664">
        <v>95</v>
      </c>
    </row>
    <row r="6665" spans="1:10">
      <c r="A6665" s="3" t="s">
        <v>6641</v>
      </c>
      <c r="E6665">
        <v>8</v>
      </c>
      <c r="J6665">
        <v>95</v>
      </c>
    </row>
    <row r="6666" spans="1:10">
      <c r="A6666" s="3" t="s">
        <v>6642</v>
      </c>
      <c r="E6666">
        <v>8</v>
      </c>
      <c r="J6666">
        <v>95</v>
      </c>
    </row>
    <row r="6667" spans="1:10">
      <c r="A6667" s="3" t="s">
        <v>6643</v>
      </c>
      <c r="E6667">
        <v>8</v>
      </c>
      <c r="J6667">
        <v>95</v>
      </c>
    </row>
    <row r="6668" spans="1:10">
      <c r="A6668" s="3" t="s">
        <v>6644</v>
      </c>
      <c r="E6668">
        <v>8</v>
      </c>
      <c r="J6668">
        <v>95</v>
      </c>
    </row>
    <row r="6669" spans="1:10">
      <c r="A6669" s="3" t="s">
        <v>6645</v>
      </c>
      <c r="E6669">
        <v>8</v>
      </c>
      <c r="J6669">
        <v>95</v>
      </c>
    </row>
    <row r="6670" spans="1:10">
      <c r="A6670" s="3" t="s">
        <v>6646</v>
      </c>
      <c r="E6670">
        <v>8</v>
      </c>
      <c r="J6670">
        <v>95</v>
      </c>
    </row>
    <row r="6671" spans="1:10">
      <c r="A6671" s="3" t="s">
        <v>6647</v>
      </c>
      <c r="E6671">
        <v>8</v>
      </c>
      <c r="J6671">
        <v>95</v>
      </c>
    </row>
    <row r="6672" spans="1:10">
      <c r="A6672" s="3" t="s">
        <v>6648</v>
      </c>
      <c r="E6672">
        <v>8</v>
      </c>
      <c r="J6672">
        <v>95</v>
      </c>
    </row>
    <row r="6673" spans="1:40">
      <c r="A6673" s="3" t="s">
        <v>6649</v>
      </c>
      <c r="E6673">
        <v>8</v>
      </c>
      <c r="J6673">
        <v>95</v>
      </c>
    </row>
    <row r="6674" spans="1:40">
      <c r="A6674" s="3" t="s">
        <v>6650</v>
      </c>
      <c r="E6674">
        <v>8</v>
      </c>
      <c r="J6674">
        <v>95</v>
      </c>
    </row>
    <row r="6675" spans="1:40">
      <c r="A6675" s="3" t="s">
        <v>6651</v>
      </c>
      <c r="E6675">
        <v>8</v>
      </c>
      <c r="J6675">
        <v>95</v>
      </c>
    </row>
    <row r="6676" spans="1:40">
      <c r="A6676" s="3" t="s">
        <v>6652</v>
      </c>
      <c r="E6676">
        <v>8</v>
      </c>
      <c r="J6676">
        <v>95</v>
      </c>
    </row>
    <row r="6677" spans="1:40">
      <c r="A6677" s="3" t="s">
        <v>6653</v>
      </c>
      <c r="E6677">
        <v>8</v>
      </c>
      <c r="J6677">
        <v>95</v>
      </c>
    </row>
    <row r="6678" spans="1:40">
      <c r="A6678" s="3" t="s">
        <v>6654</v>
      </c>
      <c r="E6678">
        <v>8</v>
      </c>
      <c r="J6678">
        <v>95</v>
      </c>
    </row>
    <row r="6679" spans="1:40">
      <c r="A6679" s="3" t="s">
        <v>6655</v>
      </c>
      <c r="E6679">
        <v>8</v>
      </c>
      <c r="J6679">
        <v>95</v>
      </c>
    </row>
    <row r="6680" spans="1:40">
      <c r="A6680" s="3" t="s">
        <v>6656</v>
      </c>
      <c r="E6680">
        <v>8</v>
      </c>
      <c r="AN6680">
        <v>2</v>
      </c>
    </row>
    <row r="6681" spans="1:40">
      <c r="A6681" s="3" t="s">
        <v>6657</v>
      </c>
      <c r="E6681">
        <v>8</v>
      </c>
      <c r="AN6681">
        <v>2</v>
      </c>
    </row>
    <row r="6682" spans="1:40">
      <c r="A6682" s="3" t="s">
        <v>6658</v>
      </c>
      <c r="E6682">
        <v>8</v>
      </c>
      <c r="AN6682">
        <v>2</v>
      </c>
    </row>
    <row r="6683" spans="1:40">
      <c r="A6683" s="3" t="s">
        <v>6659</v>
      </c>
      <c r="E6683">
        <v>8</v>
      </c>
      <c r="AN6683">
        <v>2</v>
      </c>
    </row>
    <row r="6684" spans="1:40">
      <c r="A6684" s="3" t="s">
        <v>6660</v>
      </c>
      <c r="E6684">
        <v>8</v>
      </c>
      <c r="AN6684">
        <v>2</v>
      </c>
    </row>
    <row r="6685" spans="1:40">
      <c r="A6685" s="3" t="s">
        <v>6661</v>
      </c>
      <c r="E6685">
        <v>8</v>
      </c>
      <c r="AN6685">
        <v>2</v>
      </c>
    </row>
    <row r="6686" spans="1:40">
      <c r="A6686" s="3" t="s">
        <v>6662</v>
      </c>
      <c r="E6686">
        <v>8</v>
      </c>
      <c r="AN6686">
        <v>2</v>
      </c>
    </row>
    <row r="6687" spans="1:40">
      <c r="A6687" s="3" t="s">
        <v>6663</v>
      </c>
      <c r="E6687">
        <v>8</v>
      </c>
      <c r="AN6687">
        <v>2</v>
      </c>
    </row>
    <row r="6688" spans="1:40">
      <c r="A6688" s="3" t="s">
        <v>6664</v>
      </c>
      <c r="E6688">
        <v>8</v>
      </c>
      <c r="AN6688">
        <v>2</v>
      </c>
    </row>
    <row r="6689" spans="1:49">
      <c r="A6689" s="3" t="s">
        <v>6665</v>
      </c>
      <c r="E6689">
        <v>8</v>
      </c>
      <c r="AN6689">
        <v>2</v>
      </c>
    </row>
    <row r="6690" spans="1:49">
      <c r="A6690" s="3" t="s">
        <v>6666</v>
      </c>
      <c r="E6690">
        <v>8</v>
      </c>
      <c r="AN6690">
        <v>2</v>
      </c>
    </row>
    <row r="6691" spans="1:49">
      <c r="A6691" s="3" t="s">
        <v>6667</v>
      </c>
      <c r="E6691">
        <v>8</v>
      </c>
      <c r="AN6691">
        <v>2</v>
      </c>
    </row>
    <row r="6692" spans="1:49">
      <c r="A6692" s="3" t="s">
        <v>6668</v>
      </c>
      <c r="E6692">
        <v>8</v>
      </c>
      <c r="AN6692">
        <v>2</v>
      </c>
    </row>
    <row r="6693" spans="1:49">
      <c r="A6693" s="3" t="s">
        <v>6669</v>
      </c>
      <c r="E6693">
        <v>8</v>
      </c>
      <c r="AN6693">
        <v>2</v>
      </c>
    </row>
    <row r="6694" spans="1:49">
      <c r="A6694" s="3" t="s">
        <v>6670</v>
      </c>
      <c r="E6694">
        <v>8</v>
      </c>
      <c r="AN6694">
        <v>2</v>
      </c>
    </row>
    <row r="6695" spans="1:49">
      <c r="A6695" s="3" t="s">
        <v>6671</v>
      </c>
      <c r="E6695">
        <v>8</v>
      </c>
      <c r="AW6695">
        <v>55</v>
      </c>
    </row>
    <row r="6696" spans="1:49">
      <c r="A6696" s="3" t="s">
        <v>6672</v>
      </c>
      <c r="E6696">
        <v>8</v>
      </c>
      <c r="AW6696">
        <v>55</v>
      </c>
    </row>
    <row r="6697" spans="1:49">
      <c r="A6697" s="3" t="s">
        <v>6673</v>
      </c>
      <c r="E6697">
        <v>8</v>
      </c>
      <c r="AW6697">
        <v>55</v>
      </c>
    </row>
    <row r="6698" spans="1:49">
      <c r="A6698" s="3" t="s">
        <v>6674</v>
      </c>
      <c r="E6698">
        <v>8</v>
      </c>
      <c r="J6698">
        <v>96</v>
      </c>
    </row>
    <row r="6699" spans="1:49">
      <c r="A6699" s="3" t="s">
        <v>6675</v>
      </c>
      <c r="E6699">
        <v>8</v>
      </c>
      <c r="J6699">
        <v>96</v>
      </c>
    </row>
    <row r="6700" spans="1:49">
      <c r="A6700" s="3" t="s">
        <v>6676</v>
      </c>
      <c r="E6700">
        <v>8</v>
      </c>
      <c r="J6700">
        <v>96</v>
      </c>
    </row>
    <row r="6701" spans="1:49">
      <c r="A6701" s="3" t="s">
        <v>6677</v>
      </c>
      <c r="E6701">
        <v>8</v>
      </c>
      <c r="J6701">
        <v>96</v>
      </c>
    </row>
    <row r="6702" spans="1:49">
      <c r="A6702" s="3" t="s">
        <v>6678</v>
      </c>
      <c r="E6702">
        <v>8</v>
      </c>
      <c r="J6702">
        <v>96</v>
      </c>
    </row>
    <row r="6703" spans="1:49">
      <c r="A6703" s="3" t="s">
        <v>6679</v>
      </c>
      <c r="E6703">
        <v>8</v>
      </c>
      <c r="J6703">
        <v>96</v>
      </c>
    </row>
    <row r="6704" spans="1:49">
      <c r="A6704" s="3" t="s">
        <v>6680</v>
      </c>
      <c r="B6704">
        <v>8</v>
      </c>
      <c r="E6704">
        <v>8</v>
      </c>
      <c r="J6704">
        <v>96</v>
      </c>
    </row>
    <row r="6705" spans="1:47">
      <c r="A6705" s="3" t="s">
        <v>6681</v>
      </c>
      <c r="B6705">
        <v>8</v>
      </c>
      <c r="E6705">
        <v>8</v>
      </c>
      <c r="J6705">
        <v>96</v>
      </c>
    </row>
    <row r="6706" spans="1:47">
      <c r="A6706" s="3" t="s">
        <v>6682</v>
      </c>
      <c r="B6706">
        <v>8</v>
      </c>
      <c r="E6706">
        <v>8</v>
      </c>
      <c r="J6706">
        <v>96</v>
      </c>
    </row>
    <row r="6707" spans="1:47">
      <c r="A6707" s="3" t="s">
        <v>6683</v>
      </c>
      <c r="B6707">
        <v>8</v>
      </c>
      <c r="E6707">
        <v>8</v>
      </c>
      <c r="J6707">
        <v>96</v>
      </c>
    </row>
    <row r="6708" spans="1:47">
      <c r="A6708" s="3" t="s">
        <v>6684</v>
      </c>
      <c r="B6708">
        <v>8</v>
      </c>
      <c r="E6708">
        <v>8</v>
      </c>
      <c r="AU6708">
        <v>10</v>
      </c>
    </row>
    <row r="6709" spans="1:47">
      <c r="A6709" s="3" t="s">
        <v>6685</v>
      </c>
      <c r="B6709">
        <v>8</v>
      </c>
      <c r="E6709">
        <v>8</v>
      </c>
      <c r="AU6709">
        <v>10</v>
      </c>
    </row>
    <row r="6710" spans="1:47">
      <c r="A6710" s="3" t="s">
        <v>6686</v>
      </c>
      <c r="B6710">
        <v>8</v>
      </c>
      <c r="E6710">
        <v>8</v>
      </c>
      <c r="AU6710">
        <v>10</v>
      </c>
    </row>
    <row r="6711" spans="1:47">
      <c r="A6711" s="3" t="s">
        <v>6687</v>
      </c>
      <c r="B6711">
        <v>8</v>
      </c>
      <c r="E6711">
        <v>8</v>
      </c>
      <c r="AU6711">
        <v>10</v>
      </c>
    </row>
    <row r="6712" spans="1:47">
      <c r="A6712" s="3" t="s">
        <v>6688</v>
      </c>
      <c r="B6712">
        <v>8</v>
      </c>
      <c r="E6712">
        <v>8</v>
      </c>
      <c r="AU6712">
        <v>10</v>
      </c>
    </row>
    <row r="6713" spans="1:47">
      <c r="A6713" s="3" t="s">
        <v>6689</v>
      </c>
      <c r="B6713">
        <v>8</v>
      </c>
      <c r="E6713">
        <v>8</v>
      </c>
      <c r="AU6713">
        <v>10</v>
      </c>
    </row>
    <row r="6714" spans="1:47">
      <c r="A6714" s="3" t="s">
        <v>6690</v>
      </c>
      <c r="B6714">
        <v>8</v>
      </c>
      <c r="E6714">
        <v>8</v>
      </c>
      <c r="AU6714">
        <v>10</v>
      </c>
    </row>
    <row r="6715" spans="1:47">
      <c r="A6715" s="3" t="s">
        <v>6691</v>
      </c>
      <c r="B6715">
        <v>8</v>
      </c>
      <c r="E6715">
        <v>8</v>
      </c>
      <c r="AU6715">
        <v>10</v>
      </c>
    </row>
    <row r="6716" spans="1:47">
      <c r="A6716" s="3" t="s">
        <v>6692</v>
      </c>
      <c r="B6716">
        <v>8</v>
      </c>
      <c r="E6716">
        <v>8</v>
      </c>
      <c r="AU6716">
        <v>10</v>
      </c>
    </row>
    <row r="6717" spans="1:47">
      <c r="A6717" s="3" t="s">
        <v>6693</v>
      </c>
      <c r="B6717">
        <v>8</v>
      </c>
      <c r="E6717">
        <v>8</v>
      </c>
      <c r="AU6717">
        <v>10</v>
      </c>
    </row>
    <row r="6718" spans="1:47">
      <c r="A6718" s="3" t="s">
        <v>6694</v>
      </c>
      <c r="B6718">
        <v>8</v>
      </c>
      <c r="E6718">
        <v>8</v>
      </c>
      <c r="AU6718">
        <v>10</v>
      </c>
    </row>
    <row r="6719" spans="1:47">
      <c r="A6719" s="3" t="s">
        <v>6695</v>
      </c>
      <c r="B6719">
        <v>8</v>
      </c>
      <c r="E6719">
        <v>8</v>
      </c>
      <c r="AU6719">
        <v>10</v>
      </c>
    </row>
    <row r="6720" spans="1:47">
      <c r="A6720" s="3" t="s">
        <v>6696</v>
      </c>
      <c r="B6720">
        <v>8</v>
      </c>
      <c r="E6720">
        <v>8</v>
      </c>
      <c r="AU6720">
        <v>10</v>
      </c>
    </row>
    <row r="6721" spans="1:47">
      <c r="A6721" s="3" t="s">
        <v>6697</v>
      </c>
      <c r="B6721">
        <v>8</v>
      </c>
      <c r="E6721">
        <v>8</v>
      </c>
      <c r="AU6721">
        <v>10</v>
      </c>
    </row>
    <row r="6722" spans="1:47">
      <c r="A6722" s="3" t="s">
        <v>6698</v>
      </c>
      <c r="B6722">
        <v>8</v>
      </c>
      <c r="E6722">
        <v>8</v>
      </c>
      <c r="AU6722">
        <v>10</v>
      </c>
    </row>
    <row r="6723" spans="1:47">
      <c r="A6723" s="3" t="s">
        <v>6699</v>
      </c>
      <c r="B6723">
        <v>8</v>
      </c>
      <c r="E6723">
        <v>8</v>
      </c>
      <c r="AU6723">
        <v>10</v>
      </c>
    </row>
    <row r="6724" spans="1:47">
      <c r="A6724" s="3" t="s">
        <v>6700</v>
      </c>
      <c r="B6724">
        <v>8</v>
      </c>
      <c r="E6724">
        <v>8</v>
      </c>
      <c r="AU6724">
        <v>10</v>
      </c>
    </row>
    <row r="6725" spans="1:47">
      <c r="A6725" s="3" t="s">
        <v>6701</v>
      </c>
      <c r="B6725">
        <v>8</v>
      </c>
      <c r="E6725">
        <v>8</v>
      </c>
      <c r="AU6725">
        <v>10</v>
      </c>
    </row>
    <row r="6726" spans="1:47">
      <c r="A6726" s="3" t="s">
        <v>6702</v>
      </c>
      <c r="B6726">
        <v>8</v>
      </c>
      <c r="E6726">
        <v>8</v>
      </c>
      <c r="AU6726">
        <v>10</v>
      </c>
    </row>
    <row r="6727" spans="1:47">
      <c r="A6727" s="3" t="s">
        <v>6703</v>
      </c>
      <c r="B6727">
        <v>8</v>
      </c>
      <c r="E6727">
        <v>8</v>
      </c>
      <c r="AU6727">
        <v>10</v>
      </c>
    </row>
    <row r="6728" spans="1:47">
      <c r="A6728" s="3" t="s">
        <v>6704</v>
      </c>
      <c r="B6728">
        <v>8</v>
      </c>
      <c r="E6728">
        <v>8</v>
      </c>
      <c r="J6728">
        <v>97</v>
      </c>
    </row>
    <row r="6729" spans="1:47">
      <c r="A6729" s="3" t="s">
        <v>6705</v>
      </c>
      <c r="B6729">
        <v>8</v>
      </c>
      <c r="E6729">
        <v>8</v>
      </c>
      <c r="J6729">
        <v>97</v>
      </c>
    </row>
    <row r="6730" spans="1:47">
      <c r="A6730" s="3" t="s">
        <v>6706</v>
      </c>
      <c r="B6730">
        <v>8</v>
      </c>
      <c r="E6730">
        <v>8</v>
      </c>
      <c r="J6730">
        <v>97</v>
      </c>
    </row>
    <row r="6731" spans="1:47">
      <c r="A6731" s="3" t="s">
        <v>6707</v>
      </c>
      <c r="B6731">
        <v>8</v>
      </c>
      <c r="E6731">
        <v>8</v>
      </c>
      <c r="J6731">
        <v>97</v>
      </c>
    </row>
    <row r="6732" spans="1:47">
      <c r="A6732" s="3" t="s">
        <v>6708</v>
      </c>
      <c r="B6732">
        <v>8</v>
      </c>
      <c r="E6732">
        <v>8</v>
      </c>
      <c r="J6732">
        <v>97</v>
      </c>
    </row>
    <row r="6733" spans="1:47">
      <c r="A6733" s="3" t="s">
        <v>6709</v>
      </c>
      <c r="B6733">
        <v>8</v>
      </c>
      <c r="E6733">
        <v>8</v>
      </c>
      <c r="J6733">
        <v>97</v>
      </c>
    </row>
    <row r="6734" spans="1:47">
      <c r="A6734" s="3" t="s">
        <v>6710</v>
      </c>
      <c r="B6734">
        <v>8</v>
      </c>
      <c r="E6734">
        <v>8</v>
      </c>
      <c r="J6734">
        <v>97</v>
      </c>
    </row>
    <row r="6735" spans="1:47">
      <c r="A6735" s="3" t="s">
        <v>6711</v>
      </c>
      <c r="B6735">
        <v>8</v>
      </c>
      <c r="E6735">
        <v>8</v>
      </c>
      <c r="J6735">
        <v>97</v>
      </c>
    </row>
    <row r="6736" spans="1:47">
      <c r="A6736" s="3" t="s">
        <v>6712</v>
      </c>
      <c r="B6736">
        <v>8</v>
      </c>
      <c r="E6736">
        <v>8</v>
      </c>
      <c r="J6736">
        <v>97</v>
      </c>
    </row>
    <row r="6737" spans="1:44">
      <c r="A6737" s="3" t="s">
        <v>6713</v>
      </c>
      <c r="B6737">
        <v>8</v>
      </c>
      <c r="E6737">
        <v>8</v>
      </c>
      <c r="J6737">
        <v>97</v>
      </c>
    </row>
    <row r="6738" spans="1:44">
      <c r="A6738" s="3" t="s">
        <v>6714</v>
      </c>
      <c r="B6738">
        <v>8</v>
      </c>
      <c r="J6738">
        <v>97</v>
      </c>
    </row>
    <row r="6739" spans="1:44">
      <c r="A6739" s="3" t="s">
        <v>6715</v>
      </c>
      <c r="B6739">
        <v>8</v>
      </c>
      <c r="AR6739">
        <v>4</v>
      </c>
    </row>
    <row r="6740" spans="1:44">
      <c r="A6740" s="3" t="s">
        <v>6716</v>
      </c>
      <c r="B6740">
        <v>8</v>
      </c>
      <c r="AR6740">
        <v>4</v>
      </c>
    </row>
    <row r="6741" spans="1:44">
      <c r="A6741" s="3" t="s">
        <v>6717</v>
      </c>
      <c r="B6741">
        <v>8</v>
      </c>
      <c r="AR6741">
        <v>4</v>
      </c>
    </row>
    <row r="6742" spans="1:44">
      <c r="A6742" s="3" t="s">
        <v>6718</v>
      </c>
      <c r="B6742">
        <v>8</v>
      </c>
      <c r="AR6742">
        <v>4</v>
      </c>
    </row>
    <row r="6743" spans="1:44">
      <c r="A6743" s="3" t="s">
        <v>6719</v>
      </c>
      <c r="B6743">
        <v>8</v>
      </c>
      <c r="AR6743">
        <v>4</v>
      </c>
    </row>
    <row r="6744" spans="1:44">
      <c r="A6744" s="3" t="s">
        <v>6720</v>
      </c>
      <c r="B6744">
        <v>8</v>
      </c>
      <c r="AR6744">
        <v>4</v>
      </c>
    </row>
    <row r="6745" spans="1:44">
      <c r="A6745" s="3" t="s">
        <v>6721</v>
      </c>
      <c r="B6745">
        <v>8</v>
      </c>
      <c r="AR6745">
        <v>4</v>
      </c>
    </row>
    <row r="6746" spans="1:44">
      <c r="A6746" s="3" t="s">
        <v>6722</v>
      </c>
      <c r="B6746">
        <v>8</v>
      </c>
      <c r="AR6746">
        <v>4</v>
      </c>
    </row>
    <row r="6747" spans="1:44">
      <c r="A6747" s="3" t="s">
        <v>6723</v>
      </c>
      <c r="B6747">
        <v>8</v>
      </c>
      <c r="AR6747">
        <v>4</v>
      </c>
    </row>
    <row r="6748" spans="1:44">
      <c r="A6748" s="3" t="s">
        <v>6724</v>
      </c>
      <c r="B6748">
        <v>8</v>
      </c>
      <c r="AR6748">
        <v>4</v>
      </c>
    </row>
    <row r="6749" spans="1:44">
      <c r="A6749" s="3" t="s">
        <v>6725</v>
      </c>
      <c r="B6749">
        <v>8</v>
      </c>
      <c r="AR6749">
        <v>4</v>
      </c>
    </row>
    <row r="6750" spans="1:44">
      <c r="A6750" s="3" t="s">
        <v>6726</v>
      </c>
      <c r="B6750">
        <v>8</v>
      </c>
      <c r="AR6750">
        <v>4</v>
      </c>
    </row>
    <row r="6751" spans="1:44">
      <c r="A6751" s="3" t="s">
        <v>6727</v>
      </c>
      <c r="B6751">
        <v>8</v>
      </c>
      <c r="AR6751">
        <v>4</v>
      </c>
    </row>
    <row r="6752" spans="1:44">
      <c r="A6752" s="3" t="s">
        <v>6728</v>
      </c>
      <c r="B6752">
        <v>8</v>
      </c>
      <c r="AR6752">
        <v>4</v>
      </c>
    </row>
    <row r="6753" spans="1:45">
      <c r="A6753" s="3" t="s">
        <v>6729</v>
      </c>
      <c r="B6753">
        <v>8</v>
      </c>
      <c r="AR6753">
        <v>4</v>
      </c>
    </row>
    <row r="6754" spans="1:45">
      <c r="A6754" s="3" t="s">
        <v>6730</v>
      </c>
      <c r="B6754">
        <v>8</v>
      </c>
      <c r="AR6754">
        <v>4</v>
      </c>
    </row>
    <row r="6755" spans="1:45">
      <c r="A6755" s="3" t="s">
        <v>6731</v>
      </c>
      <c r="B6755">
        <v>8</v>
      </c>
      <c r="AR6755">
        <v>4</v>
      </c>
    </row>
    <row r="6756" spans="1:45">
      <c r="A6756" s="3" t="s">
        <v>6732</v>
      </c>
      <c r="B6756">
        <v>8</v>
      </c>
      <c r="AR6756">
        <v>4</v>
      </c>
    </row>
    <row r="6757" spans="1:45">
      <c r="A6757" s="3" t="s">
        <v>6733</v>
      </c>
      <c r="B6757">
        <v>8</v>
      </c>
      <c r="AR6757">
        <v>4</v>
      </c>
    </row>
    <row r="6758" spans="1:45">
      <c r="A6758" s="3" t="s">
        <v>6734</v>
      </c>
      <c r="B6758">
        <v>8</v>
      </c>
      <c r="AR6758">
        <v>4</v>
      </c>
    </row>
    <row r="6759" spans="1:45">
      <c r="A6759" s="3" t="s">
        <v>6735</v>
      </c>
      <c r="B6759">
        <v>8</v>
      </c>
      <c r="AR6759">
        <v>4</v>
      </c>
    </row>
    <row r="6760" spans="1:45">
      <c r="A6760" s="3" t="s">
        <v>6736</v>
      </c>
      <c r="B6760">
        <v>8</v>
      </c>
      <c r="AR6760">
        <v>4</v>
      </c>
    </row>
    <row r="6761" spans="1:45">
      <c r="A6761" s="3" t="s">
        <v>6737</v>
      </c>
      <c r="B6761">
        <v>8</v>
      </c>
      <c r="AR6761">
        <v>4</v>
      </c>
    </row>
    <row r="6762" spans="1:45">
      <c r="A6762" s="3" t="s">
        <v>6738</v>
      </c>
      <c r="B6762">
        <v>8</v>
      </c>
      <c r="AR6762">
        <v>4</v>
      </c>
    </row>
    <row r="6763" spans="1:45">
      <c r="A6763" s="3" t="s">
        <v>6739</v>
      </c>
      <c r="B6763">
        <v>8</v>
      </c>
      <c r="J6763">
        <v>98</v>
      </c>
    </row>
    <row r="6764" spans="1:45">
      <c r="A6764" s="3" t="s">
        <v>6740</v>
      </c>
      <c r="B6764">
        <v>8</v>
      </c>
      <c r="J6764">
        <v>98</v>
      </c>
    </row>
    <row r="6765" spans="1:45">
      <c r="A6765" s="3" t="s">
        <v>6741</v>
      </c>
      <c r="B6765">
        <v>8</v>
      </c>
      <c r="J6765">
        <v>98</v>
      </c>
    </row>
    <row r="6766" spans="1:45">
      <c r="A6766" s="3" t="s">
        <v>6742</v>
      </c>
      <c r="B6766">
        <v>8</v>
      </c>
      <c r="J6766">
        <v>98</v>
      </c>
    </row>
    <row r="6767" spans="1:45">
      <c r="A6767" s="3" t="s">
        <v>6743</v>
      </c>
      <c r="B6767">
        <v>8</v>
      </c>
      <c r="J6767">
        <v>98</v>
      </c>
    </row>
    <row r="6768" spans="1:45">
      <c r="A6768" s="3" t="s">
        <v>6744</v>
      </c>
      <c r="B6768">
        <v>8</v>
      </c>
      <c r="AS6768">
        <v>1</v>
      </c>
    </row>
    <row r="6769" spans="1:45">
      <c r="A6769" s="3" t="s">
        <v>6745</v>
      </c>
      <c r="B6769">
        <v>8</v>
      </c>
      <c r="AS6769">
        <v>1</v>
      </c>
    </row>
    <row r="6770" spans="1:45">
      <c r="A6770" s="3" t="s">
        <v>6746</v>
      </c>
      <c r="B6770">
        <v>8</v>
      </c>
      <c r="AS6770">
        <v>1</v>
      </c>
    </row>
    <row r="6771" spans="1:45">
      <c r="A6771" s="3" t="s">
        <v>6747</v>
      </c>
      <c r="B6771">
        <v>8</v>
      </c>
      <c r="AS6771">
        <v>1</v>
      </c>
    </row>
    <row r="6772" spans="1:45">
      <c r="A6772" s="3" t="s">
        <v>6748</v>
      </c>
      <c r="B6772">
        <v>8</v>
      </c>
      <c r="AS6772">
        <v>1</v>
      </c>
    </row>
    <row r="6773" spans="1:45">
      <c r="A6773" s="3" t="s">
        <v>6749</v>
      </c>
      <c r="B6773">
        <v>8</v>
      </c>
      <c r="AS6773">
        <v>1</v>
      </c>
    </row>
    <row r="6774" spans="1:45">
      <c r="A6774" s="3" t="s">
        <v>6750</v>
      </c>
      <c r="B6774">
        <v>8</v>
      </c>
      <c r="AS6774">
        <v>1</v>
      </c>
    </row>
    <row r="6775" spans="1:45">
      <c r="A6775" s="3" t="s">
        <v>6751</v>
      </c>
      <c r="B6775">
        <v>8</v>
      </c>
      <c r="AS6775">
        <v>1</v>
      </c>
    </row>
    <row r="6776" spans="1:45">
      <c r="A6776" s="3" t="s">
        <v>6752</v>
      </c>
      <c r="B6776">
        <v>8</v>
      </c>
      <c r="AS6776">
        <v>1</v>
      </c>
    </row>
    <row r="6777" spans="1:45">
      <c r="A6777" s="3" t="s">
        <v>6753</v>
      </c>
      <c r="B6777">
        <v>8</v>
      </c>
      <c r="AS6777">
        <v>1</v>
      </c>
    </row>
    <row r="6778" spans="1:45">
      <c r="A6778" s="3" t="s">
        <v>6754</v>
      </c>
      <c r="B6778">
        <v>8</v>
      </c>
      <c r="AS6778">
        <v>1</v>
      </c>
    </row>
    <row r="6779" spans="1:45">
      <c r="A6779" s="3" t="s">
        <v>6755</v>
      </c>
      <c r="B6779">
        <v>8</v>
      </c>
      <c r="AS6779">
        <v>1</v>
      </c>
    </row>
    <row r="6780" spans="1:45">
      <c r="A6780" s="3" t="s">
        <v>6756</v>
      </c>
      <c r="B6780">
        <v>8</v>
      </c>
      <c r="AS6780">
        <v>1</v>
      </c>
    </row>
    <row r="6781" spans="1:45">
      <c r="A6781" s="3" t="s">
        <v>6757</v>
      </c>
      <c r="B6781">
        <v>8</v>
      </c>
      <c r="AS6781">
        <v>1</v>
      </c>
    </row>
    <row r="6782" spans="1:45">
      <c r="A6782" s="3" t="s">
        <v>6758</v>
      </c>
      <c r="B6782">
        <v>8</v>
      </c>
      <c r="AS6782">
        <v>1</v>
      </c>
    </row>
    <row r="6783" spans="1:45">
      <c r="A6783" s="3" t="s">
        <v>6759</v>
      </c>
      <c r="B6783">
        <v>8</v>
      </c>
      <c r="AS6783">
        <v>1</v>
      </c>
    </row>
    <row r="6784" spans="1:45">
      <c r="A6784" s="3" t="s">
        <v>6760</v>
      </c>
      <c r="B6784">
        <v>8</v>
      </c>
      <c r="AS6784">
        <v>1</v>
      </c>
    </row>
    <row r="6785" spans="1:45">
      <c r="A6785" s="3" t="s">
        <v>6761</v>
      </c>
      <c r="B6785">
        <v>8</v>
      </c>
      <c r="AS6785">
        <v>1</v>
      </c>
    </row>
    <row r="6786" spans="1:45">
      <c r="A6786" s="3" t="s">
        <v>6762</v>
      </c>
      <c r="B6786">
        <v>8</v>
      </c>
      <c r="AS6786">
        <v>1</v>
      </c>
    </row>
    <row r="6787" spans="1:45">
      <c r="A6787" s="3" t="s">
        <v>6763</v>
      </c>
      <c r="B6787">
        <v>8</v>
      </c>
      <c r="AS6787">
        <v>1</v>
      </c>
    </row>
    <row r="6788" spans="1:45">
      <c r="A6788" s="3" t="s">
        <v>6764</v>
      </c>
      <c r="B6788">
        <v>8</v>
      </c>
      <c r="AS6788">
        <v>1</v>
      </c>
    </row>
    <row r="6789" spans="1:45">
      <c r="A6789" s="3" t="s">
        <v>6765</v>
      </c>
      <c r="B6789">
        <v>8</v>
      </c>
      <c r="AS6789">
        <v>1</v>
      </c>
    </row>
    <row r="6790" spans="1:45">
      <c r="A6790" s="3" t="s">
        <v>6766</v>
      </c>
      <c r="B6790">
        <v>8</v>
      </c>
      <c r="AS6790">
        <v>1</v>
      </c>
    </row>
    <row r="6791" spans="1:45">
      <c r="A6791" s="3" t="s">
        <v>6767</v>
      </c>
      <c r="B6791">
        <v>8</v>
      </c>
      <c r="AS6791">
        <v>1</v>
      </c>
    </row>
    <row r="6792" spans="1:45">
      <c r="A6792" s="3" t="s">
        <v>6768</v>
      </c>
      <c r="B6792">
        <v>8</v>
      </c>
      <c r="AS6792">
        <v>1</v>
      </c>
    </row>
    <row r="6793" spans="1:45">
      <c r="A6793" s="3" t="s">
        <v>6769</v>
      </c>
      <c r="B6793">
        <v>8</v>
      </c>
      <c r="AS6793">
        <v>1</v>
      </c>
    </row>
    <row r="6794" spans="1:45">
      <c r="A6794" s="3" t="s">
        <v>6770</v>
      </c>
      <c r="B6794">
        <v>8</v>
      </c>
      <c r="AS6794">
        <v>1</v>
      </c>
    </row>
    <row r="6795" spans="1:45">
      <c r="A6795" s="3" t="s">
        <v>6771</v>
      </c>
      <c r="B6795">
        <v>8</v>
      </c>
      <c r="AS6795">
        <v>1</v>
      </c>
    </row>
    <row r="6796" spans="1:45">
      <c r="A6796" s="3" t="s">
        <v>6772</v>
      </c>
      <c r="B6796">
        <v>8</v>
      </c>
      <c r="AS6796">
        <v>1</v>
      </c>
    </row>
    <row r="6797" spans="1:45">
      <c r="A6797" s="3" t="s">
        <v>6773</v>
      </c>
      <c r="B6797">
        <v>8</v>
      </c>
      <c r="AS6797">
        <v>1</v>
      </c>
    </row>
    <row r="6798" spans="1:45">
      <c r="A6798" s="3" t="s">
        <v>6774</v>
      </c>
      <c r="B6798">
        <v>8</v>
      </c>
      <c r="AS6798">
        <v>1</v>
      </c>
    </row>
    <row r="6799" spans="1:45">
      <c r="A6799" s="3" t="s">
        <v>6775</v>
      </c>
      <c r="B6799">
        <v>8</v>
      </c>
      <c r="AS6799">
        <v>1</v>
      </c>
    </row>
    <row r="6800" spans="1:45">
      <c r="A6800" s="3" t="s">
        <v>6776</v>
      </c>
      <c r="B6800">
        <v>8</v>
      </c>
      <c r="AS6800">
        <v>1</v>
      </c>
    </row>
    <row r="6801" spans="1:45">
      <c r="A6801" s="3" t="s">
        <v>6777</v>
      </c>
      <c r="B6801">
        <v>8</v>
      </c>
      <c r="AS6801">
        <v>1</v>
      </c>
    </row>
    <row r="6802" spans="1:45">
      <c r="A6802" s="3" t="s">
        <v>6778</v>
      </c>
      <c r="B6802">
        <v>8</v>
      </c>
      <c r="AS6802">
        <v>1</v>
      </c>
    </row>
    <row r="6803" spans="1:45">
      <c r="A6803" s="3" t="s">
        <v>6779</v>
      </c>
      <c r="B6803">
        <v>8</v>
      </c>
      <c r="AS6803">
        <v>1</v>
      </c>
    </row>
    <row r="6804" spans="1:45">
      <c r="A6804" s="3" t="s">
        <v>6780</v>
      </c>
      <c r="B6804">
        <v>8</v>
      </c>
      <c r="AS6804">
        <v>1</v>
      </c>
    </row>
    <row r="6805" spans="1:45">
      <c r="A6805" s="3" t="s">
        <v>6781</v>
      </c>
      <c r="B6805">
        <v>8</v>
      </c>
      <c r="AS6805">
        <v>1</v>
      </c>
    </row>
    <row r="6806" spans="1:45">
      <c r="A6806" s="3" t="s">
        <v>6782</v>
      </c>
      <c r="B6806">
        <v>8</v>
      </c>
      <c r="AS6806">
        <v>1</v>
      </c>
    </row>
    <row r="6807" spans="1:45">
      <c r="A6807" s="3" t="s">
        <v>6783</v>
      </c>
      <c r="B6807">
        <v>8</v>
      </c>
      <c r="AS6807">
        <v>1</v>
      </c>
    </row>
    <row r="6808" spans="1:45">
      <c r="A6808" s="3" t="s">
        <v>6784</v>
      </c>
      <c r="B6808">
        <v>8</v>
      </c>
      <c r="AS6808">
        <v>1</v>
      </c>
    </row>
    <row r="6809" spans="1:45">
      <c r="A6809" s="3" t="s">
        <v>6785</v>
      </c>
      <c r="B6809">
        <v>8</v>
      </c>
      <c r="AS6809">
        <v>1</v>
      </c>
    </row>
    <row r="6810" spans="1:45">
      <c r="A6810" s="3" t="s">
        <v>6786</v>
      </c>
      <c r="B6810">
        <v>8</v>
      </c>
      <c r="AS6810">
        <v>1</v>
      </c>
    </row>
    <row r="6811" spans="1:45">
      <c r="A6811" s="3" t="s">
        <v>6787</v>
      </c>
      <c r="B6811">
        <v>8</v>
      </c>
      <c r="AS6811">
        <v>1</v>
      </c>
    </row>
    <row r="6812" spans="1:45">
      <c r="A6812" s="3" t="s">
        <v>6788</v>
      </c>
      <c r="B6812">
        <v>8</v>
      </c>
      <c r="AS6812">
        <v>1</v>
      </c>
    </row>
    <row r="6813" spans="1:45">
      <c r="A6813" s="3" t="s">
        <v>6789</v>
      </c>
      <c r="B6813">
        <v>8</v>
      </c>
      <c r="AS6813">
        <v>1</v>
      </c>
    </row>
    <row r="6814" spans="1:45">
      <c r="A6814" s="3" t="s">
        <v>6790</v>
      </c>
      <c r="B6814">
        <v>8</v>
      </c>
      <c r="J6814">
        <v>99</v>
      </c>
    </row>
    <row r="6815" spans="1:45">
      <c r="A6815" s="3" t="s">
        <v>6791</v>
      </c>
      <c r="B6815">
        <v>8</v>
      </c>
      <c r="J6815">
        <v>99</v>
      </c>
    </row>
    <row r="6816" spans="1:45">
      <c r="A6816" s="3" t="s">
        <v>6792</v>
      </c>
      <c r="B6816">
        <v>8</v>
      </c>
      <c r="J6816">
        <v>99</v>
      </c>
    </row>
    <row r="6817" spans="1:47">
      <c r="A6817" s="3" t="s">
        <v>6793</v>
      </c>
      <c r="B6817">
        <v>8</v>
      </c>
      <c r="J6817">
        <v>99</v>
      </c>
    </row>
    <row r="6818" spans="1:47">
      <c r="A6818" s="3" t="s">
        <v>6794</v>
      </c>
      <c r="B6818">
        <v>8</v>
      </c>
      <c r="J6818">
        <v>99</v>
      </c>
    </row>
    <row r="6819" spans="1:47">
      <c r="A6819" s="3" t="s">
        <v>6795</v>
      </c>
      <c r="B6819">
        <v>8</v>
      </c>
      <c r="J6819">
        <v>99</v>
      </c>
    </row>
    <row r="6820" spans="1:47">
      <c r="A6820" s="3" t="s">
        <v>6796</v>
      </c>
      <c r="B6820">
        <v>8</v>
      </c>
      <c r="J6820">
        <v>99</v>
      </c>
    </row>
    <row r="6821" spans="1:47">
      <c r="A6821" s="3" t="s">
        <v>6797</v>
      </c>
      <c r="B6821">
        <v>8</v>
      </c>
      <c r="J6821">
        <v>99</v>
      </c>
    </row>
    <row r="6822" spans="1:47">
      <c r="A6822" s="3" t="s">
        <v>6798</v>
      </c>
      <c r="B6822">
        <v>8</v>
      </c>
      <c r="J6822">
        <v>99</v>
      </c>
    </row>
    <row r="6823" spans="1:47">
      <c r="A6823" s="3" t="s">
        <v>6799</v>
      </c>
      <c r="B6823">
        <v>8</v>
      </c>
      <c r="J6823">
        <v>99</v>
      </c>
    </row>
    <row r="6824" spans="1:47">
      <c r="A6824" s="3" t="s">
        <v>6800</v>
      </c>
      <c r="B6824">
        <v>8</v>
      </c>
      <c r="AU6824">
        <v>11</v>
      </c>
    </row>
    <row r="6825" spans="1:47">
      <c r="A6825" s="3" t="s">
        <v>6801</v>
      </c>
      <c r="B6825">
        <v>8</v>
      </c>
      <c r="AU6825">
        <v>11</v>
      </c>
    </row>
    <row r="6826" spans="1:47">
      <c r="A6826" s="3" t="s">
        <v>6802</v>
      </c>
      <c r="B6826">
        <v>8</v>
      </c>
      <c r="AU6826">
        <v>11</v>
      </c>
    </row>
    <row r="6827" spans="1:47">
      <c r="A6827" s="3" t="s">
        <v>6803</v>
      </c>
      <c r="B6827">
        <v>8</v>
      </c>
      <c r="AU6827">
        <v>11</v>
      </c>
    </row>
    <row r="6828" spans="1:47">
      <c r="A6828" s="3" t="s">
        <v>6804</v>
      </c>
      <c r="B6828">
        <v>8</v>
      </c>
      <c r="AU6828">
        <v>11</v>
      </c>
    </row>
    <row r="6829" spans="1:47">
      <c r="A6829" s="3" t="s">
        <v>6805</v>
      </c>
      <c r="B6829">
        <v>8</v>
      </c>
      <c r="J6829">
        <v>100</v>
      </c>
    </row>
    <row r="6830" spans="1:47">
      <c r="A6830" s="3" t="s">
        <v>6806</v>
      </c>
      <c r="B6830">
        <v>8</v>
      </c>
      <c r="J6830">
        <v>100</v>
      </c>
    </row>
    <row r="6831" spans="1:47">
      <c r="A6831" s="3" t="s">
        <v>6807</v>
      </c>
      <c r="B6831">
        <v>8</v>
      </c>
      <c r="J6831">
        <v>100</v>
      </c>
    </row>
    <row r="6832" spans="1:47">
      <c r="A6832" s="3" t="s">
        <v>6808</v>
      </c>
      <c r="B6832">
        <v>8</v>
      </c>
      <c r="J6832">
        <v>100</v>
      </c>
    </row>
    <row r="6833" spans="1:10">
      <c r="A6833" s="3" t="s">
        <v>6809</v>
      </c>
      <c r="B6833">
        <v>8</v>
      </c>
      <c r="J6833">
        <v>100</v>
      </c>
    </row>
    <row r="6834" spans="1:10">
      <c r="A6834" s="3" t="s">
        <v>6810</v>
      </c>
      <c r="B6834">
        <v>8</v>
      </c>
      <c r="J6834">
        <v>100</v>
      </c>
    </row>
    <row r="6835" spans="1:10">
      <c r="A6835" s="3" t="s">
        <v>6811</v>
      </c>
      <c r="B6835">
        <v>8</v>
      </c>
      <c r="J6835">
        <v>100</v>
      </c>
    </row>
    <row r="6836" spans="1:10">
      <c r="A6836" s="3" t="s">
        <v>6812</v>
      </c>
      <c r="B6836">
        <v>8</v>
      </c>
      <c r="J6836">
        <v>100</v>
      </c>
    </row>
    <row r="6837" spans="1:10">
      <c r="A6837" s="3" t="s">
        <v>6813</v>
      </c>
      <c r="B6837">
        <v>8</v>
      </c>
      <c r="J6837">
        <v>100</v>
      </c>
    </row>
    <row r="6838" spans="1:10">
      <c r="A6838" s="3" t="s">
        <v>6814</v>
      </c>
      <c r="B6838">
        <v>8</v>
      </c>
      <c r="J6838">
        <v>100</v>
      </c>
    </row>
    <row r="6839" spans="1:10">
      <c r="A6839" s="3" t="s">
        <v>6815</v>
      </c>
      <c r="B6839">
        <v>8</v>
      </c>
      <c r="J6839">
        <v>100</v>
      </c>
    </row>
    <row r="6840" spans="1:10">
      <c r="A6840" s="3" t="s">
        <v>6816</v>
      </c>
      <c r="B6840">
        <v>8</v>
      </c>
      <c r="J6840">
        <v>100</v>
      </c>
    </row>
    <row r="6841" spans="1:10">
      <c r="A6841" s="3" t="s">
        <v>6817</v>
      </c>
      <c r="B6841">
        <v>8</v>
      </c>
      <c r="J6841">
        <v>100</v>
      </c>
    </row>
    <row r="6842" spans="1:10">
      <c r="A6842" s="3" t="s">
        <v>6818</v>
      </c>
      <c r="B6842">
        <v>8</v>
      </c>
      <c r="J6842">
        <v>100</v>
      </c>
    </row>
    <row r="6843" spans="1:10">
      <c r="A6843" s="3" t="s">
        <v>6819</v>
      </c>
      <c r="B6843">
        <v>8</v>
      </c>
      <c r="J6843">
        <v>100</v>
      </c>
    </row>
    <row r="6844" spans="1:10">
      <c r="A6844" s="3" t="s">
        <v>6820</v>
      </c>
      <c r="B6844">
        <v>8</v>
      </c>
      <c r="J6844">
        <v>100</v>
      </c>
    </row>
    <row r="6845" spans="1:10">
      <c r="A6845" s="3" t="s">
        <v>6821</v>
      </c>
      <c r="B6845">
        <v>8</v>
      </c>
      <c r="J6845">
        <v>100</v>
      </c>
    </row>
    <row r="6846" spans="1:10">
      <c r="A6846" s="3" t="s">
        <v>6822</v>
      </c>
      <c r="B6846">
        <v>8</v>
      </c>
      <c r="J6846">
        <v>100</v>
      </c>
    </row>
    <row r="6847" spans="1:10">
      <c r="A6847" s="3" t="s">
        <v>6823</v>
      </c>
      <c r="B6847">
        <v>8</v>
      </c>
      <c r="J6847">
        <v>100</v>
      </c>
    </row>
    <row r="6848" spans="1:10">
      <c r="A6848" s="3" t="s">
        <v>6824</v>
      </c>
      <c r="B6848">
        <v>8</v>
      </c>
      <c r="J6848">
        <v>100</v>
      </c>
    </row>
    <row r="6849" spans="1:16">
      <c r="A6849" s="3" t="s">
        <v>6825</v>
      </c>
      <c r="B6849">
        <v>8</v>
      </c>
      <c r="P6849">
        <v>4</v>
      </c>
    </row>
    <row r="6850" spans="1:16">
      <c r="A6850" s="3" t="s">
        <v>6826</v>
      </c>
      <c r="B6850">
        <v>8</v>
      </c>
      <c r="P6850">
        <v>4</v>
      </c>
    </row>
    <row r="6851" spans="1:16">
      <c r="A6851" s="3" t="s">
        <v>6827</v>
      </c>
      <c r="B6851">
        <v>8</v>
      </c>
      <c r="P6851">
        <v>4</v>
      </c>
    </row>
    <row r="6852" spans="1:16">
      <c r="A6852" s="3" t="s">
        <v>6828</v>
      </c>
      <c r="B6852">
        <v>8</v>
      </c>
      <c r="P6852">
        <v>4</v>
      </c>
    </row>
    <row r="6853" spans="1:16">
      <c r="A6853" s="3" t="s">
        <v>6829</v>
      </c>
      <c r="B6853">
        <v>8</v>
      </c>
      <c r="P6853">
        <v>4</v>
      </c>
    </row>
    <row r="6854" spans="1:16">
      <c r="A6854" s="3" t="s">
        <v>6830</v>
      </c>
      <c r="B6854">
        <v>8</v>
      </c>
      <c r="P6854">
        <v>4</v>
      </c>
    </row>
    <row r="6855" spans="1:16">
      <c r="A6855" s="3" t="s">
        <v>6831</v>
      </c>
      <c r="B6855">
        <v>8</v>
      </c>
      <c r="P6855">
        <v>4</v>
      </c>
    </row>
    <row r="6856" spans="1:16">
      <c r="A6856" s="3" t="s">
        <v>6832</v>
      </c>
      <c r="B6856">
        <v>8</v>
      </c>
      <c r="P6856">
        <v>4</v>
      </c>
    </row>
    <row r="6857" spans="1:16">
      <c r="A6857" s="3" t="s">
        <v>6833</v>
      </c>
      <c r="B6857">
        <v>8</v>
      </c>
      <c r="P6857">
        <v>4</v>
      </c>
    </row>
    <row r="6858" spans="1:16">
      <c r="A6858" s="3" t="s">
        <v>6834</v>
      </c>
      <c r="B6858">
        <v>8</v>
      </c>
      <c r="P6858">
        <v>4</v>
      </c>
    </row>
    <row r="6859" spans="1:16">
      <c r="A6859" s="3" t="s">
        <v>6835</v>
      </c>
      <c r="B6859">
        <v>8</v>
      </c>
      <c r="P6859">
        <v>4</v>
      </c>
    </row>
    <row r="6860" spans="1:16">
      <c r="A6860" s="3" t="s">
        <v>6836</v>
      </c>
      <c r="B6860">
        <v>8</v>
      </c>
      <c r="P6860">
        <v>4</v>
      </c>
    </row>
    <row r="6861" spans="1:16">
      <c r="A6861" s="3" t="s">
        <v>6837</v>
      </c>
      <c r="B6861">
        <v>8</v>
      </c>
      <c r="P6861">
        <v>4</v>
      </c>
    </row>
    <row r="6862" spans="1:16">
      <c r="A6862" s="3" t="s">
        <v>6838</v>
      </c>
      <c r="B6862">
        <v>8</v>
      </c>
      <c r="P6862">
        <v>4</v>
      </c>
    </row>
    <row r="6863" spans="1:16">
      <c r="A6863" s="3" t="s">
        <v>6839</v>
      </c>
      <c r="B6863">
        <v>8</v>
      </c>
      <c r="P6863">
        <v>4</v>
      </c>
    </row>
    <row r="6864" spans="1:16">
      <c r="A6864" s="3" t="s">
        <v>6840</v>
      </c>
      <c r="B6864">
        <v>8</v>
      </c>
      <c r="P6864">
        <v>4</v>
      </c>
    </row>
    <row r="6865" spans="1:16">
      <c r="A6865" s="3" t="s">
        <v>6841</v>
      </c>
      <c r="B6865">
        <v>8</v>
      </c>
      <c r="P6865">
        <v>4</v>
      </c>
    </row>
    <row r="6866" spans="1:16">
      <c r="A6866" s="3" t="s">
        <v>6842</v>
      </c>
      <c r="B6866">
        <v>8</v>
      </c>
      <c r="J6866">
        <v>101</v>
      </c>
    </row>
    <row r="6867" spans="1:16">
      <c r="A6867" s="3" t="s">
        <v>6843</v>
      </c>
      <c r="B6867">
        <v>8</v>
      </c>
      <c r="J6867">
        <v>101</v>
      </c>
    </row>
    <row r="6868" spans="1:16">
      <c r="A6868" s="3" t="s">
        <v>6844</v>
      </c>
      <c r="B6868">
        <v>8</v>
      </c>
      <c r="J6868">
        <v>101</v>
      </c>
    </row>
    <row r="6869" spans="1:16">
      <c r="A6869" s="3" t="s">
        <v>6845</v>
      </c>
      <c r="B6869">
        <v>8</v>
      </c>
      <c r="J6869">
        <v>101</v>
      </c>
    </row>
    <row r="6870" spans="1:16">
      <c r="A6870" s="3" t="s">
        <v>6846</v>
      </c>
      <c r="B6870">
        <v>8</v>
      </c>
      <c r="J6870">
        <v>101</v>
      </c>
    </row>
    <row r="6871" spans="1:16">
      <c r="A6871" s="3" t="s">
        <v>6847</v>
      </c>
      <c r="B6871">
        <v>8</v>
      </c>
      <c r="J6871">
        <v>101</v>
      </c>
    </row>
    <row r="6872" spans="1:16">
      <c r="A6872" s="3" t="s">
        <v>6848</v>
      </c>
      <c r="B6872">
        <v>8</v>
      </c>
      <c r="J6872">
        <v>101</v>
      </c>
    </row>
    <row r="6873" spans="1:16">
      <c r="A6873" s="3" t="s">
        <v>6849</v>
      </c>
      <c r="B6873">
        <v>8</v>
      </c>
      <c r="C6873">
        <v>7</v>
      </c>
      <c r="J6873">
        <v>101</v>
      </c>
    </row>
    <row r="6874" spans="1:16">
      <c r="A6874" s="3" t="s">
        <v>6850</v>
      </c>
      <c r="B6874">
        <v>8</v>
      </c>
      <c r="C6874">
        <v>7</v>
      </c>
      <c r="J6874">
        <v>101</v>
      </c>
    </row>
    <row r="6875" spans="1:16">
      <c r="A6875" s="3" t="s">
        <v>6851</v>
      </c>
      <c r="B6875">
        <v>8</v>
      </c>
      <c r="C6875">
        <v>7</v>
      </c>
      <c r="J6875">
        <v>101</v>
      </c>
    </row>
    <row r="6876" spans="1:16">
      <c r="A6876" s="3" t="s">
        <v>6852</v>
      </c>
      <c r="B6876">
        <v>8</v>
      </c>
      <c r="C6876">
        <v>7</v>
      </c>
      <c r="J6876">
        <v>101</v>
      </c>
    </row>
    <row r="6877" spans="1:16">
      <c r="A6877" s="3" t="s">
        <v>6853</v>
      </c>
      <c r="B6877">
        <v>8</v>
      </c>
      <c r="C6877">
        <v>7</v>
      </c>
      <c r="J6877">
        <v>101</v>
      </c>
    </row>
    <row r="6878" spans="1:16">
      <c r="A6878" s="3" t="s">
        <v>6854</v>
      </c>
      <c r="B6878">
        <v>8</v>
      </c>
      <c r="C6878">
        <v>7</v>
      </c>
      <c r="J6878">
        <v>101</v>
      </c>
    </row>
    <row r="6879" spans="1:16">
      <c r="A6879" s="3" t="s">
        <v>6855</v>
      </c>
      <c r="B6879">
        <v>8</v>
      </c>
      <c r="C6879">
        <v>7</v>
      </c>
      <c r="J6879">
        <v>101</v>
      </c>
    </row>
    <row r="6880" spans="1:16">
      <c r="A6880" s="3" t="s">
        <v>6856</v>
      </c>
      <c r="B6880">
        <v>8</v>
      </c>
      <c r="C6880">
        <v>7</v>
      </c>
      <c r="J6880">
        <v>101</v>
      </c>
    </row>
    <row r="6881" spans="1:20">
      <c r="A6881" s="3" t="s">
        <v>6857</v>
      </c>
      <c r="B6881">
        <v>8</v>
      </c>
      <c r="C6881">
        <v>7</v>
      </c>
      <c r="J6881">
        <v>101</v>
      </c>
    </row>
    <row r="6882" spans="1:20">
      <c r="A6882" s="3" t="s">
        <v>6858</v>
      </c>
      <c r="B6882">
        <v>8</v>
      </c>
      <c r="C6882">
        <v>7</v>
      </c>
      <c r="J6882">
        <v>101</v>
      </c>
    </row>
    <row r="6883" spans="1:20">
      <c r="A6883" s="3" t="s">
        <v>6859</v>
      </c>
      <c r="B6883">
        <v>8</v>
      </c>
      <c r="C6883">
        <v>7</v>
      </c>
      <c r="J6883">
        <v>101</v>
      </c>
    </row>
    <row r="6884" spans="1:20">
      <c r="A6884" s="3" t="s">
        <v>6860</v>
      </c>
      <c r="B6884">
        <v>8</v>
      </c>
      <c r="C6884">
        <v>7</v>
      </c>
      <c r="J6884">
        <v>101</v>
      </c>
    </row>
    <row r="6885" spans="1:20">
      <c r="A6885" s="3" t="s">
        <v>6861</v>
      </c>
      <c r="B6885">
        <v>8</v>
      </c>
      <c r="C6885">
        <v>7</v>
      </c>
      <c r="J6885">
        <v>101</v>
      </c>
    </row>
    <row r="6886" spans="1:20">
      <c r="A6886" s="3" t="s">
        <v>6862</v>
      </c>
      <c r="C6886">
        <v>7</v>
      </c>
      <c r="T6886">
        <v>4</v>
      </c>
    </row>
    <row r="6887" spans="1:20">
      <c r="A6887" s="3" t="s">
        <v>6863</v>
      </c>
      <c r="C6887">
        <v>7</v>
      </c>
      <c r="T6887">
        <v>4</v>
      </c>
    </row>
    <row r="6888" spans="1:20">
      <c r="A6888" s="3" t="s">
        <v>6864</v>
      </c>
      <c r="C6888">
        <v>7</v>
      </c>
      <c r="T6888">
        <v>4</v>
      </c>
    </row>
    <row r="6889" spans="1:20">
      <c r="A6889" s="3" t="s">
        <v>6865</v>
      </c>
      <c r="C6889">
        <v>7</v>
      </c>
      <c r="T6889">
        <v>4</v>
      </c>
    </row>
    <row r="6890" spans="1:20">
      <c r="A6890" s="3" t="s">
        <v>6866</v>
      </c>
      <c r="C6890">
        <v>7</v>
      </c>
      <c r="T6890">
        <v>4</v>
      </c>
    </row>
    <row r="6891" spans="1:20">
      <c r="A6891" s="3" t="s">
        <v>6867</v>
      </c>
      <c r="C6891">
        <v>7</v>
      </c>
      <c r="T6891">
        <v>4</v>
      </c>
    </row>
    <row r="6892" spans="1:20">
      <c r="A6892" s="3" t="s">
        <v>6868</v>
      </c>
      <c r="C6892">
        <v>7</v>
      </c>
      <c r="T6892">
        <v>4</v>
      </c>
    </row>
    <row r="6893" spans="1:20">
      <c r="A6893" s="3" t="s">
        <v>6869</v>
      </c>
      <c r="C6893">
        <v>7</v>
      </c>
      <c r="T6893">
        <v>4</v>
      </c>
    </row>
    <row r="6894" spans="1:20">
      <c r="A6894" s="3" t="s">
        <v>6870</v>
      </c>
      <c r="C6894">
        <v>7</v>
      </c>
      <c r="T6894">
        <v>4</v>
      </c>
    </row>
    <row r="6895" spans="1:20">
      <c r="A6895" s="3" t="s">
        <v>6871</v>
      </c>
      <c r="C6895">
        <v>7</v>
      </c>
      <c r="T6895">
        <v>4</v>
      </c>
    </row>
    <row r="6896" spans="1:20">
      <c r="A6896" s="3" t="s">
        <v>6872</v>
      </c>
      <c r="C6896">
        <v>7</v>
      </c>
      <c r="T6896">
        <v>4</v>
      </c>
    </row>
    <row r="6897" spans="1:49">
      <c r="A6897" s="3" t="s">
        <v>6873</v>
      </c>
      <c r="C6897">
        <v>7</v>
      </c>
      <c r="T6897">
        <v>4</v>
      </c>
    </row>
    <row r="6898" spans="1:49">
      <c r="A6898" s="3" t="s">
        <v>6874</v>
      </c>
      <c r="C6898">
        <v>7</v>
      </c>
      <c r="T6898">
        <v>4</v>
      </c>
    </row>
    <row r="6899" spans="1:49">
      <c r="A6899" s="3" t="s">
        <v>6875</v>
      </c>
      <c r="C6899">
        <v>7</v>
      </c>
      <c r="T6899">
        <v>4</v>
      </c>
    </row>
    <row r="6900" spans="1:49">
      <c r="A6900" s="3" t="s">
        <v>6876</v>
      </c>
      <c r="C6900">
        <v>7</v>
      </c>
      <c r="T6900">
        <v>4</v>
      </c>
    </row>
    <row r="6901" spans="1:49">
      <c r="A6901" s="3" t="s">
        <v>6877</v>
      </c>
      <c r="C6901">
        <v>7</v>
      </c>
      <c r="T6901">
        <v>4</v>
      </c>
    </row>
    <row r="6902" spans="1:49">
      <c r="A6902" s="3" t="s">
        <v>6878</v>
      </c>
      <c r="C6902">
        <v>7</v>
      </c>
      <c r="T6902">
        <v>4</v>
      </c>
    </row>
    <row r="6903" spans="1:49">
      <c r="A6903" s="3" t="s">
        <v>6879</v>
      </c>
      <c r="C6903">
        <v>7</v>
      </c>
      <c r="T6903">
        <v>4</v>
      </c>
    </row>
    <row r="6904" spans="1:49">
      <c r="A6904" s="3" t="s">
        <v>6880</v>
      </c>
      <c r="C6904">
        <v>7</v>
      </c>
      <c r="T6904">
        <v>4</v>
      </c>
    </row>
    <row r="6905" spans="1:49">
      <c r="A6905" s="3" t="s">
        <v>6881</v>
      </c>
      <c r="C6905">
        <v>7</v>
      </c>
      <c r="AW6905">
        <v>56</v>
      </c>
    </row>
    <row r="6906" spans="1:49">
      <c r="A6906" s="3" t="s">
        <v>6882</v>
      </c>
      <c r="C6906">
        <v>7</v>
      </c>
      <c r="AW6906">
        <v>56</v>
      </c>
    </row>
    <row r="6907" spans="1:49">
      <c r="A6907" s="3" t="s">
        <v>6883</v>
      </c>
      <c r="C6907">
        <v>7</v>
      </c>
      <c r="AW6907">
        <v>56</v>
      </c>
    </row>
    <row r="6908" spans="1:49">
      <c r="A6908" s="3" t="s">
        <v>6884</v>
      </c>
      <c r="C6908">
        <v>7</v>
      </c>
      <c r="J6908">
        <v>102</v>
      </c>
    </row>
    <row r="6909" spans="1:49">
      <c r="A6909" s="3" t="s">
        <v>6885</v>
      </c>
      <c r="C6909">
        <v>7</v>
      </c>
      <c r="J6909">
        <v>102</v>
      </c>
    </row>
    <row r="6910" spans="1:49">
      <c r="A6910" s="3" t="s">
        <v>6886</v>
      </c>
      <c r="C6910">
        <v>7</v>
      </c>
      <c r="J6910">
        <v>102</v>
      </c>
    </row>
    <row r="6911" spans="1:49">
      <c r="A6911" s="3" t="s">
        <v>6887</v>
      </c>
      <c r="C6911">
        <v>7</v>
      </c>
      <c r="J6911">
        <v>102</v>
      </c>
    </row>
    <row r="6912" spans="1:49">
      <c r="A6912" s="3" t="s">
        <v>6888</v>
      </c>
      <c r="C6912">
        <v>7</v>
      </c>
      <c r="J6912">
        <v>102</v>
      </c>
    </row>
    <row r="6913" spans="1:10">
      <c r="A6913" s="3" t="s">
        <v>6889</v>
      </c>
      <c r="C6913">
        <v>7</v>
      </c>
      <c r="J6913">
        <v>102</v>
      </c>
    </row>
    <row r="6914" spans="1:10">
      <c r="A6914" s="3" t="s">
        <v>6890</v>
      </c>
      <c r="C6914">
        <v>7</v>
      </c>
      <c r="J6914">
        <v>102</v>
      </c>
    </row>
    <row r="6915" spans="1:10">
      <c r="A6915" s="3" t="s">
        <v>6891</v>
      </c>
      <c r="C6915">
        <v>7</v>
      </c>
      <c r="J6915">
        <v>102</v>
      </c>
    </row>
    <row r="6916" spans="1:10">
      <c r="A6916" s="3" t="s">
        <v>6892</v>
      </c>
      <c r="C6916">
        <v>7</v>
      </c>
      <c r="J6916">
        <v>102</v>
      </c>
    </row>
    <row r="6917" spans="1:10">
      <c r="A6917" s="3" t="s">
        <v>6893</v>
      </c>
      <c r="C6917">
        <v>7</v>
      </c>
      <c r="J6917">
        <v>102</v>
      </c>
    </row>
    <row r="6918" spans="1:10">
      <c r="A6918" s="3" t="s">
        <v>6894</v>
      </c>
      <c r="C6918">
        <v>7</v>
      </c>
      <c r="J6918">
        <v>102</v>
      </c>
    </row>
    <row r="6919" spans="1:10">
      <c r="A6919" s="3" t="s">
        <v>6895</v>
      </c>
      <c r="C6919">
        <v>7</v>
      </c>
      <c r="J6919">
        <v>102</v>
      </c>
    </row>
    <row r="6920" spans="1:10">
      <c r="A6920" s="3" t="s">
        <v>6896</v>
      </c>
      <c r="C6920">
        <v>7</v>
      </c>
      <c r="J6920">
        <v>102</v>
      </c>
    </row>
    <row r="6921" spans="1:10">
      <c r="A6921" s="3" t="s">
        <v>6897</v>
      </c>
      <c r="C6921">
        <v>7</v>
      </c>
      <c r="J6921">
        <v>102</v>
      </c>
    </row>
    <row r="6922" spans="1:10">
      <c r="A6922" s="3" t="s">
        <v>6898</v>
      </c>
      <c r="C6922">
        <v>7</v>
      </c>
      <c r="J6922">
        <v>102</v>
      </c>
    </row>
    <row r="6923" spans="1:10">
      <c r="A6923" s="3" t="s">
        <v>6899</v>
      </c>
      <c r="C6923">
        <v>7</v>
      </c>
      <c r="J6923">
        <v>102</v>
      </c>
    </row>
    <row r="6924" spans="1:10">
      <c r="A6924" s="3" t="s">
        <v>6900</v>
      </c>
      <c r="C6924">
        <v>7</v>
      </c>
      <c r="J6924">
        <v>102</v>
      </c>
    </row>
    <row r="6925" spans="1:10">
      <c r="A6925" s="3" t="s">
        <v>6901</v>
      </c>
      <c r="C6925">
        <v>7</v>
      </c>
      <c r="J6925">
        <v>102</v>
      </c>
    </row>
    <row r="6926" spans="1:10">
      <c r="A6926" s="3" t="s">
        <v>6902</v>
      </c>
      <c r="C6926">
        <v>7</v>
      </c>
      <c r="J6926">
        <v>102</v>
      </c>
    </row>
    <row r="6927" spans="1:10">
      <c r="A6927" s="3" t="s">
        <v>6903</v>
      </c>
      <c r="C6927">
        <v>7</v>
      </c>
      <c r="J6927">
        <v>102</v>
      </c>
    </row>
    <row r="6928" spans="1:10">
      <c r="A6928" s="3" t="s">
        <v>6904</v>
      </c>
      <c r="C6928">
        <v>7</v>
      </c>
      <c r="J6928">
        <v>102</v>
      </c>
    </row>
    <row r="6929" spans="1:24">
      <c r="A6929" s="3" t="s">
        <v>6905</v>
      </c>
      <c r="C6929">
        <v>7</v>
      </c>
      <c r="J6929">
        <v>102</v>
      </c>
    </row>
    <row r="6930" spans="1:24">
      <c r="A6930" s="3" t="s">
        <v>6906</v>
      </c>
      <c r="C6930">
        <v>7</v>
      </c>
      <c r="J6930">
        <v>102</v>
      </c>
    </row>
    <row r="6931" spans="1:24">
      <c r="A6931" s="3" t="s">
        <v>6907</v>
      </c>
      <c r="C6931">
        <v>7</v>
      </c>
      <c r="J6931">
        <v>102</v>
      </c>
    </row>
    <row r="6932" spans="1:24">
      <c r="A6932" s="3" t="s">
        <v>6908</v>
      </c>
      <c r="C6932">
        <v>7</v>
      </c>
      <c r="J6932">
        <v>102</v>
      </c>
    </row>
    <row r="6933" spans="1:24">
      <c r="A6933" s="3" t="s">
        <v>6909</v>
      </c>
      <c r="C6933">
        <v>7</v>
      </c>
      <c r="J6933">
        <v>102</v>
      </c>
    </row>
    <row r="6934" spans="1:24">
      <c r="A6934" s="3" t="s">
        <v>6910</v>
      </c>
      <c r="C6934">
        <v>7</v>
      </c>
      <c r="X6934">
        <v>4</v>
      </c>
    </row>
    <row r="6935" spans="1:24">
      <c r="A6935" s="3" t="s">
        <v>6911</v>
      </c>
      <c r="C6935">
        <v>7</v>
      </c>
      <c r="X6935">
        <v>4</v>
      </c>
    </row>
    <row r="6936" spans="1:24">
      <c r="A6936" s="3" t="s">
        <v>6912</v>
      </c>
      <c r="C6936">
        <v>7</v>
      </c>
      <c r="X6936">
        <v>4</v>
      </c>
    </row>
    <row r="6937" spans="1:24">
      <c r="A6937" s="3" t="s">
        <v>6913</v>
      </c>
      <c r="C6937">
        <v>7</v>
      </c>
      <c r="X6937">
        <v>4</v>
      </c>
    </row>
    <row r="6938" spans="1:24">
      <c r="A6938" s="3" t="s">
        <v>6914</v>
      </c>
      <c r="C6938">
        <v>7</v>
      </c>
      <c r="X6938">
        <v>4</v>
      </c>
    </row>
    <row r="6939" spans="1:24">
      <c r="A6939" s="3" t="s">
        <v>6915</v>
      </c>
      <c r="C6939">
        <v>7</v>
      </c>
      <c r="X6939">
        <v>4</v>
      </c>
    </row>
    <row r="6940" spans="1:24">
      <c r="A6940" s="3" t="s">
        <v>6916</v>
      </c>
      <c r="C6940">
        <v>7</v>
      </c>
      <c r="X6940">
        <v>4</v>
      </c>
    </row>
    <row r="6941" spans="1:24">
      <c r="A6941" s="3" t="s">
        <v>6917</v>
      </c>
      <c r="C6941">
        <v>7</v>
      </c>
      <c r="X6941">
        <v>4</v>
      </c>
    </row>
    <row r="6942" spans="1:24">
      <c r="A6942" s="3" t="s">
        <v>6918</v>
      </c>
      <c r="C6942">
        <v>7</v>
      </c>
      <c r="X6942">
        <v>4</v>
      </c>
    </row>
    <row r="6943" spans="1:24">
      <c r="A6943" s="3" t="s">
        <v>6919</v>
      </c>
      <c r="C6943">
        <v>7</v>
      </c>
      <c r="X6943">
        <v>4</v>
      </c>
    </row>
    <row r="6944" spans="1:24">
      <c r="A6944" s="3" t="s">
        <v>6920</v>
      </c>
      <c r="C6944">
        <v>7</v>
      </c>
      <c r="X6944">
        <v>4</v>
      </c>
    </row>
    <row r="6945" spans="1:49">
      <c r="A6945" s="3" t="s">
        <v>6921</v>
      </c>
      <c r="C6945">
        <v>7</v>
      </c>
      <c r="X6945">
        <v>4</v>
      </c>
    </row>
    <row r="6946" spans="1:49">
      <c r="A6946" s="3" t="s">
        <v>6922</v>
      </c>
      <c r="C6946">
        <v>7</v>
      </c>
      <c r="X6946">
        <v>4</v>
      </c>
    </row>
    <row r="6947" spans="1:49">
      <c r="A6947" s="3" t="s">
        <v>6923</v>
      </c>
      <c r="C6947">
        <v>7</v>
      </c>
      <c r="X6947">
        <v>4</v>
      </c>
    </row>
    <row r="6948" spans="1:49">
      <c r="A6948" s="3" t="s">
        <v>6924</v>
      </c>
      <c r="C6948">
        <v>7</v>
      </c>
      <c r="X6948">
        <v>4</v>
      </c>
    </row>
    <row r="6949" spans="1:49">
      <c r="A6949" s="3" t="s">
        <v>6925</v>
      </c>
      <c r="C6949">
        <v>7</v>
      </c>
      <c r="X6949">
        <v>4</v>
      </c>
    </row>
    <row r="6950" spans="1:49">
      <c r="A6950" s="3" t="s">
        <v>6926</v>
      </c>
      <c r="C6950">
        <v>7</v>
      </c>
      <c r="X6950">
        <v>4</v>
      </c>
    </row>
    <row r="6951" spans="1:49">
      <c r="A6951" s="3" t="s">
        <v>6927</v>
      </c>
      <c r="C6951">
        <v>7</v>
      </c>
      <c r="X6951">
        <v>4</v>
      </c>
    </row>
    <row r="6952" spans="1:49">
      <c r="A6952" s="3" t="s">
        <v>6928</v>
      </c>
      <c r="C6952">
        <v>7</v>
      </c>
      <c r="X6952">
        <v>4</v>
      </c>
    </row>
    <row r="6953" spans="1:49">
      <c r="A6953" s="3" t="s">
        <v>6929</v>
      </c>
      <c r="C6953">
        <v>7</v>
      </c>
      <c r="X6953">
        <v>4</v>
      </c>
    </row>
    <row r="6954" spans="1:49">
      <c r="A6954" s="3" t="s">
        <v>6930</v>
      </c>
      <c r="C6954">
        <v>7</v>
      </c>
      <c r="X6954">
        <v>4</v>
      </c>
    </row>
    <row r="6955" spans="1:49">
      <c r="A6955" s="3" t="s">
        <v>6931</v>
      </c>
      <c r="C6955">
        <v>7</v>
      </c>
      <c r="X6955">
        <v>4</v>
      </c>
    </row>
    <row r="6956" spans="1:49">
      <c r="A6956" s="3" t="s">
        <v>6932</v>
      </c>
      <c r="C6956">
        <v>7</v>
      </c>
      <c r="X6956">
        <v>4</v>
      </c>
    </row>
    <row r="6957" spans="1:49">
      <c r="A6957" s="3" t="s">
        <v>6933</v>
      </c>
      <c r="C6957">
        <v>7</v>
      </c>
      <c r="X6957">
        <v>4</v>
      </c>
    </row>
    <row r="6958" spans="1:49">
      <c r="A6958" s="3" t="s">
        <v>6934</v>
      </c>
      <c r="C6958">
        <v>7</v>
      </c>
      <c r="AW6958">
        <v>57</v>
      </c>
    </row>
    <row r="6959" spans="1:49">
      <c r="A6959" s="3" t="s">
        <v>6935</v>
      </c>
      <c r="C6959">
        <v>7</v>
      </c>
      <c r="AW6959">
        <v>57</v>
      </c>
    </row>
    <row r="6960" spans="1:49">
      <c r="A6960" s="3" t="s">
        <v>6936</v>
      </c>
      <c r="C6960">
        <v>7</v>
      </c>
      <c r="J6960">
        <v>103</v>
      </c>
    </row>
    <row r="6961" spans="1:10">
      <c r="A6961" s="3" t="s">
        <v>6937</v>
      </c>
      <c r="C6961">
        <v>7</v>
      </c>
      <c r="J6961">
        <v>103</v>
      </c>
    </row>
    <row r="6962" spans="1:10">
      <c r="A6962" s="3" t="s">
        <v>6938</v>
      </c>
      <c r="C6962">
        <v>7</v>
      </c>
      <c r="J6962">
        <v>103</v>
      </c>
    </row>
    <row r="6963" spans="1:10">
      <c r="A6963" s="3" t="s">
        <v>6939</v>
      </c>
      <c r="C6963">
        <v>7</v>
      </c>
      <c r="J6963">
        <v>103</v>
      </c>
    </row>
    <row r="6964" spans="1:10">
      <c r="A6964" s="3" t="s">
        <v>6940</v>
      </c>
      <c r="C6964">
        <v>7</v>
      </c>
      <c r="J6964">
        <v>103</v>
      </c>
    </row>
    <row r="6965" spans="1:10">
      <c r="A6965" s="3" t="s">
        <v>6941</v>
      </c>
      <c r="C6965">
        <v>7</v>
      </c>
      <c r="J6965">
        <v>103</v>
      </c>
    </row>
    <row r="6966" spans="1:10">
      <c r="A6966" s="3" t="s">
        <v>6942</v>
      </c>
      <c r="C6966">
        <v>7</v>
      </c>
      <c r="J6966">
        <v>103</v>
      </c>
    </row>
    <row r="6967" spans="1:10">
      <c r="A6967" s="3" t="s">
        <v>6943</v>
      </c>
      <c r="C6967">
        <v>7</v>
      </c>
      <c r="J6967">
        <v>103</v>
      </c>
    </row>
    <row r="6968" spans="1:10">
      <c r="A6968" s="3" t="s">
        <v>6944</v>
      </c>
      <c r="C6968">
        <v>7</v>
      </c>
      <c r="J6968">
        <v>103</v>
      </c>
    </row>
    <row r="6969" spans="1:10">
      <c r="A6969" s="3" t="s">
        <v>6945</v>
      </c>
      <c r="C6969">
        <v>7</v>
      </c>
      <c r="J6969">
        <v>103</v>
      </c>
    </row>
    <row r="6970" spans="1:10">
      <c r="A6970" s="3" t="s">
        <v>6946</v>
      </c>
      <c r="C6970">
        <v>7</v>
      </c>
      <c r="J6970">
        <v>103</v>
      </c>
    </row>
    <row r="6971" spans="1:10">
      <c r="A6971" s="3" t="s">
        <v>6947</v>
      </c>
      <c r="C6971">
        <v>7</v>
      </c>
      <c r="J6971">
        <v>103</v>
      </c>
    </row>
    <row r="6972" spans="1:10">
      <c r="A6972" s="3" t="s">
        <v>6948</v>
      </c>
      <c r="C6972">
        <v>7</v>
      </c>
      <c r="J6972">
        <v>103</v>
      </c>
    </row>
    <row r="6973" spans="1:10">
      <c r="A6973" s="3" t="s">
        <v>6949</v>
      </c>
      <c r="C6973">
        <v>7</v>
      </c>
      <c r="J6973">
        <v>103</v>
      </c>
    </row>
    <row r="6974" spans="1:10">
      <c r="A6974" s="3" t="s">
        <v>6950</v>
      </c>
      <c r="C6974">
        <v>7</v>
      </c>
      <c r="J6974">
        <v>103</v>
      </c>
    </row>
    <row r="6975" spans="1:10">
      <c r="A6975" s="3" t="s">
        <v>6951</v>
      </c>
      <c r="C6975">
        <v>7</v>
      </c>
      <c r="D6975">
        <v>8</v>
      </c>
      <c r="J6975">
        <v>103</v>
      </c>
    </row>
    <row r="6976" spans="1:10">
      <c r="A6976" s="3" t="s">
        <v>6952</v>
      </c>
      <c r="C6976">
        <v>7</v>
      </c>
      <c r="D6976">
        <v>8</v>
      </c>
      <c r="J6976">
        <v>103</v>
      </c>
    </row>
    <row r="6977" spans="1:28">
      <c r="A6977" s="3" t="s">
        <v>6953</v>
      </c>
      <c r="C6977">
        <v>7</v>
      </c>
      <c r="D6977">
        <v>8</v>
      </c>
      <c r="J6977">
        <v>103</v>
      </c>
    </row>
    <row r="6978" spans="1:28">
      <c r="A6978" s="3" t="s">
        <v>6954</v>
      </c>
      <c r="C6978">
        <v>7</v>
      </c>
      <c r="D6978">
        <v>8</v>
      </c>
      <c r="J6978">
        <v>103</v>
      </c>
    </row>
    <row r="6979" spans="1:28">
      <c r="A6979" s="3" t="s">
        <v>6955</v>
      </c>
      <c r="C6979">
        <v>7</v>
      </c>
      <c r="D6979">
        <v>8</v>
      </c>
      <c r="J6979">
        <v>103</v>
      </c>
    </row>
    <row r="6980" spans="1:28">
      <c r="A6980" s="3" t="s">
        <v>6956</v>
      </c>
      <c r="C6980">
        <v>7</v>
      </c>
      <c r="D6980">
        <v>8</v>
      </c>
      <c r="J6980">
        <v>103</v>
      </c>
    </row>
    <row r="6981" spans="1:28">
      <c r="A6981" s="3" t="s">
        <v>6957</v>
      </c>
      <c r="C6981">
        <v>7</v>
      </c>
      <c r="D6981">
        <v>8</v>
      </c>
      <c r="J6981">
        <v>103</v>
      </c>
    </row>
    <row r="6982" spans="1:28">
      <c r="A6982" s="3" t="s">
        <v>6958</v>
      </c>
      <c r="C6982">
        <v>7</v>
      </c>
      <c r="D6982">
        <v>8</v>
      </c>
      <c r="J6982">
        <v>103</v>
      </c>
    </row>
    <row r="6983" spans="1:28">
      <c r="A6983" s="3" t="s">
        <v>6959</v>
      </c>
      <c r="C6983">
        <v>7</v>
      </c>
      <c r="D6983">
        <v>8</v>
      </c>
      <c r="J6983">
        <v>103</v>
      </c>
    </row>
    <row r="6984" spans="1:28">
      <c r="A6984" s="3" t="s">
        <v>6960</v>
      </c>
      <c r="C6984">
        <v>7</v>
      </c>
      <c r="D6984">
        <v>8</v>
      </c>
      <c r="J6984">
        <v>103</v>
      </c>
    </row>
    <row r="6985" spans="1:28">
      <c r="A6985" s="3" t="s">
        <v>6961</v>
      </c>
      <c r="C6985">
        <v>7</v>
      </c>
      <c r="D6985">
        <v>8</v>
      </c>
      <c r="J6985">
        <v>103</v>
      </c>
    </row>
    <row r="6986" spans="1:28">
      <c r="A6986" s="3" t="s">
        <v>6962</v>
      </c>
      <c r="C6986">
        <v>7</v>
      </c>
      <c r="D6986">
        <v>8</v>
      </c>
      <c r="J6986">
        <v>103</v>
      </c>
    </row>
    <row r="6987" spans="1:28">
      <c r="A6987" s="3" t="s">
        <v>6963</v>
      </c>
      <c r="C6987">
        <v>7</v>
      </c>
      <c r="D6987">
        <v>8</v>
      </c>
      <c r="J6987">
        <v>103</v>
      </c>
    </row>
    <row r="6988" spans="1:28">
      <c r="A6988" s="3" t="s">
        <v>6964</v>
      </c>
      <c r="C6988">
        <v>7</v>
      </c>
      <c r="D6988">
        <v>8</v>
      </c>
      <c r="J6988">
        <v>103</v>
      </c>
    </row>
    <row r="6989" spans="1:28">
      <c r="A6989" s="3" t="s">
        <v>6965</v>
      </c>
      <c r="C6989">
        <v>7</v>
      </c>
      <c r="D6989">
        <v>8</v>
      </c>
      <c r="J6989">
        <v>103</v>
      </c>
    </row>
    <row r="6990" spans="1:28">
      <c r="A6990" s="3" t="s">
        <v>6966</v>
      </c>
      <c r="D6990">
        <v>8</v>
      </c>
      <c r="J6990">
        <v>103</v>
      </c>
    </row>
    <row r="6991" spans="1:28">
      <c r="A6991" s="3" t="s">
        <v>6967</v>
      </c>
      <c r="D6991">
        <v>8</v>
      </c>
      <c r="AB6991">
        <v>5</v>
      </c>
    </row>
    <row r="6992" spans="1:28">
      <c r="A6992" s="3" t="s">
        <v>6968</v>
      </c>
      <c r="D6992">
        <v>8</v>
      </c>
      <c r="AB6992">
        <v>5</v>
      </c>
    </row>
    <row r="6993" spans="1:49">
      <c r="A6993" s="3" t="s">
        <v>6969</v>
      </c>
      <c r="D6993">
        <v>8</v>
      </c>
      <c r="AB6993">
        <v>5</v>
      </c>
    </row>
    <row r="6994" spans="1:49">
      <c r="A6994" s="3" t="s">
        <v>6970</v>
      </c>
      <c r="D6994">
        <v>8</v>
      </c>
      <c r="AB6994">
        <v>5</v>
      </c>
    </row>
    <row r="6995" spans="1:49">
      <c r="A6995" s="3" t="s">
        <v>6971</v>
      </c>
      <c r="D6995">
        <v>8</v>
      </c>
      <c r="AB6995">
        <v>5</v>
      </c>
    </row>
    <row r="6996" spans="1:49">
      <c r="A6996" s="3" t="s">
        <v>6972</v>
      </c>
      <c r="D6996">
        <v>8</v>
      </c>
      <c r="AB6996">
        <v>5</v>
      </c>
    </row>
    <row r="6997" spans="1:49">
      <c r="A6997" s="3" t="s">
        <v>6973</v>
      </c>
      <c r="D6997">
        <v>8</v>
      </c>
      <c r="AB6997">
        <v>5</v>
      </c>
    </row>
    <row r="6998" spans="1:49">
      <c r="A6998" s="3" t="s">
        <v>6974</v>
      </c>
      <c r="D6998">
        <v>8</v>
      </c>
      <c r="AB6998">
        <v>5</v>
      </c>
    </row>
    <row r="6999" spans="1:49">
      <c r="A6999" s="3" t="s">
        <v>6975</v>
      </c>
      <c r="D6999">
        <v>8</v>
      </c>
      <c r="AB6999">
        <v>5</v>
      </c>
    </row>
    <row r="7000" spans="1:49">
      <c r="A7000" s="3" t="s">
        <v>6976</v>
      </c>
      <c r="D7000">
        <v>8</v>
      </c>
      <c r="AB7000">
        <v>5</v>
      </c>
    </row>
    <row r="7001" spans="1:49">
      <c r="A7001" s="3" t="s">
        <v>6977</v>
      </c>
      <c r="D7001">
        <v>8</v>
      </c>
      <c r="AB7001">
        <v>5</v>
      </c>
    </row>
    <row r="7002" spans="1:49">
      <c r="A7002" s="3" t="s">
        <v>6978</v>
      </c>
      <c r="D7002">
        <v>8</v>
      </c>
      <c r="AB7002">
        <v>5</v>
      </c>
    </row>
    <row r="7003" spans="1:49">
      <c r="A7003" s="3" t="s">
        <v>6979</v>
      </c>
      <c r="D7003">
        <v>8</v>
      </c>
      <c r="AB7003">
        <v>5</v>
      </c>
    </row>
    <row r="7004" spans="1:49">
      <c r="A7004" s="3" t="s">
        <v>6980</v>
      </c>
      <c r="D7004">
        <v>8</v>
      </c>
      <c r="AW7004">
        <v>58</v>
      </c>
    </row>
    <row r="7005" spans="1:49">
      <c r="A7005" s="3" t="s">
        <v>6981</v>
      </c>
      <c r="D7005">
        <v>8</v>
      </c>
      <c r="AW7005">
        <v>58</v>
      </c>
    </row>
    <row r="7006" spans="1:49">
      <c r="A7006" s="3" t="s">
        <v>6982</v>
      </c>
      <c r="D7006">
        <v>8</v>
      </c>
      <c r="AW7006">
        <v>58</v>
      </c>
    </row>
    <row r="7007" spans="1:49">
      <c r="A7007" s="3" t="s">
        <v>6983</v>
      </c>
      <c r="D7007">
        <v>8</v>
      </c>
      <c r="J7007">
        <v>104</v>
      </c>
    </row>
    <row r="7008" spans="1:49">
      <c r="A7008" s="3" t="s">
        <v>6984</v>
      </c>
      <c r="D7008">
        <v>8</v>
      </c>
      <c r="J7008">
        <v>104</v>
      </c>
    </row>
    <row r="7009" spans="1:11">
      <c r="A7009" s="3" t="s">
        <v>6985</v>
      </c>
      <c r="D7009">
        <v>8</v>
      </c>
      <c r="J7009">
        <v>104</v>
      </c>
    </row>
    <row r="7010" spans="1:11">
      <c r="A7010" s="3" t="s">
        <v>6986</v>
      </c>
      <c r="D7010">
        <v>8</v>
      </c>
      <c r="J7010">
        <v>104</v>
      </c>
    </row>
    <row r="7011" spans="1:11">
      <c r="A7011" s="3" t="s">
        <v>6987</v>
      </c>
      <c r="D7011">
        <v>8</v>
      </c>
      <c r="J7011">
        <v>104</v>
      </c>
    </row>
    <row r="7012" spans="1:11">
      <c r="A7012" s="3" t="s">
        <v>6988</v>
      </c>
      <c r="D7012">
        <v>8</v>
      </c>
      <c r="J7012">
        <v>104</v>
      </c>
    </row>
    <row r="7013" spans="1:11">
      <c r="A7013" s="3" t="s">
        <v>6989</v>
      </c>
      <c r="D7013">
        <v>8</v>
      </c>
      <c r="J7013">
        <v>104</v>
      </c>
    </row>
    <row r="7014" spans="1:11">
      <c r="A7014" s="3" t="s">
        <v>6990</v>
      </c>
      <c r="D7014">
        <v>8</v>
      </c>
      <c r="J7014">
        <v>104</v>
      </c>
    </row>
    <row r="7015" spans="1:11">
      <c r="A7015" s="3" t="s">
        <v>6991</v>
      </c>
      <c r="D7015">
        <v>8</v>
      </c>
      <c r="K7015">
        <v>14</v>
      </c>
    </row>
    <row r="7016" spans="1:11">
      <c r="A7016" s="3" t="s">
        <v>6992</v>
      </c>
      <c r="D7016">
        <v>8</v>
      </c>
      <c r="K7016">
        <v>14</v>
      </c>
    </row>
    <row r="7017" spans="1:11">
      <c r="A7017" s="3" t="s">
        <v>6993</v>
      </c>
      <c r="D7017">
        <v>8</v>
      </c>
      <c r="K7017">
        <v>14</v>
      </c>
    </row>
    <row r="7018" spans="1:11">
      <c r="A7018" s="3" t="s">
        <v>6994</v>
      </c>
      <c r="D7018">
        <v>8</v>
      </c>
      <c r="K7018">
        <v>14</v>
      </c>
    </row>
    <row r="7019" spans="1:11">
      <c r="A7019" s="3" t="s">
        <v>6995</v>
      </c>
      <c r="D7019">
        <v>8</v>
      </c>
      <c r="K7019">
        <v>14</v>
      </c>
    </row>
    <row r="7020" spans="1:11">
      <c r="A7020" s="3" t="s">
        <v>6996</v>
      </c>
      <c r="D7020">
        <v>8</v>
      </c>
      <c r="K7020">
        <v>14</v>
      </c>
    </row>
    <row r="7021" spans="1:11">
      <c r="A7021" s="3" t="s">
        <v>6997</v>
      </c>
      <c r="D7021">
        <v>8</v>
      </c>
      <c r="K7021">
        <v>14</v>
      </c>
    </row>
    <row r="7022" spans="1:11">
      <c r="A7022" s="3" t="s">
        <v>6998</v>
      </c>
      <c r="D7022">
        <v>8</v>
      </c>
      <c r="K7022">
        <v>14</v>
      </c>
    </row>
    <row r="7023" spans="1:11">
      <c r="A7023" s="3" t="s">
        <v>6999</v>
      </c>
      <c r="D7023">
        <v>8</v>
      </c>
      <c r="K7023">
        <v>14</v>
      </c>
    </row>
    <row r="7024" spans="1:11">
      <c r="A7024" s="3" t="s">
        <v>7000</v>
      </c>
      <c r="D7024">
        <v>8</v>
      </c>
      <c r="K7024">
        <v>14</v>
      </c>
    </row>
    <row r="7025" spans="1:11">
      <c r="A7025" s="3" t="s">
        <v>7001</v>
      </c>
      <c r="D7025">
        <v>8</v>
      </c>
      <c r="K7025">
        <v>14</v>
      </c>
    </row>
    <row r="7026" spans="1:11">
      <c r="A7026" s="3" t="s">
        <v>7002</v>
      </c>
      <c r="D7026">
        <v>8</v>
      </c>
      <c r="K7026">
        <v>14</v>
      </c>
    </row>
    <row r="7027" spans="1:11">
      <c r="A7027" s="3" t="s">
        <v>7003</v>
      </c>
      <c r="D7027">
        <v>8</v>
      </c>
      <c r="K7027">
        <v>14</v>
      </c>
    </row>
    <row r="7028" spans="1:11">
      <c r="A7028" s="3" t="s">
        <v>7004</v>
      </c>
      <c r="D7028">
        <v>8</v>
      </c>
      <c r="K7028">
        <v>14</v>
      </c>
    </row>
    <row r="7029" spans="1:11">
      <c r="A7029" s="3" t="s">
        <v>7005</v>
      </c>
      <c r="D7029">
        <v>8</v>
      </c>
      <c r="K7029">
        <v>14</v>
      </c>
    </row>
    <row r="7030" spans="1:11">
      <c r="A7030" s="3" t="s">
        <v>7006</v>
      </c>
      <c r="D7030">
        <v>8</v>
      </c>
      <c r="K7030">
        <v>14</v>
      </c>
    </row>
    <row r="7031" spans="1:11">
      <c r="A7031" s="3" t="s">
        <v>7007</v>
      </c>
      <c r="D7031">
        <v>8</v>
      </c>
      <c r="K7031">
        <v>14</v>
      </c>
    </row>
    <row r="7032" spans="1:11">
      <c r="A7032" s="3" t="s">
        <v>7008</v>
      </c>
      <c r="D7032">
        <v>8</v>
      </c>
      <c r="K7032">
        <v>14</v>
      </c>
    </row>
    <row r="7033" spans="1:11">
      <c r="A7033" s="3" t="s">
        <v>7009</v>
      </c>
      <c r="D7033">
        <v>8</v>
      </c>
      <c r="K7033">
        <v>14</v>
      </c>
    </row>
    <row r="7034" spans="1:11">
      <c r="A7034" s="3" t="s">
        <v>7010</v>
      </c>
      <c r="D7034">
        <v>8</v>
      </c>
      <c r="K7034">
        <v>14</v>
      </c>
    </row>
    <row r="7035" spans="1:11">
      <c r="A7035" s="3" t="s">
        <v>7011</v>
      </c>
      <c r="D7035">
        <v>8</v>
      </c>
      <c r="K7035">
        <v>14</v>
      </c>
    </row>
    <row r="7036" spans="1:11">
      <c r="A7036" s="3" t="s">
        <v>7012</v>
      </c>
      <c r="D7036">
        <v>8</v>
      </c>
      <c r="K7036">
        <v>14</v>
      </c>
    </row>
    <row r="7037" spans="1:11">
      <c r="A7037" s="3" t="s">
        <v>7013</v>
      </c>
      <c r="D7037">
        <v>8</v>
      </c>
      <c r="H7037">
        <v>3</v>
      </c>
      <c r="K7037">
        <v>14</v>
      </c>
    </row>
    <row r="7038" spans="1:11">
      <c r="A7038" s="3" t="s">
        <v>7014</v>
      </c>
      <c r="D7038">
        <v>8</v>
      </c>
      <c r="H7038">
        <v>3</v>
      </c>
      <c r="K7038">
        <v>14</v>
      </c>
    </row>
    <row r="7039" spans="1:11">
      <c r="A7039" s="3" t="s">
        <v>7015</v>
      </c>
      <c r="D7039">
        <v>8</v>
      </c>
      <c r="H7039">
        <v>3</v>
      </c>
      <c r="K7039">
        <v>14</v>
      </c>
    </row>
    <row r="7040" spans="1:11">
      <c r="A7040" s="3" t="s">
        <v>7016</v>
      </c>
      <c r="D7040">
        <v>8</v>
      </c>
      <c r="H7040">
        <v>3</v>
      </c>
      <c r="K7040">
        <v>14</v>
      </c>
    </row>
    <row r="7041" spans="1:49">
      <c r="A7041" s="3" t="s">
        <v>7017</v>
      </c>
      <c r="D7041">
        <v>8</v>
      </c>
      <c r="H7041">
        <v>3</v>
      </c>
      <c r="K7041">
        <v>14</v>
      </c>
    </row>
    <row r="7042" spans="1:49">
      <c r="A7042" s="3" t="s">
        <v>7018</v>
      </c>
      <c r="D7042">
        <v>8</v>
      </c>
      <c r="H7042">
        <v>3</v>
      </c>
      <c r="K7042">
        <v>14</v>
      </c>
    </row>
    <row r="7043" spans="1:49">
      <c r="A7043" s="3" t="s">
        <v>7019</v>
      </c>
      <c r="D7043">
        <v>8</v>
      </c>
      <c r="H7043">
        <v>3</v>
      </c>
      <c r="K7043">
        <v>14</v>
      </c>
    </row>
    <row r="7044" spans="1:49">
      <c r="A7044" s="3" t="s">
        <v>7020</v>
      </c>
      <c r="D7044">
        <v>8</v>
      </c>
      <c r="H7044">
        <v>3</v>
      </c>
      <c r="K7044">
        <v>14</v>
      </c>
    </row>
    <row r="7045" spans="1:49">
      <c r="A7045" s="3" t="s">
        <v>7021</v>
      </c>
      <c r="D7045">
        <v>8</v>
      </c>
      <c r="H7045">
        <v>3</v>
      </c>
      <c r="K7045">
        <v>14</v>
      </c>
    </row>
    <row r="7046" spans="1:49">
      <c r="A7046" s="3" t="s">
        <v>7022</v>
      </c>
      <c r="D7046">
        <v>8</v>
      </c>
      <c r="H7046">
        <v>3</v>
      </c>
      <c r="K7046">
        <v>14</v>
      </c>
    </row>
    <row r="7047" spans="1:49">
      <c r="A7047" s="3" t="s">
        <v>7023</v>
      </c>
      <c r="D7047">
        <v>8</v>
      </c>
      <c r="H7047">
        <v>3</v>
      </c>
      <c r="K7047">
        <v>14</v>
      </c>
    </row>
    <row r="7048" spans="1:49">
      <c r="A7048" s="3" t="s">
        <v>7024</v>
      </c>
      <c r="D7048">
        <v>8</v>
      </c>
      <c r="H7048">
        <v>3</v>
      </c>
      <c r="K7048">
        <v>14</v>
      </c>
    </row>
    <row r="7049" spans="1:49">
      <c r="A7049" s="3" t="s">
        <v>7025</v>
      </c>
      <c r="D7049">
        <v>8</v>
      </c>
      <c r="H7049">
        <v>3</v>
      </c>
      <c r="K7049">
        <v>14</v>
      </c>
    </row>
    <row r="7050" spans="1:49">
      <c r="A7050" s="3" t="s">
        <v>7026</v>
      </c>
      <c r="D7050">
        <v>8</v>
      </c>
      <c r="H7050">
        <v>3</v>
      </c>
      <c r="K7050">
        <v>14</v>
      </c>
    </row>
    <row r="7051" spans="1:49">
      <c r="A7051" s="3" t="s">
        <v>7027</v>
      </c>
      <c r="D7051">
        <v>8</v>
      </c>
      <c r="K7051">
        <v>14</v>
      </c>
    </row>
    <row r="7052" spans="1:49">
      <c r="A7052" s="3" t="s">
        <v>7028</v>
      </c>
      <c r="D7052">
        <v>8</v>
      </c>
      <c r="K7052">
        <v>14</v>
      </c>
    </row>
    <row r="7053" spans="1:49">
      <c r="A7053" s="3" t="s">
        <v>7029</v>
      </c>
      <c r="D7053">
        <v>8</v>
      </c>
      <c r="K7053">
        <v>14</v>
      </c>
    </row>
    <row r="7054" spans="1:49">
      <c r="A7054" s="3" t="s">
        <v>7030</v>
      </c>
      <c r="D7054">
        <v>8</v>
      </c>
      <c r="AW7054">
        <v>59</v>
      </c>
    </row>
    <row r="7055" spans="1:49">
      <c r="A7055" s="3" t="s">
        <v>7031</v>
      </c>
      <c r="D7055">
        <v>8</v>
      </c>
      <c r="AW7055">
        <v>59</v>
      </c>
    </row>
    <row r="7056" spans="1:49">
      <c r="A7056" s="3" t="s">
        <v>7032</v>
      </c>
      <c r="D7056">
        <v>8</v>
      </c>
      <c r="J7056">
        <v>105</v>
      </c>
    </row>
    <row r="7057" spans="1:13">
      <c r="A7057" s="3" t="s">
        <v>7033</v>
      </c>
      <c r="C7057">
        <v>8</v>
      </c>
      <c r="D7057">
        <v>8</v>
      </c>
      <c r="J7057">
        <v>105</v>
      </c>
    </row>
    <row r="7058" spans="1:13">
      <c r="A7058" s="3" t="s">
        <v>7034</v>
      </c>
      <c r="C7058">
        <v>8</v>
      </c>
      <c r="D7058">
        <v>8</v>
      </c>
      <c r="J7058">
        <v>105</v>
      </c>
    </row>
    <row r="7059" spans="1:13">
      <c r="A7059" s="3" t="s">
        <v>7035</v>
      </c>
      <c r="C7059">
        <v>8</v>
      </c>
      <c r="D7059">
        <v>8</v>
      </c>
      <c r="J7059">
        <v>105</v>
      </c>
    </row>
    <row r="7060" spans="1:13">
      <c r="A7060" s="3" t="s">
        <v>7036</v>
      </c>
      <c r="C7060">
        <v>8</v>
      </c>
      <c r="D7060">
        <v>8</v>
      </c>
      <c r="J7060">
        <v>105</v>
      </c>
    </row>
    <row r="7061" spans="1:13">
      <c r="A7061" s="3" t="s">
        <v>7037</v>
      </c>
      <c r="C7061">
        <v>8</v>
      </c>
      <c r="D7061">
        <v>8</v>
      </c>
      <c r="M7061">
        <v>13</v>
      </c>
    </row>
    <row r="7062" spans="1:13">
      <c r="A7062" s="3" t="s">
        <v>7038</v>
      </c>
      <c r="C7062">
        <v>8</v>
      </c>
      <c r="D7062">
        <v>8</v>
      </c>
      <c r="M7062">
        <v>13</v>
      </c>
    </row>
    <row r="7063" spans="1:13">
      <c r="A7063" s="3" t="s">
        <v>7039</v>
      </c>
      <c r="C7063">
        <v>8</v>
      </c>
      <c r="D7063">
        <v>8</v>
      </c>
      <c r="M7063">
        <v>13</v>
      </c>
    </row>
    <row r="7064" spans="1:13">
      <c r="A7064" s="3" t="s">
        <v>7040</v>
      </c>
      <c r="C7064">
        <v>8</v>
      </c>
      <c r="D7064">
        <v>8</v>
      </c>
      <c r="M7064">
        <v>13</v>
      </c>
    </row>
    <row r="7065" spans="1:13">
      <c r="A7065" s="3" t="s">
        <v>7041</v>
      </c>
      <c r="C7065">
        <v>8</v>
      </c>
      <c r="D7065">
        <v>8</v>
      </c>
      <c r="M7065">
        <v>13</v>
      </c>
    </row>
    <row r="7066" spans="1:13">
      <c r="A7066" s="3" t="s">
        <v>7042</v>
      </c>
      <c r="C7066">
        <v>8</v>
      </c>
      <c r="D7066">
        <v>8</v>
      </c>
      <c r="M7066">
        <v>13</v>
      </c>
    </row>
    <row r="7067" spans="1:13">
      <c r="A7067" s="3" t="s">
        <v>7043</v>
      </c>
      <c r="C7067">
        <v>8</v>
      </c>
      <c r="D7067">
        <v>8</v>
      </c>
      <c r="M7067">
        <v>13</v>
      </c>
    </row>
    <row r="7068" spans="1:13">
      <c r="A7068" s="3" t="s">
        <v>7044</v>
      </c>
      <c r="C7068">
        <v>8</v>
      </c>
      <c r="D7068">
        <v>8</v>
      </c>
      <c r="M7068">
        <v>13</v>
      </c>
    </row>
    <row r="7069" spans="1:13">
      <c r="A7069" s="3" t="s">
        <v>7045</v>
      </c>
      <c r="C7069">
        <v>8</v>
      </c>
      <c r="D7069">
        <v>8</v>
      </c>
      <c r="M7069">
        <v>13</v>
      </c>
    </row>
    <row r="7070" spans="1:13">
      <c r="A7070" s="3" t="s">
        <v>7046</v>
      </c>
      <c r="C7070">
        <v>8</v>
      </c>
      <c r="D7070">
        <v>8</v>
      </c>
      <c r="M7070">
        <v>13</v>
      </c>
    </row>
    <row r="7071" spans="1:13">
      <c r="A7071" s="3" t="s">
        <v>7047</v>
      </c>
      <c r="C7071">
        <v>8</v>
      </c>
      <c r="D7071">
        <v>8</v>
      </c>
      <c r="M7071">
        <v>13</v>
      </c>
    </row>
    <row r="7072" spans="1:13">
      <c r="A7072" s="3" t="s">
        <v>7048</v>
      </c>
      <c r="C7072">
        <v>8</v>
      </c>
      <c r="D7072">
        <v>8</v>
      </c>
      <c r="M7072">
        <v>13</v>
      </c>
    </row>
    <row r="7073" spans="1:13">
      <c r="A7073" s="3" t="s">
        <v>7049</v>
      </c>
      <c r="C7073">
        <v>8</v>
      </c>
      <c r="D7073">
        <v>8</v>
      </c>
      <c r="M7073">
        <v>13</v>
      </c>
    </row>
    <row r="7074" spans="1:13">
      <c r="A7074" s="3" t="s">
        <v>7050</v>
      </c>
      <c r="C7074">
        <v>8</v>
      </c>
      <c r="D7074">
        <v>8</v>
      </c>
      <c r="M7074">
        <v>13</v>
      </c>
    </row>
    <row r="7075" spans="1:13">
      <c r="A7075" s="3" t="s">
        <v>7051</v>
      </c>
      <c r="C7075">
        <v>8</v>
      </c>
      <c r="D7075">
        <v>8</v>
      </c>
      <c r="M7075">
        <v>13</v>
      </c>
    </row>
    <row r="7076" spans="1:13">
      <c r="A7076" s="3" t="s">
        <v>7052</v>
      </c>
      <c r="C7076">
        <v>8</v>
      </c>
      <c r="D7076">
        <v>8</v>
      </c>
      <c r="M7076">
        <v>13</v>
      </c>
    </row>
    <row r="7077" spans="1:13">
      <c r="A7077" s="3" t="s">
        <v>7053</v>
      </c>
      <c r="C7077">
        <v>8</v>
      </c>
      <c r="D7077">
        <v>8</v>
      </c>
      <c r="M7077">
        <v>13</v>
      </c>
    </row>
    <row r="7078" spans="1:13">
      <c r="A7078" s="3" t="s">
        <v>7054</v>
      </c>
      <c r="C7078">
        <v>8</v>
      </c>
      <c r="D7078">
        <v>8</v>
      </c>
      <c r="M7078">
        <v>13</v>
      </c>
    </row>
    <row r="7079" spans="1:13">
      <c r="A7079" s="3" t="s">
        <v>7055</v>
      </c>
      <c r="C7079">
        <v>8</v>
      </c>
      <c r="D7079">
        <v>8</v>
      </c>
      <c r="M7079">
        <v>13</v>
      </c>
    </row>
    <row r="7080" spans="1:13">
      <c r="A7080" s="3" t="s">
        <v>7056</v>
      </c>
      <c r="C7080">
        <v>8</v>
      </c>
      <c r="D7080">
        <v>8</v>
      </c>
      <c r="M7080">
        <v>13</v>
      </c>
    </row>
    <row r="7081" spans="1:13">
      <c r="A7081" s="3" t="s">
        <v>7057</v>
      </c>
      <c r="C7081">
        <v>8</v>
      </c>
      <c r="D7081">
        <v>8</v>
      </c>
      <c r="M7081">
        <v>13</v>
      </c>
    </row>
    <row r="7082" spans="1:13">
      <c r="A7082" s="3" t="s">
        <v>7058</v>
      </c>
      <c r="C7082">
        <v>8</v>
      </c>
      <c r="D7082">
        <v>8</v>
      </c>
      <c r="M7082">
        <v>13</v>
      </c>
    </row>
    <row r="7083" spans="1:13">
      <c r="A7083" s="3" t="s">
        <v>7059</v>
      </c>
      <c r="C7083">
        <v>8</v>
      </c>
      <c r="D7083">
        <v>8</v>
      </c>
      <c r="M7083">
        <v>13</v>
      </c>
    </row>
    <row r="7084" spans="1:13">
      <c r="A7084" s="3" t="s">
        <v>7060</v>
      </c>
      <c r="C7084">
        <v>8</v>
      </c>
      <c r="D7084">
        <v>8</v>
      </c>
      <c r="M7084">
        <v>13</v>
      </c>
    </row>
    <row r="7085" spans="1:13">
      <c r="A7085" s="3" t="s">
        <v>7061</v>
      </c>
      <c r="C7085">
        <v>8</v>
      </c>
      <c r="D7085">
        <v>8</v>
      </c>
      <c r="M7085">
        <v>13</v>
      </c>
    </row>
    <row r="7086" spans="1:13">
      <c r="A7086" s="3" t="s">
        <v>7062</v>
      </c>
      <c r="C7086">
        <v>8</v>
      </c>
      <c r="D7086">
        <v>8</v>
      </c>
      <c r="M7086">
        <v>13</v>
      </c>
    </row>
    <row r="7087" spans="1:13">
      <c r="A7087" s="3" t="s">
        <v>7063</v>
      </c>
      <c r="C7087">
        <v>8</v>
      </c>
      <c r="D7087">
        <v>8</v>
      </c>
      <c r="M7087">
        <v>13</v>
      </c>
    </row>
    <row r="7088" spans="1:13">
      <c r="A7088" s="3" t="s">
        <v>7064</v>
      </c>
      <c r="C7088">
        <v>8</v>
      </c>
      <c r="D7088">
        <v>8</v>
      </c>
      <c r="M7088">
        <v>13</v>
      </c>
    </row>
    <row r="7089" spans="1:13">
      <c r="A7089" s="3" t="s">
        <v>7065</v>
      </c>
      <c r="C7089">
        <v>8</v>
      </c>
      <c r="D7089">
        <v>8</v>
      </c>
      <c r="M7089">
        <v>13</v>
      </c>
    </row>
    <row r="7090" spans="1:13">
      <c r="A7090" s="3" t="s">
        <v>7066</v>
      </c>
      <c r="C7090">
        <v>8</v>
      </c>
      <c r="D7090">
        <v>8</v>
      </c>
      <c r="M7090">
        <v>13</v>
      </c>
    </row>
    <row r="7091" spans="1:13">
      <c r="A7091" s="3" t="s">
        <v>7067</v>
      </c>
      <c r="C7091">
        <v>8</v>
      </c>
      <c r="D7091">
        <v>8</v>
      </c>
      <c r="M7091">
        <v>13</v>
      </c>
    </row>
    <row r="7092" spans="1:13">
      <c r="A7092" s="3" t="s">
        <v>7068</v>
      </c>
      <c r="C7092">
        <v>8</v>
      </c>
      <c r="D7092">
        <v>8</v>
      </c>
      <c r="M7092">
        <v>13</v>
      </c>
    </row>
    <row r="7093" spans="1:13">
      <c r="A7093" s="3" t="s">
        <v>7069</v>
      </c>
      <c r="C7093">
        <v>8</v>
      </c>
      <c r="D7093">
        <v>8</v>
      </c>
      <c r="M7093">
        <v>13</v>
      </c>
    </row>
    <row r="7094" spans="1:13">
      <c r="A7094" s="3" t="s">
        <v>7070</v>
      </c>
      <c r="C7094">
        <v>8</v>
      </c>
      <c r="D7094">
        <v>8</v>
      </c>
      <c r="M7094">
        <v>13</v>
      </c>
    </row>
    <row r="7095" spans="1:13">
      <c r="A7095" s="3" t="s">
        <v>7071</v>
      </c>
      <c r="C7095">
        <v>8</v>
      </c>
      <c r="D7095">
        <v>8</v>
      </c>
      <c r="M7095">
        <v>13</v>
      </c>
    </row>
    <row r="7096" spans="1:13">
      <c r="A7096" s="3" t="s">
        <v>7072</v>
      </c>
      <c r="C7096">
        <v>8</v>
      </c>
      <c r="D7096">
        <v>8</v>
      </c>
      <c r="M7096">
        <v>13</v>
      </c>
    </row>
    <row r="7097" spans="1:13">
      <c r="A7097" s="3" t="s">
        <v>7073</v>
      </c>
      <c r="C7097">
        <v>8</v>
      </c>
      <c r="D7097">
        <v>8</v>
      </c>
      <c r="M7097">
        <v>13</v>
      </c>
    </row>
    <row r="7098" spans="1:13">
      <c r="A7098" s="3" t="s">
        <v>7074</v>
      </c>
      <c r="C7098">
        <v>8</v>
      </c>
      <c r="D7098">
        <v>8</v>
      </c>
      <c r="M7098">
        <v>13</v>
      </c>
    </row>
    <row r="7099" spans="1:13">
      <c r="A7099" s="3" t="s">
        <v>7075</v>
      </c>
      <c r="C7099">
        <v>8</v>
      </c>
      <c r="D7099">
        <v>8</v>
      </c>
      <c r="M7099">
        <v>13</v>
      </c>
    </row>
    <row r="7100" spans="1:13">
      <c r="A7100" s="3" t="s">
        <v>7076</v>
      </c>
      <c r="C7100">
        <v>8</v>
      </c>
      <c r="D7100">
        <v>8</v>
      </c>
      <c r="M7100">
        <v>13</v>
      </c>
    </row>
    <row r="7101" spans="1:13">
      <c r="A7101" s="3" t="s">
        <v>7077</v>
      </c>
      <c r="C7101">
        <v>8</v>
      </c>
      <c r="D7101">
        <v>8</v>
      </c>
      <c r="M7101">
        <v>13</v>
      </c>
    </row>
    <row r="7102" spans="1:13">
      <c r="A7102" s="3" t="s">
        <v>7078</v>
      </c>
      <c r="C7102">
        <v>8</v>
      </c>
      <c r="D7102">
        <v>8</v>
      </c>
      <c r="M7102">
        <v>13</v>
      </c>
    </row>
    <row r="7103" spans="1:13">
      <c r="A7103" s="3" t="s">
        <v>7079</v>
      </c>
      <c r="C7103">
        <v>8</v>
      </c>
      <c r="D7103">
        <v>8</v>
      </c>
      <c r="M7103">
        <v>13</v>
      </c>
    </row>
    <row r="7104" spans="1:13">
      <c r="A7104" s="3" t="s">
        <v>7080</v>
      </c>
      <c r="C7104">
        <v>8</v>
      </c>
      <c r="D7104">
        <v>8</v>
      </c>
      <c r="M7104">
        <v>13</v>
      </c>
    </row>
    <row r="7105" spans="1:13">
      <c r="A7105" s="3" t="s">
        <v>7081</v>
      </c>
      <c r="C7105">
        <v>8</v>
      </c>
      <c r="D7105">
        <v>8</v>
      </c>
      <c r="M7105">
        <v>13</v>
      </c>
    </row>
    <row r="7106" spans="1:13">
      <c r="A7106" s="3" t="s">
        <v>7082</v>
      </c>
      <c r="C7106">
        <v>8</v>
      </c>
      <c r="D7106">
        <v>8</v>
      </c>
      <c r="M7106">
        <v>13</v>
      </c>
    </row>
    <row r="7107" spans="1:13">
      <c r="A7107" s="3" t="s">
        <v>7083</v>
      </c>
      <c r="C7107">
        <v>8</v>
      </c>
      <c r="D7107">
        <v>8</v>
      </c>
      <c r="M7107">
        <v>13</v>
      </c>
    </row>
    <row r="7108" spans="1:13">
      <c r="A7108" s="3" t="s">
        <v>7084</v>
      </c>
      <c r="C7108">
        <v>8</v>
      </c>
      <c r="D7108">
        <v>8</v>
      </c>
      <c r="M7108">
        <v>13</v>
      </c>
    </row>
    <row r="7109" spans="1:13">
      <c r="A7109" s="3" t="s">
        <v>7085</v>
      </c>
      <c r="C7109">
        <v>8</v>
      </c>
      <c r="D7109">
        <v>8</v>
      </c>
      <c r="M7109">
        <v>13</v>
      </c>
    </row>
    <row r="7110" spans="1:13">
      <c r="A7110" s="3" t="s">
        <v>7086</v>
      </c>
      <c r="C7110">
        <v>8</v>
      </c>
      <c r="D7110">
        <v>8</v>
      </c>
      <c r="M7110">
        <v>13</v>
      </c>
    </row>
    <row r="7111" spans="1:13">
      <c r="A7111" s="3" t="s">
        <v>7087</v>
      </c>
      <c r="C7111">
        <v>8</v>
      </c>
      <c r="D7111">
        <v>8</v>
      </c>
      <c r="M7111">
        <v>13</v>
      </c>
    </row>
    <row r="7112" spans="1:13">
      <c r="A7112" s="3" t="s">
        <v>7088</v>
      </c>
      <c r="C7112">
        <v>8</v>
      </c>
      <c r="D7112">
        <v>8</v>
      </c>
      <c r="M7112">
        <v>13</v>
      </c>
    </row>
    <row r="7113" spans="1:13">
      <c r="A7113" s="3" t="s">
        <v>7089</v>
      </c>
      <c r="C7113">
        <v>8</v>
      </c>
      <c r="D7113">
        <v>8</v>
      </c>
      <c r="M7113">
        <v>13</v>
      </c>
    </row>
    <row r="7114" spans="1:13">
      <c r="A7114" s="3" t="s">
        <v>7090</v>
      </c>
      <c r="C7114">
        <v>8</v>
      </c>
      <c r="D7114">
        <v>8</v>
      </c>
      <c r="M7114">
        <v>13</v>
      </c>
    </row>
    <row r="7115" spans="1:13">
      <c r="A7115" s="3" t="s">
        <v>7091</v>
      </c>
      <c r="C7115">
        <v>8</v>
      </c>
      <c r="D7115">
        <v>8</v>
      </c>
      <c r="M7115">
        <v>13</v>
      </c>
    </row>
    <row r="7116" spans="1:13">
      <c r="A7116" s="3" t="s">
        <v>7092</v>
      </c>
      <c r="C7116">
        <v>8</v>
      </c>
      <c r="D7116">
        <v>8</v>
      </c>
      <c r="M7116">
        <v>13</v>
      </c>
    </row>
    <row r="7117" spans="1:13">
      <c r="A7117" s="3" t="s">
        <v>7093</v>
      </c>
      <c r="C7117">
        <v>8</v>
      </c>
      <c r="D7117">
        <v>8</v>
      </c>
      <c r="M7117">
        <v>13</v>
      </c>
    </row>
    <row r="7118" spans="1:13">
      <c r="A7118" s="3" t="s">
        <v>7094</v>
      </c>
      <c r="C7118">
        <v>8</v>
      </c>
      <c r="D7118">
        <v>8</v>
      </c>
      <c r="M7118">
        <v>13</v>
      </c>
    </row>
    <row r="7119" spans="1:13">
      <c r="A7119" s="3" t="s">
        <v>7095</v>
      </c>
      <c r="C7119">
        <v>8</v>
      </c>
      <c r="D7119">
        <v>8</v>
      </c>
      <c r="M7119">
        <v>13</v>
      </c>
    </row>
    <row r="7120" spans="1:13">
      <c r="A7120" s="3" t="s">
        <v>7096</v>
      </c>
      <c r="C7120">
        <v>8</v>
      </c>
      <c r="D7120">
        <v>8</v>
      </c>
      <c r="M7120">
        <v>13</v>
      </c>
    </row>
    <row r="7121" spans="1:13">
      <c r="A7121" s="3" t="s">
        <v>7097</v>
      </c>
      <c r="C7121">
        <v>8</v>
      </c>
      <c r="D7121">
        <v>8</v>
      </c>
      <c r="M7121">
        <v>13</v>
      </c>
    </row>
    <row r="7122" spans="1:13">
      <c r="A7122" s="3" t="s">
        <v>7098</v>
      </c>
      <c r="C7122">
        <v>8</v>
      </c>
      <c r="D7122">
        <v>8</v>
      </c>
      <c r="M7122">
        <v>13</v>
      </c>
    </row>
    <row r="7123" spans="1:13">
      <c r="A7123" s="3" t="s">
        <v>7099</v>
      </c>
      <c r="C7123">
        <v>8</v>
      </c>
      <c r="D7123">
        <v>8</v>
      </c>
      <c r="M7123">
        <v>13</v>
      </c>
    </row>
    <row r="7124" spans="1:13">
      <c r="A7124" s="3" t="s">
        <v>7100</v>
      </c>
      <c r="C7124">
        <v>8</v>
      </c>
      <c r="D7124">
        <v>8</v>
      </c>
      <c r="M7124">
        <v>13</v>
      </c>
    </row>
    <row r="7125" spans="1:13">
      <c r="A7125" s="3" t="s">
        <v>7101</v>
      </c>
      <c r="C7125">
        <v>8</v>
      </c>
      <c r="D7125">
        <v>8</v>
      </c>
      <c r="M7125">
        <v>13</v>
      </c>
    </row>
    <row r="7126" spans="1:13">
      <c r="A7126" s="3" t="s">
        <v>7102</v>
      </c>
      <c r="C7126">
        <v>8</v>
      </c>
      <c r="D7126">
        <v>8</v>
      </c>
      <c r="M7126">
        <v>13</v>
      </c>
    </row>
    <row r="7127" spans="1:13">
      <c r="A7127" s="3" t="s">
        <v>7103</v>
      </c>
      <c r="C7127">
        <v>8</v>
      </c>
      <c r="D7127">
        <v>8</v>
      </c>
      <c r="M7127">
        <v>13</v>
      </c>
    </row>
    <row r="7128" spans="1:13">
      <c r="A7128" s="3" t="s">
        <v>7104</v>
      </c>
      <c r="C7128">
        <v>8</v>
      </c>
      <c r="D7128">
        <v>8</v>
      </c>
      <c r="M7128">
        <v>13</v>
      </c>
    </row>
    <row r="7129" spans="1:13">
      <c r="A7129" s="3" t="s">
        <v>7105</v>
      </c>
      <c r="C7129">
        <v>8</v>
      </c>
      <c r="D7129">
        <v>8</v>
      </c>
      <c r="M7129">
        <v>13</v>
      </c>
    </row>
    <row r="7130" spans="1:13">
      <c r="A7130" s="3" t="s">
        <v>7106</v>
      </c>
      <c r="C7130">
        <v>8</v>
      </c>
      <c r="D7130">
        <v>8</v>
      </c>
      <c r="M7130">
        <v>13</v>
      </c>
    </row>
    <row r="7131" spans="1:13">
      <c r="A7131" s="3" t="s">
        <v>7107</v>
      </c>
      <c r="C7131">
        <v>8</v>
      </c>
      <c r="D7131">
        <v>8</v>
      </c>
      <c r="M7131">
        <v>13</v>
      </c>
    </row>
    <row r="7132" spans="1:13">
      <c r="A7132" s="3" t="s">
        <v>7108</v>
      </c>
      <c r="C7132">
        <v>8</v>
      </c>
      <c r="D7132">
        <v>8</v>
      </c>
      <c r="M7132">
        <v>13</v>
      </c>
    </row>
    <row r="7133" spans="1:13">
      <c r="A7133" s="3" t="s">
        <v>7109</v>
      </c>
      <c r="C7133">
        <v>8</v>
      </c>
      <c r="D7133">
        <v>8</v>
      </c>
      <c r="M7133">
        <v>13</v>
      </c>
    </row>
    <row r="7134" spans="1:13">
      <c r="A7134" s="3" t="s">
        <v>7110</v>
      </c>
      <c r="C7134">
        <v>8</v>
      </c>
      <c r="D7134">
        <v>8</v>
      </c>
      <c r="M7134">
        <v>13</v>
      </c>
    </row>
    <row r="7135" spans="1:13">
      <c r="A7135" s="3" t="s">
        <v>7111</v>
      </c>
      <c r="C7135">
        <v>8</v>
      </c>
      <c r="D7135">
        <v>8</v>
      </c>
      <c r="M7135">
        <v>13</v>
      </c>
    </row>
    <row r="7136" spans="1:13">
      <c r="A7136" s="3" t="s">
        <v>7112</v>
      </c>
      <c r="C7136">
        <v>8</v>
      </c>
      <c r="D7136">
        <v>8</v>
      </c>
      <c r="M7136">
        <v>13</v>
      </c>
    </row>
    <row r="7137" spans="1:13">
      <c r="A7137" s="3" t="s">
        <v>7113</v>
      </c>
      <c r="C7137">
        <v>8</v>
      </c>
      <c r="D7137">
        <v>8</v>
      </c>
      <c r="M7137">
        <v>13</v>
      </c>
    </row>
    <row r="7138" spans="1:13">
      <c r="A7138" s="3" t="s">
        <v>7114</v>
      </c>
      <c r="C7138">
        <v>8</v>
      </c>
      <c r="D7138">
        <v>8</v>
      </c>
      <c r="M7138">
        <v>13</v>
      </c>
    </row>
    <row r="7139" spans="1:13">
      <c r="A7139" s="3" t="s">
        <v>7115</v>
      </c>
      <c r="C7139">
        <v>8</v>
      </c>
      <c r="D7139">
        <v>8</v>
      </c>
      <c r="M7139">
        <v>13</v>
      </c>
    </row>
    <row r="7140" spans="1:13">
      <c r="A7140" s="3" t="s">
        <v>7116</v>
      </c>
      <c r="C7140">
        <v>8</v>
      </c>
      <c r="D7140">
        <v>8</v>
      </c>
      <c r="M7140">
        <v>13</v>
      </c>
    </row>
    <row r="7141" spans="1:13">
      <c r="A7141" s="3" t="s">
        <v>7117</v>
      </c>
      <c r="C7141">
        <v>8</v>
      </c>
      <c r="D7141">
        <v>8</v>
      </c>
      <c r="M7141">
        <v>13</v>
      </c>
    </row>
    <row r="7142" spans="1:13">
      <c r="A7142" s="3" t="s">
        <v>7118</v>
      </c>
      <c r="C7142">
        <v>8</v>
      </c>
      <c r="D7142">
        <v>8</v>
      </c>
      <c r="M7142">
        <v>13</v>
      </c>
    </row>
    <row r="7143" spans="1:13">
      <c r="A7143" s="3" t="s">
        <v>7119</v>
      </c>
      <c r="C7143">
        <v>8</v>
      </c>
      <c r="D7143">
        <v>8</v>
      </c>
      <c r="M7143">
        <v>13</v>
      </c>
    </row>
    <row r="7144" spans="1:13">
      <c r="A7144" s="3" t="s">
        <v>7120</v>
      </c>
      <c r="C7144">
        <v>8</v>
      </c>
      <c r="D7144">
        <v>8</v>
      </c>
      <c r="M7144">
        <v>13</v>
      </c>
    </row>
    <row r="7145" spans="1:13">
      <c r="A7145" s="3" t="s">
        <v>7121</v>
      </c>
      <c r="C7145">
        <v>8</v>
      </c>
      <c r="D7145">
        <v>8</v>
      </c>
      <c r="M7145">
        <v>13</v>
      </c>
    </row>
    <row r="7146" spans="1:13">
      <c r="A7146" s="3" t="s">
        <v>7122</v>
      </c>
      <c r="C7146">
        <v>8</v>
      </c>
      <c r="D7146">
        <v>8</v>
      </c>
      <c r="M7146">
        <v>13</v>
      </c>
    </row>
    <row r="7147" spans="1:13">
      <c r="A7147" s="3" t="s">
        <v>7123</v>
      </c>
      <c r="C7147">
        <v>8</v>
      </c>
      <c r="D7147">
        <v>8</v>
      </c>
      <c r="M7147">
        <v>13</v>
      </c>
    </row>
    <row r="7148" spans="1:13">
      <c r="A7148" s="3" t="s">
        <v>7124</v>
      </c>
      <c r="C7148">
        <v>8</v>
      </c>
      <c r="D7148">
        <v>8</v>
      </c>
      <c r="M7148">
        <v>13</v>
      </c>
    </row>
    <row r="7149" spans="1:13">
      <c r="A7149" s="3" t="s">
        <v>7125</v>
      </c>
      <c r="C7149">
        <v>8</v>
      </c>
      <c r="D7149">
        <v>8</v>
      </c>
      <c r="M7149">
        <v>13</v>
      </c>
    </row>
    <row r="7150" spans="1:13">
      <c r="A7150" s="3" t="s">
        <v>7126</v>
      </c>
      <c r="C7150">
        <v>8</v>
      </c>
      <c r="D7150">
        <v>8</v>
      </c>
      <c r="M7150">
        <v>13</v>
      </c>
    </row>
    <row r="7151" spans="1:13">
      <c r="A7151" s="3" t="s">
        <v>7127</v>
      </c>
      <c r="C7151">
        <v>8</v>
      </c>
      <c r="D7151">
        <v>8</v>
      </c>
      <c r="M7151">
        <v>13</v>
      </c>
    </row>
    <row r="7152" spans="1:13">
      <c r="A7152" s="3" t="s">
        <v>7128</v>
      </c>
      <c r="C7152">
        <v>8</v>
      </c>
      <c r="D7152">
        <v>8</v>
      </c>
      <c r="M7152">
        <v>13</v>
      </c>
    </row>
    <row r="7153" spans="1:49">
      <c r="A7153" s="3" t="s">
        <v>7129</v>
      </c>
      <c r="C7153">
        <v>8</v>
      </c>
      <c r="D7153">
        <v>8</v>
      </c>
      <c r="M7153">
        <v>13</v>
      </c>
    </row>
    <row r="7154" spans="1:49">
      <c r="A7154" s="3" t="s">
        <v>7130</v>
      </c>
      <c r="C7154">
        <v>8</v>
      </c>
      <c r="D7154">
        <v>8</v>
      </c>
      <c r="M7154">
        <v>13</v>
      </c>
    </row>
    <row r="7155" spans="1:49">
      <c r="A7155" s="3" t="s">
        <v>7131</v>
      </c>
      <c r="C7155">
        <v>8</v>
      </c>
      <c r="D7155">
        <v>8</v>
      </c>
      <c r="M7155">
        <v>13</v>
      </c>
    </row>
    <row r="7156" spans="1:49">
      <c r="A7156" s="3" t="s">
        <v>7132</v>
      </c>
      <c r="C7156">
        <v>8</v>
      </c>
      <c r="D7156">
        <v>8</v>
      </c>
      <c r="M7156">
        <v>13</v>
      </c>
    </row>
    <row r="7157" spans="1:49">
      <c r="A7157" s="3" t="s">
        <v>7133</v>
      </c>
      <c r="C7157">
        <v>8</v>
      </c>
      <c r="D7157">
        <v>8</v>
      </c>
      <c r="M7157">
        <v>13</v>
      </c>
    </row>
    <row r="7158" spans="1:49">
      <c r="A7158" s="3" t="s">
        <v>7134</v>
      </c>
      <c r="C7158">
        <v>8</v>
      </c>
      <c r="D7158">
        <v>8</v>
      </c>
      <c r="M7158">
        <v>13</v>
      </c>
    </row>
    <row r="7159" spans="1:49">
      <c r="A7159" s="3" t="s">
        <v>7135</v>
      </c>
      <c r="C7159">
        <v>8</v>
      </c>
      <c r="D7159">
        <v>8</v>
      </c>
      <c r="M7159">
        <v>13</v>
      </c>
    </row>
    <row r="7160" spans="1:49">
      <c r="A7160" s="3" t="s">
        <v>7136</v>
      </c>
      <c r="C7160">
        <v>8</v>
      </c>
      <c r="D7160">
        <v>8</v>
      </c>
      <c r="M7160">
        <v>13</v>
      </c>
    </row>
    <row r="7161" spans="1:49">
      <c r="A7161" s="3" t="s">
        <v>7137</v>
      </c>
      <c r="C7161">
        <v>8</v>
      </c>
      <c r="D7161">
        <v>8</v>
      </c>
      <c r="AW7161">
        <v>60</v>
      </c>
    </row>
    <row r="7162" spans="1:49">
      <c r="A7162" s="3" t="s">
        <v>7138</v>
      </c>
      <c r="C7162">
        <v>8</v>
      </c>
      <c r="D7162">
        <v>8</v>
      </c>
      <c r="J7162">
        <v>106</v>
      </c>
    </row>
    <row r="7163" spans="1:49">
      <c r="A7163" s="3" t="s">
        <v>7139</v>
      </c>
      <c r="C7163">
        <v>8</v>
      </c>
      <c r="D7163">
        <v>8</v>
      </c>
      <c r="J7163">
        <v>106</v>
      </c>
    </row>
    <row r="7164" spans="1:49">
      <c r="A7164" s="3" t="s">
        <v>7140</v>
      </c>
      <c r="C7164">
        <v>8</v>
      </c>
      <c r="D7164">
        <v>8</v>
      </c>
      <c r="J7164">
        <v>106</v>
      </c>
    </row>
    <row r="7165" spans="1:49">
      <c r="A7165" s="3" t="s">
        <v>7141</v>
      </c>
      <c r="C7165">
        <v>8</v>
      </c>
      <c r="D7165">
        <v>8</v>
      </c>
      <c r="J7165">
        <v>106</v>
      </c>
    </row>
    <row r="7166" spans="1:49">
      <c r="A7166" s="3" t="s">
        <v>7142</v>
      </c>
      <c r="C7166">
        <v>8</v>
      </c>
      <c r="D7166">
        <v>8</v>
      </c>
      <c r="J7166">
        <v>106</v>
      </c>
    </row>
    <row r="7167" spans="1:49">
      <c r="A7167" s="3" t="s">
        <v>7143</v>
      </c>
      <c r="C7167">
        <v>8</v>
      </c>
      <c r="J7167">
        <v>106</v>
      </c>
    </row>
    <row r="7168" spans="1:49">
      <c r="A7168" s="3" t="s">
        <v>7144</v>
      </c>
      <c r="C7168">
        <v>8</v>
      </c>
      <c r="J7168">
        <v>106</v>
      </c>
    </row>
    <row r="7169" spans="1:49">
      <c r="A7169" s="3" t="s">
        <v>7145</v>
      </c>
      <c r="C7169">
        <v>8</v>
      </c>
      <c r="J7169">
        <v>106</v>
      </c>
    </row>
    <row r="7170" spans="1:49">
      <c r="A7170" s="3" t="s">
        <v>7146</v>
      </c>
      <c r="C7170">
        <v>8</v>
      </c>
      <c r="X7170">
        <v>5</v>
      </c>
    </row>
    <row r="7171" spans="1:49">
      <c r="A7171" s="3" t="s">
        <v>7147</v>
      </c>
      <c r="C7171">
        <v>8</v>
      </c>
      <c r="X7171">
        <v>5</v>
      </c>
    </row>
    <row r="7172" spans="1:49">
      <c r="A7172" s="3" t="s">
        <v>7148</v>
      </c>
      <c r="C7172">
        <v>8</v>
      </c>
      <c r="X7172">
        <v>5</v>
      </c>
    </row>
    <row r="7173" spans="1:49">
      <c r="A7173" s="3" t="s">
        <v>7149</v>
      </c>
      <c r="C7173">
        <v>8</v>
      </c>
      <c r="X7173">
        <v>5</v>
      </c>
    </row>
    <row r="7174" spans="1:49">
      <c r="A7174" s="3" t="s">
        <v>7150</v>
      </c>
      <c r="C7174">
        <v>8</v>
      </c>
      <c r="X7174">
        <v>5</v>
      </c>
    </row>
    <row r="7175" spans="1:49">
      <c r="A7175" s="3" t="s">
        <v>7151</v>
      </c>
      <c r="C7175">
        <v>8</v>
      </c>
      <c r="X7175">
        <v>5</v>
      </c>
    </row>
    <row r="7176" spans="1:49">
      <c r="A7176" s="3" t="s">
        <v>7152</v>
      </c>
      <c r="C7176">
        <v>8</v>
      </c>
      <c r="X7176">
        <v>5</v>
      </c>
    </row>
    <row r="7177" spans="1:49">
      <c r="A7177" s="3" t="s">
        <v>7153</v>
      </c>
      <c r="C7177">
        <v>8</v>
      </c>
      <c r="X7177">
        <v>5</v>
      </c>
    </row>
    <row r="7178" spans="1:49">
      <c r="A7178" s="3" t="s">
        <v>7154</v>
      </c>
      <c r="C7178">
        <v>8</v>
      </c>
      <c r="AW7178">
        <v>61</v>
      </c>
    </row>
    <row r="7179" spans="1:49">
      <c r="A7179" s="3" t="s">
        <v>7155</v>
      </c>
      <c r="C7179">
        <v>8</v>
      </c>
      <c r="AW7179">
        <v>61</v>
      </c>
    </row>
    <row r="7180" spans="1:49">
      <c r="A7180" s="3" t="s">
        <v>7156</v>
      </c>
      <c r="C7180">
        <v>8</v>
      </c>
      <c r="J7180">
        <v>107</v>
      </c>
    </row>
    <row r="7181" spans="1:49">
      <c r="A7181" s="3" t="s">
        <v>7157</v>
      </c>
      <c r="C7181">
        <v>8</v>
      </c>
      <c r="J7181">
        <v>107</v>
      </c>
    </row>
    <row r="7182" spans="1:49">
      <c r="A7182" s="3" t="s">
        <v>7158</v>
      </c>
      <c r="C7182">
        <v>8</v>
      </c>
      <c r="J7182">
        <v>107</v>
      </c>
    </row>
    <row r="7183" spans="1:49">
      <c r="A7183" s="3" t="s">
        <v>7159</v>
      </c>
      <c r="C7183">
        <v>8</v>
      </c>
      <c r="J7183">
        <v>107</v>
      </c>
    </row>
    <row r="7184" spans="1:49">
      <c r="A7184" s="3" t="s">
        <v>7160</v>
      </c>
      <c r="C7184">
        <v>8</v>
      </c>
      <c r="J7184">
        <v>107</v>
      </c>
    </row>
    <row r="7185" spans="1:10">
      <c r="A7185" s="3" t="s">
        <v>7161</v>
      </c>
      <c r="C7185">
        <v>8</v>
      </c>
      <c r="J7185">
        <v>107</v>
      </c>
    </row>
    <row r="7186" spans="1:10">
      <c r="A7186" s="3" t="s">
        <v>7162</v>
      </c>
      <c r="C7186">
        <v>8</v>
      </c>
      <c r="J7186">
        <v>107</v>
      </c>
    </row>
    <row r="7187" spans="1:10">
      <c r="A7187" s="3" t="s">
        <v>7163</v>
      </c>
      <c r="C7187">
        <v>8</v>
      </c>
      <c r="J7187">
        <v>107</v>
      </c>
    </row>
    <row r="7188" spans="1:10">
      <c r="A7188" s="3" t="s">
        <v>7164</v>
      </c>
      <c r="C7188">
        <v>8</v>
      </c>
      <c r="J7188">
        <v>107</v>
      </c>
    </row>
    <row r="7189" spans="1:10">
      <c r="A7189" s="3" t="s">
        <v>7165</v>
      </c>
      <c r="C7189">
        <v>8</v>
      </c>
      <c r="J7189">
        <v>107</v>
      </c>
    </row>
    <row r="7190" spans="1:10">
      <c r="A7190" s="3" t="s">
        <v>7166</v>
      </c>
      <c r="C7190">
        <v>8</v>
      </c>
      <c r="J7190">
        <v>107</v>
      </c>
    </row>
    <row r="7191" spans="1:10">
      <c r="A7191" s="3" t="s">
        <v>7167</v>
      </c>
      <c r="C7191">
        <v>8</v>
      </c>
      <c r="J7191">
        <v>107</v>
      </c>
    </row>
    <row r="7192" spans="1:10">
      <c r="A7192" s="3" t="s">
        <v>7168</v>
      </c>
      <c r="C7192">
        <v>8</v>
      </c>
      <c r="J7192">
        <v>107</v>
      </c>
    </row>
    <row r="7193" spans="1:10">
      <c r="A7193" s="3" t="s">
        <v>7169</v>
      </c>
      <c r="C7193">
        <v>8</v>
      </c>
      <c r="J7193">
        <v>107</v>
      </c>
    </row>
    <row r="7194" spans="1:10">
      <c r="A7194" s="3" t="s">
        <v>7170</v>
      </c>
      <c r="C7194">
        <v>8</v>
      </c>
      <c r="J7194">
        <v>107</v>
      </c>
    </row>
    <row r="7195" spans="1:10">
      <c r="A7195" s="3" t="s">
        <v>7171</v>
      </c>
      <c r="C7195">
        <v>8</v>
      </c>
      <c r="J7195">
        <v>107</v>
      </c>
    </row>
    <row r="7196" spans="1:10">
      <c r="A7196" s="3" t="s">
        <v>7172</v>
      </c>
      <c r="C7196">
        <v>8</v>
      </c>
      <c r="J7196">
        <v>107</v>
      </c>
    </row>
    <row r="7197" spans="1:10">
      <c r="A7197" s="3" t="s">
        <v>7173</v>
      </c>
      <c r="C7197">
        <v>8</v>
      </c>
      <c r="J7197">
        <v>107</v>
      </c>
    </row>
    <row r="7198" spans="1:10">
      <c r="A7198" s="3" t="s">
        <v>7174</v>
      </c>
      <c r="C7198">
        <v>8</v>
      </c>
      <c r="J7198">
        <v>107</v>
      </c>
    </row>
    <row r="7199" spans="1:10">
      <c r="A7199" s="3" t="s">
        <v>7175</v>
      </c>
      <c r="C7199">
        <v>8</v>
      </c>
      <c r="J7199">
        <v>107</v>
      </c>
    </row>
    <row r="7200" spans="1:10">
      <c r="A7200" s="3" t="s">
        <v>7176</v>
      </c>
      <c r="C7200">
        <v>8</v>
      </c>
      <c r="J7200">
        <v>107</v>
      </c>
    </row>
    <row r="7201" spans="1:10">
      <c r="A7201" s="3" t="s">
        <v>7177</v>
      </c>
      <c r="C7201">
        <v>8</v>
      </c>
      <c r="J7201">
        <v>107</v>
      </c>
    </row>
    <row r="7202" spans="1:10">
      <c r="A7202" s="3" t="s">
        <v>7178</v>
      </c>
      <c r="C7202">
        <v>8</v>
      </c>
      <c r="J7202">
        <v>107</v>
      </c>
    </row>
    <row r="7203" spans="1:10">
      <c r="A7203" s="3" t="s">
        <v>7179</v>
      </c>
      <c r="C7203">
        <v>8</v>
      </c>
      <c r="J7203">
        <v>107</v>
      </c>
    </row>
    <row r="7204" spans="1:10">
      <c r="A7204" s="3" t="s">
        <v>7180</v>
      </c>
      <c r="C7204">
        <v>8</v>
      </c>
      <c r="J7204">
        <v>107</v>
      </c>
    </row>
    <row r="7205" spans="1:10">
      <c r="A7205" s="3" t="s">
        <v>7181</v>
      </c>
      <c r="C7205">
        <v>8</v>
      </c>
      <c r="J7205">
        <v>107</v>
      </c>
    </row>
    <row r="7206" spans="1:10">
      <c r="A7206" s="3" t="s">
        <v>7182</v>
      </c>
      <c r="C7206">
        <v>8</v>
      </c>
      <c r="J7206">
        <v>107</v>
      </c>
    </row>
    <row r="7207" spans="1:10">
      <c r="A7207" s="3" t="s">
        <v>7183</v>
      </c>
      <c r="C7207">
        <v>8</v>
      </c>
      <c r="J7207">
        <v>107</v>
      </c>
    </row>
    <row r="7208" spans="1:10">
      <c r="A7208" s="3" t="s">
        <v>7184</v>
      </c>
      <c r="C7208">
        <v>8</v>
      </c>
      <c r="J7208">
        <v>107</v>
      </c>
    </row>
    <row r="7209" spans="1:10">
      <c r="A7209" s="3" t="s">
        <v>7185</v>
      </c>
      <c r="C7209">
        <v>8</v>
      </c>
      <c r="J7209">
        <v>107</v>
      </c>
    </row>
    <row r="7210" spans="1:10">
      <c r="A7210" s="3" t="s">
        <v>7186</v>
      </c>
      <c r="C7210">
        <v>8</v>
      </c>
      <c r="J7210">
        <v>107</v>
      </c>
    </row>
    <row r="7211" spans="1:10">
      <c r="A7211" s="3" t="s">
        <v>7187</v>
      </c>
      <c r="C7211">
        <v>8</v>
      </c>
      <c r="J7211">
        <v>107</v>
      </c>
    </row>
    <row r="7212" spans="1:10">
      <c r="A7212" s="3" t="s">
        <v>7188</v>
      </c>
      <c r="C7212">
        <v>8</v>
      </c>
      <c r="J7212">
        <v>107</v>
      </c>
    </row>
    <row r="7213" spans="1:10">
      <c r="A7213" s="3" t="s">
        <v>7189</v>
      </c>
      <c r="C7213">
        <v>8</v>
      </c>
      <c r="J7213">
        <v>107</v>
      </c>
    </row>
    <row r="7214" spans="1:10">
      <c r="A7214" s="3" t="s">
        <v>7190</v>
      </c>
      <c r="C7214">
        <v>8</v>
      </c>
      <c r="J7214">
        <v>107</v>
      </c>
    </row>
    <row r="7215" spans="1:10">
      <c r="A7215" s="3" t="s">
        <v>7191</v>
      </c>
      <c r="C7215">
        <v>8</v>
      </c>
      <c r="J7215">
        <v>107</v>
      </c>
    </row>
    <row r="7216" spans="1:10">
      <c r="A7216" s="3" t="s">
        <v>7192</v>
      </c>
      <c r="C7216">
        <v>8</v>
      </c>
      <c r="J7216">
        <v>107</v>
      </c>
    </row>
    <row r="7217" spans="1:10">
      <c r="A7217" s="3" t="s">
        <v>7193</v>
      </c>
      <c r="C7217">
        <v>8</v>
      </c>
      <c r="J7217">
        <v>107</v>
      </c>
    </row>
    <row r="7218" spans="1:10">
      <c r="A7218" s="3" t="s">
        <v>7194</v>
      </c>
      <c r="C7218">
        <v>8</v>
      </c>
      <c r="J7218">
        <v>107</v>
      </c>
    </row>
    <row r="7219" spans="1:10">
      <c r="A7219" s="3" t="s">
        <v>7195</v>
      </c>
      <c r="C7219">
        <v>8</v>
      </c>
      <c r="J7219">
        <v>107</v>
      </c>
    </row>
    <row r="7220" spans="1:10">
      <c r="A7220" s="3" t="s">
        <v>7196</v>
      </c>
      <c r="C7220">
        <v>8</v>
      </c>
      <c r="J7220">
        <v>107</v>
      </c>
    </row>
    <row r="7221" spans="1:10">
      <c r="A7221" s="3" t="s">
        <v>7197</v>
      </c>
      <c r="C7221">
        <v>8</v>
      </c>
      <c r="J7221">
        <v>107</v>
      </c>
    </row>
    <row r="7222" spans="1:10">
      <c r="A7222" s="3" t="s">
        <v>7198</v>
      </c>
      <c r="C7222">
        <v>8</v>
      </c>
      <c r="J7222">
        <v>107</v>
      </c>
    </row>
    <row r="7223" spans="1:10">
      <c r="A7223" s="3" t="s">
        <v>7199</v>
      </c>
      <c r="C7223">
        <v>8</v>
      </c>
      <c r="J7223">
        <v>107</v>
      </c>
    </row>
    <row r="7224" spans="1:10">
      <c r="A7224" s="3" t="s">
        <v>7200</v>
      </c>
      <c r="C7224">
        <v>8</v>
      </c>
      <c r="J7224">
        <v>107</v>
      </c>
    </row>
    <row r="7225" spans="1:10">
      <c r="A7225" s="3" t="s">
        <v>7201</v>
      </c>
      <c r="C7225">
        <v>8</v>
      </c>
      <c r="J7225">
        <v>107</v>
      </c>
    </row>
    <row r="7226" spans="1:10">
      <c r="A7226" s="3" t="s">
        <v>7202</v>
      </c>
      <c r="C7226">
        <v>8</v>
      </c>
      <c r="J7226">
        <v>107</v>
      </c>
    </row>
    <row r="7227" spans="1:10">
      <c r="A7227" s="3" t="s">
        <v>7203</v>
      </c>
      <c r="C7227">
        <v>8</v>
      </c>
      <c r="J7227">
        <v>107</v>
      </c>
    </row>
    <row r="7228" spans="1:10">
      <c r="A7228" s="3" t="s">
        <v>7204</v>
      </c>
      <c r="C7228">
        <v>8</v>
      </c>
      <c r="J7228">
        <v>107</v>
      </c>
    </row>
    <row r="7229" spans="1:10">
      <c r="A7229" s="3" t="s">
        <v>7205</v>
      </c>
      <c r="C7229">
        <v>8</v>
      </c>
      <c r="J7229">
        <v>107</v>
      </c>
    </row>
    <row r="7230" spans="1:10">
      <c r="A7230" s="3" t="s">
        <v>7206</v>
      </c>
      <c r="C7230">
        <v>8</v>
      </c>
      <c r="J7230">
        <v>107</v>
      </c>
    </row>
    <row r="7231" spans="1:10">
      <c r="A7231" s="3" t="s">
        <v>7207</v>
      </c>
      <c r="C7231">
        <v>8</v>
      </c>
      <c r="J7231">
        <v>107</v>
      </c>
    </row>
    <row r="7232" spans="1:10">
      <c r="A7232" s="3" t="s">
        <v>7208</v>
      </c>
      <c r="C7232">
        <v>8</v>
      </c>
      <c r="J7232">
        <v>107</v>
      </c>
    </row>
    <row r="7233" spans="1:10">
      <c r="A7233" s="3" t="s">
        <v>7209</v>
      </c>
      <c r="C7233">
        <v>8</v>
      </c>
      <c r="J7233">
        <v>107</v>
      </c>
    </row>
    <row r="7234" spans="1:10">
      <c r="A7234" s="3" t="s">
        <v>7210</v>
      </c>
      <c r="C7234">
        <v>8</v>
      </c>
      <c r="J7234">
        <v>107</v>
      </c>
    </row>
    <row r="7235" spans="1:10">
      <c r="A7235" s="3" t="s">
        <v>7211</v>
      </c>
      <c r="C7235">
        <v>8</v>
      </c>
      <c r="J7235">
        <v>107</v>
      </c>
    </row>
    <row r="7236" spans="1:10">
      <c r="A7236" s="3" t="s">
        <v>7212</v>
      </c>
      <c r="C7236">
        <v>8</v>
      </c>
      <c r="J7236">
        <v>107</v>
      </c>
    </row>
    <row r="7237" spans="1:10">
      <c r="A7237" s="3" t="s">
        <v>7213</v>
      </c>
      <c r="C7237">
        <v>8</v>
      </c>
      <c r="J7237">
        <v>107</v>
      </c>
    </row>
    <row r="7238" spans="1:10">
      <c r="A7238" s="3" t="s">
        <v>7214</v>
      </c>
      <c r="C7238">
        <v>8</v>
      </c>
      <c r="J7238">
        <v>107</v>
      </c>
    </row>
    <row r="7239" spans="1:10">
      <c r="A7239" s="3" t="s">
        <v>7215</v>
      </c>
      <c r="C7239">
        <v>8</v>
      </c>
      <c r="J7239">
        <v>107</v>
      </c>
    </row>
    <row r="7240" spans="1:10">
      <c r="A7240" s="3" t="s">
        <v>7216</v>
      </c>
      <c r="C7240">
        <v>8</v>
      </c>
      <c r="J7240">
        <v>107</v>
      </c>
    </row>
    <row r="7241" spans="1:10">
      <c r="A7241" s="3" t="s">
        <v>7217</v>
      </c>
      <c r="C7241">
        <v>8</v>
      </c>
      <c r="J7241">
        <v>107</v>
      </c>
    </row>
    <row r="7242" spans="1:10">
      <c r="A7242" s="3" t="s">
        <v>7218</v>
      </c>
      <c r="C7242">
        <v>8</v>
      </c>
      <c r="J7242">
        <v>107</v>
      </c>
    </row>
    <row r="7243" spans="1:10">
      <c r="A7243" s="3" t="s">
        <v>7219</v>
      </c>
      <c r="C7243">
        <v>8</v>
      </c>
      <c r="J7243">
        <v>107</v>
      </c>
    </row>
    <row r="7244" spans="1:10">
      <c r="A7244" s="3" t="s">
        <v>7220</v>
      </c>
      <c r="C7244">
        <v>8</v>
      </c>
      <c r="J7244">
        <v>107</v>
      </c>
    </row>
    <row r="7245" spans="1:10">
      <c r="A7245" s="3" t="s">
        <v>7221</v>
      </c>
      <c r="C7245">
        <v>8</v>
      </c>
      <c r="J7245">
        <v>107</v>
      </c>
    </row>
    <row r="7246" spans="1:10">
      <c r="A7246" s="3" t="s">
        <v>7222</v>
      </c>
      <c r="C7246">
        <v>8</v>
      </c>
      <c r="J7246">
        <v>107</v>
      </c>
    </row>
    <row r="7247" spans="1:10">
      <c r="A7247" s="3" t="s">
        <v>7223</v>
      </c>
      <c r="C7247">
        <v>8</v>
      </c>
      <c r="J7247">
        <v>107</v>
      </c>
    </row>
    <row r="7248" spans="1:10">
      <c r="A7248" s="3" t="s">
        <v>7224</v>
      </c>
      <c r="C7248">
        <v>8</v>
      </c>
      <c r="J7248">
        <v>107</v>
      </c>
    </row>
    <row r="7249" spans="1:46">
      <c r="A7249" s="3" t="s">
        <v>7225</v>
      </c>
      <c r="C7249">
        <v>8</v>
      </c>
      <c r="J7249">
        <v>107</v>
      </c>
    </row>
    <row r="7250" spans="1:46">
      <c r="A7250" s="3" t="s">
        <v>7226</v>
      </c>
      <c r="C7250">
        <v>8</v>
      </c>
      <c r="J7250">
        <v>107</v>
      </c>
    </row>
    <row r="7251" spans="1:46">
      <c r="A7251" s="3" t="s">
        <v>7227</v>
      </c>
      <c r="C7251">
        <v>8</v>
      </c>
      <c r="J7251">
        <v>107</v>
      </c>
    </row>
    <row r="7252" spans="1:46">
      <c r="A7252" s="3" t="s">
        <v>7228</v>
      </c>
      <c r="C7252">
        <v>8</v>
      </c>
      <c r="J7252">
        <v>107</v>
      </c>
    </row>
    <row r="7253" spans="1:46">
      <c r="A7253" s="3" t="s">
        <v>7229</v>
      </c>
      <c r="C7253">
        <v>8</v>
      </c>
      <c r="J7253">
        <v>107</v>
      </c>
    </row>
    <row r="7254" spans="1:46">
      <c r="A7254" s="3" t="s">
        <v>7230</v>
      </c>
      <c r="B7254">
        <v>9</v>
      </c>
      <c r="C7254">
        <v>8</v>
      </c>
      <c r="J7254">
        <v>107</v>
      </c>
    </row>
    <row r="7255" spans="1:46">
      <c r="A7255" s="3" t="s">
        <v>7231</v>
      </c>
      <c r="B7255">
        <v>9</v>
      </c>
      <c r="C7255">
        <v>8</v>
      </c>
      <c r="J7255">
        <v>107</v>
      </c>
    </row>
    <row r="7256" spans="1:46">
      <c r="A7256" s="3" t="s">
        <v>7232</v>
      </c>
      <c r="B7256">
        <v>9</v>
      </c>
      <c r="C7256">
        <v>8</v>
      </c>
      <c r="J7256">
        <v>107</v>
      </c>
    </row>
    <row r="7257" spans="1:46">
      <c r="A7257" s="3" t="s">
        <v>7233</v>
      </c>
      <c r="B7257">
        <v>9</v>
      </c>
      <c r="C7257">
        <v>8</v>
      </c>
      <c r="AT7257">
        <v>14</v>
      </c>
    </row>
    <row r="7258" spans="1:46">
      <c r="A7258" s="3" t="s">
        <v>7234</v>
      </c>
      <c r="B7258">
        <v>9</v>
      </c>
      <c r="C7258">
        <v>8</v>
      </c>
      <c r="AT7258">
        <v>14</v>
      </c>
    </row>
    <row r="7259" spans="1:46">
      <c r="A7259" s="3" t="s">
        <v>7235</v>
      </c>
      <c r="B7259">
        <v>9</v>
      </c>
      <c r="C7259">
        <v>8</v>
      </c>
      <c r="AT7259">
        <v>14</v>
      </c>
    </row>
    <row r="7260" spans="1:46">
      <c r="A7260" s="3" t="s">
        <v>7236</v>
      </c>
      <c r="B7260">
        <v>9</v>
      </c>
      <c r="C7260">
        <v>8</v>
      </c>
      <c r="AT7260">
        <v>14</v>
      </c>
    </row>
    <row r="7261" spans="1:46">
      <c r="A7261" s="3" t="s">
        <v>7237</v>
      </c>
      <c r="B7261">
        <v>9</v>
      </c>
      <c r="C7261">
        <v>8</v>
      </c>
      <c r="AT7261">
        <v>14</v>
      </c>
    </row>
    <row r="7262" spans="1:46">
      <c r="A7262" s="3" t="s">
        <v>7238</v>
      </c>
      <c r="B7262">
        <v>9</v>
      </c>
      <c r="C7262">
        <v>8</v>
      </c>
      <c r="AT7262">
        <v>14</v>
      </c>
    </row>
    <row r="7263" spans="1:46">
      <c r="A7263" s="3" t="s">
        <v>7239</v>
      </c>
      <c r="B7263">
        <v>9</v>
      </c>
      <c r="C7263">
        <v>8</v>
      </c>
      <c r="AT7263">
        <v>14</v>
      </c>
    </row>
    <row r="7264" spans="1:46">
      <c r="A7264" s="3" t="s">
        <v>7240</v>
      </c>
      <c r="B7264">
        <v>9</v>
      </c>
      <c r="C7264">
        <v>8</v>
      </c>
      <c r="AT7264">
        <v>14</v>
      </c>
    </row>
    <row r="7265" spans="1:46">
      <c r="A7265" s="3" t="s">
        <v>7241</v>
      </c>
      <c r="B7265">
        <v>9</v>
      </c>
      <c r="C7265">
        <v>8</v>
      </c>
      <c r="AT7265">
        <v>14</v>
      </c>
    </row>
    <row r="7266" spans="1:46">
      <c r="A7266" s="3" t="s">
        <v>7242</v>
      </c>
      <c r="B7266">
        <v>9</v>
      </c>
      <c r="C7266">
        <v>8</v>
      </c>
      <c r="AT7266">
        <v>14</v>
      </c>
    </row>
    <row r="7267" spans="1:46">
      <c r="A7267" s="3" t="s">
        <v>7243</v>
      </c>
      <c r="B7267">
        <v>9</v>
      </c>
      <c r="C7267">
        <v>8</v>
      </c>
      <c r="AT7267">
        <v>14</v>
      </c>
    </row>
    <row r="7268" spans="1:46">
      <c r="A7268" s="3" t="s">
        <v>7244</v>
      </c>
      <c r="B7268">
        <v>9</v>
      </c>
      <c r="C7268">
        <v>8</v>
      </c>
      <c r="M7268">
        <v>14</v>
      </c>
    </row>
    <row r="7269" spans="1:46">
      <c r="A7269" s="3" t="s">
        <v>7245</v>
      </c>
      <c r="B7269">
        <v>9</v>
      </c>
      <c r="C7269">
        <v>8</v>
      </c>
      <c r="M7269">
        <v>14</v>
      </c>
    </row>
    <row r="7270" spans="1:46">
      <c r="A7270" s="3" t="s">
        <v>7246</v>
      </c>
      <c r="B7270">
        <v>9</v>
      </c>
      <c r="C7270">
        <v>8</v>
      </c>
      <c r="M7270">
        <v>14</v>
      </c>
    </row>
    <row r="7271" spans="1:46">
      <c r="A7271" s="3" t="s">
        <v>7247</v>
      </c>
      <c r="B7271">
        <v>9</v>
      </c>
      <c r="C7271">
        <v>8</v>
      </c>
      <c r="M7271">
        <v>14</v>
      </c>
    </row>
    <row r="7272" spans="1:46">
      <c r="A7272" s="3" t="s">
        <v>7248</v>
      </c>
      <c r="B7272">
        <v>9</v>
      </c>
      <c r="C7272">
        <v>8</v>
      </c>
      <c r="M7272">
        <v>14</v>
      </c>
    </row>
    <row r="7273" spans="1:46">
      <c r="A7273" s="3" t="s">
        <v>7249</v>
      </c>
      <c r="B7273">
        <v>9</v>
      </c>
      <c r="C7273">
        <v>8</v>
      </c>
      <c r="M7273">
        <v>14</v>
      </c>
    </row>
    <row r="7274" spans="1:46">
      <c r="A7274" s="3" t="s">
        <v>7250</v>
      </c>
      <c r="B7274">
        <v>9</v>
      </c>
      <c r="C7274">
        <v>8</v>
      </c>
      <c r="M7274">
        <v>14</v>
      </c>
    </row>
    <row r="7275" spans="1:46">
      <c r="A7275" s="3" t="s">
        <v>7251</v>
      </c>
      <c r="B7275">
        <v>9</v>
      </c>
      <c r="C7275">
        <v>8</v>
      </c>
      <c r="M7275">
        <v>14</v>
      </c>
    </row>
    <row r="7276" spans="1:46">
      <c r="A7276" s="3" t="s">
        <v>7252</v>
      </c>
      <c r="B7276">
        <v>9</v>
      </c>
      <c r="C7276">
        <v>8</v>
      </c>
      <c r="M7276">
        <v>14</v>
      </c>
    </row>
    <row r="7277" spans="1:46">
      <c r="A7277" s="3" t="s">
        <v>7253</v>
      </c>
      <c r="B7277">
        <v>9</v>
      </c>
      <c r="C7277">
        <v>8</v>
      </c>
      <c r="M7277">
        <v>14</v>
      </c>
    </row>
    <row r="7278" spans="1:46">
      <c r="A7278" s="3" t="s">
        <v>7254</v>
      </c>
      <c r="B7278">
        <v>9</v>
      </c>
      <c r="C7278">
        <v>8</v>
      </c>
      <c r="M7278">
        <v>14</v>
      </c>
    </row>
    <row r="7279" spans="1:46">
      <c r="A7279" s="3" t="s">
        <v>7255</v>
      </c>
      <c r="B7279">
        <v>9</v>
      </c>
      <c r="C7279">
        <v>8</v>
      </c>
      <c r="M7279">
        <v>14</v>
      </c>
    </row>
    <row r="7280" spans="1:46">
      <c r="A7280" s="3" t="s">
        <v>7256</v>
      </c>
      <c r="B7280">
        <v>9</v>
      </c>
      <c r="C7280">
        <v>8</v>
      </c>
      <c r="M7280">
        <v>14</v>
      </c>
    </row>
    <row r="7281" spans="1:13">
      <c r="A7281" s="3" t="s">
        <v>7257</v>
      </c>
      <c r="B7281">
        <v>9</v>
      </c>
      <c r="C7281">
        <v>8</v>
      </c>
      <c r="M7281">
        <v>14</v>
      </c>
    </row>
    <row r="7282" spans="1:13">
      <c r="A7282" s="3" t="s">
        <v>7258</v>
      </c>
      <c r="B7282">
        <v>9</v>
      </c>
      <c r="C7282">
        <v>8</v>
      </c>
      <c r="M7282">
        <v>14</v>
      </c>
    </row>
    <row r="7283" spans="1:13">
      <c r="A7283" s="3" t="s">
        <v>7259</v>
      </c>
      <c r="B7283">
        <v>9</v>
      </c>
      <c r="C7283">
        <v>8</v>
      </c>
      <c r="M7283">
        <v>14</v>
      </c>
    </row>
    <row r="7284" spans="1:13">
      <c r="A7284" s="3" t="s">
        <v>7260</v>
      </c>
      <c r="B7284">
        <v>9</v>
      </c>
      <c r="C7284">
        <v>8</v>
      </c>
      <c r="M7284">
        <v>14</v>
      </c>
    </row>
    <row r="7285" spans="1:13">
      <c r="A7285" s="3" t="s">
        <v>7261</v>
      </c>
      <c r="B7285">
        <v>9</v>
      </c>
      <c r="C7285">
        <v>8</v>
      </c>
      <c r="M7285">
        <v>14</v>
      </c>
    </row>
    <row r="7286" spans="1:13">
      <c r="A7286" s="3" t="s">
        <v>7262</v>
      </c>
      <c r="B7286">
        <v>9</v>
      </c>
      <c r="C7286">
        <v>8</v>
      </c>
      <c r="M7286">
        <v>14</v>
      </c>
    </row>
    <row r="7287" spans="1:13">
      <c r="A7287" s="3" t="s">
        <v>7263</v>
      </c>
      <c r="B7287">
        <v>9</v>
      </c>
      <c r="C7287">
        <v>8</v>
      </c>
      <c r="M7287">
        <v>14</v>
      </c>
    </row>
    <row r="7288" spans="1:13">
      <c r="A7288" s="3" t="s">
        <v>7264</v>
      </c>
      <c r="B7288">
        <v>9</v>
      </c>
      <c r="C7288">
        <v>8</v>
      </c>
      <c r="M7288">
        <v>14</v>
      </c>
    </row>
    <row r="7289" spans="1:13">
      <c r="A7289" s="3" t="s">
        <v>7265</v>
      </c>
      <c r="B7289">
        <v>9</v>
      </c>
      <c r="C7289">
        <v>8</v>
      </c>
      <c r="M7289">
        <v>14</v>
      </c>
    </row>
    <row r="7290" spans="1:13">
      <c r="A7290" s="3" t="s">
        <v>7266</v>
      </c>
      <c r="B7290">
        <v>9</v>
      </c>
      <c r="C7290">
        <v>8</v>
      </c>
      <c r="M7290">
        <v>14</v>
      </c>
    </row>
    <row r="7291" spans="1:13">
      <c r="A7291" s="3" t="s">
        <v>7267</v>
      </c>
      <c r="B7291">
        <v>9</v>
      </c>
      <c r="C7291">
        <v>8</v>
      </c>
      <c r="M7291">
        <v>14</v>
      </c>
    </row>
    <row r="7292" spans="1:13">
      <c r="A7292" s="3" t="s">
        <v>7268</v>
      </c>
      <c r="B7292">
        <v>9</v>
      </c>
      <c r="C7292">
        <v>8</v>
      </c>
      <c r="M7292">
        <v>14</v>
      </c>
    </row>
    <row r="7293" spans="1:13">
      <c r="A7293" s="3" t="s">
        <v>7269</v>
      </c>
      <c r="B7293">
        <v>9</v>
      </c>
      <c r="C7293">
        <v>8</v>
      </c>
      <c r="M7293">
        <v>14</v>
      </c>
    </row>
    <row r="7294" spans="1:13">
      <c r="A7294" s="3" t="s">
        <v>7270</v>
      </c>
      <c r="B7294">
        <v>9</v>
      </c>
      <c r="C7294">
        <v>8</v>
      </c>
      <c r="M7294">
        <v>14</v>
      </c>
    </row>
    <row r="7295" spans="1:13">
      <c r="A7295" s="3" t="s">
        <v>7271</v>
      </c>
      <c r="B7295">
        <v>9</v>
      </c>
      <c r="C7295">
        <v>8</v>
      </c>
      <c r="M7295">
        <v>14</v>
      </c>
    </row>
    <row r="7296" spans="1:13">
      <c r="A7296" s="3" t="s">
        <v>7272</v>
      </c>
      <c r="B7296">
        <v>9</v>
      </c>
      <c r="C7296">
        <v>8</v>
      </c>
      <c r="M7296">
        <v>14</v>
      </c>
    </row>
    <row r="7297" spans="1:13">
      <c r="A7297" s="3" t="s">
        <v>7273</v>
      </c>
      <c r="B7297">
        <v>9</v>
      </c>
      <c r="C7297">
        <v>8</v>
      </c>
      <c r="M7297">
        <v>14</v>
      </c>
    </row>
    <row r="7298" spans="1:13">
      <c r="A7298" s="3" t="s">
        <v>7274</v>
      </c>
      <c r="B7298">
        <v>9</v>
      </c>
      <c r="C7298">
        <v>8</v>
      </c>
      <c r="M7298">
        <v>14</v>
      </c>
    </row>
    <row r="7299" spans="1:13">
      <c r="A7299" s="3" t="s">
        <v>7275</v>
      </c>
      <c r="B7299">
        <v>9</v>
      </c>
      <c r="C7299">
        <v>8</v>
      </c>
      <c r="M7299">
        <v>14</v>
      </c>
    </row>
    <row r="7300" spans="1:13">
      <c r="A7300" s="3" t="s">
        <v>7276</v>
      </c>
      <c r="B7300">
        <v>9</v>
      </c>
      <c r="C7300">
        <v>8</v>
      </c>
      <c r="K7300">
        <v>15</v>
      </c>
    </row>
    <row r="7301" spans="1:13">
      <c r="A7301" s="3" t="s">
        <v>7277</v>
      </c>
      <c r="B7301">
        <v>9</v>
      </c>
      <c r="C7301">
        <v>8</v>
      </c>
      <c r="K7301">
        <v>15</v>
      </c>
    </row>
    <row r="7302" spans="1:13">
      <c r="A7302" s="3" t="s">
        <v>7278</v>
      </c>
      <c r="B7302">
        <v>9</v>
      </c>
      <c r="C7302">
        <v>8</v>
      </c>
      <c r="K7302">
        <v>15</v>
      </c>
    </row>
    <row r="7303" spans="1:13">
      <c r="A7303" s="3" t="s">
        <v>7279</v>
      </c>
      <c r="B7303">
        <v>9</v>
      </c>
      <c r="C7303">
        <v>8</v>
      </c>
      <c r="K7303">
        <v>15</v>
      </c>
    </row>
    <row r="7304" spans="1:13">
      <c r="A7304" s="3" t="s">
        <v>7280</v>
      </c>
      <c r="B7304">
        <v>9</v>
      </c>
      <c r="C7304">
        <v>8</v>
      </c>
      <c r="K7304">
        <v>15</v>
      </c>
    </row>
    <row r="7305" spans="1:13">
      <c r="A7305" s="3" t="s">
        <v>7281</v>
      </c>
      <c r="B7305">
        <v>9</v>
      </c>
      <c r="C7305">
        <v>8</v>
      </c>
      <c r="K7305">
        <v>15</v>
      </c>
    </row>
    <row r="7306" spans="1:13">
      <c r="A7306" s="3" t="s">
        <v>7282</v>
      </c>
      <c r="B7306">
        <v>9</v>
      </c>
      <c r="C7306">
        <v>8</v>
      </c>
      <c r="K7306">
        <v>15</v>
      </c>
    </row>
    <row r="7307" spans="1:13">
      <c r="A7307" s="3" t="s">
        <v>7283</v>
      </c>
      <c r="B7307">
        <v>9</v>
      </c>
      <c r="C7307">
        <v>8</v>
      </c>
      <c r="K7307">
        <v>15</v>
      </c>
    </row>
    <row r="7308" spans="1:13">
      <c r="A7308" s="3" t="s">
        <v>7284</v>
      </c>
      <c r="B7308">
        <v>9</v>
      </c>
      <c r="C7308">
        <v>8</v>
      </c>
      <c r="K7308">
        <v>15</v>
      </c>
    </row>
    <row r="7309" spans="1:13">
      <c r="A7309" s="3" t="s">
        <v>7285</v>
      </c>
      <c r="B7309">
        <v>9</v>
      </c>
      <c r="C7309">
        <v>8</v>
      </c>
      <c r="K7309">
        <v>15</v>
      </c>
    </row>
    <row r="7310" spans="1:13">
      <c r="A7310" s="3" t="s">
        <v>7286</v>
      </c>
      <c r="B7310">
        <v>9</v>
      </c>
      <c r="C7310">
        <v>8</v>
      </c>
      <c r="K7310">
        <v>15</v>
      </c>
    </row>
    <row r="7311" spans="1:13">
      <c r="A7311" s="3" t="s">
        <v>7287</v>
      </c>
      <c r="B7311">
        <v>9</v>
      </c>
      <c r="C7311">
        <v>8</v>
      </c>
      <c r="K7311">
        <v>15</v>
      </c>
    </row>
    <row r="7312" spans="1:13">
      <c r="A7312" s="3" t="s">
        <v>7288</v>
      </c>
      <c r="B7312">
        <v>9</v>
      </c>
      <c r="C7312">
        <v>8</v>
      </c>
      <c r="K7312">
        <v>15</v>
      </c>
    </row>
    <row r="7313" spans="1:11">
      <c r="A7313" s="3" t="s">
        <v>7289</v>
      </c>
      <c r="B7313">
        <v>9</v>
      </c>
      <c r="C7313">
        <v>8</v>
      </c>
      <c r="K7313">
        <v>15</v>
      </c>
    </row>
    <row r="7314" spans="1:11">
      <c r="A7314" s="3" t="s">
        <v>7290</v>
      </c>
      <c r="B7314">
        <v>9</v>
      </c>
      <c r="C7314">
        <v>8</v>
      </c>
      <c r="K7314">
        <v>15</v>
      </c>
    </row>
    <row r="7315" spans="1:11">
      <c r="A7315" s="3" t="s">
        <v>7291</v>
      </c>
      <c r="B7315">
        <v>9</v>
      </c>
      <c r="C7315">
        <v>8</v>
      </c>
      <c r="K7315">
        <v>15</v>
      </c>
    </row>
    <row r="7316" spans="1:11">
      <c r="A7316" s="3" t="s">
        <v>7292</v>
      </c>
      <c r="B7316">
        <v>9</v>
      </c>
      <c r="C7316">
        <v>8</v>
      </c>
      <c r="K7316">
        <v>15</v>
      </c>
    </row>
    <row r="7317" spans="1:11">
      <c r="A7317" s="3" t="s">
        <v>7293</v>
      </c>
      <c r="B7317">
        <v>9</v>
      </c>
      <c r="C7317">
        <v>8</v>
      </c>
      <c r="K7317">
        <v>15</v>
      </c>
    </row>
    <row r="7318" spans="1:11">
      <c r="A7318" s="3" t="s">
        <v>7294</v>
      </c>
      <c r="B7318">
        <v>9</v>
      </c>
      <c r="C7318">
        <v>8</v>
      </c>
      <c r="K7318">
        <v>15</v>
      </c>
    </row>
    <row r="7319" spans="1:11">
      <c r="A7319" s="3" t="s">
        <v>7295</v>
      </c>
      <c r="B7319">
        <v>9</v>
      </c>
      <c r="C7319">
        <v>8</v>
      </c>
      <c r="K7319">
        <v>15</v>
      </c>
    </row>
    <row r="7320" spans="1:11">
      <c r="A7320" s="3" t="s">
        <v>7296</v>
      </c>
      <c r="B7320">
        <v>9</v>
      </c>
      <c r="C7320">
        <v>8</v>
      </c>
      <c r="K7320">
        <v>15</v>
      </c>
    </row>
    <row r="7321" spans="1:11">
      <c r="A7321" s="3" t="s">
        <v>7297</v>
      </c>
      <c r="B7321">
        <v>9</v>
      </c>
      <c r="C7321">
        <v>8</v>
      </c>
      <c r="K7321">
        <v>15</v>
      </c>
    </row>
    <row r="7322" spans="1:11">
      <c r="A7322" s="3" t="s">
        <v>7298</v>
      </c>
      <c r="B7322">
        <v>9</v>
      </c>
      <c r="C7322">
        <v>8</v>
      </c>
      <c r="K7322">
        <v>15</v>
      </c>
    </row>
    <row r="7323" spans="1:11">
      <c r="A7323" s="3" t="s">
        <v>7299</v>
      </c>
      <c r="B7323">
        <v>9</v>
      </c>
      <c r="C7323">
        <v>8</v>
      </c>
      <c r="K7323">
        <v>15</v>
      </c>
    </row>
    <row r="7324" spans="1:11">
      <c r="A7324" s="3" t="s">
        <v>7300</v>
      </c>
      <c r="B7324">
        <v>9</v>
      </c>
      <c r="C7324">
        <v>8</v>
      </c>
      <c r="K7324">
        <v>15</v>
      </c>
    </row>
    <row r="7325" spans="1:11">
      <c r="A7325" s="3" t="s">
        <v>7301</v>
      </c>
      <c r="B7325">
        <v>9</v>
      </c>
      <c r="C7325">
        <v>8</v>
      </c>
      <c r="K7325">
        <v>15</v>
      </c>
    </row>
    <row r="7326" spans="1:11">
      <c r="A7326" s="3" t="s">
        <v>7302</v>
      </c>
      <c r="B7326">
        <v>9</v>
      </c>
      <c r="C7326">
        <v>8</v>
      </c>
      <c r="K7326">
        <v>15</v>
      </c>
    </row>
    <row r="7327" spans="1:11">
      <c r="A7327" s="3" t="s">
        <v>7303</v>
      </c>
      <c r="B7327">
        <v>9</v>
      </c>
      <c r="C7327">
        <v>8</v>
      </c>
      <c r="K7327">
        <v>15</v>
      </c>
    </row>
    <row r="7328" spans="1:11">
      <c r="A7328" s="3" t="s">
        <v>7304</v>
      </c>
      <c r="B7328">
        <v>9</v>
      </c>
      <c r="C7328">
        <v>8</v>
      </c>
      <c r="K7328">
        <v>15</v>
      </c>
    </row>
    <row r="7329" spans="1:11">
      <c r="A7329" s="3" t="s">
        <v>7305</v>
      </c>
      <c r="B7329">
        <v>9</v>
      </c>
      <c r="C7329">
        <v>8</v>
      </c>
      <c r="K7329">
        <v>15</v>
      </c>
    </row>
    <row r="7330" spans="1:11">
      <c r="A7330" s="3" t="s">
        <v>7306</v>
      </c>
      <c r="B7330">
        <v>9</v>
      </c>
      <c r="C7330">
        <v>8</v>
      </c>
      <c r="K7330">
        <v>15</v>
      </c>
    </row>
    <row r="7331" spans="1:11">
      <c r="A7331" s="3" t="s">
        <v>7307</v>
      </c>
      <c r="B7331">
        <v>9</v>
      </c>
      <c r="C7331">
        <v>8</v>
      </c>
      <c r="K7331">
        <v>15</v>
      </c>
    </row>
    <row r="7332" spans="1:11">
      <c r="A7332" s="3" t="s">
        <v>7308</v>
      </c>
      <c r="B7332">
        <v>9</v>
      </c>
      <c r="C7332">
        <v>8</v>
      </c>
      <c r="K7332">
        <v>15</v>
      </c>
    </row>
    <row r="7333" spans="1:11">
      <c r="A7333" s="3" t="s">
        <v>7309</v>
      </c>
      <c r="B7333">
        <v>9</v>
      </c>
      <c r="C7333">
        <v>8</v>
      </c>
      <c r="K7333">
        <v>15</v>
      </c>
    </row>
    <row r="7334" spans="1:11">
      <c r="A7334" s="3" t="s">
        <v>7310</v>
      </c>
      <c r="B7334">
        <v>9</v>
      </c>
      <c r="C7334">
        <v>8</v>
      </c>
      <c r="K7334">
        <v>15</v>
      </c>
    </row>
    <row r="7335" spans="1:11">
      <c r="A7335" s="3" t="s">
        <v>7311</v>
      </c>
      <c r="B7335">
        <v>9</v>
      </c>
      <c r="C7335">
        <v>8</v>
      </c>
      <c r="K7335">
        <v>15</v>
      </c>
    </row>
    <row r="7336" spans="1:11">
      <c r="A7336" s="3" t="s">
        <v>7312</v>
      </c>
      <c r="B7336">
        <v>9</v>
      </c>
      <c r="C7336">
        <v>8</v>
      </c>
      <c r="K7336">
        <v>15</v>
      </c>
    </row>
    <row r="7337" spans="1:11">
      <c r="A7337" s="3" t="s">
        <v>7313</v>
      </c>
      <c r="B7337">
        <v>9</v>
      </c>
      <c r="C7337">
        <v>8</v>
      </c>
      <c r="K7337">
        <v>15</v>
      </c>
    </row>
    <row r="7338" spans="1:11">
      <c r="A7338" s="3" t="s">
        <v>7314</v>
      </c>
      <c r="B7338">
        <v>9</v>
      </c>
      <c r="C7338">
        <v>8</v>
      </c>
      <c r="K7338">
        <v>15</v>
      </c>
    </row>
    <row r="7339" spans="1:11">
      <c r="A7339" s="3" t="s">
        <v>7315</v>
      </c>
      <c r="B7339">
        <v>9</v>
      </c>
      <c r="C7339">
        <v>8</v>
      </c>
      <c r="K7339">
        <v>15</v>
      </c>
    </row>
    <row r="7340" spans="1:11">
      <c r="A7340" s="3" t="s">
        <v>7316</v>
      </c>
      <c r="B7340">
        <v>9</v>
      </c>
      <c r="C7340">
        <v>8</v>
      </c>
      <c r="K7340">
        <v>15</v>
      </c>
    </row>
    <row r="7341" spans="1:11">
      <c r="A7341" s="3" t="s">
        <v>7317</v>
      </c>
      <c r="B7341">
        <v>9</v>
      </c>
      <c r="C7341">
        <v>8</v>
      </c>
      <c r="K7341">
        <v>15</v>
      </c>
    </row>
    <row r="7342" spans="1:11">
      <c r="A7342" s="3" t="s">
        <v>7318</v>
      </c>
      <c r="B7342">
        <v>9</v>
      </c>
      <c r="C7342">
        <v>8</v>
      </c>
      <c r="K7342">
        <v>15</v>
      </c>
    </row>
    <row r="7343" spans="1:11">
      <c r="A7343" s="3" t="s">
        <v>7319</v>
      </c>
      <c r="B7343">
        <v>9</v>
      </c>
      <c r="C7343">
        <v>8</v>
      </c>
      <c r="K7343">
        <v>15</v>
      </c>
    </row>
    <row r="7344" spans="1:11">
      <c r="A7344" s="3" t="s">
        <v>7320</v>
      </c>
      <c r="B7344">
        <v>9</v>
      </c>
      <c r="C7344">
        <v>8</v>
      </c>
      <c r="K7344">
        <v>15</v>
      </c>
    </row>
    <row r="7345" spans="1:11">
      <c r="A7345" s="3" t="s">
        <v>7321</v>
      </c>
      <c r="B7345">
        <v>9</v>
      </c>
      <c r="C7345">
        <v>8</v>
      </c>
      <c r="K7345">
        <v>15</v>
      </c>
    </row>
    <row r="7346" spans="1:11">
      <c r="A7346" s="3" t="s">
        <v>7322</v>
      </c>
      <c r="B7346">
        <v>9</v>
      </c>
      <c r="C7346">
        <v>8</v>
      </c>
      <c r="K7346">
        <v>15</v>
      </c>
    </row>
    <row r="7347" spans="1:11">
      <c r="A7347" s="3" t="s">
        <v>7323</v>
      </c>
      <c r="B7347">
        <v>9</v>
      </c>
      <c r="C7347">
        <v>8</v>
      </c>
      <c r="K7347">
        <v>15</v>
      </c>
    </row>
    <row r="7348" spans="1:11">
      <c r="A7348" s="3" t="s">
        <v>7324</v>
      </c>
      <c r="B7348">
        <v>9</v>
      </c>
      <c r="C7348">
        <v>8</v>
      </c>
      <c r="K7348">
        <v>15</v>
      </c>
    </row>
    <row r="7349" spans="1:11">
      <c r="A7349" s="3" t="s">
        <v>7325</v>
      </c>
      <c r="B7349">
        <v>9</v>
      </c>
      <c r="C7349">
        <v>8</v>
      </c>
      <c r="K7349">
        <v>15</v>
      </c>
    </row>
    <row r="7350" spans="1:11">
      <c r="A7350" s="3" t="s">
        <v>7326</v>
      </c>
      <c r="B7350">
        <v>9</v>
      </c>
      <c r="C7350">
        <v>8</v>
      </c>
      <c r="K7350">
        <v>15</v>
      </c>
    </row>
    <row r="7351" spans="1:11">
      <c r="A7351" s="3" t="s">
        <v>7327</v>
      </c>
      <c r="B7351">
        <v>9</v>
      </c>
      <c r="C7351">
        <v>8</v>
      </c>
      <c r="K7351">
        <v>15</v>
      </c>
    </row>
    <row r="7352" spans="1:11">
      <c r="A7352" s="3" t="s">
        <v>7328</v>
      </c>
      <c r="B7352">
        <v>9</v>
      </c>
      <c r="C7352">
        <v>8</v>
      </c>
      <c r="K7352">
        <v>15</v>
      </c>
    </row>
    <row r="7353" spans="1:11">
      <c r="A7353" s="3" t="s">
        <v>7329</v>
      </c>
      <c r="B7353">
        <v>9</v>
      </c>
      <c r="C7353">
        <v>8</v>
      </c>
      <c r="K7353">
        <v>15</v>
      </c>
    </row>
    <row r="7354" spans="1:11">
      <c r="A7354" s="3" t="s">
        <v>7330</v>
      </c>
      <c r="B7354">
        <v>9</v>
      </c>
      <c r="C7354">
        <v>8</v>
      </c>
      <c r="K7354">
        <v>15</v>
      </c>
    </row>
    <row r="7355" spans="1:11">
      <c r="A7355" s="3" t="s">
        <v>7331</v>
      </c>
      <c r="B7355">
        <v>9</v>
      </c>
      <c r="C7355">
        <v>8</v>
      </c>
      <c r="K7355">
        <v>15</v>
      </c>
    </row>
    <row r="7356" spans="1:11">
      <c r="A7356" s="3" t="s">
        <v>7332</v>
      </c>
      <c r="B7356">
        <v>9</v>
      </c>
      <c r="C7356">
        <v>8</v>
      </c>
      <c r="K7356">
        <v>15</v>
      </c>
    </row>
    <row r="7357" spans="1:11">
      <c r="A7357" s="3" t="s">
        <v>7333</v>
      </c>
      <c r="B7357">
        <v>9</v>
      </c>
      <c r="C7357">
        <v>8</v>
      </c>
      <c r="K7357">
        <v>15</v>
      </c>
    </row>
    <row r="7358" spans="1:11">
      <c r="A7358" s="3" t="s">
        <v>7334</v>
      </c>
      <c r="B7358">
        <v>9</v>
      </c>
      <c r="C7358">
        <v>8</v>
      </c>
      <c r="K7358">
        <v>15</v>
      </c>
    </row>
    <row r="7359" spans="1:11">
      <c r="A7359" s="3" t="s">
        <v>7335</v>
      </c>
      <c r="B7359">
        <v>9</v>
      </c>
      <c r="C7359">
        <v>8</v>
      </c>
      <c r="K7359">
        <v>15</v>
      </c>
    </row>
    <row r="7360" spans="1:11">
      <c r="A7360" s="3" t="s">
        <v>7336</v>
      </c>
      <c r="B7360">
        <v>9</v>
      </c>
      <c r="C7360">
        <v>8</v>
      </c>
      <c r="K7360">
        <v>15</v>
      </c>
    </row>
    <row r="7361" spans="1:11">
      <c r="A7361" s="3" t="s">
        <v>7337</v>
      </c>
      <c r="B7361">
        <v>9</v>
      </c>
      <c r="C7361">
        <v>8</v>
      </c>
      <c r="K7361">
        <v>15</v>
      </c>
    </row>
    <row r="7362" spans="1:11">
      <c r="A7362" s="3" t="s">
        <v>7338</v>
      </c>
      <c r="B7362">
        <v>9</v>
      </c>
      <c r="C7362">
        <v>8</v>
      </c>
      <c r="K7362">
        <v>15</v>
      </c>
    </row>
    <row r="7363" spans="1:11">
      <c r="A7363" s="3" t="s">
        <v>7339</v>
      </c>
      <c r="B7363">
        <v>9</v>
      </c>
      <c r="C7363">
        <v>8</v>
      </c>
      <c r="K7363">
        <v>15</v>
      </c>
    </row>
    <row r="7364" spans="1:11">
      <c r="A7364" s="3" t="s">
        <v>7340</v>
      </c>
      <c r="B7364">
        <v>9</v>
      </c>
      <c r="C7364">
        <v>8</v>
      </c>
      <c r="K7364">
        <v>15</v>
      </c>
    </row>
    <row r="7365" spans="1:11">
      <c r="A7365" s="3" t="s">
        <v>7341</v>
      </c>
      <c r="B7365">
        <v>9</v>
      </c>
      <c r="C7365">
        <v>8</v>
      </c>
      <c r="K7365">
        <v>15</v>
      </c>
    </row>
    <row r="7366" spans="1:11">
      <c r="A7366" s="3" t="s">
        <v>7342</v>
      </c>
      <c r="B7366">
        <v>9</v>
      </c>
      <c r="C7366">
        <v>8</v>
      </c>
      <c r="K7366">
        <v>15</v>
      </c>
    </row>
    <row r="7367" spans="1:11">
      <c r="A7367" s="3" t="s">
        <v>7343</v>
      </c>
      <c r="B7367">
        <v>9</v>
      </c>
      <c r="C7367">
        <v>8</v>
      </c>
      <c r="K7367">
        <v>15</v>
      </c>
    </row>
    <row r="7368" spans="1:11">
      <c r="A7368" s="3" t="s">
        <v>7344</v>
      </c>
      <c r="B7368">
        <v>9</v>
      </c>
      <c r="C7368">
        <v>8</v>
      </c>
      <c r="K7368">
        <v>15</v>
      </c>
    </row>
    <row r="7369" spans="1:11">
      <c r="A7369" s="3" t="s">
        <v>7345</v>
      </c>
      <c r="B7369">
        <v>9</v>
      </c>
      <c r="C7369">
        <v>8</v>
      </c>
      <c r="K7369">
        <v>15</v>
      </c>
    </row>
    <row r="7370" spans="1:11">
      <c r="A7370" s="3" t="s">
        <v>7346</v>
      </c>
      <c r="B7370">
        <v>9</v>
      </c>
      <c r="C7370">
        <v>8</v>
      </c>
      <c r="K7370">
        <v>15</v>
      </c>
    </row>
    <row r="7371" spans="1:11">
      <c r="A7371" s="3" t="s">
        <v>7347</v>
      </c>
      <c r="B7371">
        <v>9</v>
      </c>
      <c r="C7371">
        <v>8</v>
      </c>
      <c r="K7371">
        <v>15</v>
      </c>
    </row>
    <row r="7372" spans="1:11">
      <c r="A7372" s="3" t="s">
        <v>7348</v>
      </c>
      <c r="B7372">
        <v>9</v>
      </c>
      <c r="C7372">
        <v>8</v>
      </c>
      <c r="K7372">
        <v>15</v>
      </c>
    </row>
    <row r="7373" spans="1:11">
      <c r="A7373" s="3" t="s">
        <v>7349</v>
      </c>
      <c r="B7373">
        <v>9</v>
      </c>
      <c r="C7373">
        <v>8</v>
      </c>
      <c r="K7373">
        <v>15</v>
      </c>
    </row>
    <row r="7374" spans="1:11">
      <c r="A7374" s="3" t="s">
        <v>7350</v>
      </c>
      <c r="B7374">
        <v>9</v>
      </c>
      <c r="C7374">
        <v>8</v>
      </c>
      <c r="K7374">
        <v>15</v>
      </c>
    </row>
    <row r="7375" spans="1:11">
      <c r="A7375" s="3" t="s">
        <v>7351</v>
      </c>
      <c r="B7375">
        <v>9</v>
      </c>
      <c r="C7375">
        <v>8</v>
      </c>
      <c r="K7375">
        <v>15</v>
      </c>
    </row>
    <row r="7376" spans="1:11">
      <c r="A7376" s="3" t="s">
        <v>7352</v>
      </c>
      <c r="B7376">
        <v>9</v>
      </c>
      <c r="C7376">
        <v>8</v>
      </c>
      <c r="K7376">
        <v>15</v>
      </c>
    </row>
    <row r="7377" spans="1:11">
      <c r="A7377" s="3" t="s">
        <v>7353</v>
      </c>
      <c r="B7377">
        <v>9</v>
      </c>
      <c r="C7377">
        <v>8</v>
      </c>
      <c r="K7377">
        <v>15</v>
      </c>
    </row>
    <row r="7378" spans="1:11">
      <c r="A7378" s="3" t="s">
        <v>7354</v>
      </c>
      <c r="B7378">
        <v>9</v>
      </c>
      <c r="C7378">
        <v>8</v>
      </c>
      <c r="K7378">
        <v>15</v>
      </c>
    </row>
    <row r="7379" spans="1:11">
      <c r="A7379" s="3" t="s">
        <v>7355</v>
      </c>
      <c r="B7379">
        <v>9</v>
      </c>
      <c r="C7379">
        <v>8</v>
      </c>
      <c r="K7379">
        <v>15</v>
      </c>
    </row>
    <row r="7380" spans="1:11">
      <c r="A7380" s="3" t="s">
        <v>7356</v>
      </c>
      <c r="B7380">
        <v>9</v>
      </c>
      <c r="C7380">
        <v>8</v>
      </c>
      <c r="K7380">
        <v>15</v>
      </c>
    </row>
    <row r="7381" spans="1:11">
      <c r="A7381" s="3" t="s">
        <v>7357</v>
      </c>
      <c r="B7381">
        <v>9</v>
      </c>
      <c r="C7381">
        <v>8</v>
      </c>
      <c r="K7381">
        <v>15</v>
      </c>
    </row>
    <row r="7382" spans="1:11">
      <c r="A7382" s="3" t="s">
        <v>7358</v>
      </c>
      <c r="B7382">
        <v>9</v>
      </c>
      <c r="C7382">
        <v>8</v>
      </c>
      <c r="K7382">
        <v>15</v>
      </c>
    </row>
    <row r="7383" spans="1:11">
      <c r="A7383" s="3" t="s">
        <v>7359</v>
      </c>
      <c r="B7383">
        <v>9</v>
      </c>
      <c r="C7383">
        <v>8</v>
      </c>
      <c r="K7383">
        <v>15</v>
      </c>
    </row>
    <row r="7384" spans="1:11">
      <c r="A7384" s="3" t="s">
        <v>7360</v>
      </c>
      <c r="B7384">
        <v>9</v>
      </c>
      <c r="C7384">
        <v>8</v>
      </c>
      <c r="K7384">
        <v>15</v>
      </c>
    </row>
    <row r="7385" spans="1:11">
      <c r="A7385" s="3" t="s">
        <v>7361</v>
      </c>
      <c r="B7385">
        <v>9</v>
      </c>
      <c r="C7385">
        <v>8</v>
      </c>
      <c r="K7385">
        <v>15</v>
      </c>
    </row>
    <row r="7386" spans="1:11">
      <c r="A7386" s="3" t="s">
        <v>7362</v>
      </c>
      <c r="B7386">
        <v>9</v>
      </c>
      <c r="C7386">
        <v>8</v>
      </c>
      <c r="K7386">
        <v>15</v>
      </c>
    </row>
    <row r="7387" spans="1:11">
      <c r="A7387" s="3" t="s">
        <v>7363</v>
      </c>
      <c r="B7387">
        <v>9</v>
      </c>
      <c r="C7387">
        <v>8</v>
      </c>
      <c r="K7387">
        <v>15</v>
      </c>
    </row>
    <row r="7388" spans="1:11">
      <c r="A7388" s="3" t="s">
        <v>7364</v>
      </c>
      <c r="B7388">
        <v>9</v>
      </c>
      <c r="C7388">
        <v>8</v>
      </c>
      <c r="K7388">
        <v>15</v>
      </c>
    </row>
    <row r="7389" spans="1:11">
      <c r="A7389" s="3" t="s">
        <v>7365</v>
      </c>
      <c r="B7389">
        <v>9</v>
      </c>
      <c r="C7389">
        <v>8</v>
      </c>
      <c r="K7389">
        <v>15</v>
      </c>
    </row>
    <row r="7390" spans="1:11">
      <c r="A7390" s="3" t="s">
        <v>7366</v>
      </c>
      <c r="B7390">
        <v>9</v>
      </c>
      <c r="C7390">
        <v>8</v>
      </c>
      <c r="K7390">
        <v>15</v>
      </c>
    </row>
    <row r="7391" spans="1:11">
      <c r="A7391" s="3" t="s">
        <v>7367</v>
      </c>
      <c r="B7391">
        <v>9</v>
      </c>
      <c r="C7391">
        <v>8</v>
      </c>
      <c r="K7391">
        <v>15</v>
      </c>
    </row>
    <row r="7392" spans="1:11">
      <c r="A7392" s="3" t="s">
        <v>7368</v>
      </c>
      <c r="B7392">
        <v>9</v>
      </c>
      <c r="C7392">
        <v>8</v>
      </c>
      <c r="K7392">
        <v>15</v>
      </c>
    </row>
    <row r="7393" spans="1:11">
      <c r="A7393" s="3" t="s">
        <v>7369</v>
      </c>
      <c r="B7393">
        <v>9</v>
      </c>
      <c r="C7393">
        <v>8</v>
      </c>
      <c r="K7393">
        <v>15</v>
      </c>
    </row>
    <row r="7394" spans="1:11">
      <c r="A7394" s="3" t="s">
        <v>7370</v>
      </c>
      <c r="B7394">
        <v>9</v>
      </c>
      <c r="C7394">
        <v>8</v>
      </c>
      <c r="K7394">
        <v>15</v>
      </c>
    </row>
    <row r="7395" spans="1:11">
      <c r="A7395" s="3" t="s">
        <v>7371</v>
      </c>
      <c r="B7395">
        <v>9</v>
      </c>
      <c r="C7395">
        <v>8</v>
      </c>
      <c r="K7395">
        <v>15</v>
      </c>
    </row>
    <row r="7396" spans="1:11">
      <c r="A7396" s="3" t="s">
        <v>7372</v>
      </c>
      <c r="B7396">
        <v>9</v>
      </c>
      <c r="C7396">
        <v>8</v>
      </c>
      <c r="K7396">
        <v>15</v>
      </c>
    </row>
    <row r="7397" spans="1:11">
      <c r="A7397" s="3" t="s">
        <v>7373</v>
      </c>
      <c r="B7397">
        <v>9</v>
      </c>
      <c r="C7397">
        <v>8</v>
      </c>
      <c r="K7397">
        <v>15</v>
      </c>
    </row>
    <row r="7398" spans="1:11">
      <c r="A7398" s="3" t="s">
        <v>7374</v>
      </c>
      <c r="B7398">
        <v>9</v>
      </c>
      <c r="C7398">
        <v>8</v>
      </c>
      <c r="K7398">
        <v>15</v>
      </c>
    </row>
    <row r="7399" spans="1:11">
      <c r="A7399" s="3" t="s">
        <v>7375</v>
      </c>
      <c r="B7399">
        <v>9</v>
      </c>
      <c r="C7399">
        <v>8</v>
      </c>
      <c r="K7399">
        <v>15</v>
      </c>
    </row>
    <row r="7400" spans="1:11">
      <c r="A7400" s="3" t="s">
        <v>7376</v>
      </c>
      <c r="B7400">
        <v>9</v>
      </c>
      <c r="C7400">
        <v>8</v>
      </c>
      <c r="K7400">
        <v>15</v>
      </c>
    </row>
    <row r="7401" spans="1:11">
      <c r="A7401" s="3" t="s">
        <v>7377</v>
      </c>
      <c r="B7401">
        <v>9</v>
      </c>
      <c r="C7401">
        <v>8</v>
      </c>
      <c r="K7401">
        <v>15</v>
      </c>
    </row>
    <row r="7402" spans="1:11">
      <c r="A7402" s="3" t="s">
        <v>7378</v>
      </c>
      <c r="B7402">
        <v>9</v>
      </c>
      <c r="C7402">
        <v>8</v>
      </c>
      <c r="K7402">
        <v>15</v>
      </c>
    </row>
    <row r="7403" spans="1:11">
      <c r="A7403" s="3" t="s">
        <v>7379</v>
      </c>
      <c r="B7403">
        <v>9</v>
      </c>
      <c r="C7403">
        <v>8</v>
      </c>
      <c r="K7403">
        <v>15</v>
      </c>
    </row>
    <row r="7404" spans="1:11">
      <c r="A7404" s="3" t="s">
        <v>7380</v>
      </c>
      <c r="B7404">
        <v>9</v>
      </c>
      <c r="C7404">
        <v>8</v>
      </c>
      <c r="K7404">
        <v>15</v>
      </c>
    </row>
    <row r="7405" spans="1:11">
      <c r="A7405" s="3" t="s">
        <v>7381</v>
      </c>
      <c r="B7405">
        <v>9</v>
      </c>
      <c r="C7405">
        <v>8</v>
      </c>
      <c r="K7405">
        <v>15</v>
      </c>
    </row>
    <row r="7406" spans="1:11">
      <c r="A7406" s="3" t="s">
        <v>7382</v>
      </c>
      <c r="B7406">
        <v>9</v>
      </c>
      <c r="C7406">
        <v>8</v>
      </c>
      <c r="K7406">
        <v>15</v>
      </c>
    </row>
    <row r="7407" spans="1:11">
      <c r="A7407" s="3" t="s">
        <v>7383</v>
      </c>
      <c r="B7407">
        <v>9</v>
      </c>
      <c r="C7407">
        <v>8</v>
      </c>
      <c r="K7407">
        <v>15</v>
      </c>
    </row>
    <row r="7408" spans="1:11">
      <c r="A7408" s="3" t="s">
        <v>7384</v>
      </c>
      <c r="B7408">
        <v>9</v>
      </c>
      <c r="C7408">
        <v>8</v>
      </c>
      <c r="K7408">
        <v>15</v>
      </c>
    </row>
    <row r="7409" spans="1:13">
      <c r="A7409" s="3" t="s">
        <v>7385</v>
      </c>
      <c r="B7409">
        <v>9</v>
      </c>
      <c r="C7409">
        <v>8</v>
      </c>
      <c r="K7409">
        <v>15</v>
      </c>
    </row>
    <row r="7410" spans="1:13">
      <c r="A7410" s="3" t="s">
        <v>7386</v>
      </c>
      <c r="B7410">
        <v>9</v>
      </c>
      <c r="C7410">
        <v>8</v>
      </c>
      <c r="K7410">
        <v>15</v>
      </c>
    </row>
    <row r="7411" spans="1:13">
      <c r="A7411" s="3" t="s">
        <v>7387</v>
      </c>
      <c r="B7411">
        <v>9</v>
      </c>
      <c r="C7411">
        <v>8</v>
      </c>
      <c r="K7411">
        <v>15</v>
      </c>
    </row>
    <row r="7412" spans="1:13">
      <c r="A7412" s="3" t="s">
        <v>7388</v>
      </c>
      <c r="B7412">
        <v>9</v>
      </c>
      <c r="C7412">
        <v>8</v>
      </c>
      <c r="K7412">
        <v>15</v>
      </c>
    </row>
    <row r="7413" spans="1:13">
      <c r="A7413" s="3" t="s">
        <v>7389</v>
      </c>
      <c r="B7413">
        <v>9</v>
      </c>
      <c r="C7413">
        <v>8</v>
      </c>
      <c r="M7413">
        <v>15</v>
      </c>
    </row>
    <row r="7414" spans="1:13">
      <c r="A7414" s="3" t="s">
        <v>7390</v>
      </c>
      <c r="B7414">
        <v>9</v>
      </c>
      <c r="C7414">
        <v>8</v>
      </c>
      <c r="M7414">
        <v>15</v>
      </c>
    </row>
    <row r="7415" spans="1:13">
      <c r="A7415" s="3" t="s">
        <v>7391</v>
      </c>
      <c r="B7415">
        <v>9</v>
      </c>
      <c r="C7415">
        <v>8</v>
      </c>
      <c r="M7415">
        <v>15</v>
      </c>
    </row>
    <row r="7416" spans="1:13">
      <c r="A7416" s="3" t="s">
        <v>7392</v>
      </c>
      <c r="B7416">
        <v>9</v>
      </c>
      <c r="C7416">
        <v>8</v>
      </c>
      <c r="M7416">
        <v>15</v>
      </c>
    </row>
    <row r="7417" spans="1:13">
      <c r="A7417" s="3" t="s">
        <v>7393</v>
      </c>
      <c r="B7417">
        <v>9</v>
      </c>
      <c r="C7417">
        <v>8</v>
      </c>
      <c r="M7417">
        <v>15</v>
      </c>
    </row>
    <row r="7418" spans="1:13">
      <c r="A7418" s="3" t="s">
        <v>7394</v>
      </c>
      <c r="B7418">
        <v>9</v>
      </c>
      <c r="C7418">
        <v>8</v>
      </c>
      <c r="M7418">
        <v>15</v>
      </c>
    </row>
    <row r="7419" spans="1:13">
      <c r="A7419" s="3" t="s">
        <v>7395</v>
      </c>
      <c r="B7419">
        <v>9</v>
      </c>
      <c r="C7419">
        <v>8</v>
      </c>
      <c r="M7419">
        <v>15</v>
      </c>
    </row>
    <row r="7420" spans="1:13">
      <c r="A7420" s="3" t="s">
        <v>7396</v>
      </c>
      <c r="B7420">
        <v>9</v>
      </c>
      <c r="C7420">
        <v>8</v>
      </c>
      <c r="M7420">
        <v>15</v>
      </c>
    </row>
    <row r="7421" spans="1:13">
      <c r="A7421" s="3" t="s">
        <v>7397</v>
      </c>
      <c r="B7421">
        <v>9</v>
      </c>
      <c r="C7421">
        <v>8</v>
      </c>
      <c r="L7421">
        <v>13</v>
      </c>
    </row>
    <row r="7422" spans="1:13">
      <c r="A7422" s="3" t="s">
        <v>7398</v>
      </c>
      <c r="B7422">
        <v>9</v>
      </c>
      <c r="C7422">
        <v>8</v>
      </c>
      <c r="L7422">
        <v>13</v>
      </c>
    </row>
    <row r="7423" spans="1:13">
      <c r="A7423" s="3" t="s">
        <v>7399</v>
      </c>
      <c r="B7423">
        <v>9</v>
      </c>
      <c r="C7423">
        <v>8</v>
      </c>
      <c r="L7423">
        <v>13</v>
      </c>
    </row>
    <row r="7424" spans="1:13">
      <c r="A7424" s="3" t="s">
        <v>7400</v>
      </c>
      <c r="B7424">
        <v>9</v>
      </c>
      <c r="C7424">
        <v>8</v>
      </c>
      <c r="L7424">
        <v>13</v>
      </c>
    </row>
    <row r="7425" spans="1:12">
      <c r="A7425" s="3" t="s">
        <v>7401</v>
      </c>
      <c r="B7425">
        <v>9</v>
      </c>
      <c r="C7425">
        <v>8</v>
      </c>
      <c r="L7425">
        <v>13</v>
      </c>
    </row>
    <row r="7426" spans="1:12">
      <c r="A7426" s="3" t="s">
        <v>7402</v>
      </c>
      <c r="B7426">
        <v>9</v>
      </c>
      <c r="C7426">
        <v>8</v>
      </c>
      <c r="L7426">
        <v>13</v>
      </c>
    </row>
    <row r="7427" spans="1:12">
      <c r="A7427" s="3" t="s">
        <v>7403</v>
      </c>
      <c r="B7427">
        <v>9</v>
      </c>
      <c r="C7427">
        <v>8</v>
      </c>
      <c r="L7427">
        <v>13</v>
      </c>
    </row>
    <row r="7428" spans="1:12">
      <c r="A7428" s="3" t="s">
        <v>7404</v>
      </c>
      <c r="B7428">
        <v>9</v>
      </c>
      <c r="C7428">
        <v>8</v>
      </c>
      <c r="L7428">
        <v>13</v>
      </c>
    </row>
    <row r="7429" spans="1:12">
      <c r="A7429" s="3" t="s">
        <v>7405</v>
      </c>
      <c r="B7429">
        <v>9</v>
      </c>
      <c r="C7429">
        <v>8</v>
      </c>
      <c r="L7429">
        <v>13</v>
      </c>
    </row>
    <row r="7430" spans="1:12">
      <c r="A7430" s="3" t="s">
        <v>7406</v>
      </c>
      <c r="B7430">
        <v>9</v>
      </c>
      <c r="C7430">
        <v>8</v>
      </c>
      <c r="L7430">
        <v>13</v>
      </c>
    </row>
    <row r="7431" spans="1:12">
      <c r="A7431" s="3" t="s">
        <v>7407</v>
      </c>
      <c r="B7431">
        <v>9</v>
      </c>
      <c r="C7431">
        <v>8</v>
      </c>
      <c r="L7431">
        <v>13</v>
      </c>
    </row>
    <row r="7432" spans="1:12">
      <c r="A7432" s="3" t="s">
        <v>7408</v>
      </c>
      <c r="B7432">
        <v>9</v>
      </c>
      <c r="C7432">
        <v>8</v>
      </c>
      <c r="L7432">
        <v>13</v>
      </c>
    </row>
    <row r="7433" spans="1:12">
      <c r="A7433" s="3" t="s">
        <v>7409</v>
      </c>
      <c r="B7433">
        <v>9</v>
      </c>
      <c r="C7433">
        <v>8</v>
      </c>
      <c r="L7433">
        <v>13</v>
      </c>
    </row>
    <row r="7434" spans="1:12">
      <c r="A7434" s="3" t="s">
        <v>7410</v>
      </c>
      <c r="B7434">
        <v>9</v>
      </c>
      <c r="C7434">
        <v>8</v>
      </c>
      <c r="L7434">
        <v>13</v>
      </c>
    </row>
    <row r="7435" spans="1:12">
      <c r="A7435" s="3" t="s">
        <v>7411</v>
      </c>
      <c r="B7435">
        <v>9</v>
      </c>
      <c r="C7435">
        <v>8</v>
      </c>
      <c r="L7435">
        <v>13</v>
      </c>
    </row>
    <row r="7436" spans="1:12">
      <c r="A7436" s="3" t="s">
        <v>7412</v>
      </c>
      <c r="B7436">
        <v>9</v>
      </c>
      <c r="C7436">
        <v>8</v>
      </c>
      <c r="L7436">
        <v>13</v>
      </c>
    </row>
    <row r="7437" spans="1:12">
      <c r="A7437" s="3" t="s">
        <v>7413</v>
      </c>
      <c r="B7437">
        <v>9</v>
      </c>
      <c r="C7437">
        <v>8</v>
      </c>
      <c r="L7437">
        <v>13</v>
      </c>
    </row>
    <row r="7438" spans="1:12">
      <c r="A7438" s="3" t="s">
        <v>7414</v>
      </c>
      <c r="B7438">
        <v>9</v>
      </c>
      <c r="C7438">
        <v>8</v>
      </c>
      <c r="L7438">
        <v>13</v>
      </c>
    </row>
    <row r="7439" spans="1:12">
      <c r="A7439" s="3" t="s">
        <v>7415</v>
      </c>
      <c r="B7439">
        <v>9</v>
      </c>
      <c r="C7439">
        <v>8</v>
      </c>
      <c r="L7439">
        <v>13</v>
      </c>
    </row>
    <row r="7440" spans="1:12">
      <c r="A7440" s="3" t="s">
        <v>7416</v>
      </c>
      <c r="B7440">
        <v>9</v>
      </c>
      <c r="C7440">
        <v>8</v>
      </c>
      <c r="L7440">
        <v>13</v>
      </c>
    </row>
    <row r="7441" spans="1:12">
      <c r="A7441" s="3" t="s">
        <v>7417</v>
      </c>
      <c r="B7441">
        <v>9</v>
      </c>
      <c r="C7441">
        <v>8</v>
      </c>
      <c r="L7441">
        <v>13</v>
      </c>
    </row>
    <row r="7442" spans="1:12">
      <c r="A7442" s="3" t="s">
        <v>7418</v>
      </c>
      <c r="B7442">
        <v>9</v>
      </c>
      <c r="C7442">
        <v>8</v>
      </c>
      <c r="L7442">
        <v>13</v>
      </c>
    </row>
    <row r="7443" spans="1:12">
      <c r="A7443" s="3" t="s">
        <v>7419</v>
      </c>
      <c r="B7443">
        <v>9</v>
      </c>
      <c r="C7443">
        <v>8</v>
      </c>
      <c r="L7443">
        <v>13</v>
      </c>
    </row>
    <row r="7444" spans="1:12">
      <c r="A7444" s="3" t="s">
        <v>7420</v>
      </c>
      <c r="B7444">
        <v>9</v>
      </c>
      <c r="C7444">
        <v>8</v>
      </c>
      <c r="L7444">
        <v>13</v>
      </c>
    </row>
    <row r="7445" spans="1:12">
      <c r="A7445" s="3" t="s">
        <v>7421</v>
      </c>
      <c r="B7445">
        <v>9</v>
      </c>
      <c r="C7445">
        <v>8</v>
      </c>
      <c r="L7445">
        <v>13</v>
      </c>
    </row>
    <row r="7446" spans="1:12">
      <c r="A7446" s="3" t="s">
        <v>7422</v>
      </c>
      <c r="B7446">
        <v>9</v>
      </c>
      <c r="C7446">
        <v>8</v>
      </c>
      <c r="L7446">
        <v>13</v>
      </c>
    </row>
    <row r="7447" spans="1:12">
      <c r="A7447" s="3" t="s">
        <v>7423</v>
      </c>
      <c r="B7447">
        <v>9</v>
      </c>
      <c r="C7447">
        <v>8</v>
      </c>
      <c r="L7447">
        <v>13</v>
      </c>
    </row>
    <row r="7448" spans="1:12">
      <c r="A7448" s="3" t="s">
        <v>7424</v>
      </c>
      <c r="B7448">
        <v>9</v>
      </c>
      <c r="C7448">
        <v>8</v>
      </c>
      <c r="L7448">
        <v>13</v>
      </c>
    </row>
    <row r="7449" spans="1:12">
      <c r="A7449" s="3" t="s">
        <v>7425</v>
      </c>
      <c r="B7449">
        <v>9</v>
      </c>
      <c r="C7449">
        <v>8</v>
      </c>
      <c r="L7449">
        <v>13</v>
      </c>
    </row>
    <row r="7450" spans="1:12">
      <c r="A7450" s="3" t="s">
        <v>7426</v>
      </c>
      <c r="B7450">
        <v>9</v>
      </c>
      <c r="C7450">
        <v>8</v>
      </c>
      <c r="L7450">
        <v>13</v>
      </c>
    </row>
    <row r="7451" spans="1:12">
      <c r="A7451" s="3" t="s">
        <v>7427</v>
      </c>
      <c r="B7451">
        <v>9</v>
      </c>
      <c r="C7451">
        <v>8</v>
      </c>
      <c r="L7451">
        <v>13</v>
      </c>
    </row>
    <row r="7452" spans="1:12">
      <c r="A7452" s="3" t="s">
        <v>7428</v>
      </c>
      <c r="B7452">
        <v>9</v>
      </c>
      <c r="C7452">
        <v>8</v>
      </c>
      <c r="L7452">
        <v>13</v>
      </c>
    </row>
    <row r="7453" spans="1:12">
      <c r="A7453" s="3" t="s">
        <v>7429</v>
      </c>
      <c r="B7453">
        <v>9</v>
      </c>
      <c r="C7453">
        <v>8</v>
      </c>
      <c r="L7453">
        <v>13</v>
      </c>
    </row>
    <row r="7454" spans="1:12">
      <c r="A7454" s="3" t="s">
        <v>7430</v>
      </c>
      <c r="B7454">
        <v>9</v>
      </c>
      <c r="C7454">
        <v>8</v>
      </c>
      <c r="L7454">
        <v>13</v>
      </c>
    </row>
    <row r="7455" spans="1:12">
      <c r="A7455" s="3" t="s">
        <v>7431</v>
      </c>
      <c r="B7455">
        <v>9</v>
      </c>
      <c r="C7455">
        <v>8</v>
      </c>
      <c r="L7455">
        <v>13</v>
      </c>
    </row>
    <row r="7456" spans="1:12">
      <c r="A7456" s="3" t="s">
        <v>7432</v>
      </c>
      <c r="B7456">
        <v>9</v>
      </c>
      <c r="C7456">
        <v>8</v>
      </c>
      <c r="L7456">
        <v>13</v>
      </c>
    </row>
    <row r="7457" spans="1:12">
      <c r="A7457" s="3" t="s">
        <v>7433</v>
      </c>
      <c r="B7457">
        <v>9</v>
      </c>
      <c r="C7457">
        <v>8</v>
      </c>
      <c r="L7457">
        <v>13</v>
      </c>
    </row>
    <row r="7458" spans="1:12">
      <c r="A7458" s="3" t="s">
        <v>7434</v>
      </c>
      <c r="B7458">
        <v>9</v>
      </c>
      <c r="C7458">
        <v>8</v>
      </c>
      <c r="L7458">
        <v>13</v>
      </c>
    </row>
    <row r="7459" spans="1:12">
      <c r="A7459" s="3" t="s">
        <v>7435</v>
      </c>
      <c r="B7459">
        <v>9</v>
      </c>
      <c r="C7459">
        <v>8</v>
      </c>
      <c r="L7459">
        <v>13</v>
      </c>
    </row>
    <row r="7460" spans="1:12">
      <c r="A7460" s="3" t="s">
        <v>7436</v>
      </c>
      <c r="B7460">
        <v>9</v>
      </c>
      <c r="C7460">
        <v>8</v>
      </c>
      <c r="L7460">
        <v>13</v>
      </c>
    </row>
    <row r="7461" spans="1:12">
      <c r="A7461" s="3" t="s">
        <v>7437</v>
      </c>
      <c r="B7461">
        <v>9</v>
      </c>
      <c r="C7461">
        <v>8</v>
      </c>
      <c r="L7461">
        <v>13</v>
      </c>
    </row>
    <row r="7462" spans="1:12">
      <c r="A7462" s="3" t="s">
        <v>7438</v>
      </c>
      <c r="B7462">
        <v>9</v>
      </c>
      <c r="C7462">
        <v>8</v>
      </c>
      <c r="L7462">
        <v>13</v>
      </c>
    </row>
    <row r="7463" spans="1:12">
      <c r="A7463" s="3" t="s">
        <v>7439</v>
      </c>
      <c r="B7463">
        <v>9</v>
      </c>
      <c r="C7463">
        <v>8</v>
      </c>
      <c r="L7463">
        <v>13</v>
      </c>
    </row>
    <row r="7464" spans="1:12">
      <c r="A7464" s="3" t="s">
        <v>7440</v>
      </c>
      <c r="B7464">
        <v>9</v>
      </c>
      <c r="C7464">
        <v>8</v>
      </c>
      <c r="L7464">
        <v>13</v>
      </c>
    </row>
    <row r="7465" spans="1:12">
      <c r="A7465" s="3" t="s">
        <v>7441</v>
      </c>
      <c r="B7465">
        <v>9</v>
      </c>
      <c r="C7465">
        <v>8</v>
      </c>
      <c r="L7465">
        <v>13</v>
      </c>
    </row>
    <row r="7466" spans="1:12">
      <c r="A7466" s="3" t="s">
        <v>7442</v>
      </c>
      <c r="B7466">
        <v>9</v>
      </c>
      <c r="C7466">
        <v>8</v>
      </c>
      <c r="L7466">
        <v>13</v>
      </c>
    </row>
    <row r="7467" spans="1:12">
      <c r="A7467" s="3" t="s">
        <v>7443</v>
      </c>
      <c r="B7467">
        <v>9</v>
      </c>
      <c r="C7467">
        <v>8</v>
      </c>
      <c r="L7467">
        <v>13</v>
      </c>
    </row>
    <row r="7468" spans="1:12">
      <c r="A7468" s="3" t="s">
        <v>7444</v>
      </c>
      <c r="B7468">
        <v>9</v>
      </c>
      <c r="C7468">
        <v>8</v>
      </c>
      <c r="L7468">
        <v>13</v>
      </c>
    </row>
    <row r="7469" spans="1:12">
      <c r="A7469" s="3" t="s">
        <v>7445</v>
      </c>
      <c r="B7469">
        <v>9</v>
      </c>
      <c r="C7469">
        <v>8</v>
      </c>
      <c r="L7469">
        <v>13</v>
      </c>
    </row>
    <row r="7470" spans="1:12">
      <c r="A7470" s="3" t="s">
        <v>7446</v>
      </c>
      <c r="B7470">
        <v>9</v>
      </c>
      <c r="C7470">
        <v>8</v>
      </c>
      <c r="L7470">
        <v>13</v>
      </c>
    </row>
    <row r="7471" spans="1:12">
      <c r="A7471" s="3" t="s">
        <v>7447</v>
      </c>
      <c r="B7471">
        <v>9</v>
      </c>
      <c r="C7471">
        <v>8</v>
      </c>
      <c r="L7471">
        <v>13</v>
      </c>
    </row>
    <row r="7472" spans="1:12">
      <c r="A7472" s="3" t="s">
        <v>7448</v>
      </c>
      <c r="B7472">
        <v>9</v>
      </c>
      <c r="C7472">
        <v>8</v>
      </c>
      <c r="L7472">
        <v>13</v>
      </c>
    </row>
    <row r="7473" spans="1:12">
      <c r="A7473" s="3" t="s">
        <v>7449</v>
      </c>
      <c r="B7473">
        <v>9</v>
      </c>
      <c r="C7473">
        <v>8</v>
      </c>
      <c r="L7473">
        <v>13</v>
      </c>
    </row>
    <row r="7474" spans="1:12">
      <c r="A7474" s="3" t="s">
        <v>7450</v>
      </c>
      <c r="B7474">
        <v>9</v>
      </c>
      <c r="C7474">
        <v>8</v>
      </c>
      <c r="L7474">
        <v>13</v>
      </c>
    </row>
    <row r="7475" spans="1:12">
      <c r="A7475" s="3" t="s">
        <v>7451</v>
      </c>
      <c r="B7475">
        <v>9</v>
      </c>
      <c r="C7475">
        <v>8</v>
      </c>
      <c r="L7475">
        <v>13</v>
      </c>
    </row>
    <row r="7476" spans="1:12">
      <c r="A7476" s="3" t="s">
        <v>7452</v>
      </c>
      <c r="B7476">
        <v>9</v>
      </c>
      <c r="C7476">
        <v>8</v>
      </c>
      <c r="L7476">
        <v>13</v>
      </c>
    </row>
    <row r="7477" spans="1:12">
      <c r="A7477" s="3" t="s">
        <v>7453</v>
      </c>
      <c r="B7477">
        <v>9</v>
      </c>
      <c r="C7477">
        <v>8</v>
      </c>
      <c r="L7477">
        <v>13</v>
      </c>
    </row>
    <row r="7478" spans="1:12">
      <c r="A7478" s="3" t="s">
        <v>7454</v>
      </c>
      <c r="B7478">
        <v>9</v>
      </c>
      <c r="C7478">
        <v>8</v>
      </c>
      <c r="L7478">
        <v>13</v>
      </c>
    </row>
    <row r="7479" spans="1:12">
      <c r="A7479" s="3" t="s">
        <v>7455</v>
      </c>
      <c r="B7479">
        <v>9</v>
      </c>
      <c r="C7479">
        <v>8</v>
      </c>
      <c r="L7479">
        <v>13</v>
      </c>
    </row>
    <row r="7480" spans="1:12">
      <c r="A7480" s="3" t="s">
        <v>7456</v>
      </c>
      <c r="B7480">
        <v>9</v>
      </c>
      <c r="C7480">
        <v>8</v>
      </c>
      <c r="L7480">
        <v>13</v>
      </c>
    </row>
    <row r="7481" spans="1:12">
      <c r="A7481" s="3" t="s">
        <v>7457</v>
      </c>
      <c r="B7481">
        <v>9</v>
      </c>
      <c r="C7481">
        <v>8</v>
      </c>
      <c r="L7481">
        <v>13</v>
      </c>
    </row>
    <row r="7482" spans="1:12">
      <c r="A7482" s="3" t="s">
        <v>7458</v>
      </c>
      <c r="B7482">
        <v>9</v>
      </c>
      <c r="C7482">
        <v>8</v>
      </c>
      <c r="L7482">
        <v>13</v>
      </c>
    </row>
    <row r="7483" spans="1:12">
      <c r="A7483" s="3" t="s">
        <v>7459</v>
      </c>
      <c r="B7483">
        <v>9</v>
      </c>
      <c r="C7483">
        <v>8</v>
      </c>
      <c r="L7483">
        <v>13</v>
      </c>
    </row>
    <row r="7484" spans="1:12">
      <c r="A7484" s="3" t="s">
        <v>7460</v>
      </c>
      <c r="B7484">
        <v>9</v>
      </c>
      <c r="C7484">
        <v>8</v>
      </c>
      <c r="L7484">
        <v>13</v>
      </c>
    </row>
    <row r="7485" spans="1:12">
      <c r="A7485" s="3" t="s">
        <v>7461</v>
      </c>
      <c r="B7485">
        <v>9</v>
      </c>
      <c r="C7485">
        <v>8</v>
      </c>
      <c r="L7485">
        <v>13</v>
      </c>
    </row>
    <row r="7486" spans="1:12">
      <c r="A7486" s="3" t="s">
        <v>7462</v>
      </c>
      <c r="B7486">
        <v>9</v>
      </c>
      <c r="C7486">
        <v>8</v>
      </c>
      <c r="L7486">
        <v>13</v>
      </c>
    </row>
    <row r="7487" spans="1:12">
      <c r="A7487" s="3" t="s">
        <v>7463</v>
      </c>
      <c r="B7487">
        <v>9</v>
      </c>
      <c r="C7487">
        <v>8</v>
      </c>
      <c r="L7487">
        <v>13</v>
      </c>
    </row>
    <row r="7488" spans="1:12">
      <c r="A7488" s="3" t="s">
        <v>7464</v>
      </c>
      <c r="B7488">
        <v>9</v>
      </c>
      <c r="C7488">
        <v>8</v>
      </c>
      <c r="L7488">
        <v>13</v>
      </c>
    </row>
    <row r="7489" spans="1:12">
      <c r="A7489" s="3" t="s">
        <v>7465</v>
      </c>
      <c r="B7489">
        <v>9</v>
      </c>
      <c r="C7489">
        <v>8</v>
      </c>
      <c r="L7489">
        <v>13</v>
      </c>
    </row>
    <row r="7490" spans="1:12">
      <c r="A7490" s="3" t="s">
        <v>7466</v>
      </c>
      <c r="B7490">
        <v>9</v>
      </c>
      <c r="C7490">
        <v>8</v>
      </c>
      <c r="L7490">
        <v>13</v>
      </c>
    </row>
    <row r="7491" spans="1:12">
      <c r="A7491" s="3" t="s">
        <v>7467</v>
      </c>
      <c r="B7491">
        <v>9</v>
      </c>
      <c r="C7491">
        <v>8</v>
      </c>
      <c r="L7491">
        <v>13</v>
      </c>
    </row>
    <row r="7492" spans="1:12">
      <c r="A7492" s="3" t="s">
        <v>7468</v>
      </c>
      <c r="B7492">
        <v>9</v>
      </c>
      <c r="C7492">
        <v>8</v>
      </c>
      <c r="L7492">
        <v>13</v>
      </c>
    </row>
    <row r="7493" spans="1:12">
      <c r="A7493" s="3" t="s">
        <v>7469</v>
      </c>
      <c r="B7493">
        <v>9</v>
      </c>
      <c r="C7493">
        <v>8</v>
      </c>
      <c r="L7493">
        <v>13</v>
      </c>
    </row>
    <row r="7494" spans="1:12">
      <c r="A7494" s="3" t="s">
        <v>7470</v>
      </c>
      <c r="B7494">
        <v>9</v>
      </c>
      <c r="C7494">
        <v>8</v>
      </c>
      <c r="L7494">
        <v>13</v>
      </c>
    </row>
    <row r="7495" spans="1:12">
      <c r="A7495" s="3" t="s">
        <v>7471</v>
      </c>
      <c r="B7495">
        <v>9</v>
      </c>
      <c r="C7495">
        <v>8</v>
      </c>
      <c r="L7495">
        <v>13</v>
      </c>
    </row>
    <row r="7496" spans="1:12">
      <c r="A7496" s="3" t="s">
        <v>7472</v>
      </c>
      <c r="B7496">
        <v>9</v>
      </c>
      <c r="C7496">
        <v>8</v>
      </c>
      <c r="L7496">
        <v>13</v>
      </c>
    </row>
    <row r="7497" spans="1:12">
      <c r="A7497" s="3" t="s">
        <v>7473</v>
      </c>
      <c r="B7497">
        <v>9</v>
      </c>
      <c r="C7497">
        <v>8</v>
      </c>
      <c r="L7497">
        <v>13</v>
      </c>
    </row>
    <row r="7498" spans="1:12">
      <c r="A7498" s="3" t="s">
        <v>7474</v>
      </c>
      <c r="B7498">
        <v>9</v>
      </c>
      <c r="C7498">
        <v>8</v>
      </c>
      <c r="L7498">
        <v>13</v>
      </c>
    </row>
    <row r="7499" spans="1:12">
      <c r="A7499" s="3" t="s">
        <v>7475</v>
      </c>
      <c r="B7499">
        <v>9</v>
      </c>
      <c r="C7499">
        <v>8</v>
      </c>
      <c r="L7499">
        <v>13</v>
      </c>
    </row>
    <row r="7500" spans="1:12">
      <c r="A7500" s="3" t="s">
        <v>7476</v>
      </c>
      <c r="B7500">
        <v>9</v>
      </c>
      <c r="C7500">
        <v>8</v>
      </c>
      <c r="L7500">
        <v>13</v>
      </c>
    </row>
    <row r="7501" spans="1:12">
      <c r="A7501" s="3" t="s">
        <v>7477</v>
      </c>
      <c r="B7501">
        <v>9</v>
      </c>
      <c r="C7501">
        <v>8</v>
      </c>
      <c r="J7501">
        <v>108</v>
      </c>
    </row>
    <row r="7502" spans="1:12">
      <c r="A7502" s="3" t="s">
        <v>7478</v>
      </c>
      <c r="B7502">
        <v>9</v>
      </c>
      <c r="C7502">
        <v>8</v>
      </c>
      <c r="J7502">
        <v>108</v>
      </c>
    </row>
    <row r="7503" spans="1:12">
      <c r="A7503" s="3" t="s">
        <v>7479</v>
      </c>
      <c r="B7503">
        <v>9</v>
      </c>
      <c r="C7503">
        <v>8</v>
      </c>
      <c r="J7503">
        <v>108</v>
      </c>
    </row>
    <row r="7504" spans="1:12">
      <c r="A7504" s="3" t="s">
        <v>7480</v>
      </c>
      <c r="B7504">
        <v>9</v>
      </c>
      <c r="C7504">
        <v>8</v>
      </c>
      <c r="J7504">
        <v>108</v>
      </c>
    </row>
    <row r="7505" spans="1:14">
      <c r="A7505" s="3" t="s">
        <v>7481</v>
      </c>
      <c r="B7505">
        <v>9</v>
      </c>
      <c r="C7505">
        <v>8</v>
      </c>
      <c r="J7505">
        <v>108</v>
      </c>
    </row>
    <row r="7506" spans="1:14">
      <c r="A7506" s="3" t="s">
        <v>7482</v>
      </c>
      <c r="B7506">
        <v>9</v>
      </c>
      <c r="C7506">
        <v>8</v>
      </c>
      <c r="J7506">
        <v>108</v>
      </c>
    </row>
    <row r="7507" spans="1:14">
      <c r="A7507" s="3" t="s">
        <v>7483</v>
      </c>
      <c r="B7507">
        <v>9</v>
      </c>
      <c r="C7507">
        <v>8</v>
      </c>
      <c r="J7507">
        <v>108</v>
      </c>
    </row>
    <row r="7508" spans="1:14">
      <c r="A7508" s="3" t="s">
        <v>7484</v>
      </c>
      <c r="B7508">
        <v>9</v>
      </c>
      <c r="C7508">
        <v>8</v>
      </c>
      <c r="J7508">
        <v>108</v>
      </c>
    </row>
    <row r="7509" spans="1:14">
      <c r="A7509" s="3" t="s">
        <v>7485</v>
      </c>
      <c r="B7509">
        <v>9</v>
      </c>
      <c r="C7509">
        <v>8</v>
      </c>
      <c r="J7509">
        <v>108</v>
      </c>
    </row>
    <row r="7510" spans="1:14">
      <c r="A7510" s="3" t="s">
        <v>7486</v>
      </c>
      <c r="B7510">
        <v>9</v>
      </c>
      <c r="C7510">
        <v>8</v>
      </c>
      <c r="J7510">
        <v>108</v>
      </c>
    </row>
    <row r="7511" spans="1:14">
      <c r="A7511" s="3" t="s">
        <v>7487</v>
      </c>
      <c r="B7511">
        <v>9</v>
      </c>
      <c r="C7511">
        <v>8</v>
      </c>
      <c r="J7511">
        <v>108</v>
      </c>
    </row>
    <row r="7512" spans="1:14">
      <c r="A7512" s="3" t="s">
        <v>7488</v>
      </c>
      <c r="B7512">
        <v>9</v>
      </c>
      <c r="C7512">
        <v>8</v>
      </c>
      <c r="J7512">
        <v>108</v>
      </c>
    </row>
    <row r="7513" spans="1:14">
      <c r="A7513" s="3" t="s">
        <v>7489</v>
      </c>
      <c r="B7513">
        <v>9</v>
      </c>
      <c r="C7513">
        <v>8</v>
      </c>
      <c r="J7513">
        <v>108</v>
      </c>
    </row>
    <row r="7514" spans="1:14">
      <c r="A7514" s="3" t="s">
        <v>7490</v>
      </c>
      <c r="B7514">
        <v>9</v>
      </c>
      <c r="C7514">
        <v>8</v>
      </c>
      <c r="J7514">
        <v>108</v>
      </c>
    </row>
    <row r="7515" spans="1:14">
      <c r="A7515" s="3" t="s">
        <v>7491</v>
      </c>
      <c r="B7515">
        <v>9</v>
      </c>
      <c r="J7515">
        <v>108</v>
      </c>
    </row>
    <row r="7516" spans="1:14">
      <c r="A7516" s="3" t="s">
        <v>7492</v>
      </c>
      <c r="B7516">
        <v>9</v>
      </c>
      <c r="J7516">
        <v>108</v>
      </c>
    </row>
    <row r="7517" spans="1:14">
      <c r="A7517" s="3" t="s">
        <v>7493</v>
      </c>
      <c r="B7517">
        <v>9</v>
      </c>
      <c r="N7517">
        <v>1</v>
      </c>
    </row>
    <row r="7518" spans="1:14">
      <c r="A7518" s="3" t="s">
        <v>7494</v>
      </c>
      <c r="B7518">
        <v>9</v>
      </c>
      <c r="N7518">
        <v>1</v>
      </c>
    </row>
    <row r="7519" spans="1:14">
      <c r="A7519" s="3" t="s">
        <v>7495</v>
      </c>
      <c r="B7519">
        <v>9</v>
      </c>
      <c r="N7519">
        <v>1</v>
      </c>
    </row>
    <row r="7520" spans="1:14">
      <c r="A7520" s="3" t="s">
        <v>7496</v>
      </c>
      <c r="B7520">
        <v>9</v>
      </c>
      <c r="N7520">
        <v>1</v>
      </c>
    </row>
    <row r="7521" spans="1:14">
      <c r="A7521" s="3" t="s">
        <v>7497</v>
      </c>
      <c r="B7521">
        <v>9</v>
      </c>
      <c r="N7521">
        <v>1</v>
      </c>
    </row>
    <row r="7522" spans="1:14">
      <c r="A7522" s="3" t="s">
        <v>7498</v>
      </c>
      <c r="B7522">
        <v>9</v>
      </c>
      <c r="N7522">
        <v>1</v>
      </c>
    </row>
    <row r="7523" spans="1:14">
      <c r="A7523" s="3" t="s">
        <v>7499</v>
      </c>
      <c r="B7523">
        <v>9</v>
      </c>
      <c r="N7523">
        <v>1</v>
      </c>
    </row>
    <row r="7524" spans="1:14">
      <c r="A7524" s="3" t="s">
        <v>7500</v>
      </c>
      <c r="B7524">
        <v>9</v>
      </c>
      <c r="N7524">
        <v>1</v>
      </c>
    </row>
    <row r="7525" spans="1:14">
      <c r="A7525" s="3" t="s">
        <v>7501</v>
      </c>
      <c r="B7525">
        <v>9</v>
      </c>
      <c r="N7525">
        <v>1</v>
      </c>
    </row>
    <row r="7526" spans="1:14">
      <c r="A7526" s="3" t="s">
        <v>7502</v>
      </c>
      <c r="B7526">
        <v>9</v>
      </c>
      <c r="N7526">
        <v>1</v>
      </c>
    </row>
    <row r="7527" spans="1:14">
      <c r="A7527" s="3" t="s">
        <v>7503</v>
      </c>
      <c r="B7527">
        <v>9</v>
      </c>
      <c r="N7527">
        <v>1</v>
      </c>
    </row>
    <row r="7528" spans="1:14">
      <c r="A7528" s="3" t="s">
        <v>7504</v>
      </c>
      <c r="B7528">
        <v>9</v>
      </c>
      <c r="N7528">
        <v>1</v>
      </c>
    </row>
    <row r="7529" spans="1:14">
      <c r="A7529" s="3" t="s">
        <v>7505</v>
      </c>
      <c r="B7529">
        <v>9</v>
      </c>
      <c r="N7529">
        <v>1</v>
      </c>
    </row>
    <row r="7530" spans="1:14">
      <c r="A7530" s="3" t="s">
        <v>7506</v>
      </c>
      <c r="B7530">
        <v>9</v>
      </c>
      <c r="N7530">
        <v>1</v>
      </c>
    </row>
    <row r="7531" spans="1:14">
      <c r="A7531" s="3" t="s">
        <v>7507</v>
      </c>
      <c r="B7531">
        <v>9</v>
      </c>
      <c r="N7531">
        <v>1</v>
      </c>
    </row>
    <row r="7532" spans="1:14">
      <c r="A7532" s="3" t="s">
        <v>7508</v>
      </c>
      <c r="B7532">
        <v>9</v>
      </c>
      <c r="N7532">
        <v>1</v>
      </c>
    </row>
    <row r="7533" spans="1:14">
      <c r="A7533" s="3" t="s">
        <v>7509</v>
      </c>
      <c r="B7533">
        <v>9</v>
      </c>
      <c r="N7533">
        <v>1</v>
      </c>
    </row>
    <row r="7534" spans="1:14">
      <c r="A7534" s="3" t="s">
        <v>7510</v>
      </c>
      <c r="B7534">
        <v>9</v>
      </c>
      <c r="N7534">
        <v>1</v>
      </c>
    </row>
    <row r="7535" spans="1:14">
      <c r="A7535" s="3" t="s">
        <v>7511</v>
      </c>
      <c r="B7535">
        <v>9</v>
      </c>
      <c r="N7535">
        <v>1</v>
      </c>
    </row>
    <row r="7536" spans="1:14">
      <c r="A7536" s="3" t="s">
        <v>7512</v>
      </c>
    </row>
    <row r="7537" spans="1:1">
      <c r="A7537" s="3" t="s">
        <v>7513</v>
      </c>
    </row>
    <row r="7538" spans="1:1">
      <c r="A7538" s="3" t="s">
        <v>7514</v>
      </c>
    </row>
    <row r="7539" spans="1:1">
      <c r="A7539" s="3" t="s">
        <v>7515</v>
      </c>
    </row>
    <row r="7540" spans="1:1">
      <c r="A7540" s="3" t="s">
        <v>7516</v>
      </c>
    </row>
    <row r="7541" spans="1:1">
      <c r="A7541" s="3" t="s">
        <v>7517</v>
      </c>
    </row>
    <row r="7542" spans="1:1">
      <c r="A7542" s="3" t="s">
        <v>7518</v>
      </c>
    </row>
    <row r="7543" spans="1:1">
      <c r="A7543" s="3" t="s">
        <v>7519</v>
      </c>
    </row>
    <row r="7544" spans="1:1">
      <c r="A7544" s="3" t="s">
        <v>7520</v>
      </c>
    </row>
    <row r="7545" spans="1:1">
      <c r="A7545" s="3" t="s">
        <v>7521</v>
      </c>
    </row>
    <row r="7546" spans="1:1">
      <c r="A7546" s="3" t="s">
        <v>7522</v>
      </c>
    </row>
    <row r="7547" spans="1:1">
      <c r="A7547" s="3" t="s">
        <v>7523</v>
      </c>
    </row>
    <row r="7548" spans="1:1">
      <c r="A7548" s="3" t="s">
        <v>7524</v>
      </c>
    </row>
    <row r="7549" spans="1:1">
      <c r="A7549" s="3" t="s">
        <v>7525</v>
      </c>
    </row>
    <row r="7550" spans="1:1">
      <c r="A7550" s="3" t="s">
        <v>7526</v>
      </c>
    </row>
    <row r="7551" spans="1:1">
      <c r="A7551" s="3" t="s">
        <v>7527</v>
      </c>
    </row>
    <row r="7552" spans="1:1">
      <c r="A7552" s="3" t="s">
        <v>7528</v>
      </c>
    </row>
    <row r="7553" spans="1:1">
      <c r="A7553" s="3" t="s">
        <v>7529</v>
      </c>
    </row>
    <row r="7554" spans="1:1">
      <c r="A7554" s="3" t="s">
        <v>7530</v>
      </c>
    </row>
    <row r="7555" spans="1:1">
      <c r="A7555" s="3" t="s">
        <v>7531</v>
      </c>
    </row>
    <row r="7556" spans="1:1">
      <c r="A7556" s="3" t="s">
        <v>7532</v>
      </c>
    </row>
    <row r="7557" spans="1:1">
      <c r="A7557" s="3" t="s">
        <v>7533</v>
      </c>
    </row>
    <row r="7558" spans="1:1">
      <c r="A7558" s="3" t="s">
        <v>7534</v>
      </c>
    </row>
    <row r="7559" spans="1:1">
      <c r="A7559" s="3" t="s">
        <v>7535</v>
      </c>
    </row>
    <row r="7560" spans="1:1">
      <c r="A7560" s="3" t="s">
        <v>7536</v>
      </c>
    </row>
    <row r="7561" spans="1:1">
      <c r="A7561" s="3" t="s">
        <v>7537</v>
      </c>
    </row>
    <row r="7562" spans="1:1">
      <c r="A7562" s="3" t="s">
        <v>7538</v>
      </c>
    </row>
    <row r="7563" spans="1:1">
      <c r="A7563" s="3" t="s">
        <v>7539</v>
      </c>
    </row>
    <row r="7564" spans="1:1">
      <c r="A7564" s="3" t="s">
        <v>7540</v>
      </c>
    </row>
    <row r="7565" spans="1:1">
      <c r="A7565" s="3" t="s">
        <v>7541</v>
      </c>
    </row>
    <row r="7566" spans="1:1">
      <c r="A7566" s="3" t="s">
        <v>7542</v>
      </c>
    </row>
    <row r="7567" spans="1:1">
      <c r="A7567" s="3" t="s">
        <v>7543</v>
      </c>
    </row>
    <row r="7568" spans="1:1">
      <c r="A7568" s="3" t="s">
        <v>7544</v>
      </c>
    </row>
    <row r="7569" spans="1:1">
      <c r="A7569" s="3" t="s">
        <v>7545</v>
      </c>
    </row>
    <row r="7570" spans="1:1">
      <c r="A7570" s="3" t="s">
        <v>7546</v>
      </c>
    </row>
    <row r="7571" spans="1:1">
      <c r="A7571" s="3" t="s">
        <v>7547</v>
      </c>
    </row>
    <row r="7572" spans="1:1">
      <c r="A7572" s="3" t="s">
        <v>7552</v>
      </c>
    </row>
    <row r="7573" spans="1:1">
      <c r="A7573" s="3" t="s">
        <v>7553</v>
      </c>
    </row>
    <row r="7574" spans="1:1">
      <c r="A7574" s="3" t="s">
        <v>7554</v>
      </c>
    </row>
    <row r="7575" spans="1:1">
      <c r="A7575" s="3" t="s">
        <v>7555</v>
      </c>
    </row>
    <row r="7576" spans="1:1">
      <c r="A7576" s="3" t="s">
        <v>7556</v>
      </c>
    </row>
    <row r="7577" spans="1:1">
      <c r="A7577" s="3" t="s">
        <v>7557</v>
      </c>
    </row>
    <row r="7578" spans="1:1">
      <c r="A7578" s="3" t="s">
        <v>7558</v>
      </c>
    </row>
    <row r="7579" spans="1:1">
      <c r="A7579" s="3" t="s">
        <v>7559</v>
      </c>
    </row>
    <row r="7580" spans="1:1">
      <c r="A7580" s="3" t="s">
        <v>7560</v>
      </c>
    </row>
    <row r="7581" spans="1:1">
      <c r="A7581" s="3" t="s">
        <v>7561</v>
      </c>
    </row>
    <row r="7582" spans="1:1">
      <c r="A7582" s="3" t="s">
        <v>7562</v>
      </c>
    </row>
    <row r="7583" spans="1:1">
      <c r="A7583" s="3" t="s">
        <v>7563</v>
      </c>
    </row>
    <row r="7584" spans="1:1">
      <c r="A7584" s="3" t="s">
        <v>7564</v>
      </c>
    </row>
    <row r="7585" spans="1:1">
      <c r="A7585" s="3" t="s">
        <v>7565</v>
      </c>
    </row>
    <row r="7586" spans="1:1">
      <c r="A7586" s="3" t="s">
        <v>7566</v>
      </c>
    </row>
    <row r="7587" spans="1:1">
      <c r="A7587" s="3" t="s">
        <v>7567</v>
      </c>
    </row>
    <row r="7588" spans="1:1">
      <c r="A7588" s="3" t="s">
        <v>7568</v>
      </c>
    </row>
    <row r="7589" spans="1:1">
      <c r="A7589" s="3" t="s">
        <v>7569</v>
      </c>
    </row>
    <row r="7590" spans="1:1">
      <c r="A7590" s="3" t="s">
        <v>7570</v>
      </c>
    </row>
    <row r="7591" spans="1:1">
      <c r="A7591" s="3" t="s">
        <v>7571</v>
      </c>
    </row>
    <row r="7592" spans="1:1">
      <c r="A7592" s="3" t="s">
        <v>7572</v>
      </c>
    </row>
    <row r="7593" spans="1:1">
      <c r="A7593" s="3" t="s">
        <v>7573</v>
      </c>
    </row>
    <row r="7594" spans="1:1">
      <c r="A7594" s="3" t="s">
        <v>7574</v>
      </c>
    </row>
    <row r="7595" spans="1:1">
      <c r="A7595" s="3" t="s">
        <v>7575</v>
      </c>
    </row>
    <row r="7596" spans="1:1">
      <c r="A7596" s="3" t="s">
        <v>7576</v>
      </c>
    </row>
    <row r="7597" spans="1:1">
      <c r="A7597" s="3" t="s">
        <v>7577</v>
      </c>
    </row>
    <row r="7598" spans="1:1">
      <c r="A7598" s="3" t="s">
        <v>7578</v>
      </c>
    </row>
    <row r="7599" spans="1:1">
      <c r="A7599" s="3" t="s">
        <v>7579</v>
      </c>
    </row>
    <row r="7600" spans="1:1">
      <c r="A7600" s="3" t="s">
        <v>7580</v>
      </c>
    </row>
    <row r="7601" spans="1:1">
      <c r="A7601" s="3" t="s">
        <v>7581</v>
      </c>
    </row>
    <row r="7602" spans="1:1">
      <c r="A7602" s="3" t="s">
        <v>7582</v>
      </c>
    </row>
    <row r="7603" spans="1:1">
      <c r="A7603" s="3" t="s">
        <v>7583</v>
      </c>
    </row>
    <row r="7604" spans="1:1">
      <c r="A7604" s="3" t="s">
        <v>7584</v>
      </c>
    </row>
    <row r="7605" spans="1:1">
      <c r="A7605" s="3" t="s">
        <v>7585</v>
      </c>
    </row>
    <row r="7606" spans="1:1">
      <c r="A7606" s="3" t="s">
        <v>7586</v>
      </c>
    </row>
    <row r="7607" spans="1:1">
      <c r="A7607" s="3" t="s">
        <v>7587</v>
      </c>
    </row>
    <row r="7608" spans="1:1">
      <c r="A7608" s="3" t="s">
        <v>7588</v>
      </c>
    </row>
    <row r="7609" spans="1:1">
      <c r="A7609" s="3" t="s">
        <v>7589</v>
      </c>
    </row>
    <row r="7610" spans="1:1">
      <c r="A7610" s="3" t="s">
        <v>7590</v>
      </c>
    </row>
    <row r="7611" spans="1:1">
      <c r="A7611" s="3" t="s">
        <v>7591</v>
      </c>
    </row>
    <row r="7612" spans="1:1">
      <c r="A7612" s="3" t="s">
        <v>7596</v>
      </c>
    </row>
    <row r="7613" spans="1:1">
      <c r="A7613" s="3" t="s">
        <v>7597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zoomScale="62" zoomScaleNormal="62" workbookViewId="0">
      <selection activeCell="C34" sqref="C34"/>
    </sheetView>
  </sheetViews>
  <sheetFormatPr defaultColWidth="8" defaultRowHeight="13.8"/>
  <sheetData/>
  <pageMargins left="0" right="0" top="0.19685039370078741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LE_17_1_80_DATE</vt:lpstr>
      <vt:lpstr>transpose</vt:lpstr>
      <vt:lpstr>Ábrák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Gyongyi Horvath</dc:creator>
  <cp:lastModifiedBy>HORVATH</cp:lastModifiedBy>
  <cp:lastPrinted>2025-03-31T09:05:10Z</cp:lastPrinted>
  <dcterms:created xsi:type="dcterms:W3CDTF">2025-03-09T12:25:46Z</dcterms:created>
  <dcterms:modified xsi:type="dcterms:W3CDTF">2025-05-19T08:38:50Z</dcterms:modified>
</cp:coreProperties>
</file>